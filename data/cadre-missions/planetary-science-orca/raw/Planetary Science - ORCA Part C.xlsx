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vaibhav\AppData\Roaming\OpenText\OTEdit\livelink-livelink\c298706712\"/>
    </mc:Choice>
  </mc:AlternateContent>
  <xr:revisionPtr revIDLastSave="0" documentId="13_ncr:1_{3A8CDCD9-52DE-4AFD-BA09-E4A660244F2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ver Page" sheetId="2" r:id="rId1"/>
    <sheet name="Table of Contents" sheetId="1" r:id="rId2"/>
    <sheet name="1 - Change History" sheetId="3" r:id="rId3"/>
    <sheet name="4d - CBS in JS format" sheetId="4" state="hidden" r:id="rId4"/>
    <sheet name="2 - Phasing Nomenclature" sheetId="5" r:id="rId5"/>
    <sheet name="3 - Phase Durations" sheetId="6" r:id="rId6"/>
    <sheet name="PM's sched Scenarios" sheetId="7" r:id="rId7"/>
    <sheet name="GR&amp;A" sheetId="8" state="hidden" r:id="rId8"/>
    <sheet name="4 - RAM LoE" sheetId="9" r:id="rId9"/>
    <sheet name="5 - Risk Register" sheetId="10" r:id="rId10"/>
    <sheet name="Risk Breakdown Structure" sheetId="11" r:id="rId11"/>
    <sheet name="Raw Labour Rates" sheetId="12" r:id="rId12"/>
    <sheet name="Labour Rates lookup" sheetId="13" r:id="rId13"/>
    <sheet name="Rolodex" sheetId="14" r:id="rId14"/>
    <sheet name="Inflation Rate" sheetId="15" r:id="rId15"/>
  </sheets>
  <definedNames>
    <definedName name="_xlnm._FilterDatabase" localSheetId="7" hidden="1">'GR&amp;A'!$A$5:$R$350</definedName>
    <definedName name="Costing_Phases">'2 - Phasing Nomenclature'!$F$13:$F$26</definedName>
    <definedName name="Costing_Phases_PM">'2 - Phasing Nomenclature'!$I$13:$I$25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15" l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55" i="15" s="1"/>
  <c r="D22" i="15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P35" i="10"/>
  <c r="O35" i="10"/>
  <c r="N35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35" i="10" s="1"/>
  <c r="Q10" i="10"/>
  <c r="Q9" i="10"/>
  <c r="W50" i="9"/>
  <c r="V50" i="9"/>
  <c r="U50" i="9"/>
  <c r="T50" i="9"/>
  <c r="S50" i="9"/>
  <c r="R50" i="9"/>
  <c r="Q50" i="9"/>
  <c r="X48" i="9"/>
  <c r="X47" i="9"/>
  <c r="X46" i="9"/>
  <c r="X45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C45" i="7"/>
  <c r="C42" i="7"/>
  <c r="K22" i="7"/>
  <c r="J22" i="7"/>
  <c r="I22" i="7"/>
  <c r="H22" i="7" s="1"/>
  <c r="G22" i="7"/>
  <c r="F22" i="7" s="1"/>
  <c r="C22" i="7"/>
  <c r="C49" i="7" s="1"/>
  <c r="C21" i="7"/>
  <c r="K19" i="7"/>
  <c r="J19" i="7" s="1"/>
  <c r="G19" i="7"/>
  <c r="F19" i="7"/>
  <c r="C19" i="7"/>
  <c r="C46" i="7" s="1"/>
  <c r="K18" i="7"/>
  <c r="J18" i="7" s="1"/>
  <c r="I18" i="7"/>
  <c r="H18" i="7"/>
  <c r="G18" i="7"/>
  <c r="F18" i="7"/>
  <c r="C18" i="7"/>
  <c r="K17" i="7"/>
  <c r="J17" i="7"/>
  <c r="I17" i="7"/>
  <c r="H17" i="7" s="1"/>
  <c r="G17" i="7"/>
  <c r="F17" i="7"/>
  <c r="C17" i="7"/>
  <c r="C44" i="7" s="1"/>
  <c r="I16" i="7"/>
  <c r="H16" i="7" s="1"/>
  <c r="C16" i="7"/>
  <c r="C43" i="7" s="1"/>
  <c r="N15" i="7"/>
  <c r="K15" i="7"/>
  <c r="J15" i="7" s="1"/>
  <c r="I15" i="7"/>
  <c r="H15" i="7"/>
  <c r="F15" i="7"/>
  <c r="C15" i="7"/>
  <c r="G15" i="7" s="1"/>
  <c r="Q14" i="7"/>
  <c r="N14" i="7"/>
  <c r="Q13" i="7"/>
  <c r="N13" i="7"/>
  <c r="Q12" i="7"/>
  <c r="N12" i="7"/>
  <c r="C12" i="7"/>
  <c r="Q11" i="7"/>
  <c r="N11" i="7"/>
  <c r="Q10" i="7"/>
  <c r="N10" i="7"/>
  <c r="C10" i="7"/>
  <c r="Q9" i="7"/>
  <c r="N9" i="7"/>
  <c r="Q8" i="7"/>
  <c r="N8" i="7"/>
  <c r="K8" i="7"/>
  <c r="J8" i="7" s="1"/>
  <c r="I8" i="7"/>
  <c r="H8" i="7" s="1"/>
  <c r="G8" i="7"/>
  <c r="F8" i="7"/>
  <c r="C8" i="7"/>
  <c r="C35" i="7" s="1"/>
  <c r="Q7" i="7"/>
  <c r="P7" i="7"/>
  <c r="N7" i="7"/>
  <c r="C5" i="7"/>
  <c r="G4" i="7"/>
  <c r="F4" i="7" s="1"/>
  <c r="C4" i="7"/>
  <c r="D1" i="7"/>
  <c r="B22" i="4"/>
  <c r="B21" i="4"/>
  <c r="B20" i="4"/>
  <c r="B19" i="4"/>
  <c r="B18" i="4"/>
  <c r="B17" i="4"/>
  <c r="B16" i="4"/>
  <c r="B15" i="4"/>
  <c r="B14" i="4"/>
  <c r="B13" i="4"/>
  <c r="B12" i="4"/>
  <c r="A12" i="4"/>
  <c r="B11" i="4"/>
  <c r="A11" i="4"/>
  <c r="J11" i="4" s="1"/>
  <c r="B10" i="4"/>
  <c r="J10" i="4" s="1"/>
  <c r="J9" i="4"/>
  <c r="D28" i="6"/>
  <c r="C24" i="6"/>
  <c r="P15" i="7" s="1"/>
  <c r="G23" i="6"/>
  <c r="C23" i="6"/>
  <c r="C22" i="6"/>
  <c r="H21" i="6"/>
  <c r="E21" i="6"/>
  <c r="F21" i="6" s="1"/>
  <c r="O12" i="7" s="1"/>
  <c r="C21" i="6"/>
  <c r="H20" i="6"/>
  <c r="G20" i="6"/>
  <c r="C20" i="6"/>
  <c r="G19" i="6"/>
  <c r="F19" i="6"/>
  <c r="O10" i="7" s="1"/>
  <c r="E19" i="6"/>
  <c r="C19" i="6"/>
  <c r="P10" i="7" s="1"/>
  <c r="C18" i="6"/>
  <c r="E18" i="6" s="1"/>
  <c r="F18" i="6" s="1"/>
  <c r="O9" i="7" s="1"/>
  <c r="E17" i="6"/>
  <c r="F17" i="6" s="1"/>
  <c r="O8" i="7" s="1"/>
  <c r="C17" i="6"/>
  <c r="G16" i="6"/>
  <c r="E16" i="6"/>
  <c r="F16" i="6" s="1"/>
  <c r="O7" i="7" s="1"/>
  <c r="H15" i="6"/>
  <c r="H19" i="6" s="1"/>
  <c r="P12" i="7" l="1"/>
  <c r="C26" i="6"/>
  <c r="G21" i="6"/>
  <c r="P14" i="7"/>
  <c r="E23" i="6"/>
  <c r="F23" i="6" s="1"/>
  <c r="O14" i="7" s="1"/>
  <c r="A13" i="4"/>
  <c r="J12" i="4"/>
  <c r="C6" i="7"/>
  <c r="P8" i="7"/>
  <c r="C7" i="7"/>
  <c r="P9" i="7"/>
  <c r="G18" i="6"/>
  <c r="C20" i="7"/>
  <c r="P13" i="7"/>
  <c r="G22" i="6"/>
  <c r="E22" i="6"/>
  <c r="F22" i="6" s="1"/>
  <c r="O13" i="7" s="1"/>
  <c r="H22" i="6"/>
  <c r="H23" i="6"/>
  <c r="H17" i="6"/>
  <c r="I15" i="6"/>
  <c r="H16" i="6"/>
  <c r="H18" i="6"/>
  <c r="D24" i="6"/>
  <c r="H24" i="6" s="1"/>
  <c r="G17" i="6"/>
  <c r="P11" i="7"/>
  <c r="C9" i="7"/>
  <c r="E20" i="6"/>
  <c r="F20" i="6" s="1"/>
  <c r="O11" i="7" s="1"/>
  <c r="C39" i="7"/>
  <c r="K12" i="7"/>
  <c r="J12" i="7" s="1"/>
  <c r="I12" i="7"/>
  <c r="H12" i="7" s="1"/>
  <c r="G12" i="7"/>
  <c r="F12" i="7" s="1"/>
  <c r="C31" i="7"/>
  <c r="K4" i="7"/>
  <c r="J4" i="7" s="1"/>
  <c r="I4" i="7"/>
  <c r="H4" i="7" s="1"/>
  <c r="C37" i="7"/>
  <c r="K10" i="7"/>
  <c r="J10" i="7" s="1"/>
  <c r="I10" i="7"/>
  <c r="H10" i="7" s="1"/>
  <c r="G10" i="7"/>
  <c r="F10" i="7" s="1"/>
  <c r="C32" i="7"/>
  <c r="I5" i="7"/>
  <c r="H5" i="7" s="1"/>
  <c r="G5" i="7"/>
  <c r="F5" i="7" s="1"/>
  <c r="K5" i="7"/>
  <c r="J5" i="7" s="1"/>
  <c r="G16" i="7"/>
  <c r="F16" i="7" s="1"/>
  <c r="C48" i="7"/>
  <c r="K21" i="7"/>
  <c r="J21" i="7" s="1"/>
  <c r="I21" i="7"/>
  <c r="H21" i="7" s="1"/>
  <c r="G21" i="7"/>
  <c r="F21" i="7" s="1"/>
  <c r="K16" i="7"/>
  <c r="J16" i="7" s="1"/>
  <c r="I19" i="7"/>
  <c r="H19" i="7" s="1"/>
  <c r="C33" i="7" l="1"/>
  <c r="K6" i="7"/>
  <c r="J6" i="7" s="1"/>
  <c r="I6" i="7"/>
  <c r="H6" i="7" s="1"/>
  <c r="G6" i="7"/>
  <c r="F6" i="7" s="1"/>
  <c r="G20" i="7"/>
  <c r="F20" i="7" s="1"/>
  <c r="C47" i="7"/>
  <c r="K20" i="7"/>
  <c r="J20" i="7" s="1"/>
  <c r="I20" i="7"/>
  <c r="H20" i="7" s="1"/>
  <c r="I23" i="6"/>
  <c r="I26" i="6"/>
  <c r="I17" i="6"/>
  <c r="I18" i="6"/>
  <c r="I16" i="6"/>
  <c r="J15" i="6"/>
  <c r="I19" i="6"/>
  <c r="I22" i="6"/>
  <c r="I21" i="6"/>
  <c r="I24" i="6"/>
  <c r="I20" i="6"/>
  <c r="C34" i="7"/>
  <c r="K7" i="7"/>
  <c r="J7" i="7" s="1"/>
  <c r="G7" i="7"/>
  <c r="F7" i="7" s="1"/>
  <c r="I7" i="7"/>
  <c r="H7" i="7" s="1"/>
  <c r="D26" i="6"/>
  <c r="C36" i="7"/>
  <c r="K9" i="7"/>
  <c r="J9" i="7" s="1"/>
  <c r="I9" i="7"/>
  <c r="H9" i="7" s="1"/>
  <c r="G9" i="7"/>
  <c r="F9" i="7" s="1"/>
  <c r="Z47" i="9"/>
  <c r="Z35" i="9"/>
  <c r="Z38" i="9"/>
  <c r="Z37" i="9"/>
  <c r="Z48" i="9"/>
  <c r="Z36" i="9"/>
  <c r="Z34" i="9"/>
  <c r="Z27" i="9"/>
  <c r="Z33" i="9"/>
  <c r="Z26" i="9"/>
  <c r="Z32" i="9"/>
  <c r="Z25" i="9"/>
  <c r="Z43" i="9"/>
  <c r="Z31" i="9"/>
  <c r="Z24" i="9"/>
  <c r="Z42" i="9"/>
  <c r="Z30" i="9"/>
  <c r="Z23" i="9"/>
  <c r="Z44" i="9"/>
  <c r="Z41" i="9"/>
  <c r="Z29" i="9"/>
  <c r="Z22" i="9"/>
  <c r="Z46" i="9"/>
  <c r="Z40" i="9"/>
  <c r="Z21" i="9"/>
  <c r="Z18" i="9"/>
  <c r="Z45" i="9"/>
  <c r="Z39" i="9"/>
  <c r="Z19" i="9"/>
  <c r="Z20" i="9"/>
  <c r="Z28" i="9"/>
  <c r="A14" i="4"/>
  <c r="J13" i="4"/>
  <c r="Q15" i="7"/>
  <c r="G24" i="6"/>
  <c r="Y47" i="9" s="1"/>
  <c r="E24" i="6"/>
  <c r="F24" i="6" s="1"/>
  <c r="O15" i="7" s="1"/>
  <c r="O16" i="7" s="1"/>
  <c r="Y39" i="9" l="1"/>
  <c r="Y31" i="9"/>
  <c r="Y24" i="9"/>
  <c r="Y45" i="9"/>
  <c r="Y46" i="9"/>
  <c r="Y37" i="9"/>
  <c r="Y19" i="9"/>
  <c r="Y18" i="9"/>
  <c r="Y41" i="9"/>
  <c r="Y43" i="9"/>
  <c r="Y42" i="9"/>
  <c r="Y21" i="9"/>
  <c r="Y27" i="9"/>
  <c r="Y44" i="9"/>
  <c r="Y48" i="9"/>
  <c r="Y36" i="9"/>
  <c r="Y20" i="9"/>
  <c r="Y25" i="9"/>
  <c r="AA46" i="9"/>
  <c r="AA34" i="9"/>
  <c r="AA37" i="9"/>
  <c r="AA48" i="9"/>
  <c r="AA36" i="9"/>
  <c r="AA47" i="9"/>
  <c r="AA35" i="9"/>
  <c r="AA33" i="9"/>
  <c r="AA26" i="9"/>
  <c r="AA32" i="9"/>
  <c r="AA25" i="9"/>
  <c r="AA43" i="9"/>
  <c r="AA31" i="9"/>
  <c r="AA24" i="9"/>
  <c r="AA42" i="9"/>
  <c r="AA30" i="9"/>
  <c r="AA23" i="9"/>
  <c r="AA44" i="9"/>
  <c r="AA41" i="9"/>
  <c r="AA29" i="9"/>
  <c r="AA22" i="9"/>
  <c r="AA40" i="9"/>
  <c r="AA21" i="9"/>
  <c r="AA20" i="9"/>
  <c r="AA45" i="9"/>
  <c r="AA38" i="9"/>
  <c r="AA28" i="9"/>
  <c r="AA39" i="9"/>
  <c r="AA18" i="9"/>
  <c r="AA19" i="9"/>
  <c r="AA27" i="9"/>
  <c r="Y30" i="9"/>
  <c r="Y40" i="9"/>
  <c r="Y33" i="9"/>
  <c r="E26" i="6"/>
  <c r="F26" i="6" s="1"/>
  <c r="C27" i="6"/>
  <c r="D27" i="6" s="1"/>
  <c r="G26" i="6"/>
  <c r="H26" i="6"/>
  <c r="Y29" i="9"/>
  <c r="Z52" i="9"/>
  <c r="Z50" i="9"/>
  <c r="J22" i="6"/>
  <c r="J18" i="6"/>
  <c r="J16" i="6"/>
  <c r="K15" i="6"/>
  <c r="J26" i="6"/>
  <c r="J19" i="6"/>
  <c r="J24" i="6"/>
  <c r="J17" i="6"/>
  <c r="J21" i="6"/>
  <c r="J23" i="6"/>
  <c r="J20" i="6"/>
  <c r="Y35" i="9"/>
  <c r="A15" i="4"/>
  <c r="J14" i="4"/>
  <c r="Y28" i="9"/>
  <c r="Y23" i="9"/>
  <c r="Y34" i="9"/>
  <c r="Y22" i="9"/>
  <c r="C11" i="7"/>
  <c r="Y26" i="9"/>
  <c r="Y32" i="9"/>
  <c r="Y38" i="9"/>
  <c r="AA52" i="9" l="1"/>
  <c r="AA50" i="9"/>
  <c r="Z53" i="9"/>
  <c r="Z54" i="9" s="1"/>
  <c r="Z55" i="9" s="1"/>
  <c r="Z56" i="9" s="1"/>
  <c r="Z57" i="9" s="1"/>
  <c r="C13" i="7"/>
  <c r="C14" i="7"/>
  <c r="G27" i="6"/>
  <c r="C28" i="6"/>
  <c r="K28" i="6" s="1"/>
  <c r="E27" i="6"/>
  <c r="F27" i="6" s="1"/>
  <c r="H27" i="6"/>
  <c r="I27" i="6"/>
  <c r="K23" i="6"/>
  <c r="K22" i="6"/>
  <c r="K27" i="6"/>
  <c r="K26" i="6"/>
  <c r="K19" i="6"/>
  <c r="K18" i="6"/>
  <c r="K21" i="6"/>
  <c r="K20" i="6"/>
  <c r="K16" i="6"/>
  <c r="L15" i="6"/>
  <c r="K24" i="6"/>
  <c r="K17" i="6"/>
  <c r="AB45" i="9"/>
  <c r="AB33" i="9"/>
  <c r="AB48" i="9"/>
  <c r="AB36" i="9"/>
  <c r="AB47" i="9"/>
  <c r="AB35" i="9"/>
  <c r="AB46" i="9"/>
  <c r="AB34" i="9"/>
  <c r="AB32" i="9"/>
  <c r="AB25" i="9"/>
  <c r="AB43" i="9"/>
  <c r="AB31" i="9"/>
  <c r="AB24" i="9"/>
  <c r="AB42" i="9"/>
  <c r="AB30" i="9"/>
  <c r="AB23" i="9"/>
  <c r="AB44" i="9"/>
  <c r="AB41" i="9"/>
  <c r="AB29" i="9"/>
  <c r="AB22" i="9"/>
  <c r="AB40" i="9"/>
  <c r="AB21" i="9"/>
  <c r="AB20" i="9"/>
  <c r="AB39" i="9"/>
  <c r="AB19" i="9"/>
  <c r="AB28" i="9"/>
  <c r="AB37" i="9"/>
  <c r="AB27" i="9"/>
  <c r="AB18" i="9"/>
  <c r="AB26" i="9"/>
  <c r="AB38" i="9"/>
  <c r="J15" i="4"/>
  <c r="A16" i="4"/>
  <c r="Y52" i="9"/>
  <c r="Y50" i="9"/>
  <c r="K11" i="7"/>
  <c r="J11" i="7" s="1"/>
  <c r="I11" i="7"/>
  <c r="H11" i="7" s="1"/>
  <c r="G11" i="7"/>
  <c r="F11" i="7" s="1"/>
  <c r="C38" i="7"/>
  <c r="J27" i="6"/>
  <c r="AC44" i="9" l="1"/>
  <c r="AC32" i="9"/>
  <c r="AC47" i="9"/>
  <c r="AC35" i="9"/>
  <c r="AC46" i="9"/>
  <c r="AC34" i="9"/>
  <c r="AC45" i="9"/>
  <c r="AC33" i="9"/>
  <c r="AC43" i="9"/>
  <c r="AC31" i="9"/>
  <c r="AC24" i="9"/>
  <c r="AC42" i="9"/>
  <c r="AC30" i="9"/>
  <c r="AC23" i="9"/>
  <c r="AC41" i="9"/>
  <c r="AC29" i="9"/>
  <c r="AC22" i="9"/>
  <c r="AC40" i="9"/>
  <c r="AC21" i="9"/>
  <c r="AC20" i="9"/>
  <c r="AC39" i="9"/>
  <c r="AC19" i="9"/>
  <c r="AC18" i="9"/>
  <c r="AC37" i="9"/>
  <c r="AC27" i="9"/>
  <c r="AC26" i="9"/>
  <c r="AC36" i="9"/>
  <c r="AC48" i="9"/>
  <c r="AC25" i="9"/>
  <c r="AC38" i="9"/>
  <c r="AC28" i="9"/>
  <c r="K14" i="7"/>
  <c r="J14" i="7" s="1"/>
  <c r="G14" i="7"/>
  <c r="F14" i="7" s="1"/>
  <c r="C41" i="7"/>
  <c r="I14" i="7"/>
  <c r="H14" i="7" s="1"/>
  <c r="C40" i="7"/>
  <c r="K13" i="7"/>
  <c r="J13" i="7" s="1"/>
  <c r="I13" i="7"/>
  <c r="H13" i="7" s="1"/>
  <c r="G13" i="7"/>
  <c r="F13" i="7" s="1"/>
  <c r="B27" i="4"/>
  <c r="B23" i="4"/>
  <c r="B26" i="4"/>
  <c r="B25" i="4"/>
  <c r="A17" i="4"/>
  <c r="J16" i="4"/>
  <c r="B24" i="4"/>
  <c r="B28" i="4"/>
  <c r="AA53" i="9"/>
  <c r="AA54" i="9" s="1"/>
  <c r="AA55" i="9" s="1"/>
  <c r="AA56" i="9" s="1"/>
  <c r="AA57" i="9" s="1"/>
  <c r="AB52" i="9"/>
  <c r="AB50" i="9"/>
  <c r="Y53" i="9"/>
  <c r="G28" i="6"/>
  <c r="E28" i="6"/>
  <c r="F28" i="6" s="1"/>
  <c r="H28" i="6"/>
  <c r="I28" i="6"/>
  <c r="J28" i="6"/>
  <c r="L27" i="6"/>
  <c r="L21" i="6"/>
  <c r="L24" i="6"/>
  <c r="L26" i="6"/>
  <c r="L20" i="6"/>
  <c r="M15" i="6"/>
  <c r="L22" i="6"/>
  <c r="L23" i="6"/>
  <c r="L28" i="6"/>
  <c r="L18" i="6"/>
  <c r="L16" i="6"/>
  <c r="L17" i="6"/>
  <c r="L19" i="6"/>
  <c r="AC52" i="9" l="1"/>
  <c r="AC50" i="9"/>
  <c r="AB53" i="9"/>
  <c r="AD43" i="9"/>
  <c r="AD31" i="9"/>
  <c r="AD46" i="9"/>
  <c r="AD34" i="9"/>
  <c r="AD45" i="9"/>
  <c r="AD33" i="9"/>
  <c r="AD44" i="9"/>
  <c r="AD32" i="9"/>
  <c r="AD42" i="9"/>
  <c r="AD30" i="9"/>
  <c r="AD23" i="9"/>
  <c r="AD41" i="9"/>
  <c r="AD29" i="9"/>
  <c r="AD22" i="9"/>
  <c r="AD40" i="9"/>
  <c r="AD21" i="9"/>
  <c r="AD20" i="9"/>
  <c r="AD39" i="9"/>
  <c r="AD19" i="9"/>
  <c r="AD47" i="9"/>
  <c r="AD18" i="9"/>
  <c r="AD38" i="9"/>
  <c r="AD26" i="9"/>
  <c r="AD36" i="9"/>
  <c r="AD25" i="9"/>
  <c r="AD48" i="9"/>
  <c r="AD24" i="9"/>
  <c r="AD37" i="9"/>
  <c r="AD28" i="9"/>
  <c r="AD35" i="9"/>
  <c r="AD27" i="9"/>
  <c r="A18" i="4"/>
  <c r="J17" i="4"/>
  <c r="M22" i="6"/>
  <c r="M27" i="6"/>
  <c r="M21" i="6"/>
  <c r="M17" i="6"/>
  <c r="M20" i="6"/>
  <c r="M26" i="6"/>
  <c r="M23" i="6"/>
  <c r="M24" i="6"/>
  <c r="M28" i="6"/>
  <c r="M18" i="6"/>
  <c r="M16" i="6"/>
  <c r="N15" i="6"/>
  <c r="M19" i="6"/>
  <c r="Y54" i="9"/>
  <c r="Y55" i="9" l="1"/>
  <c r="AC53" i="9"/>
  <c r="AC54" i="9" s="1"/>
  <c r="AB54" i="9"/>
  <c r="AB55" i="9" s="1"/>
  <c r="AB56" i="9" s="1"/>
  <c r="AB57" i="9" s="1"/>
  <c r="N27" i="6"/>
  <c r="N26" i="6"/>
  <c r="N20" i="6"/>
  <c r="N24" i="6"/>
  <c r="N28" i="6"/>
  <c r="N18" i="6"/>
  <c r="O15" i="6"/>
  <c r="N22" i="6"/>
  <c r="N21" i="6"/>
  <c r="N23" i="6"/>
  <c r="N17" i="6"/>
  <c r="N16" i="6"/>
  <c r="N19" i="6"/>
  <c r="A19" i="4"/>
  <c r="J18" i="4"/>
  <c r="B30" i="4"/>
  <c r="B29" i="4"/>
  <c r="AD52" i="9"/>
  <c r="AD50" i="9"/>
  <c r="AE42" i="9"/>
  <c r="AE30" i="9"/>
  <c r="AE48" i="9"/>
  <c r="AE45" i="9"/>
  <c r="AE33" i="9"/>
  <c r="AE44" i="9"/>
  <c r="AE32" i="9"/>
  <c r="AE43" i="9"/>
  <c r="AE31" i="9"/>
  <c r="AE41" i="9"/>
  <c r="AE29" i="9"/>
  <c r="AE22" i="9"/>
  <c r="AE40" i="9"/>
  <c r="AE21" i="9"/>
  <c r="AE20" i="9"/>
  <c r="AE39" i="9"/>
  <c r="AE19" i="9"/>
  <c r="AE47" i="9"/>
  <c r="AE18" i="9"/>
  <c r="AE46" i="9"/>
  <c r="AE38" i="9"/>
  <c r="AE28" i="9"/>
  <c r="AE36" i="9"/>
  <c r="AE25" i="9"/>
  <c r="AE35" i="9"/>
  <c r="AE24" i="9"/>
  <c r="AE23" i="9"/>
  <c r="AE34" i="9"/>
  <c r="AE37" i="9"/>
  <c r="AE26" i="9"/>
  <c r="AE27" i="9"/>
  <c r="AC55" i="9" l="1"/>
  <c r="AC56" i="9" s="1"/>
  <c r="AC57" i="9" s="1"/>
  <c r="Y56" i="9"/>
  <c r="O21" i="6"/>
  <c r="O26" i="6"/>
  <c r="O20" i="6"/>
  <c r="O28" i="6"/>
  <c r="O23" i="6"/>
  <c r="O17" i="6"/>
  <c r="O19" i="6"/>
  <c r="O22" i="6"/>
  <c r="O18" i="6"/>
  <c r="O16" i="6"/>
  <c r="O27" i="6"/>
  <c r="O24" i="6"/>
  <c r="P15" i="6"/>
  <c r="AD53" i="9"/>
  <c r="AD54" i="9" s="1"/>
  <c r="AE52" i="9"/>
  <c r="AE50" i="9"/>
  <c r="J19" i="4"/>
  <c r="A20" i="4"/>
  <c r="AF41" i="9"/>
  <c r="AF29" i="9"/>
  <c r="AF48" i="9"/>
  <c r="AF47" i="9"/>
  <c r="AF44" i="9"/>
  <c r="AF32" i="9"/>
  <c r="AF43" i="9"/>
  <c r="AF31" i="9"/>
  <c r="AF42" i="9"/>
  <c r="AF30" i="9"/>
  <c r="AF40" i="9"/>
  <c r="AF21" i="9"/>
  <c r="AF20" i="9"/>
  <c r="AF39" i="9"/>
  <c r="AF19" i="9"/>
  <c r="AF18" i="9"/>
  <c r="AF46" i="9"/>
  <c r="AF38" i="9"/>
  <c r="AF28" i="9"/>
  <c r="AF37" i="9"/>
  <c r="AF27" i="9"/>
  <c r="AF35" i="9"/>
  <c r="AF24" i="9"/>
  <c r="AF34" i="9"/>
  <c r="AF23" i="9"/>
  <c r="AF36" i="9"/>
  <c r="AF45" i="9"/>
  <c r="AF25" i="9"/>
  <c r="AF26" i="9"/>
  <c r="AF33" i="9"/>
  <c r="AF22" i="9"/>
  <c r="AD55" i="9" l="1"/>
  <c r="AE53" i="9"/>
  <c r="AE54" i="9" s="1"/>
  <c r="AF52" i="9"/>
  <c r="AF50" i="9"/>
  <c r="P26" i="6"/>
  <c r="P19" i="6"/>
  <c r="P28" i="6"/>
  <c r="P22" i="6"/>
  <c r="P18" i="6"/>
  <c r="P16" i="6"/>
  <c r="Q15" i="6"/>
  <c r="P21" i="6"/>
  <c r="P27" i="6"/>
  <c r="P23" i="6"/>
  <c r="P17" i="6"/>
  <c r="P24" i="6"/>
  <c r="P20" i="6"/>
  <c r="Y57" i="9"/>
  <c r="AG40" i="9"/>
  <c r="AG48" i="9"/>
  <c r="AG47" i="9"/>
  <c r="AG46" i="9"/>
  <c r="AG43" i="9"/>
  <c r="AG31" i="9"/>
  <c r="AG42" i="9"/>
  <c r="AG30" i="9"/>
  <c r="AG41" i="9"/>
  <c r="AG29" i="9"/>
  <c r="AG20" i="9"/>
  <c r="AG39" i="9"/>
  <c r="AG19" i="9"/>
  <c r="AG44" i="9"/>
  <c r="AG18" i="9"/>
  <c r="AG38" i="9"/>
  <c r="AG28" i="9"/>
  <c r="AG37" i="9"/>
  <c r="AG27" i="9"/>
  <c r="AG26" i="9"/>
  <c r="AG34" i="9"/>
  <c r="AG23" i="9"/>
  <c r="AG33" i="9"/>
  <c r="AG22" i="9"/>
  <c r="AG45" i="9"/>
  <c r="AG24" i="9"/>
  <c r="AG25" i="9"/>
  <c r="AG32" i="9"/>
  <c r="AG35" i="9"/>
  <c r="AG21" i="9"/>
  <c r="AG36" i="9"/>
  <c r="B438" i="4"/>
  <c r="B441" i="4"/>
  <c r="B437" i="4"/>
  <c r="B440" i="4"/>
  <c r="B439" i="4"/>
  <c r="A21" i="4"/>
  <c r="J20" i="4"/>
  <c r="AE55" i="9" l="1"/>
  <c r="AE56" i="9" s="1"/>
  <c r="AE57" i="9" s="1"/>
  <c r="AG52" i="9"/>
  <c r="AG50" i="9"/>
  <c r="AH39" i="9"/>
  <c r="AH48" i="9"/>
  <c r="AH47" i="9"/>
  <c r="AH46" i="9"/>
  <c r="AH45" i="9"/>
  <c r="AH42" i="9"/>
  <c r="AH30" i="9"/>
  <c r="AH41" i="9"/>
  <c r="AH29" i="9"/>
  <c r="AH40" i="9"/>
  <c r="AH19" i="9"/>
  <c r="AH44" i="9"/>
  <c r="AH18" i="9"/>
  <c r="AH38" i="9"/>
  <c r="AH28" i="9"/>
  <c r="AH37" i="9"/>
  <c r="AH27" i="9"/>
  <c r="AH26" i="9"/>
  <c r="AH36" i="9"/>
  <c r="AH25" i="9"/>
  <c r="AH33" i="9"/>
  <c r="AH22" i="9"/>
  <c r="AH32" i="9"/>
  <c r="AH21" i="9"/>
  <c r="AH43" i="9"/>
  <c r="AH31" i="9"/>
  <c r="AH23" i="9"/>
  <c r="AH24" i="9"/>
  <c r="AH34" i="9"/>
  <c r="AH20" i="9"/>
  <c r="AH35" i="9"/>
  <c r="AF54" i="9"/>
  <c r="AF55" i="9" s="1"/>
  <c r="AF56" i="9" s="1"/>
  <c r="AF57" i="9" s="1"/>
  <c r="AF53" i="9"/>
  <c r="B450" i="4"/>
  <c r="B442" i="4"/>
  <c r="B449" i="4"/>
  <c r="B452" i="4"/>
  <c r="B448" i="4"/>
  <c r="B451" i="4"/>
  <c r="A22" i="4"/>
  <c r="J21" i="4"/>
  <c r="Q26" i="6"/>
  <c r="Q20" i="6"/>
  <c r="Q19" i="6"/>
  <c r="Q24" i="6"/>
  <c r="Q28" i="6"/>
  <c r="Q23" i="6"/>
  <c r="Q22" i="6"/>
  <c r="Q27" i="6"/>
  <c r="Q21" i="6"/>
  <c r="Q16" i="6"/>
  <c r="R15" i="6"/>
  <c r="Q17" i="6"/>
  <c r="Q18" i="6"/>
  <c r="AD56" i="9"/>
  <c r="AD57" i="9" l="1"/>
  <c r="AG54" i="9"/>
  <c r="AG55" i="9" s="1"/>
  <c r="AG53" i="9"/>
  <c r="R24" i="6"/>
  <c r="R18" i="6"/>
  <c r="R27" i="6"/>
  <c r="R23" i="6"/>
  <c r="R21" i="6"/>
  <c r="R17" i="6"/>
  <c r="R20" i="6"/>
  <c r="R16" i="6"/>
  <c r="S15" i="6"/>
  <c r="R28" i="6"/>
  <c r="R19" i="6"/>
  <c r="R26" i="6"/>
  <c r="R22" i="6"/>
  <c r="AI38" i="9"/>
  <c r="AI48" i="9"/>
  <c r="AI47" i="9"/>
  <c r="AI46" i="9"/>
  <c r="AI45" i="9"/>
  <c r="AI44" i="9"/>
  <c r="AI41" i="9"/>
  <c r="AI29" i="9"/>
  <c r="AI40" i="9"/>
  <c r="AI39" i="9"/>
  <c r="AI18" i="9"/>
  <c r="AI28" i="9"/>
  <c r="AI37" i="9"/>
  <c r="AI27" i="9"/>
  <c r="AI26" i="9"/>
  <c r="AI36" i="9"/>
  <c r="AI25" i="9"/>
  <c r="AI35" i="9"/>
  <c r="AI24" i="9"/>
  <c r="AI32" i="9"/>
  <c r="AI21" i="9"/>
  <c r="AI43" i="9"/>
  <c r="AI31" i="9"/>
  <c r="AI20" i="9"/>
  <c r="AI34" i="9"/>
  <c r="AI19" i="9"/>
  <c r="AI42" i="9"/>
  <c r="AI30" i="9"/>
  <c r="AI33" i="9"/>
  <c r="AI22" i="9"/>
  <c r="AI23" i="9"/>
  <c r="AH52" i="9"/>
  <c r="AH50" i="9"/>
  <c r="B500" i="4"/>
  <c r="B499" i="4"/>
  <c r="B495" i="4"/>
  <c r="A23" i="4"/>
  <c r="J22" i="4"/>
  <c r="AI52" i="9" l="1"/>
  <c r="AI50" i="9"/>
  <c r="AG56" i="9"/>
  <c r="B506" i="4"/>
  <c r="B501" i="4"/>
  <c r="J23" i="4"/>
  <c r="A24" i="4"/>
  <c r="AH54" i="9"/>
  <c r="AH55" i="9" s="1"/>
  <c r="AH56" i="9" s="1"/>
  <c r="AH57" i="9" s="1"/>
  <c r="AH53" i="9"/>
  <c r="S19" i="6"/>
  <c r="S24" i="6"/>
  <c r="S28" i="6"/>
  <c r="S22" i="6"/>
  <c r="S27" i="6"/>
  <c r="S21" i="6"/>
  <c r="S23" i="6"/>
  <c r="S16" i="6"/>
  <c r="T15" i="6"/>
  <c r="S20" i="6"/>
  <c r="S17" i="6"/>
  <c r="S18" i="6"/>
  <c r="S26" i="6"/>
  <c r="AJ37" i="9"/>
  <c r="AJ48" i="9"/>
  <c r="AJ47" i="9"/>
  <c r="AJ46" i="9"/>
  <c r="AJ45" i="9"/>
  <c r="AJ44" i="9"/>
  <c r="AJ43" i="9"/>
  <c r="AJ40" i="9"/>
  <c r="AJ39" i="9"/>
  <c r="AJ38" i="9"/>
  <c r="AJ28" i="9"/>
  <c r="AJ27" i="9"/>
  <c r="AJ26" i="9"/>
  <c r="AJ36" i="9"/>
  <c r="AJ25" i="9"/>
  <c r="AJ35" i="9"/>
  <c r="AJ24" i="9"/>
  <c r="AJ34" i="9"/>
  <c r="AJ23" i="9"/>
  <c r="AJ31" i="9"/>
  <c r="AJ20" i="9"/>
  <c r="AJ42" i="9"/>
  <c r="AJ30" i="9"/>
  <c r="AJ19" i="9"/>
  <c r="AJ18" i="9"/>
  <c r="AJ41" i="9"/>
  <c r="AJ29" i="9"/>
  <c r="AJ32" i="9"/>
  <c r="AJ21" i="9"/>
  <c r="AJ22" i="9"/>
  <c r="AJ33" i="9"/>
  <c r="B67" i="4" l="1"/>
  <c r="A25" i="4"/>
  <c r="J24" i="4"/>
  <c r="T24" i="6"/>
  <c r="T28" i="6"/>
  <c r="T23" i="6"/>
  <c r="T17" i="6"/>
  <c r="T27" i="6"/>
  <c r="T26" i="6"/>
  <c r="T20" i="6"/>
  <c r="T16" i="6"/>
  <c r="U15" i="6"/>
  <c r="T18" i="6"/>
  <c r="T21" i="6"/>
  <c r="T19" i="6"/>
  <c r="T22" i="6"/>
  <c r="AK48" i="9"/>
  <c r="AK36" i="9"/>
  <c r="AK39" i="9"/>
  <c r="AK38" i="9"/>
  <c r="AK37" i="9"/>
  <c r="AK44" i="9"/>
  <c r="AK28" i="9"/>
  <c r="AK27" i="9"/>
  <c r="AK26" i="9"/>
  <c r="AK47" i="9"/>
  <c r="AK46" i="9"/>
  <c r="AK25" i="9"/>
  <c r="AK35" i="9"/>
  <c r="AK24" i="9"/>
  <c r="AK34" i="9"/>
  <c r="AK23" i="9"/>
  <c r="AK45" i="9"/>
  <c r="AK33" i="9"/>
  <c r="AK22" i="9"/>
  <c r="AK43" i="9"/>
  <c r="AK42" i="9"/>
  <c r="AK30" i="9"/>
  <c r="AK19" i="9"/>
  <c r="AK41" i="9"/>
  <c r="AK29" i="9"/>
  <c r="AK18" i="9"/>
  <c r="AK32" i="9"/>
  <c r="AK20" i="9"/>
  <c r="AK21" i="9"/>
  <c r="AK31" i="9"/>
  <c r="AK40" i="9"/>
  <c r="AG57" i="9"/>
  <c r="AJ52" i="9"/>
  <c r="AJ50" i="9"/>
  <c r="AI53" i="9"/>
  <c r="AI54" i="9" s="1"/>
  <c r="AI55" i="9" s="1"/>
  <c r="AI56" i="9" l="1"/>
  <c r="U28" i="6"/>
  <c r="U23" i="6"/>
  <c r="U26" i="6"/>
  <c r="U20" i="6"/>
  <c r="U17" i="6"/>
  <c r="U16" i="6"/>
  <c r="V15" i="6"/>
  <c r="U18" i="6"/>
  <c r="U24" i="6"/>
  <c r="U19" i="6"/>
  <c r="U27" i="6"/>
  <c r="U22" i="6"/>
  <c r="U21" i="6"/>
  <c r="AL47" i="9"/>
  <c r="AL35" i="9"/>
  <c r="AL38" i="9"/>
  <c r="AL37" i="9"/>
  <c r="AL48" i="9"/>
  <c r="AL36" i="9"/>
  <c r="AL39" i="9"/>
  <c r="AL27" i="9"/>
  <c r="AL26" i="9"/>
  <c r="AL46" i="9"/>
  <c r="AL25" i="9"/>
  <c r="AL24" i="9"/>
  <c r="AL34" i="9"/>
  <c r="AL23" i="9"/>
  <c r="AL45" i="9"/>
  <c r="AL33" i="9"/>
  <c r="AL22" i="9"/>
  <c r="AL32" i="9"/>
  <c r="AL21" i="9"/>
  <c r="AL41" i="9"/>
  <c r="AL29" i="9"/>
  <c r="AL18" i="9"/>
  <c r="AL40" i="9"/>
  <c r="AL19" i="9"/>
  <c r="AL20" i="9"/>
  <c r="AL44" i="9"/>
  <c r="AL42" i="9"/>
  <c r="AL30" i="9"/>
  <c r="AL31" i="9"/>
  <c r="AL43" i="9"/>
  <c r="AL28" i="9"/>
  <c r="AK52" i="9"/>
  <c r="AK50" i="9"/>
  <c r="AJ53" i="9"/>
  <c r="AJ54" i="9" s="1"/>
  <c r="AJ55" i="9" s="1"/>
  <c r="AJ56" i="9" s="1"/>
  <c r="AJ57" i="9" s="1"/>
  <c r="A26" i="4"/>
  <c r="J25" i="4"/>
  <c r="V28" i="6" l="1"/>
  <c r="V22" i="6"/>
  <c r="V17" i="6"/>
  <c r="V16" i="6"/>
  <c r="W15" i="6"/>
  <c r="V21" i="6"/>
  <c r="V18" i="6"/>
  <c r="V23" i="6"/>
  <c r="V20" i="6"/>
  <c r="V24" i="6"/>
  <c r="V27" i="6"/>
  <c r="V26" i="6"/>
  <c r="V19" i="6"/>
  <c r="AK53" i="9"/>
  <c r="AK54" i="9" s="1"/>
  <c r="AK55" i="9" s="1"/>
  <c r="AK56" i="9" s="1"/>
  <c r="A27" i="4"/>
  <c r="J26" i="4"/>
  <c r="AM46" i="9"/>
  <c r="AM34" i="9"/>
  <c r="AM37" i="9"/>
  <c r="AM48" i="9"/>
  <c r="AM36" i="9"/>
  <c r="AM47" i="9"/>
  <c r="AM35" i="9"/>
  <c r="AM26" i="9"/>
  <c r="AM38" i="9"/>
  <c r="AM25" i="9"/>
  <c r="AM24" i="9"/>
  <c r="AM23" i="9"/>
  <c r="AM45" i="9"/>
  <c r="AM33" i="9"/>
  <c r="AM22" i="9"/>
  <c r="AM32" i="9"/>
  <c r="AM21" i="9"/>
  <c r="AM31" i="9"/>
  <c r="AM20" i="9"/>
  <c r="AM40" i="9"/>
  <c r="AM44" i="9"/>
  <c r="AM28" i="9"/>
  <c r="AM18" i="9"/>
  <c r="AM41" i="9"/>
  <c r="AM29" i="9"/>
  <c r="AM19" i="9"/>
  <c r="AM39" i="9"/>
  <c r="AM42" i="9"/>
  <c r="AM30" i="9"/>
  <c r="AM27" i="9"/>
  <c r="AM43" i="9"/>
  <c r="AL52" i="9"/>
  <c r="AL50" i="9"/>
  <c r="AI57" i="9"/>
  <c r="AK57" i="9" l="1"/>
  <c r="W28" i="6"/>
  <c r="W23" i="6"/>
  <c r="W22" i="6"/>
  <c r="W27" i="6"/>
  <c r="W26" i="6"/>
  <c r="W18" i="6"/>
  <c r="W20" i="6"/>
  <c r="W24" i="6"/>
  <c r="W16" i="6"/>
  <c r="W19" i="6"/>
  <c r="W21" i="6"/>
  <c r="W17" i="6"/>
  <c r="X15" i="6"/>
  <c r="AN45" i="9"/>
  <c r="AN33" i="9"/>
  <c r="AN48" i="9"/>
  <c r="AN36" i="9"/>
  <c r="AN47" i="9"/>
  <c r="AN35" i="9"/>
  <c r="AN46" i="9"/>
  <c r="AN34" i="9"/>
  <c r="AN38" i="9"/>
  <c r="AN25" i="9"/>
  <c r="AN24" i="9"/>
  <c r="AN37" i="9"/>
  <c r="AN23" i="9"/>
  <c r="AN22" i="9"/>
  <c r="AN32" i="9"/>
  <c r="AN21" i="9"/>
  <c r="AN31" i="9"/>
  <c r="AN20" i="9"/>
  <c r="AN43" i="9"/>
  <c r="AN42" i="9"/>
  <c r="AN30" i="9"/>
  <c r="AN19" i="9"/>
  <c r="AN44" i="9"/>
  <c r="AN28" i="9"/>
  <c r="AN39" i="9"/>
  <c r="AN27" i="9"/>
  <c r="AN41" i="9"/>
  <c r="AN29" i="9"/>
  <c r="AN26" i="9"/>
  <c r="AN40" i="9"/>
  <c r="AN18" i="9"/>
  <c r="AM52" i="9"/>
  <c r="AM50" i="9"/>
  <c r="J27" i="4"/>
  <c r="A28" i="4"/>
  <c r="AL53" i="9"/>
  <c r="AL54" i="9" s="1"/>
  <c r="AL55" i="9" s="1"/>
  <c r="AL56" i="9" s="1"/>
  <c r="AL57" i="9" s="1"/>
  <c r="AO44" i="9" l="1"/>
  <c r="AO32" i="9"/>
  <c r="AO47" i="9"/>
  <c r="AO35" i="9"/>
  <c r="AO46" i="9"/>
  <c r="AO34" i="9"/>
  <c r="AO45" i="9"/>
  <c r="AO33" i="9"/>
  <c r="AO24" i="9"/>
  <c r="AO37" i="9"/>
  <c r="AO23" i="9"/>
  <c r="AO22" i="9"/>
  <c r="AO36" i="9"/>
  <c r="AO21" i="9"/>
  <c r="AO31" i="9"/>
  <c r="AO20" i="9"/>
  <c r="AO43" i="9"/>
  <c r="AO42" i="9"/>
  <c r="AO30" i="9"/>
  <c r="AO19" i="9"/>
  <c r="AO48" i="9"/>
  <c r="AO41" i="9"/>
  <c r="AO29" i="9"/>
  <c r="AO18" i="9"/>
  <c r="AO39" i="9"/>
  <c r="AO27" i="9"/>
  <c r="AO26" i="9"/>
  <c r="AO25" i="9"/>
  <c r="AO40" i="9"/>
  <c r="AO28" i="9"/>
  <c r="AO38" i="9"/>
  <c r="AM53" i="9"/>
  <c r="AM54" i="9" s="1"/>
  <c r="AM55" i="9" s="1"/>
  <c r="AM56" i="9" s="1"/>
  <c r="AM57" i="9" s="1"/>
  <c r="AN52" i="9"/>
  <c r="AN50" i="9"/>
  <c r="X27" i="6"/>
  <c r="X21" i="6"/>
  <c r="X24" i="6"/>
  <c r="X26" i="6"/>
  <c r="X22" i="6"/>
  <c r="X17" i="6"/>
  <c r="X19" i="6"/>
  <c r="Y15" i="6"/>
  <c r="X28" i="6"/>
  <c r="X20" i="6"/>
  <c r="X23" i="6"/>
  <c r="X16" i="6"/>
  <c r="X18" i="6"/>
  <c r="A29" i="4"/>
  <c r="J28" i="4"/>
  <c r="AP43" i="9" l="1"/>
  <c r="AP31" i="9"/>
  <c r="AP46" i="9"/>
  <c r="AP34" i="9"/>
  <c r="AP45" i="9"/>
  <c r="AP33" i="9"/>
  <c r="AP44" i="9"/>
  <c r="AP32" i="9"/>
  <c r="AP37" i="9"/>
  <c r="AP23" i="9"/>
  <c r="AP22" i="9"/>
  <c r="AP47" i="9"/>
  <c r="AP36" i="9"/>
  <c r="AP21" i="9"/>
  <c r="AP35" i="9"/>
  <c r="AP20" i="9"/>
  <c r="AP42" i="9"/>
  <c r="AP30" i="9"/>
  <c r="AP19" i="9"/>
  <c r="AP48" i="9"/>
  <c r="AP41" i="9"/>
  <c r="AP29" i="9"/>
  <c r="AP18" i="9"/>
  <c r="AP40" i="9"/>
  <c r="AP26" i="9"/>
  <c r="AP38" i="9"/>
  <c r="AP25" i="9"/>
  <c r="AP24" i="9"/>
  <c r="AP39" i="9"/>
  <c r="AP27" i="9"/>
  <c r="AP28" i="9"/>
  <c r="AN53" i="9"/>
  <c r="AN54" i="9" s="1"/>
  <c r="AN55" i="9" s="1"/>
  <c r="AN56" i="9" s="1"/>
  <c r="AN57" i="9" s="1"/>
  <c r="AO52" i="9"/>
  <c r="AO50" i="9"/>
  <c r="Y22" i="6"/>
  <c r="Y27" i="6"/>
  <c r="Y21" i="6"/>
  <c r="Y24" i="6"/>
  <c r="Y20" i="6"/>
  <c r="Y18" i="6"/>
  <c r="Y19" i="6"/>
  <c r="Y28" i="6"/>
  <c r="Y26" i="6"/>
  <c r="Y23" i="6"/>
  <c r="Y17" i="6"/>
  <c r="Y16" i="6"/>
  <c r="Z15" i="6"/>
  <c r="B39" i="4"/>
  <c r="B31" i="4"/>
  <c r="B38" i="4"/>
  <c r="A30" i="4"/>
  <c r="J29" i="4"/>
  <c r="B37" i="4"/>
  <c r="B32" i="4"/>
  <c r="AP52" i="9" l="1"/>
  <c r="AP50" i="9"/>
  <c r="AO53" i="9"/>
  <c r="AO54" i="9" s="1"/>
  <c r="AO55" i="9" s="1"/>
  <c r="AO56" i="9" s="1"/>
  <c r="AO57" i="9" s="1"/>
  <c r="Z27" i="6"/>
  <c r="Z26" i="6"/>
  <c r="Z20" i="6"/>
  <c r="Z24" i="6"/>
  <c r="Z28" i="6"/>
  <c r="Z19" i="6"/>
  <c r="Z21" i="6"/>
  <c r="Z23" i="6"/>
  <c r="Z16" i="6"/>
  <c r="Z17" i="6"/>
  <c r="Z22" i="6"/>
  <c r="AA15" i="6"/>
  <c r="Z18" i="6"/>
  <c r="B47" i="4"/>
  <c r="A31" i="4"/>
  <c r="J30" i="4"/>
  <c r="AQ42" i="9"/>
  <c r="AQ30" i="9"/>
  <c r="AQ48" i="9"/>
  <c r="AQ45" i="9"/>
  <c r="AQ33" i="9"/>
  <c r="AQ44" i="9"/>
  <c r="AQ32" i="9"/>
  <c r="AQ43" i="9"/>
  <c r="AQ31" i="9"/>
  <c r="AQ22" i="9"/>
  <c r="AQ47" i="9"/>
  <c r="AQ46" i="9"/>
  <c r="AQ36" i="9"/>
  <c r="AQ21" i="9"/>
  <c r="AQ35" i="9"/>
  <c r="AQ20" i="9"/>
  <c r="AQ34" i="9"/>
  <c r="AQ19" i="9"/>
  <c r="AQ41" i="9"/>
  <c r="AQ29" i="9"/>
  <c r="AQ18" i="9"/>
  <c r="AQ40" i="9"/>
  <c r="AQ28" i="9"/>
  <c r="AQ38" i="9"/>
  <c r="AQ25" i="9"/>
  <c r="AQ24" i="9"/>
  <c r="AQ39" i="9"/>
  <c r="AQ26" i="9"/>
  <c r="AQ37" i="9"/>
  <c r="AQ27" i="9"/>
  <c r="AQ23" i="9"/>
  <c r="J31" i="4" l="1"/>
  <c r="B42" i="4"/>
  <c r="B34" i="4"/>
  <c r="B41" i="4"/>
  <c r="B33" i="4"/>
  <c r="A32" i="4"/>
  <c r="B40" i="4"/>
  <c r="AQ52" i="9"/>
  <c r="AQ50" i="9"/>
  <c r="AA21" i="6"/>
  <c r="AA26" i="6"/>
  <c r="AA20" i="6"/>
  <c r="AA28" i="6"/>
  <c r="AA23" i="6"/>
  <c r="AA17" i="6"/>
  <c r="AA18" i="6"/>
  <c r="AA19" i="6"/>
  <c r="AA16" i="6"/>
  <c r="AA27" i="6"/>
  <c r="AA24" i="6"/>
  <c r="AA22" i="6"/>
  <c r="AB15" i="6"/>
  <c r="AR41" i="9"/>
  <c r="AR29" i="9"/>
  <c r="AR48" i="9"/>
  <c r="AR47" i="9"/>
  <c r="AR44" i="9"/>
  <c r="AR32" i="9"/>
  <c r="AR43" i="9"/>
  <c r="AR31" i="9"/>
  <c r="AR42" i="9"/>
  <c r="AR30" i="9"/>
  <c r="AR46" i="9"/>
  <c r="AR36" i="9"/>
  <c r="AR21" i="9"/>
  <c r="AR35" i="9"/>
  <c r="AR20" i="9"/>
  <c r="AR34" i="9"/>
  <c r="AR19" i="9"/>
  <c r="AR45" i="9"/>
  <c r="AR33" i="9"/>
  <c r="AR18" i="9"/>
  <c r="AR40" i="9"/>
  <c r="AR28" i="9"/>
  <c r="AR39" i="9"/>
  <c r="AR27" i="9"/>
  <c r="AR24" i="9"/>
  <c r="AR37" i="9"/>
  <c r="AR23" i="9"/>
  <c r="AR25" i="9"/>
  <c r="AR26" i="9"/>
  <c r="AR22" i="9"/>
  <c r="AR38" i="9"/>
  <c r="AP53" i="9"/>
  <c r="AP54" i="9" s="1"/>
  <c r="AP55" i="9" s="1"/>
  <c r="AP56" i="9" s="1"/>
  <c r="AP57" i="9" s="1"/>
  <c r="AQ53" i="9" l="1"/>
  <c r="AQ54" i="9" s="1"/>
  <c r="AQ55" i="9" s="1"/>
  <c r="AQ56" i="9" s="1"/>
  <c r="AQ57" i="9" s="1"/>
  <c r="AB26" i="6"/>
  <c r="AB19" i="6"/>
  <c r="AB28" i="6"/>
  <c r="AB24" i="6"/>
  <c r="AB22" i="6"/>
  <c r="AB17" i="6"/>
  <c r="AC15" i="6"/>
  <c r="AB27" i="6"/>
  <c r="AB21" i="6"/>
  <c r="AB16" i="6"/>
  <c r="AB23" i="6"/>
  <c r="AB20" i="6"/>
  <c r="AB18" i="6"/>
  <c r="AS40" i="9"/>
  <c r="AS48" i="9"/>
  <c r="AS47" i="9"/>
  <c r="AS46" i="9"/>
  <c r="AS43" i="9"/>
  <c r="AS31" i="9"/>
  <c r="AS42" i="9"/>
  <c r="AS30" i="9"/>
  <c r="AS41" i="9"/>
  <c r="AS29" i="9"/>
  <c r="AS35" i="9"/>
  <c r="AS20" i="9"/>
  <c r="AS34" i="9"/>
  <c r="AS19" i="9"/>
  <c r="AS45" i="9"/>
  <c r="AS33" i="9"/>
  <c r="AS18" i="9"/>
  <c r="AS32" i="9"/>
  <c r="AS28" i="9"/>
  <c r="AS39" i="9"/>
  <c r="AS27" i="9"/>
  <c r="AS26" i="9"/>
  <c r="AS37" i="9"/>
  <c r="AS23" i="9"/>
  <c r="AS22" i="9"/>
  <c r="AS25" i="9"/>
  <c r="AS44" i="9"/>
  <c r="AS21" i="9"/>
  <c r="AS38" i="9"/>
  <c r="AS36" i="9"/>
  <c r="AS24" i="9"/>
  <c r="B35" i="4"/>
  <c r="A33" i="4"/>
  <c r="J32" i="4"/>
  <c r="B36" i="4"/>
  <c r="AR52" i="9"/>
  <c r="AR50" i="9"/>
  <c r="AC26" i="6" l="1"/>
  <c r="AC20" i="6"/>
  <c r="AC19" i="6"/>
  <c r="AC24" i="6"/>
  <c r="AC28" i="6"/>
  <c r="AC23" i="6"/>
  <c r="AC22" i="6"/>
  <c r="AC27" i="6"/>
  <c r="AC17" i="6"/>
  <c r="AD15" i="6"/>
  <c r="AC18" i="6"/>
  <c r="AC16" i="6"/>
  <c r="AC21" i="6"/>
  <c r="AT39" i="9"/>
  <c r="AT48" i="9"/>
  <c r="AT47" i="9"/>
  <c r="AT46" i="9"/>
  <c r="AT45" i="9"/>
  <c r="AT42" i="9"/>
  <c r="AT30" i="9"/>
  <c r="AT41" i="9"/>
  <c r="AT29" i="9"/>
  <c r="AT40" i="9"/>
  <c r="AT28" i="9"/>
  <c r="AT34" i="9"/>
  <c r="AT19" i="9"/>
  <c r="AT33" i="9"/>
  <c r="AT18" i="9"/>
  <c r="AT32" i="9"/>
  <c r="AT31" i="9"/>
  <c r="AT43" i="9"/>
  <c r="AT27" i="9"/>
  <c r="AT26" i="9"/>
  <c r="AT38" i="9"/>
  <c r="AT25" i="9"/>
  <c r="AT22" i="9"/>
  <c r="AT36" i="9"/>
  <c r="AT21" i="9"/>
  <c r="AT20" i="9"/>
  <c r="AT37" i="9"/>
  <c r="AT44" i="9"/>
  <c r="AT35" i="9"/>
  <c r="AT23" i="9"/>
  <c r="AT24" i="9"/>
  <c r="AS52" i="9"/>
  <c r="AS50" i="9"/>
  <c r="B43" i="4"/>
  <c r="A34" i="4"/>
  <c r="J33" i="4"/>
  <c r="B45" i="4"/>
  <c r="B44" i="4"/>
  <c r="AR54" i="9"/>
  <c r="AR55" i="9" s="1"/>
  <c r="AR56" i="9" s="1"/>
  <c r="AR57" i="9" s="1"/>
  <c r="AR53" i="9"/>
  <c r="AD24" i="6" l="1"/>
  <c r="AD18" i="6"/>
  <c r="AD27" i="6"/>
  <c r="AD28" i="6"/>
  <c r="AD21" i="6"/>
  <c r="AD26" i="6"/>
  <c r="AD22" i="6"/>
  <c r="AD17" i="6"/>
  <c r="AD16" i="6"/>
  <c r="AE15" i="6"/>
  <c r="AD23" i="6"/>
  <c r="AD20" i="6"/>
  <c r="AD19" i="6"/>
  <c r="AS54" i="9"/>
  <c r="AS55" i="9" s="1"/>
  <c r="AS56" i="9" s="1"/>
  <c r="AS57" i="9" s="1"/>
  <c r="AS53" i="9"/>
  <c r="A35" i="4"/>
  <c r="J34" i="4"/>
  <c r="AU38" i="9"/>
  <c r="AU48" i="9"/>
  <c r="AU47" i="9"/>
  <c r="AU46" i="9"/>
  <c r="AU45" i="9"/>
  <c r="AU44" i="9"/>
  <c r="AU41" i="9"/>
  <c r="AU29" i="9"/>
  <c r="AU40" i="9"/>
  <c r="AU28" i="9"/>
  <c r="AU39" i="9"/>
  <c r="AU33" i="9"/>
  <c r="AU18" i="9"/>
  <c r="AU32" i="9"/>
  <c r="AU31" i="9"/>
  <c r="AU43" i="9"/>
  <c r="AU42" i="9"/>
  <c r="AU30" i="9"/>
  <c r="AU27" i="9"/>
  <c r="AU26" i="9"/>
  <c r="AU25" i="9"/>
  <c r="AU24" i="9"/>
  <c r="AU36" i="9"/>
  <c r="AU21" i="9"/>
  <c r="AU35" i="9"/>
  <c r="AU20" i="9"/>
  <c r="AU34" i="9"/>
  <c r="AU19" i="9"/>
  <c r="AU37" i="9"/>
  <c r="AU22" i="9"/>
  <c r="AU23" i="9"/>
  <c r="AT50" i="9"/>
  <c r="AT52" i="9"/>
  <c r="AE19" i="6" l="1"/>
  <c r="AE24" i="6"/>
  <c r="AE18" i="6"/>
  <c r="AE28" i="6"/>
  <c r="AE22" i="6"/>
  <c r="AE27" i="6"/>
  <c r="AE21" i="6"/>
  <c r="AE20" i="6"/>
  <c r="AE17" i="6"/>
  <c r="AE23" i="6"/>
  <c r="AE16" i="6"/>
  <c r="AF15" i="6"/>
  <c r="AE26" i="6"/>
  <c r="AT53" i="9"/>
  <c r="AT54" i="9"/>
  <c r="AT55" i="9" s="1"/>
  <c r="AT56" i="9" s="1"/>
  <c r="AT57" i="9" s="1"/>
  <c r="AV37" i="9"/>
  <c r="AV48" i="9"/>
  <c r="AV47" i="9"/>
  <c r="AV46" i="9"/>
  <c r="AV45" i="9"/>
  <c r="AV44" i="9"/>
  <c r="AV43" i="9"/>
  <c r="AV40" i="9"/>
  <c r="AV28" i="9"/>
  <c r="AV39" i="9"/>
  <c r="AV38" i="9"/>
  <c r="AV32" i="9"/>
  <c r="AV31" i="9"/>
  <c r="AV42" i="9"/>
  <c r="AV30" i="9"/>
  <c r="AV27" i="9"/>
  <c r="AV41" i="9"/>
  <c r="AV29" i="9"/>
  <c r="AV26" i="9"/>
  <c r="AV25" i="9"/>
  <c r="AV24" i="9"/>
  <c r="AV23" i="9"/>
  <c r="AV35" i="9"/>
  <c r="AV20" i="9"/>
  <c r="AV34" i="9"/>
  <c r="AV19" i="9"/>
  <c r="AV21" i="9"/>
  <c r="AV22" i="9"/>
  <c r="AV33" i="9"/>
  <c r="AV36" i="9"/>
  <c r="AV18" i="9"/>
  <c r="AU50" i="9"/>
  <c r="AU52" i="9"/>
  <c r="J35" i="4"/>
  <c r="A36" i="4"/>
  <c r="AW48" i="9" l="1"/>
  <c r="AW36" i="9"/>
  <c r="AW39" i="9"/>
  <c r="AW38" i="9"/>
  <c r="AW37" i="9"/>
  <c r="AW47" i="9"/>
  <c r="AW31" i="9"/>
  <c r="AW45" i="9"/>
  <c r="AW42" i="9"/>
  <c r="AW30" i="9"/>
  <c r="AW27" i="9"/>
  <c r="AW43" i="9"/>
  <c r="AW41" i="9"/>
  <c r="AW29" i="9"/>
  <c r="AW26" i="9"/>
  <c r="AW40" i="9"/>
  <c r="AW28" i="9"/>
  <c r="AW25" i="9"/>
  <c r="AW24" i="9"/>
  <c r="AW23" i="9"/>
  <c r="AW44" i="9"/>
  <c r="AW22" i="9"/>
  <c r="AW34" i="9"/>
  <c r="AW19" i="9"/>
  <c r="AW33" i="9"/>
  <c r="AW18" i="9"/>
  <c r="AW20" i="9"/>
  <c r="AW32" i="9"/>
  <c r="AW21" i="9"/>
  <c r="AW35" i="9"/>
  <c r="AW46" i="9"/>
  <c r="AF24" i="6"/>
  <c r="AF28" i="6"/>
  <c r="AF23" i="6"/>
  <c r="AF17" i="6"/>
  <c r="AF27" i="6"/>
  <c r="AF26" i="6"/>
  <c r="AF18" i="6"/>
  <c r="AF21" i="6"/>
  <c r="AF16" i="6"/>
  <c r="AG15" i="6"/>
  <c r="AF22" i="6"/>
  <c r="AF20" i="6"/>
  <c r="AF19" i="6"/>
  <c r="AV52" i="9"/>
  <c r="AV50" i="9"/>
  <c r="AU53" i="9"/>
  <c r="AU54" i="9"/>
  <c r="AU55" i="9" s="1"/>
  <c r="AU56" i="9" s="1"/>
  <c r="AU57" i="9" s="1"/>
  <c r="A37" i="4"/>
  <c r="J36" i="4"/>
  <c r="AG28" i="6" l="1"/>
  <c r="AG23" i="6"/>
  <c r="AG26" i="6"/>
  <c r="AG19" i="6"/>
  <c r="AG21" i="6"/>
  <c r="AG16" i="6"/>
  <c r="AH15" i="6"/>
  <c r="AG27" i="6"/>
  <c r="AG22" i="6"/>
  <c r="AG17" i="6"/>
  <c r="AG20" i="6"/>
  <c r="AG18" i="6"/>
  <c r="AG24" i="6"/>
  <c r="AV53" i="9"/>
  <c r="AV54" i="9" s="1"/>
  <c r="AV55" i="9" s="1"/>
  <c r="AV56" i="9" s="1"/>
  <c r="AV57" i="9" s="1"/>
  <c r="AX47" i="9"/>
  <c r="AX35" i="9"/>
  <c r="AX38" i="9"/>
  <c r="AX37" i="9"/>
  <c r="AX48" i="9"/>
  <c r="AX36" i="9"/>
  <c r="AX45" i="9"/>
  <c r="AX42" i="9"/>
  <c r="AX30" i="9"/>
  <c r="AX27" i="9"/>
  <c r="AX43" i="9"/>
  <c r="AX41" i="9"/>
  <c r="AX29" i="9"/>
  <c r="AX26" i="9"/>
  <c r="AX40" i="9"/>
  <c r="AX28" i="9"/>
  <c r="AX25" i="9"/>
  <c r="AX24" i="9"/>
  <c r="AX39" i="9"/>
  <c r="AX23" i="9"/>
  <c r="AX44" i="9"/>
  <c r="AX22" i="9"/>
  <c r="AX21" i="9"/>
  <c r="AX33" i="9"/>
  <c r="AX18" i="9"/>
  <c r="AX46" i="9"/>
  <c r="AX32" i="9"/>
  <c r="AX20" i="9"/>
  <c r="AX31" i="9"/>
  <c r="AX19" i="9"/>
  <c r="AX34" i="9"/>
  <c r="AW52" i="9"/>
  <c r="AW50" i="9"/>
  <c r="A38" i="4"/>
  <c r="J37" i="4"/>
  <c r="AY46" i="9" l="1"/>
  <c r="AY34" i="9"/>
  <c r="AY37" i="9"/>
  <c r="AY48" i="9"/>
  <c r="AY36" i="9"/>
  <c r="AY47" i="9"/>
  <c r="AY35" i="9"/>
  <c r="AY43" i="9"/>
  <c r="AY41" i="9"/>
  <c r="AY29" i="9"/>
  <c r="AY26" i="9"/>
  <c r="AY40" i="9"/>
  <c r="AY28" i="9"/>
  <c r="AY25" i="9"/>
  <c r="AY24" i="9"/>
  <c r="AY39" i="9"/>
  <c r="AY23" i="9"/>
  <c r="AY44" i="9"/>
  <c r="AY22" i="9"/>
  <c r="AY38" i="9"/>
  <c r="AY21" i="9"/>
  <c r="AY20" i="9"/>
  <c r="AY32" i="9"/>
  <c r="AY31" i="9"/>
  <c r="AY27" i="9"/>
  <c r="AY42" i="9"/>
  <c r="AY30" i="9"/>
  <c r="AY33" i="9"/>
  <c r="AY18" i="9"/>
  <c r="AY19" i="9"/>
  <c r="AY45" i="9"/>
  <c r="AW54" i="9"/>
  <c r="AW55" i="9" s="1"/>
  <c r="AW56" i="9" s="1"/>
  <c r="AW57" i="9" s="1"/>
  <c r="AW53" i="9"/>
  <c r="AH28" i="6"/>
  <c r="AH22" i="6"/>
  <c r="AH21" i="6"/>
  <c r="AH16" i="6"/>
  <c r="AI15" i="6"/>
  <c r="AH24" i="6"/>
  <c r="AH27" i="6"/>
  <c r="AH17" i="6"/>
  <c r="AH20" i="6"/>
  <c r="AH26" i="6"/>
  <c r="AH18" i="6"/>
  <c r="AH23" i="6"/>
  <c r="AH19" i="6"/>
  <c r="AX52" i="9"/>
  <c r="AX50" i="9"/>
  <c r="A39" i="4"/>
  <c r="J38" i="4"/>
  <c r="AX53" i="9" l="1"/>
  <c r="AX54" i="9" s="1"/>
  <c r="AX55" i="9" s="1"/>
  <c r="AX56" i="9" s="1"/>
  <c r="AX57" i="9" s="1"/>
  <c r="AY52" i="9"/>
  <c r="AY50" i="9"/>
  <c r="AI28" i="6"/>
  <c r="AI23" i="6"/>
  <c r="AI22" i="6"/>
  <c r="AI27" i="6"/>
  <c r="AI26" i="6"/>
  <c r="AI17" i="6"/>
  <c r="AI19" i="6"/>
  <c r="AI21" i="6"/>
  <c r="AJ15" i="6"/>
  <c r="AI20" i="6"/>
  <c r="AI18" i="6"/>
  <c r="AI16" i="6"/>
  <c r="AI24" i="6"/>
  <c r="J39" i="4"/>
  <c r="B46" i="4"/>
  <c r="A40" i="4"/>
  <c r="AZ45" i="9"/>
  <c r="AZ33" i="9"/>
  <c r="AZ48" i="9"/>
  <c r="AZ36" i="9"/>
  <c r="AZ47" i="9"/>
  <c r="AZ35" i="9"/>
  <c r="AZ46" i="9"/>
  <c r="AZ34" i="9"/>
  <c r="AZ40" i="9"/>
  <c r="AZ28" i="9"/>
  <c r="AZ25" i="9"/>
  <c r="AZ24" i="9"/>
  <c r="AZ39" i="9"/>
  <c r="AZ23" i="9"/>
  <c r="AZ44" i="9"/>
  <c r="AZ22" i="9"/>
  <c r="AZ38" i="9"/>
  <c r="AZ21" i="9"/>
  <c r="AZ20" i="9"/>
  <c r="AZ37" i="9"/>
  <c r="AZ19" i="9"/>
  <c r="AZ31" i="9"/>
  <c r="AZ42" i="9"/>
  <c r="AZ30" i="9"/>
  <c r="AZ27" i="9"/>
  <c r="AZ32" i="9"/>
  <c r="AZ26" i="9"/>
  <c r="AZ43" i="9"/>
  <c r="AZ41" i="9"/>
  <c r="AZ29" i="9"/>
  <c r="AZ18" i="9"/>
  <c r="A41" i="4" l="1"/>
  <c r="J40" i="4"/>
  <c r="AY53" i="9"/>
  <c r="AY54" i="9" s="1"/>
  <c r="AY55" i="9" s="1"/>
  <c r="AY56" i="9" s="1"/>
  <c r="AY57" i="9" s="1"/>
  <c r="BA44" i="9"/>
  <c r="BA32" i="9"/>
  <c r="BA47" i="9"/>
  <c r="BA35" i="9"/>
  <c r="BA46" i="9"/>
  <c r="BA34" i="9"/>
  <c r="BA45" i="9"/>
  <c r="BA33" i="9"/>
  <c r="BA24" i="9"/>
  <c r="BA39" i="9"/>
  <c r="BA23" i="9"/>
  <c r="BA22" i="9"/>
  <c r="BA38" i="9"/>
  <c r="BA21" i="9"/>
  <c r="BA48" i="9"/>
  <c r="BA20" i="9"/>
  <c r="BA37" i="9"/>
  <c r="BA19" i="9"/>
  <c r="BA18" i="9"/>
  <c r="BA42" i="9"/>
  <c r="BA30" i="9"/>
  <c r="BA27" i="9"/>
  <c r="BA43" i="9"/>
  <c r="BA41" i="9"/>
  <c r="BA29" i="9"/>
  <c r="BA26" i="9"/>
  <c r="BA40" i="9"/>
  <c r="BA28" i="9"/>
  <c r="BA31" i="9"/>
  <c r="BA25" i="9"/>
  <c r="BA36" i="9"/>
  <c r="AZ52" i="9"/>
  <c r="AZ50" i="9"/>
  <c r="AJ27" i="6"/>
  <c r="AJ21" i="6"/>
  <c r="AJ24" i="6"/>
  <c r="AJ20" i="6"/>
  <c r="AK15" i="6"/>
  <c r="AJ22" i="6"/>
  <c r="AJ18" i="6"/>
  <c r="AJ28" i="6"/>
  <c r="AJ26" i="6"/>
  <c r="AJ16" i="6"/>
  <c r="AJ23" i="6"/>
  <c r="AJ19" i="6"/>
  <c r="AJ17" i="6"/>
  <c r="AZ54" i="9" l="1"/>
  <c r="AZ55" i="9" s="1"/>
  <c r="AZ56" i="9" s="1"/>
  <c r="AZ57" i="9" s="1"/>
  <c r="AZ53" i="9"/>
  <c r="AK22" i="6"/>
  <c r="AK27" i="6"/>
  <c r="AK21" i="6"/>
  <c r="AK18" i="6"/>
  <c r="AK28" i="6"/>
  <c r="AK26" i="6"/>
  <c r="AK23" i="6"/>
  <c r="AK17" i="6"/>
  <c r="AK19" i="6"/>
  <c r="AK20" i="6"/>
  <c r="AK24" i="6"/>
  <c r="AK16" i="6"/>
  <c r="AL15" i="6"/>
  <c r="BB43" i="9"/>
  <c r="BB31" i="9"/>
  <c r="BB46" i="9"/>
  <c r="BB34" i="9"/>
  <c r="BB45" i="9"/>
  <c r="BB33" i="9"/>
  <c r="BB44" i="9"/>
  <c r="BB32" i="9"/>
  <c r="BB39" i="9"/>
  <c r="BB23" i="9"/>
  <c r="BB22" i="9"/>
  <c r="BB38" i="9"/>
  <c r="BB21" i="9"/>
  <c r="BB48" i="9"/>
  <c r="BB20" i="9"/>
  <c r="BB37" i="9"/>
  <c r="BB19" i="9"/>
  <c r="BB18" i="9"/>
  <c r="BB36" i="9"/>
  <c r="BB41" i="9"/>
  <c r="BB29" i="9"/>
  <c r="BB26" i="9"/>
  <c r="BB40" i="9"/>
  <c r="BB28" i="9"/>
  <c r="BB25" i="9"/>
  <c r="BB27" i="9"/>
  <c r="BB42" i="9"/>
  <c r="BB35" i="9"/>
  <c r="BB30" i="9"/>
  <c r="BB47" i="9"/>
  <c r="BB24" i="9"/>
  <c r="BA52" i="9"/>
  <c r="BA50" i="9"/>
  <c r="A42" i="4"/>
  <c r="J41" i="4"/>
  <c r="BB52" i="9" l="1"/>
  <c r="BB50" i="9"/>
  <c r="BA53" i="9"/>
  <c r="BA54" i="9" s="1"/>
  <c r="BA55" i="9" s="1"/>
  <c r="BA56" i="9" s="1"/>
  <c r="BA57" i="9" s="1"/>
  <c r="AL27" i="6"/>
  <c r="AL26" i="6"/>
  <c r="AL20" i="6"/>
  <c r="AL24" i="6"/>
  <c r="AL28" i="6"/>
  <c r="AL22" i="6"/>
  <c r="AM15" i="6"/>
  <c r="AL23" i="6"/>
  <c r="AL19" i="6"/>
  <c r="AL16" i="6"/>
  <c r="AL18" i="6"/>
  <c r="AL17" i="6"/>
  <c r="AL21" i="6"/>
  <c r="BC42" i="9"/>
  <c r="BC30" i="9"/>
  <c r="BC48" i="9"/>
  <c r="BC45" i="9"/>
  <c r="BC33" i="9"/>
  <c r="BC44" i="9"/>
  <c r="BC32" i="9"/>
  <c r="BC43" i="9"/>
  <c r="BC31" i="9"/>
  <c r="BC22" i="9"/>
  <c r="BC38" i="9"/>
  <c r="BC21" i="9"/>
  <c r="BC20" i="9"/>
  <c r="BC37" i="9"/>
  <c r="BC19" i="9"/>
  <c r="BC18" i="9"/>
  <c r="BC36" i="9"/>
  <c r="BC35" i="9"/>
  <c r="BC46" i="9"/>
  <c r="BC40" i="9"/>
  <c r="BC28" i="9"/>
  <c r="BC25" i="9"/>
  <c r="BC47" i="9"/>
  <c r="BC24" i="9"/>
  <c r="BC26" i="9"/>
  <c r="BC27" i="9"/>
  <c r="BC23" i="9"/>
  <c r="BC41" i="9"/>
  <c r="BC34" i="9"/>
  <c r="BC29" i="9"/>
  <c r="BC39" i="9"/>
  <c r="B55" i="4"/>
  <c r="B51" i="4"/>
  <c r="A43" i="4"/>
  <c r="J42" i="4"/>
  <c r="B54" i="4"/>
  <c r="B50" i="4"/>
  <c r="B57" i="4"/>
  <c r="B53" i="4"/>
  <c r="B49" i="4"/>
  <c r="B48" i="4"/>
  <c r="B56" i="4"/>
  <c r="B52" i="4"/>
  <c r="AM21" i="6" l="1"/>
  <c r="AM26" i="6"/>
  <c r="AM20" i="6"/>
  <c r="AM28" i="6"/>
  <c r="AM23" i="6"/>
  <c r="AM27" i="6"/>
  <c r="AM24" i="6"/>
  <c r="AM22" i="6"/>
  <c r="AM19" i="6"/>
  <c r="AM18" i="6"/>
  <c r="AM16" i="6"/>
  <c r="AN15" i="6"/>
  <c r="AM17" i="6"/>
  <c r="BC52" i="9"/>
  <c r="BC50" i="9"/>
  <c r="BD41" i="9"/>
  <c r="BD29" i="9"/>
  <c r="BD48" i="9"/>
  <c r="BD47" i="9"/>
  <c r="BD44" i="9"/>
  <c r="BD32" i="9"/>
  <c r="BD43" i="9"/>
  <c r="BD31" i="9"/>
  <c r="BD42" i="9"/>
  <c r="BD30" i="9"/>
  <c r="BD38" i="9"/>
  <c r="BD21" i="9"/>
  <c r="BD20" i="9"/>
  <c r="BD37" i="9"/>
  <c r="BD19" i="9"/>
  <c r="BD18" i="9"/>
  <c r="BD36" i="9"/>
  <c r="BD35" i="9"/>
  <c r="BD34" i="9"/>
  <c r="BD27" i="9"/>
  <c r="BD24" i="9"/>
  <c r="BD45" i="9"/>
  <c r="BD39" i="9"/>
  <c r="BD23" i="9"/>
  <c r="BD40" i="9"/>
  <c r="BD28" i="9"/>
  <c r="BD33" i="9"/>
  <c r="BD22" i="9"/>
  <c r="BD46" i="9"/>
  <c r="BD25" i="9"/>
  <c r="BD26" i="9"/>
  <c r="J43" i="4"/>
  <c r="A44" i="4"/>
  <c r="BB54" i="9"/>
  <c r="BB55" i="9" s="1"/>
  <c r="BB56" i="9" s="1"/>
  <c r="BB57" i="9" s="1"/>
  <c r="BB53" i="9"/>
  <c r="BE40" i="9" l="1"/>
  <c r="BE28" i="9"/>
  <c r="BE48" i="9"/>
  <c r="BE47" i="9"/>
  <c r="BE46" i="9"/>
  <c r="BE43" i="9"/>
  <c r="BE31" i="9"/>
  <c r="BE42" i="9"/>
  <c r="BE30" i="9"/>
  <c r="BE41" i="9"/>
  <c r="BE29" i="9"/>
  <c r="BE20" i="9"/>
  <c r="BE37" i="9"/>
  <c r="BE19" i="9"/>
  <c r="BE44" i="9"/>
  <c r="BE18" i="9"/>
  <c r="BE36" i="9"/>
  <c r="BE35" i="9"/>
  <c r="BE34" i="9"/>
  <c r="BE27" i="9"/>
  <c r="BE33" i="9"/>
  <c r="BE26" i="9"/>
  <c r="BE45" i="9"/>
  <c r="BE39" i="9"/>
  <c r="BE23" i="9"/>
  <c r="BE22" i="9"/>
  <c r="BE32" i="9"/>
  <c r="BE21" i="9"/>
  <c r="BE38" i="9"/>
  <c r="BE25" i="9"/>
  <c r="BE24" i="9"/>
  <c r="BD52" i="9"/>
  <c r="BD50" i="9"/>
  <c r="B59" i="4"/>
  <c r="B58" i="4"/>
  <c r="A45" i="4"/>
  <c r="J44" i="4"/>
  <c r="B60" i="4"/>
  <c r="AN26" i="6"/>
  <c r="AN19" i="6"/>
  <c r="AN28" i="6"/>
  <c r="AN23" i="6"/>
  <c r="AO15" i="6"/>
  <c r="AN16" i="6"/>
  <c r="AN22" i="6"/>
  <c r="AN24" i="6"/>
  <c r="AN17" i="6"/>
  <c r="AN20" i="6"/>
  <c r="AN21" i="6"/>
  <c r="AN18" i="6"/>
  <c r="AN27" i="6"/>
  <c r="BC53" i="9"/>
  <c r="BC54" i="9" s="1"/>
  <c r="BC55" i="9" s="1"/>
  <c r="BC56" i="9" s="1"/>
  <c r="BC57" i="9" s="1"/>
  <c r="A46" i="4" l="1"/>
  <c r="J45" i="4"/>
  <c r="BD53" i="9"/>
  <c r="BD54" i="9" s="1"/>
  <c r="BD55" i="9" s="1"/>
  <c r="BD56" i="9" s="1"/>
  <c r="BD57" i="9" s="1"/>
  <c r="BE52" i="9"/>
  <c r="BE50" i="9"/>
  <c r="AO26" i="6"/>
  <c r="AO20" i="6"/>
  <c r="AO19" i="6"/>
  <c r="AO24" i="6"/>
  <c r="AO28" i="6"/>
  <c r="AO23" i="6"/>
  <c r="AO22" i="6"/>
  <c r="AO27" i="6"/>
  <c r="AO16" i="6"/>
  <c r="AO21" i="6"/>
  <c r="AO18" i="6"/>
  <c r="AO17" i="6"/>
  <c r="BF39" i="9"/>
  <c r="BF48" i="9"/>
  <c r="BF47" i="9"/>
  <c r="BF46" i="9"/>
  <c r="BF45" i="9"/>
  <c r="BF42" i="9"/>
  <c r="BF30" i="9"/>
  <c r="BF41" i="9"/>
  <c r="BF29" i="9"/>
  <c r="BF40" i="9"/>
  <c r="BF28" i="9"/>
  <c r="BF37" i="9"/>
  <c r="BF19" i="9"/>
  <c r="BF44" i="9"/>
  <c r="BF18" i="9"/>
  <c r="BF36" i="9"/>
  <c r="BF35" i="9"/>
  <c r="BF34" i="9"/>
  <c r="BF27" i="9"/>
  <c r="BF33" i="9"/>
  <c r="BF26" i="9"/>
  <c r="BF32" i="9"/>
  <c r="BF25" i="9"/>
  <c r="BF43" i="9"/>
  <c r="BF22" i="9"/>
  <c r="BF38" i="9"/>
  <c r="BF21" i="9"/>
  <c r="BF23" i="9"/>
  <c r="BF31" i="9"/>
  <c r="BF24" i="9"/>
  <c r="BF20" i="9"/>
  <c r="BF50" i="9" l="1"/>
  <c r="BF52" i="9"/>
  <c r="BE53" i="9"/>
  <c r="BE54" i="9" s="1"/>
  <c r="BE55" i="9" s="1"/>
  <c r="BE56" i="9" s="1"/>
  <c r="BE57" i="9" s="1"/>
  <c r="BG38" i="9"/>
  <c r="BH38" i="9" s="1"/>
  <c r="BG48" i="9"/>
  <c r="BH48" i="9" s="1"/>
  <c r="BG47" i="9"/>
  <c r="BH47" i="9" s="1"/>
  <c r="BG46" i="9"/>
  <c r="BH46" i="9" s="1"/>
  <c r="BG45" i="9"/>
  <c r="BH45" i="9" s="1"/>
  <c r="BG44" i="9"/>
  <c r="BH44" i="9" s="1"/>
  <c r="BG41" i="9"/>
  <c r="BH41" i="9" s="1"/>
  <c r="BG29" i="9"/>
  <c r="BH29" i="9" s="1"/>
  <c r="BG40" i="9"/>
  <c r="BH40" i="9" s="1"/>
  <c r="BG28" i="9"/>
  <c r="BH28" i="9" s="1"/>
  <c r="BG39" i="9"/>
  <c r="BH39" i="9" s="1"/>
  <c r="BG18" i="9"/>
  <c r="BG36" i="9"/>
  <c r="BH36" i="9" s="1"/>
  <c r="BG35" i="9"/>
  <c r="BH35" i="9" s="1"/>
  <c r="BG34" i="9"/>
  <c r="BH34" i="9" s="1"/>
  <c r="BG27" i="9"/>
  <c r="BH27" i="9" s="1"/>
  <c r="BG33" i="9"/>
  <c r="BH33" i="9" s="1"/>
  <c r="BG26" i="9"/>
  <c r="BH26" i="9" s="1"/>
  <c r="BG32" i="9"/>
  <c r="BH32" i="9" s="1"/>
  <c r="BG25" i="9"/>
  <c r="BH25" i="9" s="1"/>
  <c r="BG31" i="9"/>
  <c r="BH31" i="9" s="1"/>
  <c r="BG24" i="9"/>
  <c r="BH24" i="9" s="1"/>
  <c r="BG21" i="9"/>
  <c r="BH21" i="9" s="1"/>
  <c r="BG20" i="9"/>
  <c r="BH20" i="9" s="1"/>
  <c r="BG37" i="9"/>
  <c r="BH37" i="9" s="1"/>
  <c r="BG42" i="9"/>
  <c r="BH42" i="9" s="1"/>
  <c r="BG30" i="9"/>
  <c r="BH30" i="9" s="1"/>
  <c r="BG22" i="9"/>
  <c r="BH22" i="9" s="1"/>
  <c r="BG23" i="9"/>
  <c r="BH23" i="9" s="1"/>
  <c r="BG19" i="9"/>
  <c r="BH19" i="9" s="1"/>
  <c r="BG43" i="9"/>
  <c r="BH43" i="9" s="1"/>
  <c r="A47" i="4"/>
  <c r="J46" i="4"/>
  <c r="J47" i="4" l="1"/>
  <c r="A48" i="4"/>
  <c r="BG50" i="9"/>
  <c r="BG52" i="9"/>
  <c r="BH18" i="9"/>
  <c r="BH50" i="9" s="1"/>
  <c r="BF53" i="9"/>
  <c r="BF54" i="9" s="1"/>
  <c r="BF55" i="9" s="1"/>
  <c r="BF56" i="9" s="1"/>
  <c r="BF57" i="9" s="1"/>
  <c r="A49" i="4" l="1"/>
  <c r="J48" i="4"/>
  <c r="BG53" i="9"/>
  <c r="BH53" i="9" s="1"/>
  <c r="BG54" i="9"/>
  <c r="BH52" i="9"/>
  <c r="BG55" i="9" l="1"/>
  <c r="BH54" i="9"/>
  <c r="A50" i="4"/>
  <c r="J49" i="4"/>
  <c r="A51" i="4" l="1"/>
  <c r="J50" i="4"/>
  <c r="BG56" i="9"/>
  <c r="BH55" i="9"/>
  <c r="BG57" i="9" l="1"/>
  <c r="BH57" i="9" s="1"/>
  <c r="BH56" i="9"/>
  <c r="J51" i="4"/>
  <c r="A52" i="4"/>
  <c r="A53" i="4" l="1"/>
  <c r="J52" i="4"/>
  <c r="A54" i="4" l="1"/>
  <c r="J53" i="4"/>
  <c r="A55" i="4" l="1"/>
  <c r="J54" i="4"/>
  <c r="J55" i="4" l="1"/>
  <c r="A56" i="4"/>
  <c r="B63" i="4" l="1"/>
  <c r="B66" i="4"/>
  <c r="B62" i="4"/>
  <c r="B65" i="4"/>
  <c r="A57" i="4"/>
  <c r="J56" i="4"/>
  <c r="B64" i="4"/>
  <c r="A58" i="4" l="1"/>
  <c r="J57" i="4"/>
  <c r="A59" i="4" l="1"/>
  <c r="J58" i="4"/>
  <c r="J59" i="4" l="1"/>
  <c r="A60" i="4"/>
  <c r="A61" i="4" l="1"/>
  <c r="J60" i="4"/>
  <c r="A62" i="4" l="1"/>
  <c r="J61" i="4"/>
  <c r="A63" i="4" l="1"/>
  <c r="J62" i="4"/>
  <c r="A64" i="4" l="1"/>
  <c r="J63" i="4"/>
  <c r="B71" i="4"/>
  <c r="B70" i="4"/>
  <c r="B73" i="4"/>
  <c r="B69" i="4"/>
  <c r="B72" i="4"/>
  <c r="A65" i="4" l="1"/>
  <c r="J64" i="4"/>
  <c r="A66" i="4" l="1"/>
  <c r="J65" i="4"/>
  <c r="A67" i="4" l="1"/>
  <c r="J66" i="4"/>
  <c r="B74" i="4" l="1"/>
  <c r="B301" i="4"/>
  <c r="A68" i="4"/>
  <c r="B295" i="4"/>
  <c r="J67" i="4"/>
  <c r="B68" i="4"/>
  <c r="A69" i="4" l="1"/>
  <c r="J68" i="4"/>
  <c r="B130" i="4" l="1"/>
  <c r="B283" i="4"/>
  <c r="B189" i="4"/>
  <c r="B105" i="4"/>
  <c r="B225" i="4"/>
  <c r="A70" i="4"/>
  <c r="J69" i="4"/>
  <c r="B158" i="4"/>
  <c r="B81" i="4"/>
  <c r="B78" i="4" l="1"/>
  <c r="B76" i="4"/>
  <c r="B80" i="4"/>
  <c r="A71" i="4"/>
  <c r="B79" i="4"/>
  <c r="J70" i="4"/>
  <c r="B77" i="4"/>
  <c r="A72" i="4" l="1"/>
  <c r="J71" i="4"/>
  <c r="A73" i="4" l="1"/>
  <c r="J72" i="4"/>
  <c r="A74" i="4" l="1"/>
  <c r="J73" i="4"/>
  <c r="B75" i="4" l="1"/>
  <c r="A75" i="4"/>
  <c r="J74" i="4"/>
  <c r="A76" i="4" l="1"/>
  <c r="J75" i="4"/>
  <c r="B104" i="4" l="1"/>
  <c r="B88" i="4"/>
  <c r="B98" i="4"/>
  <c r="B94" i="4"/>
  <c r="B82" i="4"/>
  <c r="A77" i="4"/>
  <c r="J76" i="4"/>
  <c r="B86" i="4" l="1"/>
  <c r="B84" i="4"/>
  <c r="B83" i="4"/>
  <c r="B87" i="4"/>
  <c r="A78" i="4"/>
  <c r="J77" i="4"/>
  <c r="B85" i="4"/>
  <c r="A79" i="4" l="1"/>
  <c r="J78" i="4"/>
  <c r="A80" i="4" l="1"/>
  <c r="J79" i="4"/>
  <c r="J80" i="4" l="1"/>
  <c r="A81" i="4"/>
  <c r="A82" i="4" l="1"/>
  <c r="J81" i="4"/>
  <c r="A83" i="4" l="1"/>
  <c r="J82" i="4"/>
  <c r="B92" i="4" l="1"/>
  <c r="B90" i="4"/>
  <c r="B89" i="4"/>
  <c r="A84" i="4"/>
  <c r="J83" i="4"/>
  <c r="B93" i="4"/>
  <c r="B91" i="4"/>
  <c r="A85" i="4" l="1"/>
  <c r="J84" i="4"/>
  <c r="A86" i="4" l="1"/>
  <c r="J85" i="4"/>
  <c r="A87" i="4" l="1"/>
  <c r="J86" i="4"/>
  <c r="A88" i="4" l="1"/>
  <c r="J87" i="4"/>
  <c r="J88" i="4" l="1"/>
  <c r="A89" i="4"/>
  <c r="B96" i="4" l="1"/>
  <c r="B95" i="4"/>
  <c r="A90" i="4"/>
  <c r="J89" i="4"/>
  <c r="B97" i="4"/>
  <c r="A91" i="4" l="1"/>
  <c r="J90" i="4"/>
  <c r="A92" i="4" l="1"/>
  <c r="J91" i="4"/>
  <c r="J92" i="4" l="1"/>
  <c r="A93" i="4"/>
  <c r="B100" i="4" l="1"/>
  <c r="B102" i="4"/>
  <c r="B99" i="4"/>
  <c r="A94" i="4"/>
  <c r="J93" i="4"/>
  <c r="B103" i="4"/>
  <c r="B101" i="4"/>
  <c r="A95" i="4" l="1"/>
  <c r="J94" i="4"/>
  <c r="A96" i="4" l="1"/>
  <c r="J95" i="4"/>
  <c r="J96" i="4" l="1"/>
  <c r="A97" i="4"/>
  <c r="A98" i="4" l="1"/>
  <c r="J97" i="4"/>
  <c r="A99" i="4" l="1"/>
  <c r="J98" i="4"/>
  <c r="A100" i="4" l="1"/>
  <c r="J99" i="4"/>
  <c r="J100" i="4" l="1"/>
  <c r="B106" i="4"/>
  <c r="A101" i="4"/>
  <c r="B118" i="4"/>
  <c r="B129" i="4"/>
  <c r="B112" i="4"/>
  <c r="B108" i="4" l="1"/>
  <c r="B111" i="4"/>
  <c r="B110" i="4"/>
  <c r="B109" i="4"/>
  <c r="B107" i="4"/>
  <c r="A102" i="4"/>
  <c r="J101" i="4"/>
  <c r="A103" i="4" l="1"/>
  <c r="J102" i="4"/>
  <c r="A104" i="4" l="1"/>
  <c r="J103" i="4"/>
  <c r="J104" i="4" l="1"/>
  <c r="A105" i="4"/>
  <c r="A106" i="4" l="1"/>
  <c r="J105" i="4"/>
  <c r="A107" i="4" l="1"/>
  <c r="J106" i="4"/>
  <c r="B113" i="4" l="1"/>
  <c r="B117" i="4"/>
  <c r="B116" i="4"/>
  <c r="B115" i="4"/>
  <c r="A108" i="4"/>
  <c r="B114" i="4"/>
  <c r="J107" i="4"/>
  <c r="J108" i="4" l="1"/>
  <c r="A109" i="4"/>
  <c r="A110" i="4" l="1"/>
  <c r="J109" i="4"/>
  <c r="A111" i="4" l="1"/>
  <c r="J110" i="4"/>
  <c r="A112" i="4" l="1"/>
  <c r="J111" i="4"/>
  <c r="J112" i="4" l="1"/>
  <c r="A113" i="4"/>
  <c r="B126" i="4" l="1"/>
  <c r="B125" i="4"/>
  <c r="B128" i="4"/>
  <c r="B119" i="4"/>
  <c r="B124" i="4"/>
  <c r="B123" i="4"/>
  <c r="B122" i="4"/>
  <c r="B121" i="4"/>
  <c r="A114" i="4"/>
  <c r="B120" i="4"/>
  <c r="J113" i="4"/>
  <c r="B127" i="4"/>
  <c r="A115" i="4" l="1"/>
  <c r="J114" i="4"/>
  <c r="A116" i="4" l="1"/>
  <c r="J115" i="4"/>
  <c r="J116" i="4" l="1"/>
  <c r="A117" i="4"/>
  <c r="J117" i="4" l="1"/>
  <c r="A118" i="4"/>
  <c r="A119" i="4" l="1"/>
  <c r="J118" i="4"/>
  <c r="J119" i="4" l="1"/>
  <c r="A120" i="4"/>
  <c r="J120" i="4" l="1"/>
  <c r="A121" i="4"/>
  <c r="A122" i="4" l="1"/>
  <c r="J121" i="4"/>
  <c r="A123" i="4" l="1"/>
  <c r="J122" i="4"/>
  <c r="A124" i="4" l="1"/>
  <c r="J123" i="4"/>
  <c r="J124" i="4" l="1"/>
  <c r="A125" i="4"/>
  <c r="B152" i="4" l="1"/>
  <c r="B156" i="4"/>
  <c r="A126" i="4"/>
  <c r="B137" i="4"/>
  <c r="B157" i="4"/>
  <c r="J125" i="4"/>
  <c r="B131" i="4"/>
  <c r="B144" i="4"/>
  <c r="B132" i="4" l="1"/>
  <c r="B134" i="4"/>
  <c r="A127" i="4"/>
  <c r="J126" i="4"/>
  <c r="B133" i="4"/>
  <c r="B136" i="4"/>
  <c r="B135" i="4"/>
  <c r="A128" i="4" l="1"/>
  <c r="J127" i="4"/>
  <c r="J128" i="4" l="1"/>
  <c r="A129" i="4"/>
  <c r="J129" i="4" l="1"/>
  <c r="A130" i="4"/>
  <c r="J130" i="4" l="1"/>
  <c r="A131" i="4"/>
  <c r="A132" i="4" l="1"/>
  <c r="J131" i="4"/>
  <c r="J132" i="4" l="1"/>
  <c r="B139" i="4"/>
  <c r="B143" i="4"/>
  <c r="B138" i="4"/>
  <c r="A133" i="4"/>
  <c r="B141" i="4"/>
  <c r="B140" i="4"/>
  <c r="B142" i="4"/>
  <c r="A134" i="4" l="1"/>
  <c r="J133" i="4"/>
  <c r="A135" i="4" l="1"/>
  <c r="J134" i="4"/>
  <c r="A136" i="4" l="1"/>
  <c r="J135" i="4"/>
  <c r="J136" i="4" l="1"/>
  <c r="A137" i="4"/>
  <c r="A138" i="4" l="1"/>
  <c r="J137" i="4"/>
  <c r="A139" i="4" l="1"/>
  <c r="J138" i="4"/>
  <c r="B151" i="4" l="1"/>
  <c r="B150" i="4"/>
  <c r="B149" i="4"/>
  <c r="B148" i="4"/>
  <c r="B147" i="4"/>
  <c r="A140" i="4"/>
  <c r="J139" i="4"/>
  <c r="B146" i="4"/>
  <c r="B145" i="4"/>
  <c r="J140" i="4" l="1"/>
  <c r="A141" i="4"/>
  <c r="J141" i="4" l="1"/>
  <c r="A142" i="4"/>
  <c r="J142" i="4" l="1"/>
  <c r="A143" i="4"/>
  <c r="J143" i="4" l="1"/>
  <c r="A144" i="4"/>
  <c r="J144" i="4" l="1"/>
  <c r="A145" i="4"/>
  <c r="A146" i="4" l="1"/>
  <c r="J145" i="4"/>
  <c r="A147" i="4" l="1"/>
  <c r="J146" i="4"/>
  <c r="A148" i="4" l="1"/>
  <c r="J147" i="4"/>
  <c r="B154" i="4"/>
  <c r="B155" i="4"/>
  <c r="B153" i="4"/>
  <c r="J148" i="4" l="1"/>
  <c r="A149" i="4"/>
  <c r="A150" i="4" l="1"/>
  <c r="J149" i="4"/>
  <c r="A151" i="4" l="1"/>
  <c r="J150" i="4"/>
  <c r="A152" i="4" l="1"/>
  <c r="J151" i="4"/>
  <c r="J152" i="4" l="1"/>
  <c r="A153" i="4"/>
  <c r="B165" i="4" l="1"/>
  <c r="B179" i="4"/>
  <c r="A154" i="4"/>
  <c r="J153" i="4"/>
  <c r="B159" i="4"/>
  <c r="B188" i="4"/>
  <c r="B161" i="4" l="1"/>
  <c r="B164" i="4"/>
  <c r="B163" i="4"/>
  <c r="J154" i="4"/>
  <c r="B162" i="4"/>
  <c r="A155" i="4"/>
  <c r="B160" i="4"/>
  <c r="J155" i="4" l="1"/>
  <c r="A156" i="4"/>
  <c r="J156" i="4" l="1"/>
  <c r="A157" i="4"/>
  <c r="A158" i="4" l="1"/>
  <c r="J157" i="4"/>
  <c r="A159" i="4" l="1"/>
  <c r="J158" i="4"/>
  <c r="A160" i="4" l="1"/>
  <c r="J159" i="4"/>
  <c r="J160" i="4" l="1"/>
  <c r="B174" i="4"/>
  <c r="B178" i="4"/>
  <c r="A161" i="4"/>
  <c r="B173" i="4"/>
  <c r="B176" i="4"/>
  <c r="B167" i="4"/>
  <c r="B171" i="4"/>
  <c r="B177" i="4"/>
  <c r="B170" i="4"/>
  <c r="B169" i="4"/>
  <c r="B168" i="4"/>
  <c r="B175" i="4"/>
  <c r="B166" i="4"/>
  <c r="B172" i="4"/>
  <c r="A162" i="4" l="1"/>
  <c r="J161" i="4"/>
  <c r="A163" i="4" l="1"/>
  <c r="J162" i="4"/>
  <c r="A164" i="4" l="1"/>
  <c r="J163" i="4"/>
  <c r="J164" i="4" l="1"/>
  <c r="A165" i="4"/>
  <c r="J165" i="4" l="1"/>
  <c r="A166" i="4"/>
  <c r="A167" i="4" l="1"/>
  <c r="J166" i="4"/>
  <c r="J167" i="4" l="1"/>
  <c r="A168" i="4"/>
  <c r="J168" i="4" l="1"/>
  <c r="A169" i="4"/>
  <c r="A170" i="4" l="1"/>
  <c r="J169" i="4"/>
  <c r="A171" i="4" l="1"/>
  <c r="J170" i="4"/>
  <c r="A172" i="4" l="1"/>
  <c r="J171" i="4"/>
  <c r="J172" i="4" l="1"/>
  <c r="A173" i="4"/>
  <c r="A174" i="4" l="1"/>
  <c r="J173" i="4"/>
  <c r="B187" i="4" l="1"/>
  <c r="B186" i="4"/>
  <c r="B185" i="4"/>
  <c r="B180" i="4"/>
  <c r="B184" i="4"/>
  <c r="B183" i="4"/>
  <c r="B182" i="4"/>
  <c r="A175" i="4"/>
  <c r="J174" i="4"/>
  <c r="B181" i="4"/>
  <c r="A176" i="4" l="1"/>
  <c r="J175" i="4"/>
  <c r="J176" i="4" l="1"/>
  <c r="A177" i="4"/>
  <c r="J177" i="4" l="1"/>
  <c r="A178" i="4"/>
  <c r="J178" i="4" l="1"/>
  <c r="A179" i="4"/>
  <c r="A180" i="4" l="1"/>
  <c r="J179" i="4"/>
  <c r="J180" i="4" l="1"/>
  <c r="A181" i="4"/>
  <c r="A182" i="4" l="1"/>
  <c r="J181" i="4"/>
  <c r="A183" i="4" l="1"/>
  <c r="J182" i="4"/>
  <c r="A184" i="4" l="1"/>
  <c r="J183" i="4"/>
  <c r="J184" i="4" l="1"/>
  <c r="B222" i="4"/>
  <c r="B224" i="4"/>
  <c r="A185" i="4"/>
  <c r="B203" i="4"/>
  <c r="B210" i="4"/>
  <c r="B217" i="4"/>
  <c r="B190" i="4"/>
  <c r="B223" i="4"/>
  <c r="B196" i="4"/>
  <c r="B191" i="4" l="1"/>
  <c r="B194" i="4"/>
  <c r="B193" i="4"/>
  <c r="A186" i="4"/>
  <c r="J185" i="4"/>
  <c r="B192" i="4"/>
  <c r="B195" i="4"/>
  <c r="A187" i="4" l="1"/>
  <c r="J186" i="4"/>
  <c r="A188" i="4" l="1"/>
  <c r="J187" i="4"/>
  <c r="J188" i="4" l="1"/>
  <c r="A189" i="4"/>
  <c r="J189" i="4" l="1"/>
  <c r="A190" i="4"/>
  <c r="J190" i="4" l="1"/>
  <c r="A191" i="4"/>
  <c r="B200" i="4" l="1"/>
  <c r="J191" i="4"/>
  <c r="B199" i="4"/>
  <c r="B198" i="4"/>
  <c r="B202" i="4"/>
  <c r="B201" i="4"/>
  <c r="A192" i="4"/>
  <c r="B197" i="4"/>
  <c r="J192" i="4" l="1"/>
  <c r="A193" i="4"/>
  <c r="A194" i="4" l="1"/>
  <c r="J193" i="4"/>
  <c r="A195" i="4" l="1"/>
  <c r="J194" i="4"/>
  <c r="A196" i="4" l="1"/>
  <c r="J195" i="4"/>
  <c r="J196" i="4" l="1"/>
  <c r="A197" i="4"/>
  <c r="A198" i="4" l="1"/>
  <c r="J197" i="4"/>
  <c r="B209" i="4" l="1"/>
  <c r="B204" i="4"/>
  <c r="B207" i="4"/>
  <c r="J198" i="4"/>
  <c r="B208" i="4"/>
  <c r="A199" i="4"/>
  <c r="B206" i="4"/>
  <c r="B205" i="4"/>
  <c r="A200" i="4" l="1"/>
  <c r="J199" i="4"/>
  <c r="J200" i="4" l="1"/>
  <c r="A201" i="4"/>
  <c r="A202" i="4" l="1"/>
  <c r="J201" i="4"/>
  <c r="A203" i="4" l="1"/>
  <c r="J202" i="4"/>
  <c r="J203" i="4" l="1"/>
  <c r="A204" i="4"/>
  <c r="J204" i="4" l="1"/>
  <c r="A205" i="4"/>
  <c r="B213" i="4" l="1"/>
  <c r="B212" i="4"/>
  <c r="B211" i="4"/>
  <c r="B215" i="4"/>
  <c r="B216" i="4"/>
  <c r="A206" i="4"/>
  <c r="B214" i="4"/>
  <c r="J205" i="4"/>
  <c r="A207" i="4" l="1"/>
  <c r="J206" i="4"/>
  <c r="A208" i="4" l="1"/>
  <c r="J207" i="4"/>
  <c r="J208" i="4" l="1"/>
  <c r="A209" i="4"/>
  <c r="A210" i="4" l="1"/>
  <c r="J209" i="4"/>
  <c r="A211" i="4" l="1"/>
  <c r="J210" i="4"/>
  <c r="J211" i="4" l="1"/>
  <c r="A212" i="4"/>
  <c r="J212" i="4" l="1"/>
  <c r="B221" i="4"/>
  <c r="B220" i="4"/>
  <c r="B219" i="4"/>
  <c r="B218" i="4"/>
  <c r="A213" i="4"/>
  <c r="J213" i="4" l="1"/>
  <c r="A214" i="4"/>
  <c r="A215" i="4" l="1"/>
  <c r="J214" i="4"/>
  <c r="A216" i="4" l="1"/>
  <c r="J215" i="4"/>
  <c r="J216" i="4" l="1"/>
  <c r="A217" i="4"/>
  <c r="A218" i="4" l="1"/>
  <c r="J217" i="4"/>
  <c r="A219" i="4" l="1"/>
  <c r="J218" i="4"/>
  <c r="A220" i="4" l="1"/>
  <c r="J219" i="4"/>
  <c r="J220" i="4" l="1"/>
  <c r="B226" i="4"/>
  <c r="B265" i="4"/>
  <c r="B250" i="4"/>
  <c r="A221" i="4"/>
  <c r="B232" i="4"/>
  <c r="B282" i="4"/>
  <c r="B240" i="4"/>
  <c r="A222" i="4" l="1"/>
  <c r="B229" i="4"/>
  <c r="B228" i="4"/>
  <c r="B227" i="4"/>
  <c r="B230" i="4"/>
  <c r="B231" i="4"/>
  <c r="J221" i="4"/>
  <c r="A223" i="4" l="1"/>
  <c r="J222" i="4"/>
  <c r="A224" i="4" l="1"/>
  <c r="J223" i="4"/>
  <c r="J224" i="4" l="1"/>
  <c r="A225" i="4"/>
  <c r="J225" i="4" l="1"/>
  <c r="A226" i="4"/>
  <c r="J226" i="4" l="1"/>
  <c r="A227" i="4"/>
  <c r="B235" i="4" l="1"/>
  <c r="B239" i="4"/>
  <c r="B234" i="4"/>
  <c r="B233" i="4"/>
  <c r="B237" i="4"/>
  <c r="B238" i="4"/>
  <c r="A228" i="4"/>
  <c r="B236" i="4"/>
  <c r="J227" i="4"/>
  <c r="J228" i="4" l="1"/>
  <c r="A229" i="4"/>
  <c r="A230" i="4" l="1"/>
  <c r="J229" i="4"/>
  <c r="A231" i="4" l="1"/>
  <c r="J230" i="4"/>
  <c r="A232" i="4" l="1"/>
  <c r="J231" i="4"/>
  <c r="J232" i="4" l="1"/>
  <c r="A233" i="4"/>
  <c r="J233" i="4" l="1"/>
  <c r="A234" i="4"/>
  <c r="A235" i="4" l="1"/>
  <c r="J234" i="4"/>
  <c r="B248" i="4" l="1"/>
  <c r="B247" i="4"/>
  <c r="B242" i="4"/>
  <c r="B246" i="4"/>
  <c r="B249" i="4"/>
  <c r="B245" i="4"/>
  <c r="A236" i="4"/>
  <c r="B244" i="4"/>
  <c r="J235" i="4"/>
  <c r="B243" i="4"/>
  <c r="B241" i="4"/>
  <c r="J236" i="4" l="1"/>
  <c r="A237" i="4"/>
  <c r="A238" i="4" l="1"/>
  <c r="J237" i="4"/>
  <c r="J238" i="4" l="1"/>
  <c r="A239" i="4"/>
  <c r="J239" i="4" l="1"/>
  <c r="A240" i="4"/>
  <c r="J240" i="4" l="1"/>
  <c r="A241" i="4"/>
  <c r="A242" i="4" l="1"/>
  <c r="J241" i="4"/>
  <c r="A243" i="4" l="1"/>
  <c r="J242" i="4"/>
  <c r="A244" i="4" l="1"/>
  <c r="J243" i="4"/>
  <c r="J244" i="4" l="1"/>
  <c r="A245" i="4"/>
  <c r="B264" i="4" l="1"/>
  <c r="B257" i="4"/>
  <c r="B261" i="4"/>
  <c r="B252" i="4"/>
  <c r="B256" i="4"/>
  <c r="B260" i="4"/>
  <c r="B255" i="4"/>
  <c r="B259" i="4"/>
  <c r="B263" i="4"/>
  <c r="A246" i="4"/>
  <c r="B262" i="4"/>
  <c r="B258" i="4"/>
  <c r="J245" i="4"/>
  <c r="B254" i="4"/>
  <c r="B253" i="4"/>
  <c r="B251" i="4"/>
  <c r="J246" i="4" l="1"/>
  <c r="A247" i="4"/>
  <c r="A248" i="4" l="1"/>
  <c r="J247" i="4"/>
  <c r="J248" i="4" l="1"/>
  <c r="A249" i="4"/>
  <c r="A250" i="4" l="1"/>
  <c r="J249" i="4"/>
  <c r="A251" i="4" l="1"/>
  <c r="J250" i="4"/>
  <c r="A252" i="4" l="1"/>
  <c r="J251" i="4"/>
  <c r="J252" i="4" l="1"/>
  <c r="A253" i="4"/>
  <c r="J253" i="4" l="1"/>
  <c r="A254" i="4"/>
  <c r="A255" i="4" l="1"/>
  <c r="J254" i="4"/>
  <c r="A256" i="4" l="1"/>
  <c r="J255" i="4"/>
  <c r="J256" i="4" l="1"/>
  <c r="A257" i="4"/>
  <c r="A258" i="4" l="1"/>
  <c r="J257" i="4"/>
  <c r="A259" i="4" l="1"/>
  <c r="J258" i="4"/>
  <c r="J259" i="4" l="1"/>
  <c r="A260" i="4"/>
  <c r="J260" i="4" l="1"/>
  <c r="B280" i="4"/>
  <c r="B276" i="4"/>
  <c r="B272" i="4"/>
  <c r="B268" i="4"/>
  <c r="B266" i="4"/>
  <c r="B275" i="4"/>
  <c r="B270" i="4"/>
  <c r="A261" i="4"/>
  <c r="B279" i="4"/>
  <c r="B269" i="4"/>
  <c r="B278" i="4"/>
  <c r="B273" i="4"/>
  <c r="B277" i="4"/>
  <c r="B267" i="4"/>
  <c r="B274" i="4"/>
  <c r="B271" i="4"/>
  <c r="B281" i="4"/>
  <c r="J261" i="4" l="1"/>
  <c r="A262" i="4"/>
  <c r="A263" i="4" l="1"/>
  <c r="J262" i="4"/>
  <c r="A264" i="4" l="1"/>
  <c r="J263" i="4"/>
  <c r="J264" i="4" l="1"/>
  <c r="A265" i="4"/>
  <c r="A266" i="4" l="1"/>
  <c r="J265" i="4"/>
  <c r="A267" i="4" l="1"/>
  <c r="J266" i="4"/>
  <c r="A268" i="4" l="1"/>
  <c r="J267" i="4"/>
  <c r="J268" i="4" l="1"/>
  <c r="A269" i="4"/>
  <c r="A270" i="4" l="1"/>
  <c r="J269" i="4"/>
  <c r="A271" i="4" l="1"/>
  <c r="J270" i="4"/>
  <c r="A272" i="4" l="1"/>
  <c r="J271" i="4"/>
  <c r="J272" i="4" l="1"/>
  <c r="A273" i="4"/>
  <c r="A274" i="4" l="1"/>
  <c r="J273" i="4"/>
  <c r="A275" i="4" l="1"/>
  <c r="J274" i="4"/>
  <c r="J275" i="4" l="1"/>
  <c r="A276" i="4"/>
  <c r="J276" i="4" l="1"/>
  <c r="A277" i="4"/>
  <c r="A278" i="4" l="1"/>
  <c r="J277" i="4"/>
  <c r="B292" i="4" l="1"/>
  <c r="B290" i="4"/>
  <c r="B294" i="4"/>
  <c r="B293" i="4"/>
  <c r="J278" i="4"/>
  <c r="B291" i="4"/>
  <c r="A279" i="4"/>
  <c r="B288" i="4" l="1"/>
  <c r="B285" i="4"/>
  <c r="A280" i="4"/>
  <c r="J279" i="4"/>
  <c r="B289" i="4"/>
  <c r="B287" i="4"/>
  <c r="B286" i="4"/>
  <c r="J280" i="4" l="1"/>
  <c r="A281" i="4"/>
  <c r="A282" i="4" l="1"/>
  <c r="J281" i="4"/>
  <c r="A283" i="4" l="1"/>
  <c r="J282" i="4"/>
  <c r="B284" i="4" l="1"/>
  <c r="A284" i="4"/>
  <c r="J283" i="4"/>
  <c r="J284" i="4" l="1"/>
  <c r="A285" i="4"/>
  <c r="J285" i="4" l="1"/>
  <c r="A286" i="4"/>
  <c r="J286" i="4" l="1"/>
  <c r="A287" i="4"/>
  <c r="A288" i="4" l="1"/>
  <c r="J287" i="4"/>
  <c r="J288" i="4" l="1"/>
  <c r="A289" i="4"/>
  <c r="A290" i="4" l="1"/>
  <c r="J289" i="4"/>
  <c r="B300" i="4" l="1"/>
  <c r="B296" i="4"/>
  <c r="B299" i="4"/>
  <c r="B297" i="4"/>
  <c r="A291" i="4"/>
  <c r="J290" i="4"/>
  <c r="B298" i="4"/>
  <c r="A292" i="4" l="1"/>
  <c r="J291" i="4"/>
  <c r="J292" i="4" l="1"/>
  <c r="A293" i="4"/>
  <c r="A294" i="4" l="1"/>
  <c r="J293" i="4"/>
  <c r="A295" i="4" l="1"/>
  <c r="J294" i="4"/>
  <c r="A296" i="4" l="1"/>
  <c r="J295" i="4"/>
  <c r="B433" i="4" l="1"/>
  <c r="J296" i="4"/>
  <c r="B360" i="4"/>
  <c r="B344" i="4"/>
  <c r="B332" i="4"/>
  <c r="B308" i="4"/>
  <c r="B391" i="4"/>
  <c r="B377" i="4"/>
  <c r="B318" i="4"/>
  <c r="B411" i="4"/>
  <c r="B419" i="4"/>
  <c r="A297" i="4"/>
  <c r="B304" i="4" l="1"/>
  <c r="B303" i="4"/>
  <c r="B307" i="4"/>
  <c r="A298" i="4"/>
  <c r="J297" i="4"/>
  <c r="B306" i="4"/>
  <c r="B305" i="4"/>
  <c r="A299" i="4" l="1"/>
  <c r="J298" i="4"/>
  <c r="J299" i="4" l="1"/>
  <c r="A300" i="4"/>
  <c r="J300" i="4" l="1"/>
  <c r="A301" i="4"/>
  <c r="B302" i="4" l="1"/>
  <c r="A302" i="4"/>
  <c r="J301" i="4"/>
  <c r="J302" i="4" l="1"/>
  <c r="A303" i="4"/>
  <c r="B316" i="4" l="1"/>
  <c r="A304" i="4"/>
  <c r="B309" i="4"/>
  <c r="J303" i="4"/>
  <c r="B317" i="4"/>
  <c r="B315" i="4"/>
  <c r="J304" i="4" l="1"/>
  <c r="B312" i="4"/>
  <c r="A305" i="4"/>
  <c r="B314" i="4"/>
  <c r="B313" i="4"/>
  <c r="B311" i="4"/>
  <c r="B310" i="4"/>
  <c r="A306" i="4" l="1"/>
  <c r="J305" i="4"/>
  <c r="A307" i="4" l="1"/>
  <c r="J306" i="4"/>
  <c r="A308" i="4" l="1"/>
  <c r="J307" i="4"/>
  <c r="J308" i="4" l="1"/>
  <c r="A309" i="4"/>
  <c r="A310" i="4" l="1"/>
  <c r="J309" i="4"/>
  <c r="A311" i="4" l="1"/>
  <c r="J310" i="4"/>
  <c r="A312" i="4" l="1"/>
  <c r="J311" i="4"/>
  <c r="J312" i="4" l="1"/>
  <c r="A313" i="4"/>
  <c r="A314" i="4" l="1"/>
  <c r="J313" i="4"/>
  <c r="B324" i="4" l="1"/>
  <c r="B320" i="4"/>
  <c r="A315" i="4"/>
  <c r="J314" i="4"/>
  <c r="B323" i="4"/>
  <c r="B322" i="4"/>
  <c r="B321" i="4"/>
  <c r="A316" i="4" l="1"/>
  <c r="J315" i="4"/>
  <c r="J316" i="4" l="1"/>
  <c r="A317" i="4"/>
  <c r="A318" i="4" l="1"/>
  <c r="J317" i="4"/>
  <c r="B319" i="4" l="1"/>
  <c r="A319" i="4"/>
  <c r="J318" i="4"/>
  <c r="A320" i="4" l="1"/>
  <c r="J319" i="4"/>
  <c r="J320" i="4" l="1"/>
  <c r="A321" i="4"/>
  <c r="A322" i="4" l="1"/>
  <c r="J321" i="4"/>
  <c r="A323" i="4" l="1"/>
  <c r="J322" i="4"/>
  <c r="A324" i="4" l="1"/>
  <c r="J323" i="4"/>
  <c r="J324" i="4" l="1"/>
  <c r="B325" i="4"/>
  <c r="A325" i="4"/>
  <c r="A326" i="4" l="1"/>
  <c r="J325" i="4"/>
  <c r="B326" i="4"/>
  <c r="A327" i="4" l="1"/>
  <c r="J326" i="4"/>
  <c r="B327" i="4"/>
  <c r="B340" i="4" l="1"/>
  <c r="B328" i="4"/>
  <c r="A328" i="4"/>
  <c r="B343" i="4"/>
  <c r="B342" i="4"/>
  <c r="B341" i="4"/>
  <c r="J327" i="4"/>
  <c r="B339" i="4"/>
  <c r="B333" i="4"/>
  <c r="J328" i="4" l="1"/>
  <c r="B336" i="4"/>
  <c r="B338" i="4"/>
  <c r="B337" i="4"/>
  <c r="B329" i="4"/>
  <c r="A329" i="4"/>
  <c r="B334" i="4"/>
  <c r="B335" i="4"/>
  <c r="B330" i="4" l="1"/>
  <c r="A330" i="4"/>
  <c r="J329" i="4"/>
  <c r="A331" i="4" l="1"/>
  <c r="J330" i="4"/>
  <c r="B331" i="4"/>
  <c r="A332" i="4" l="1"/>
  <c r="J331" i="4"/>
  <c r="J332" i="4" l="1"/>
  <c r="A333" i="4"/>
  <c r="A334" i="4" l="1"/>
  <c r="J333" i="4"/>
  <c r="A335" i="4" l="1"/>
  <c r="J334" i="4"/>
  <c r="A336" i="4" l="1"/>
  <c r="J335" i="4"/>
  <c r="J336" i="4" l="1"/>
  <c r="A337" i="4"/>
  <c r="A338" i="4" l="1"/>
  <c r="J337" i="4"/>
  <c r="A339" i="4" l="1"/>
  <c r="J338" i="4"/>
  <c r="B356" i="4" l="1"/>
  <c r="B352" i="4"/>
  <c r="A340" i="4"/>
  <c r="B351" i="4"/>
  <c r="B358" i="4"/>
  <c r="B357" i="4"/>
  <c r="B355" i="4"/>
  <c r="B353" i="4"/>
  <c r="B359" i="4"/>
  <c r="J339" i="4"/>
  <c r="B354" i="4"/>
  <c r="J340" i="4" l="1"/>
  <c r="B348" i="4"/>
  <c r="B350" i="4"/>
  <c r="B347" i="4"/>
  <c r="A341" i="4"/>
  <c r="B346" i="4"/>
  <c r="B349" i="4"/>
  <c r="A342" i="4" l="1"/>
  <c r="J341" i="4"/>
  <c r="A343" i="4" l="1"/>
  <c r="J342" i="4"/>
  <c r="A344" i="4" l="1"/>
  <c r="J343" i="4"/>
  <c r="J344" i="4" l="1"/>
  <c r="A345" i="4"/>
  <c r="B345" i="4"/>
  <c r="A346" i="4" l="1"/>
  <c r="J345" i="4"/>
  <c r="J346" i="4" l="1"/>
  <c r="A347" i="4"/>
  <c r="A348" i="4" l="1"/>
  <c r="J347" i="4"/>
  <c r="J348" i="4" l="1"/>
  <c r="A349" i="4"/>
  <c r="A350" i="4" l="1"/>
  <c r="J349" i="4"/>
  <c r="A351" i="4" l="1"/>
  <c r="J350" i="4"/>
  <c r="A352" i="4" l="1"/>
  <c r="J351" i="4"/>
  <c r="J352" i="4" l="1"/>
  <c r="A353" i="4"/>
  <c r="A354" i="4" l="1"/>
  <c r="J353" i="4"/>
  <c r="A355" i="4" l="1"/>
  <c r="J354" i="4"/>
  <c r="B376" i="4" l="1"/>
  <c r="B372" i="4"/>
  <c r="B368" i="4"/>
  <c r="A356" i="4"/>
  <c r="B371" i="4"/>
  <c r="B370" i="4"/>
  <c r="J355" i="4"/>
  <c r="B369" i="4"/>
  <c r="B375" i="4"/>
  <c r="B361" i="4"/>
  <c r="B374" i="4"/>
  <c r="B373" i="4"/>
  <c r="B367" i="4"/>
  <c r="J356" i="4" l="1"/>
  <c r="B364" i="4"/>
  <c r="B365" i="4"/>
  <c r="B363" i="4"/>
  <c r="A357" i="4"/>
  <c r="B362" i="4"/>
  <c r="B366" i="4"/>
  <c r="A358" i="4" l="1"/>
  <c r="J357" i="4"/>
  <c r="J358" i="4" l="1"/>
  <c r="A359" i="4"/>
  <c r="A360" i="4" l="1"/>
  <c r="J359" i="4"/>
  <c r="J360" i="4" l="1"/>
  <c r="A361" i="4"/>
  <c r="A362" i="4" l="1"/>
  <c r="J361" i="4"/>
  <c r="A363" i="4" l="1"/>
  <c r="J362" i="4"/>
  <c r="A364" i="4" l="1"/>
  <c r="J363" i="4"/>
  <c r="J364" i="4" l="1"/>
  <c r="A365" i="4"/>
  <c r="A366" i="4" l="1"/>
  <c r="J365" i="4"/>
  <c r="A367" i="4" l="1"/>
  <c r="J366" i="4"/>
  <c r="A368" i="4" l="1"/>
  <c r="J367" i="4"/>
  <c r="J368" i="4" l="1"/>
  <c r="A369" i="4"/>
  <c r="A370" i="4" l="1"/>
  <c r="J369" i="4"/>
  <c r="A371" i="4" l="1"/>
  <c r="J370" i="4"/>
  <c r="A372" i="4" l="1"/>
  <c r="J371" i="4"/>
  <c r="J372" i="4" l="1"/>
  <c r="B388" i="4"/>
  <c r="B384" i="4"/>
  <c r="B386" i="4"/>
  <c r="B385" i="4"/>
  <c r="B378" i="4"/>
  <c r="B390" i="4"/>
  <c r="B389" i="4"/>
  <c r="B387" i="4"/>
  <c r="A373" i="4"/>
  <c r="A374" i="4" l="1"/>
  <c r="J373" i="4"/>
  <c r="B380" i="4"/>
  <c r="B383" i="4"/>
  <c r="B382" i="4"/>
  <c r="B381" i="4"/>
  <c r="B379" i="4"/>
  <c r="A375" i="4" l="1"/>
  <c r="J374" i="4"/>
  <c r="A376" i="4" l="1"/>
  <c r="J375" i="4"/>
  <c r="J376" i="4" l="1"/>
  <c r="A377" i="4"/>
  <c r="A378" i="4" l="1"/>
  <c r="J377" i="4"/>
  <c r="A379" i="4" l="1"/>
  <c r="J378" i="4"/>
  <c r="A380" i="4" l="1"/>
  <c r="J379" i="4"/>
  <c r="J380" i="4" l="1"/>
  <c r="A381" i="4"/>
  <c r="A382" i="4" l="1"/>
  <c r="J381" i="4"/>
  <c r="A389" i="4"/>
  <c r="A390" i="4" l="1"/>
  <c r="J389" i="4"/>
  <c r="A383" i="4"/>
  <c r="J382" i="4"/>
  <c r="A384" i="4" l="1"/>
  <c r="J383" i="4"/>
  <c r="A391" i="4"/>
  <c r="J390" i="4"/>
  <c r="A392" i="4" l="1"/>
  <c r="J391" i="4"/>
  <c r="J384" i="4"/>
  <c r="A385" i="4"/>
  <c r="A386" i="4" l="1"/>
  <c r="J385" i="4"/>
  <c r="A393" i="4"/>
  <c r="A394" i="4" l="1"/>
  <c r="B409" i="4"/>
  <c r="B405" i="4"/>
  <c r="B401" i="4"/>
  <c r="B408" i="4"/>
  <c r="B404" i="4"/>
  <c r="B400" i="4"/>
  <c r="B392" i="4"/>
  <c r="J392" i="4" s="1"/>
  <c r="B407" i="4"/>
  <c r="B399" i="4"/>
  <c r="B406" i="4"/>
  <c r="B398" i="4"/>
  <c r="B403" i="4"/>
  <c r="B410" i="4"/>
  <c r="B402" i="4"/>
  <c r="A387" i="4"/>
  <c r="J386" i="4"/>
  <c r="B396" i="4" l="1"/>
  <c r="A388" i="4"/>
  <c r="J388" i="4" s="1"/>
  <c r="B397" i="4"/>
  <c r="B395" i="4"/>
  <c r="B394" i="4"/>
  <c r="B393" i="4"/>
  <c r="J393" i="4" s="1"/>
  <c r="J387" i="4"/>
  <c r="J394" i="4"/>
  <c r="A395" i="4"/>
  <c r="A396" i="4" l="1"/>
  <c r="J395" i="4"/>
  <c r="J396" i="4" l="1"/>
  <c r="A397" i="4"/>
  <c r="A398" i="4" l="1"/>
  <c r="J397" i="4"/>
  <c r="A399" i="4" l="1"/>
  <c r="J398" i="4"/>
  <c r="A400" i="4" l="1"/>
  <c r="J399" i="4"/>
  <c r="J400" i="4" l="1"/>
  <c r="A401" i="4"/>
  <c r="A402" i="4" l="1"/>
  <c r="J401" i="4"/>
  <c r="A403" i="4" l="1"/>
  <c r="J402" i="4"/>
  <c r="A404" i="4" l="1"/>
  <c r="J403" i="4"/>
  <c r="J404" i="4" l="1"/>
  <c r="A405" i="4"/>
  <c r="A406" i="4" l="1"/>
  <c r="J405" i="4"/>
  <c r="A407" i="4" l="1"/>
  <c r="J406" i="4"/>
  <c r="B414" i="4" l="1"/>
  <c r="B417" i="4"/>
  <c r="B413" i="4"/>
  <c r="B416" i="4"/>
  <c r="A408" i="4"/>
  <c r="B415" i="4"/>
  <c r="J407" i="4"/>
  <c r="J408" i="4" l="1"/>
  <c r="A409" i="4"/>
  <c r="A410" i="4" l="1"/>
  <c r="J409" i="4"/>
  <c r="A411" i="4" l="1"/>
  <c r="J410" i="4"/>
  <c r="B418" i="4" l="1"/>
  <c r="B412" i="4"/>
  <c r="A412" i="4"/>
  <c r="J411" i="4"/>
  <c r="J412" i="4" l="1"/>
  <c r="A413" i="4"/>
  <c r="A414" i="4" l="1"/>
  <c r="J413" i="4"/>
  <c r="B430" i="4" l="1"/>
  <c r="B426" i="4"/>
  <c r="B429" i="4"/>
  <c r="B432" i="4"/>
  <c r="B428" i="4"/>
  <c r="B420" i="4"/>
  <c r="A415" i="4"/>
  <c r="J414" i="4"/>
  <c r="B431" i="4"/>
  <c r="B427" i="4"/>
  <c r="B422" i="4" l="1"/>
  <c r="B425" i="4"/>
  <c r="B421" i="4"/>
  <c r="B424" i="4"/>
  <c r="A416" i="4"/>
  <c r="J415" i="4"/>
  <c r="B423" i="4"/>
  <c r="J416" i="4" l="1"/>
  <c r="A417" i="4"/>
  <c r="A418" i="4" l="1"/>
  <c r="J417" i="4"/>
  <c r="A419" i="4" l="1"/>
  <c r="J418" i="4"/>
  <c r="A420" i="4" l="1"/>
  <c r="J419" i="4"/>
  <c r="J420" i="4" l="1"/>
  <c r="A421" i="4"/>
  <c r="A422" i="4" l="1"/>
  <c r="J421" i="4"/>
  <c r="A423" i="4" l="1"/>
  <c r="J422" i="4"/>
  <c r="A424" i="4" l="1"/>
  <c r="J423" i="4"/>
  <c r="J424" i="4" l="1"/>
  <c r="A425" i="4"/>
  <c r="A426" i="4" l="1"/>
  <c r="J425" i="4"/>
  <c r="J426" i="4" l="1"/>
  <c r="A427" i="4"/>
  <c r="A428" i="4" l="1"/>
  <c r="J427" i="4"/>
  <c r="J428" i="4" l="1"/>
  <c r="A429" i="4"/>
  <c r="A430" i="4" l="1"/>
  <c r="J429" i="4"/>
  <c r="A431" i="4" l="1"/>
  <c r="J430" i="4"/>
  <c r="A432" i="4" l="1"/>
  <c r="J431" i="4"/>
  <c r="J432" i="4" l="1"/>
  <c r="A433" i="4"/>
  <c r="B434" i="4" l="1"/>
  <c r="A434" i="4"/>
  <c r="J433" i="4"/>
  <c r="B436" i="4"/>
  <c r="B435" i="4"/>
  <c r="A435" i="4" l="1"/>
  <c r="J434" i="4"/>
  <c r="A436" i="4" l="1"/>
  <c r="J435" i="4"/>
  <c r="J436" i="4" l="1"/>
  <c r="A437" i="4"/>
  <c r="B446" i="4" l="1"/>
  <c r="A438" i="4"/>
  <c r="J437" i="4"/>
  <c r="B445" i="4"/>
  <c r="B444" i="4"/>
  <c r="B443" i="4"/>
  <c r="B447" i="4"/>
  <c r="J438" i="4" l="1"/>
  <c r="A439" i="4"/>
  <c r="A440" i="4" l="1"/>
  <c r="J439" i="4"/>
  <c r="J440" i="4" l="1"/>
  <c r="A441" i="4"/>
  <c r="A442" i="4" l="1"/>
  <c r="J441" i="4"/>
  <c r="A443" i="4" l="1"/>
  <c r="J442" i="4"/>
  <c r="A444" i="4" l="1"/>
  <c r="J443" i="4"/>
  <c r="B482" i="4" l="1"/>
  <c r="B481" i="4"/>
  <c r="J444" i="4"/>
  <c r="B480" i="4"/>
  <c r="A445" i="4"/>
  <c r="B479" i="4"/>
  <c r="A446" i="4" l="1"/>
  <c r="J445" i="4"/>
  <c r="B490" i="4" l="1"/>
  <c r="B489" i="4"/>
  <c r="B492" i="4"/>
  <c r="B488" i="4"/>
  <c r="B491" i="4"/>
  <c r="A447" i="4"/>
  <c r="J446" i="4"/>
  <c r="A448" i="4" l="1"/>
  <c r="J447" i="4"/>
  <c r="B453" i="4" l="1"/>
  <c r="J448" i="4"/>
  <c r="B456" i="4"/>
  <c r="A449" i="4"/>
  <c r="B466" i="4" l="1"/>
  <c r="A450" i="4"/>
  <c r="J449" i="4"/>
  <c r="B477" i="4"/>
  <c r="B458" i="4" l="1"/>
  <c r="B457" i="4"/>
  <c r="B483" i="4"/>
  <c r="A451" i="4"/>
  <c r="B459" i="4"/>
  <c r="J450" i="4"/>
  <c r="A452" i="4" l="1"/>
  <c r="J451" i="4"/>
  <c r="B494" i="4" l="1"/>
  <c r="B493" i="4"/>
  <c r="J452" i="4"/>
  <c r="A453" i="4"/>
  <c r="B454" i="4" l="1"/>
  <c r="A454" i="4"/>
  <c r="J453" i="4"/>
  <c r="B455" i="4"/>
  <c r="B460" i="4" l="1"/>
  <c r="A455" i="4"/>
  <c r="J454" i="4"/>
  <c r="B462" i="4" l="1"/>
  <c r="B465" i="4"/>
  <c r="B461" i="4"/>
  <c r="B464" i="4"/>
  <c r="A456" i="4"/>
  <c r="B463" i="4"/>
  <c r="J455" i="4"/>
  <c r="J456" i="4" l="1"/>
  <c r="A457" i="4"/>
  <c r="A458" i="4" l="1"/>
  <c r="J457" i="4"/>
  <c r="A459" i="4" l="1"/>
  <c r="J458" i="4"/>
  <c r="A460" i="4" l="1"/>
  <c r="J459" i="4"/>
  <c r="J460" i="4" l="1"/>
  <c r="A461" i="4"/>
  <c r="B474" i="4" l="1"/>
  <c r="B470" i="4"/>
  <c r="A462" i="4"/>
  <c r="J461" i="4"/>
  <c r="B473" i="4"/>
  <c r="B469" i="4"/>
  <c r="B476" i="4"/>
  <c r="B472" i="4"/>
  <c r="B468" i="4"/>
  <c r="B471" i="4"/>
  <c r="B475" i="4"/>
  <c r="B467" i="4"/>
  <c r="A463" i="4" l="1"/>
  <c r="J462" i="4"/>
  <c r="A464" i="4" l="1"/>
  <c r="J463" i="4"/>
  <c r="J464" i="4" l="1"/>
  <c r="A465" i="4"/>
  <c r="A466" i="4" l="1"/>
  <c r="J465" i="4"/>
  <c r="A467" i="4" l="1"/>
  <c r="J466" i="4"/>
  <c r="A468" i="4" l="1"/>
  <c r="J467" i="4"/>
  <c r="J468" i="4" l="1"/>
  <c r="A469" i="4"/>
  <c r="A470" i="4" l="1"/>
  <c r="J469" i="4"/>
  <c r="A471" i="4" l="1"/>
  <c r="J470" i="4"/>
  <c r="A472" i="4" l="1"/>
  <c r="J471" i="4"/>
  <c r="J472" i="4" l="1"/>
  <c r="A473" i="4"/>
  <c r="A474" i="4" l="1"/>
  <c r="J473" i="4"/>
  <c r="J474" i="4" l="1"/>
  <c r="A475" i="4"/>
  <c r="A476" i="4" l="1"/>
  <c r="J475" i="4"/>
  <c r="J476" i="4" l="1"/>
  <c r="A477" i="4"/>
  <c r="B478" i="4" l="1"/>
  <c r="A478" i="4"/>
  <c r="J477" i="4"/>
  <c r="B486" i="4" l="1"/>
  <c r="B485" i="4"/>
  <c r="B484" i="4"/>
  <c r="A479" i="4"/>
  <c r="B487" i="4"/>
  <c r="J478" i="4"/>
  <c r="A480" i="4" l="1"/>
  <c r="J479" i="4"/>
  <c r="J480" i="4" l="1"/>
  <c r="A481" i="4"/>
  <c r="A482" i="4" l="1"/>
  <c r="J481" i="4"/>
  <c r="A483" i="4" l="1"/>
  <c r="J482" i="4"/>
  <c r="A484" i="4" l="1"/>
  <c r="J483" i="4"/>
  <c r="J484" i="4" l="1"/>
  <c r="A485" i="4"/>
  <c r="A486" i="4" l="1"/>
  <c r="J485" i="4"/>
  <c r="J486" i="4" l="1"/>
  <c r="A487" i="4"/>
  <c r="A488" i="4" l="1"/>
  <c r="J487" i="4"/>
  <c r="J488" i="4" l="1"/>
  <c r="A489" i="4"/>
  <c r="A490" i="4" l="1"/>
  <c r="J489" i="4"/>
  <c r="B498" i="4" l="1"/>
  <c r="B497" i="4"/>
  <c r="B496" i="4"/>
  <c r="A491" i="4"/>
  <c r="J490" i="4"/>
  <c r="A492" i="4" l="1"/>
  <c r="J491" i="4"/>
  <c r="J492" i="4" l="1"/>
  <c r="A493" i="4"/>
  <c r="A494" i="4" l="1"/>
  <c r="J493" i="4"/>
  <c r="A495" i="4" l="1"/>
  <c r="J494" i="4"/>
  <c r="A496" i="4" l="1"/>
  <c r="J495" i="4"/>
  <c r="B504" i="4" l="1"/>
  <c r="B502" i="4"/>
  <c r="J496" i="4"/>
  <c r="A497" i="4"/>
  <c r="B505" i="4"/>
  <c r="B503" i="4"/>
  <c r="A498" i="4" l="1"/>
  <c r="J497" i="4"/>
  <c r="A499" i="4" l="1"/>
  <c r="J498" i="4"/>
  <c r="A500" i="4" l="1"/>
  <c r="J499" i="4"/>
  <c r="J500" i="4" l="1"/>
  <c r="A501" i="4"/>
  <c r="A502" i="4" l="1"/>
  <c r="J501" i="4"/>
  <c r="A503" i="4" l="1"/>
  <c r="J502" i="4"/>
  <c r="A504" i="4" l="1"/>
  <c r="J503" i="4"/>
  <c r="A505" i="4" l="1"/>
  <c r="J504" i="4"/>
  <c r="A506" i="4" l="1"/>
  <c r="J506" i="4" s="1"/>
  <c r="J50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2" authorId="0" shapeId="0" xr:uid="{00000000-0006-0000-0500-000001000000}">
      <text>
        <r>
          <rPr>
            <sz val="10"/>
            <rFont val="Arial"/>
            <family val="2"/>
          </rPr>
          <t>Assumption: this template's Phase Durations tab has no separate Cruise row. The ~10-year outbound cruise to Saturn is counted inside Phase E (Nominal Operations), consistent with the design life of at least 15 years including cruise requirement in CADRe Part A. CADRe Part A section 2.5 presents cruise as its own line for narrative clarity; the two are reconciled here for costing purposes.</t>
        </r>
      </text>
    </comment>
  </commentList>
</comments>
</file>

<file path=xl/sharedStrings.xml><?xml version="1.0" encoding="utf-8"?>
<sst xmlns="http://schemas.openxmlformats.org/spreadsheetml/2006/main" count="4688" uniqueCount="1836">
  <si>
    <t>ORCA CADRe Part C - Table of Contents</t>
  </si>
  <si>
    <t>#</t>
  </si>
  <si>
    <t>Sheet</t>
  </si>
  <si>
    <t>Cover Page</t>
  </si>
  <si>
    <t>1 - Change History</t>
  </si>
  <si>
    <t>4d - CBS in JS format</t>
  </si>
  <si>
    <t>2 - Phasing Nomenclature</t>
  </si>
  <si>
    <t>3 - Phase Durations</t>
  </si>
  <si>
    <t>PM's sched Scenarios</t>
  </si>
  <si>
    <t>GR&amp;A</t>
  </si>
  <si>
    <t>4 - RAM LoE</t>
  </si>
  <si>
    <t>5 - Risk Register</t>
  </si>
  <si>
    <t>Risk Breakdown Structure</t>
  </si>
  <si>
    <t>Raw Labour Rates</t>
  </si>
  <si>
    <t>Labour Rates lookup</t>
  </si>
  <si>
    <t>Rolodex</t>
  </si>
  <si>
    <t>Inflation Rate</t>
  </si>
  <si>
    <t>CSA-FIN-RD-0589</t>
  </si>
  <si>
    <t>Version Draft 1.0</t>
  </si>
  <si>
    <t>Cost Analysis Data Requirement (CADRe)</t>
  </si>
  <si>
    <t>CADRe Part C - Essential Programmatic Inputs</t>
  </si>
  <si>
    <t>ORCA (Ocean Reconnaissance and Chemistry Analyzer)</t>
  </si>
  <si>
    <t>Prepared by ORCA Project Team</t>
  </si>
  <si>
    <t>Reviewed by [TBD]</t>
  </si>
  <si>
    <t>TBD</t>
  </si>
  <si>
    <t>` Table of Contents</t>
  </si>
  <si>
    <t>2. Version Control - Baseline Tracker</t>
  </si>
  <si>
    <t>Purpose:</t>
  </si>
  <si>
    <t>To track the baseline across time</t>
  </si>
  <si>
    <t>hold the major and minor releases of the baseline</t>
  </si>
  <si>
    <t>Change history and associated files that contain the relevant data</t>
  </si>
  <si>
    <t>Reserved</t>
  </si>
  <si>
    <t>File Number</t>
  </si>
  <si>
    <t>Date</t>
  </si>
  <si>
    <t>File Version</t>
  </si>
  <si>
    <t>Author</t>
  </si>
  <si>
    <t>Changes</t>
  </si>
  <si>
    <t>Parent Baseline Name</t>
  </si>
  <si>
    <t>Baseline ID</t>
  </si>
  <si>
    <t>ORCA @ PREP1</t>
  </si>
  <si>
    <t>ORCA @ KDP-0</t>
  </si>
  <si>
    <t>MB</t>
  </si>
  <si>
    <t>Rebaseline: cruise duration increased following updated Jupiter gravity-assist trajectory analysis.</t>
  </si>
  <si>
    <t>ORCA @ MDR#2</t>
  </si>
  <si>
    <t>ORCA @ PREP2</t>
  </si>
  <si>
    <t>ORCA @ KDP-A</t>
  </si>
  <si>
    <t>CSA-FIN-RD-0587</t>
  </si>
  <si>
    <t>Draft 1</t>
  </si>
  <si>
    <t>Initial document ahead of Phase B</t>
  </si>
  <si>
    <t>ORCA @ KDP-B</t>
  </si>
  <si>
    <t>ORCA @ PDR</t>
  </si>
  <si>
    <t>ORCA @ CDR</t>
  </si>
  <si>
    <t>CSA-FIN-RD-0590</t>
  </si>
  <si>
    <t>Update ahead of Gate 4: PDR and CDR complete, System Integration Review baseline.</t>
  </si>
  <si>
    <t>ORCA @ SIR</t>
  </si>
  <si>
    <t>&lt;&lt;--- We are here now</t>
  </si>
  <si>
    <t>ORCA @ Launch (as flown)</t>
  </si>
  <si>
    <t>ORCA @ CR</t>
  </si>
  <si>
    <t>ORCA @ KDP-X</t>
  </si>
  <si>
    <t>ORCA @ end of life</t>
  </si>
  <si>
    <t>4d. CBS (as self referencing list) for use as a javascript array</t>
  </si>
  <si>
    <t>Why we we asking:</t>
  </si>
  <si>
    <t>this page is auto-generated and used for drawing it out</t>
  </si>
  <si>
    <t>Self referencing list for dtree</t>
  </si>
  <si>
    <t>UID</t>
  </si>
  <si>
    <t>Parent ID</t>
  </si>
  <si>
    <t>Level</t>
  </si>
  <si>
    <t>Node Name</t>
  </si>
  <si>
    <t>CBS Code</t>
  </si>
  <si>
    <t>Depth</t>
  </si>
  <si>
    <t>Icon</t>
  </si>
  <si>
    <t>Notes</t>
  </si>
  <si>
    <t>Javascript Code</t>
  </si>
  <si>
    <t>Space Missions</t>
  </si>
  <si>
    <t>Taxon 1</t>
  </si>
  <si>
    <t>Box.png</t>
  </si>
  <si>
    <t>EO SAR Missions</t>
  </si>
  <si>
    <t>Taxon 2</t>
  </si>
  <si>
    <t>EO.png</t>
  </si>
  <si>
    <t>Radarsat Portfolio</t>
  </si>
  <si>
    <t>Phylum</t>
  </si>
  <si>
    <t>Pouch.png</t>
  </si>
  <si>
    <t>Radarsat 1</t>
  </si>
  <si>
    <t>Mission</t>
  </si>
  <si>
    <t>Satellite.png</t>
  </si>
  <si>
    <t>Radarsat 2</t>
  </si>
  <si>
    <t>Design Reference Mission</t>
  </si>
  <si>
    <t>Radarsat Constellation Mission</t>
  </si>
  <si>
    <t>Segment</t>
  </si>
  <si>
    <t>Radarsat+ Replenishment</t>
  </si>
  <si>
    <t>System of Systems</t>
  </si>
  <si>
    <t>Radarsat+ Next Generation</t>
  </si>
  <si>
    <t>System</t>
  </si>
  <si>
    <t>Analysis Scenario 1: RCM Proxy</t>
  </si>
  <si>
    <t>Scenario.png</t>
  </si>
  <si>
    <t>Subsystem</t>
  </si>
  <si>
    <t>Analysis Scenario 2: RCM+</t>
  </si>
  <si>
    <t>Assembly</t>
  </si>
  <si>
    <t>Analysis Scenario 3: Airbus concept</t>
  </si>
  <si>
    <t>Component</t>
  </si>
  <si>
    <t>Analysis Scenario 4: MDA Chorus Data Buy</t>
  </si>
  <si>
    <t>Analysis Scenario 5: MDA Chorus+</t>
  </si>
  <si>
    <t>Analysis Scenario 6: Airbus Sentinel 2</t>
  </si>
  <si>
    <t>Government Overhead and Oversight</t>
  </si>
  <si>
    <t>Government.png</t>
  </si>
  <si>
    <t>This WBS includes all CSA Oversight, OGD salaries, and basic overhead for the care and maintenance of CSA staff</t>
  </si>
  <si>
    <t>Space Segment</t>
  </si>
  <si>
    <t>The Space Segment includes things we launch into space</t>
  </si>
  <si>
    <t>Launch Segment</t>
  </si>
  <si>
    <t>Rocket.png</t>
  </si>
  <si>
    <t>The launch segment includes the launch vehicle and seom support services</t>
  </si>
  <si>
    <t>Ground Segment</t>
  </si>
  <si>
    <t>Facility.png</t>
  </si>
  <si>
    <t>The ground segment includes the planning desgin and development of the GS, but not the Ops</t>
  </si>
  <si>
    <t>Ops Segment</t>
  </si>
  <si>
    <t>Ops.png</t>
  </si>
  <si>
    <t>Ops includes SatOps, Mission Ops, Science Ops - typically contracts</t>
  </si>
  <si>
    <t>Science Segment</t>
  </si>
  <si>
    <t>Science.png</t>
  </si>
  <si>
    <t>Typically G&amp;C</t>
  </si>
  <si>
    <t>Gov't Oversight (Salaries and EBP)</t>
  </si>
  <si>
    <t>1.1.1</t>
  </si>
  <si>
    <t>Government Overhead</t>
  </si>
  <si>
    <t>1.1.2</t>
  </si>
  <si>
    <t>CSA Oversight</t>
  </si>
  <si>
    <t>1.1.1.1</t>
  </si>
  <si>
    <t>OGD Oversight</t>
  </si>
  <si>
    <t>1.1.1.2</t>
  </si>
  <si>
    <t>CSA Project Team</t>
  </si>
  <si>
    <t>1.1.1.1.1</t>
  </si>
  <si>
    <t>This CBS contains all salaries associated with the RAM of the Project team</t>
  </si>
  <si>
    <t>CSA Internal Services</t>
  </si>
  <si>
    <t>1.1.1.1.2</t>
  </si>
  <si>
    <t>This CBS contains all salaries associated with CSA internal services (finance, HR, audit, eval, policy, Executives, IM, IT, contracts, shipping, etc)</t>
  </si>
  <si>
    <t>OGD Internal Services by MOU</t>
  </si>
  <si>
    <t>1.1.1.2.1</t>
  </si>
  <si>
    <t>OGD User Departments by MOU (RAM portion)</t>
  </si>
  <si>
    <t>1.1.1.2.2</t>
  </si>
  <si>
    <t>Shared Services</t>
  </si>
  <si>
    <t>1.1.1.2.1.1</t>
  </si>
  <si>
    <t>SPAC</t>
  </si>
  <si>
    <t>1.1.1.2.1.2</t>
  </si>
  <si>
    <t>Justice Canada</t>
  </si>
  <si>
    <t>1.1.1.2.1.3</t>
  </si>
  <si>
    <t>ECCC</t>
  </si>
  <si>
    <t>1.1.1.2.2.1</t>
  </si>
  <si>
    <t>NRCAN</t>
  </si>
  <si>
    <t>1.1.1.2.2.2</t>
  </si>
  <si>
    <t>DND</t>
  </si>
  <si>
    <t>1.1.1.2.2.3</t>
  </si>
  <si>
    <t>RAM per Person per FY and Phase</t>
  </si>
  <si>
    <t>1.1.1.1.1.1</t>
  </si>
  <si>
    <t>PSPC Procurement Services</t>
  </si>
  <si>
    <t>1.1.1.2.1.2.1</t>
  </si>
  <si>
    <t>PSPC Fairness Monitor</t>
  </si>
  <si>
    <t>1.1.1.2.1.2.2</t>
  </si>
  <si>
    <t>Legal Services</t>
  </si>
  <si>
    <t>1.1.1.2.1.3.1</t>
  </si>
  <si>
    <t>CSA Overhead</t>
  </si>
  <si>
    <t>1.1.2.1</t>
  </si>
  <si>
    <t xml:space="preserve">IS Management Overhead </t>
  </si>
  <si>
    <t>1.1.2.1.1</t>
  </si>
  <si>
    <t>Management Consulting Services</t>
  </si>
  <si>
    <t>1.1.2.1.2</t>
  </si>
  <si>
    <t>Temporary Help</t>
  </si>
  <si>
    <t>1.1.2.1.3</t>
  </si>
  <si>
    <t>Students</t>
  </si>
  <si>
    <t>1.1.2.1.4</t>
  </si>
  <si>
    <t>This CBS  includes any students, FSWEP or PDF assisint Csa project team</t>
  </si>
  <si>
    <t>Government Travel &amp; Living</t>
  </si>
  <si>
    <t>1.1.2.1.5</t>
  </si>
  <si>
    <t>This CBS includes any government Travel and Living expenses</t>
  </si>
  <si>
    <t>Translation</t>
  </si>
  <si>
    <t>1.1.2.1.6</t>
  </si>
  <si>
    <t>This CBS includes any translation costs</t>
  </si>
  <si>
    <t>Shipping</t>
  </si>
  <si>
    <t>1.1.2.1.7</t>
  </si>
  <si>
    <t>This CBs includes any shipping cost, but not shipping flight HW which is under space segment</t>
  </si>
  <si>
    <t>Software Licenses</t>
  </si>
  <si>
    <t>1.1.2.1.8</t>
  </si>
  <si>
    <t>This CBS includes any COTs SW not flight Sw or ground SW</t>
  </si>
  <si>
    <t>Public Outreach and STEM initiatives</t>
  </si>
  <si>
    <t>1.1.2.1.9</t>
  </si>
  <si>
    <t>This CBS includes any public relations and STEM</t>
  </si>
  <si>
    <t>Other Overhead (Specify)</t>
  </si>
  <si>
    <t>1.1.2.1.10</t>
  </si>
  <si>
    <t xml:space="preserve">This CBS includes any other misc fees </t>
  </si>
  <si>
    <t>Consultants - Industrial Space Experts</t>
  </si>
  <si>
    <t>1.1.2.1.2.1</t>
  </si>
  <si>
    <t>Consultants - Academia</t>
  </si>
  <si>
    <t>1.1.2.1.2.2</t>
  </si>
  <si>
    <t>Consultants - Non-Space Experts</t>
  </si>
  <si>
    <t>1.1.2.1.2.3</t>
  </si>
  <si>
    <t>Mission SEITPM and Support Equipment</t>
  </si>
  <si>
    <t>SEITPM.png</t>
  </si>
  <si>
    <t>Project Management</t>
  </si>
  <si>
    <t>Systems Engineering</t>
  </si>
  <si>
    <t>Mission Assurance</t>
  </si>
  <si>
    <t>Assembly, Integration and Testing</t>
  </si>
  <si>
    <t>Support Equipment</t>
  </si>
  <si>
    <t>Space Vehicle 1 … i</t>
  </si>
  <si>
    <t>Spacecraft SEITPM and Support Equipment</t>
  </si>
  <si>
    <t>Bus/Platform</t>
  </si>
  <si>
    <t>Widget.png</t>
  </si>
  <si>
    <t>Platform SEITPM and Support Equipment</t>
  </si>
  <si>
    <t>Structures and Mechanisms Subsystem (SMS)</t>
  </si>
  <si>
    <t>Structures and Mechanisms Subsystem SEITPM</t>
  </si>
  <si>
    <t>Primary Structures</t>
  </si>
  <si>
    <t>Load Carrying Shell/Truss</t>
  </si>
  <si>
    <t>Equipment Compartments</t>
  </si>
  <si>
    <t>Booms</t>
  </si>
  <si>
    <t>Adapters</t>
  </si>
  <si>
    <t>Other Structures (Specify)</t>
  </si>
  <si>
    <t>Secondary Structures</t>
  </si>
  <si>
    <t>Equipment (Instrument) Mountings</t>
  </si>
  <si>
    <t>Ballast Mass</t>
  </si>
  <si>
    <t>Other Secondary Structures (Specify)</t>
  </si>
  <si>
    <t>Mechanisms and Pyrotechnics</t>
  </si>
  <si>
    <t>Positioning</t>
  </si>
  <si>
    <t>Deployment and Storage Equipment</t>
  </si>
  <si>
    <t>Docking Mechanisms</t>
  </si>
  <si>
    <t>Other Mechanisms (Specify)</t>
  </si>
  <si>
    <t>Pyrotechnics</t>
  </si>
  <si>
    <t>SMS Other (Specify)</t>
  </si>
  <si>
    <t>Thermal Control Subsystem (TCS)</t>
  </si>
  <si>
    <t>Thermal Control Subsystem SEITPM</t>
  </si>
  <si>
    <t>Active Devices</t>
  </si>
  <si>
    <t>Cryogenic Devices</t>
  </si>
  <si>
    <t>Liquid Loops</t>
  </si>
  <si>
    <t>Electric Coolers</t>
  </si>
  <si>
    <t>Heaters, Thermistors, and Thermostats</t>
  </si>
  <si>
    <t>Other Active Devices (Specify)</t>
  </si>
  <si>
    <t>Passive Devices</t>
  </si>
  <si>
    <t>Radiator Panel/Fins</t>
  </si>
  <si>
    <t>Coatings</t>
  </si>
  <si>
    <t>Heat Pipes</t>
  </si>
  <si>
    <t>Insulation</t>
  </si>
  <si>
    <t>Conductive Structures</t>
  </si>
  <si>
    <t>Heat Activated Structures</t>
  </si>
  <si>
    <t>Sun Shields</t>
  </si>
  <si>
    <t>Second Surface Mirrors</t>
  </si>
  <si>
    <t>Shutters and Louvers</t>
  </si>
  <si>
    <t>Other Passive Devices (Specify)</t>
  </si>
  <si>
    <t>TCS Other (Specify)</t>
  </si>
  <si>
    <t>Electric Power Subsystem (EPS)</t>
  </si>
  <si>
    <t>Electric Power Subsystem SEITPM</t>
  </si>
  <si>
    <t>Electrical Power Generation</t>
  </si>
  <si>
    <t>Solar Array</t>
  </si>
  <si>
    <t>Solar Array Positioner</t>
  </si>
  <si>
    <t>Radioisotope Thermionic Generator</t>
  </si>
  <si>
    <t>Chemical (Fuel Cells)</t>
  </si>
  <si>
    <t>Auxiliary Power Units</t>
  </si>
  <si>
    <t>Other Power Sources</t>
  </si>
  <si>
    <t>Electrical Power Conditioning</t>
  </si>
  <si>
    <t>Power Control Electronics</t>
  </si>
  <si>
    <t>Power Conversion Electronics</t>
  </si>
  <si>
    <t>Power Dissipation Devices</t>
  </si>
  <si>
    <t>Power Distribution Electronics</t>
  </si>
  <si>
    <t>Power Switching Electronics</t>
  </si>
  <si>
    <t>Power Regulation Electronics</t>
  </si>
  <si>
    <t>Other Power Conditioning Devices (Specify)</t>
  </si>
  <si>
    <t>Electrical Power Storage</t>
  </si>
  <si>
    <t>Rechargeable Batteries</t>
  </si>
  <si>
    <t>Charge Control Electronics</t>
  </si>
  <si>
    <t>Other Electrical Power Storage Devices (Specify)</t>
  </si>
  <si>
    <t>Harnesses and Cables</t>
  </si>
  <si>
    <t>EPS Other (Specify)</t>
  </si>
  <si>
    <t>Attitude Control Subsystem (ACS)</t>
  </si>
  <si>
    <t>Attitude Control Subsystem SEITPM</t>
  </si>
  <si>
    <t>Attitude Determination</t>
  </si>
  <si>
    <t>Earth (Horizon) Sensors</t>
  </si>
  <si>
    <t>Sun Sensors</t>
  </si>
  <si>
    <t>Star Tracker/Sensors</t>
  </si>
  <si>
    <t>Global Positioning System (GPS) Receiver</t>
  </si>
  <si>
    <t>Imagers</t>
  </si>
  <si>
    <t>Magnetometers</t>
  </si>
  <si>
    <t>Altimeters</t>
  </si>
  <si>
    <t>Inertial Reference Unit (IRU)/Inertial Measurement Unit (IMU)</t>
  </si>
  <si>
    <t>Radar</t>
  </si>
  <si>
    <t>Rate Gyros</t>
  </si>
  <si>
    <t>Accelerometers</t>
  </si>
  <si>
    <t>Bearing and Power Transfer Assembly</t>
  </si>
  <si>
    <t>Other Attitude Determination Devices (Specify)</t>
  </si>
  <si>
    <t>Attitude Control</t>
  </si>
  <si>
    <t>Reaction Wheel</t>
  </si>
  <si>
    <t>Momentum Wheel</t>
  </si>
  <si>
    <t>Control Moment Gyro</t>
  </si>
  <si>
    <t>Other Energy Storage Devices</t>
  </si>
  <si>
    <t>Magnetic Control Devices</t>
  </si>
  <si>
    <t>Spin Control Devices</t>
  </si>
  <si>
    <t>Control Electronics</t>
  </si>
  <si>
    <t>Other Attitude Control Devices (Specify)</t>
  </si>
  <si>
    <t>ACS Other (Specify)</t>
  </si>
  <si>
    <t>Propulsion Subsystem</t>
  </si>
  <si>
    <t>Propulsion Subsystem SEITPM</t>
  </si>
  <si>
    <t>Tanks</t>
  </si>
  <si>
    <t>Oxidizer Tanks</t>
  </si>
  <si>
    <t>Fuel Tanks</t>
  </si>
  <si>
    <t>Propellant Tanks</t>
  </si>
  <si>
    <t>Pressurance Tanks</t>
  </si>
  <si>
    <t>Plumbing</t>
  </si>
  <si>
    <t>Other Tanks (Specify)</t>
  </si>
  <si>
    <t>Maneuvering Thrusters</t>
  </si>
  <si>
    <t>Bipropellant</t>
  </si>
  <si>
    <t>Monopropellant</t>
  </si>
  <si>
    <t>Solar Electric</t>
  </si>
  <si>
    <t>Ion</t>
  </si>
  <si>
    <t>Cold Gas</t>
  </si>
  <si>
    <t>Other Maneuvering Thrusters (Specify)</t>
  </si>
  <si>
    <t>Translation Thrusters</t>
  </si>
  <si>
    <t>Other Translation Thrusters (Specify)</t>
  </si>
  <si>
    <t>Propellant</t>
  </si>
  <si>
    <t>Solid Propellant</t>
  </si>
  <si>
    <t>Liquid Propellant</t>
  </si>
  <si>
    <t>Prussurant Propellant</t>
  </si>
  <si>
    <t>Other Propellant (Specify)</t>
  </si>
  <si>
    <t>Solid Rocket Motors</t>
  </si>
  <si>
    <t>Power Electronics</t>
  </si>
  <si>
    <t>Propulsion Other (Specify)</t>
  </si>
  <si>
    <t>Telemetry, Tracking, and Command Subsystem (TT&amp;C)</t>
  </si>
  <si>
    <t>TT&amp;C Subsystem SEITPM</t>
  </si>
  <si>
    <t>Antennas</t>
  </si>
  <si>
    <t>Omnidirectional</t>
  </si>
  <si>
    <t>Spiral</t>
  </si>
  <si>
    <t>Horn</t>
  </si>
  <si>
    <t>Patch</t>
  </si>
  <si>
    <t>Parabolic</t>
  </si>
  <si>
    <t>Phased Array</t>
  </si>
  <si>
    <t>Other Antennas (Specify)</t>
  </si>
  <si>
    <t>Waveguides/Routers</t>
  </si>
  <si>
    <t>Diplexers</t>
  </si>
  <si>
    <t>Triplexers</t>
  </si>
  <si>
    <t>Multiplexers</t>
  </si>
  <si>
    <t>Multicouplers</t>
  </si>
  <si>
    <t>Coaxial Switches</t>
  </si>
  <si>
    <t>RF Switches</t>
  </si>
  <si>
    <t>Filters</t>
  </si>
  <si>
    <t>Waveguides</t>
  </si>
  <si>
    <t>Other Routers (Specify)</t>
  </si>
  <si>
    <t>Radio Frequency Equipment</t>
  </si>
  <si>
    <t>Amplifiers</t>
  </si>
  <si>
    <t>Receivers</t>
  </si>
  <si>
    <t>Transmitters</t>
  </si>
  <si>
    <t>Transceivers</t>
  </si>
  <si>
    <t>Transponders</t>
  </si>
  <si>
    <t>Modulators</t>
  </si>
  <si>
    <t>Demodulators</t>
  </si>
  <si>
    <t>Modems</t>
  </si>
  <si>
    <t>Traveling Wave Tube Assemblies</t>
  </si>
  <si>
    <t>Solid State Power Amplifiers</t>
  </si>
  <si>
    <t>Downconverters</t>
  </si>
  <si>
    <t>Upconverters</t>
  </si>
  <si>
    <t>Other RF Equipment (Specify)</t>
  </si>
  <si>
    <t>Command and Data Handling (C&amp;DH)</t>
  </si>
  <si>
    <t>Processors</t>
  </si>
  <si>
    <t>Solid State Memory</t>
  </si>
  <si>
    <t>Decoders</t>
  </si>
  <si>
    <t>Command Units</t>
  </si>
  <si>
    <t>Telemetry Units</t>
  </si>
  <si>
    <t>Command Sequencers</t>
  </si>
  <si>
    <t>Timing Units</t>
  </si>
  <si>
    <t>Frequency Generators</t>
  </si>
  <si>
    <t>Signal Conditioners</t>
  </si>
  <si>
    <t>Data Switches</t>
  </si>
  <si>
    <t>Communication Security</t>
  </si>
  <si>
    <t>Interface Units</t>
  </si>
  <si>
    <t>Tape Recorders</t>
  </si>
  <si>
    <t>Disk Recorders</t>
  </si>
  <si>
    <t>Command Sensor or Situational Awareness Sensors</t>
  </si>
  <si>
    <t>Other C&amp;DH (Specify)</t>
  </si>
  <si>
    <t>TT&amp;C Other (Specify)</t>
  </si>
  <si>
    <t>Bus Flight Software</t>
  </si>
  <si>
    <t>Bus FSW Subsystem SEITPM</t>
  </si>
  <si>
    <t>Thermal Control Software</t>
  </si>
  <si>
    <t>Electrical Power Software</t>
  </si>
  <si>
    <t>Attitude Control Software</t>
  </si>
  <si>
    <t>Telemetry, Tracking, and Command Software</t>
  </si>
  <si>
    <t>Other Flight Software (Specify)</t>
  </si>
  <si>
    <t>SEITPM and Support Equipment (If Applicable for Integration of Multiple Payloads)</t>
  </si>
  <si>
    <t>Payload 1 … n (Specify)</t>
  </si>
  <si>
    <t>Payload 1 SEITPM and Support Equipment</t>
  </si>
  <si>
    <t>Payload 1 Structures and Mechanisms Subsystem</t>
  </si>
  <si>
    <t>Structures and Mechanims Subsystem SEITPM</t>
  </si>
  <si>
    <t>Structures</t>
  </si>
  <si>
    <t>Structures and Mechanisms Other (Specify)</t>
  </si>
  <si>
    <t>Payload 1 Thermal Control  Subsystem</t>
  </si>
  <si>
    <t>Thermal Control  Subsystem SEITPM</t>
  </si>
  <si>
    <t>Electric heaters, Thermisters, and Thermostats</t>
  </si>
  <si>
    <t>Thermal Control Other (Specify)</t>
  </si>
  <si>
    <t>Payload 1 Electrical Power Subsystem</t>
  </si>
  <si>
    <t>Electrical Power Subsystem SEITPM</t>
  </si>
  <si>
    <t>Power Sources</t>
  </si>
  <si>
    <t>Power Control, Switching, and Distribution Electronics</t>
  </si>
  <si>
    <t>Power Conditioning, Conversion, and Regulation</t>
  </si>
  <si>
    <t>Electrical Power Other (Specify)</t>
  </si>
  <si>
    <t>Payload 1 Pointing, Command, and Control Interface</t>
  </si>
  <si>
    <t>Subsystem SEITPM</t>
  </si>
  <si>
    <t>Computers and Processors</t>
  </si>
  <si>
    <t>Command/Telemetric Units</t>
  </si>
  <si>
    <t>Pointing Sensors</t>
  </si>
  <si>
    <t>Payload Positioners</t>
  </si>
  <si>
    <t>Security, Encryption, and Decryption Devices</t>
  </si>
  <si>
    <t>Data Storage, handling, and Interface</t>
  </si>
  <si>
    <t>Multifunctional Digital Electronic Boxes</t>
  </si>
  <si>
    <t>Pointing, Command, and Control Interface Other (Specify)</t>
  </si>
  <si>
    <t>Payload Signal Electronics</t>
  </si>
  <si>
    <t>Passive Signal Flow Control</t>
  </si>
  <si>
    <t>Transmitter/Receiver/Transceiver/Transponder</t>
  </si>
  <si>
    <t>Modulators/Demodulators/Modems</t>
  </si>
  <si>
    <t>Multiplexers/Demultiplexers</t>
  </si>
  <si>
    <t>Frequency Upconverters/Downconverters</t>
  </si>
  <si>
    <t>Frequency and Timing</t>
  </si>
  <si>
    <t>Signal Electronics Other (Specify)</t>
  </si>
  <si>
    <t>Payload 1 Optical Assembly</t>
  </si>
  <si>
    <t>Structure/Outerbarrel/Cover</t>
  </si>
  <si>
    <t>Mirrors/Optics</t>
  </si>
  <si>
    <t>Aft Optics Assembly</t>
  </si>
  <si>
    <t>Alignment and Calibration</t>
  </si>
  <si>
    <t>Thermal</t>
  </si>
  <si>
    <t>Optical Assembly Other</t>
  </si>
  <si>
    <t>Payload 1 Sensor</t>
  </si>
  <si>
    <t>Sensor SEITPM</t>
  </si>
  <si>
    <t>Payload Structure</t>
  </si>
  <si>
    <t>Focal Plan Array</t>
  </si>
  <si>
    <t>Sensor Positioners</t>
  </si>
  <si>
    <t>Sensor Electronics</t>
  </si>
  <si>
    <t>Magnetometer</t>
  </si>
  <si>
    <t>Spectrometer</t>
  </si>
  <si>
    <t>Radiometer</t>
  </si>
  <si>
    <t>Camera</t>
  </si>
  <si>
    <t>Sounder</t>
  </si>
  <si>
    <t>Flight Sensor Software</t>
  </si>
  <si>
    <t>Other Sensor Types (Specify)</t>
  </si>
  <si>
    <t>Mission Sensor Other (Specify)</t>
  </si>
  <si>
    <t>Payload Flight Software</t>
  </si>
  <si>
    <t>Payload 1 FSW SEITPM</t>
  </si>
  <si>
    <t>CSCI (Specify)</t>
  </si>
  <si>
    <t>Payload Antenna 1 … n (Specify)</t>
  </si>
  <si>
    <t>Payload 1 Antenna SEITPM</t>
  </si>
  <si>
    <t>Structures and Mechanisms</t>
  </si>
  <si>
    <t>Antenna Positioners</t>
  </si>
  <si>
    <t>Reflector/Horn</t>
  </si>
  <si>
    <t>Feed</t>
  </si>
  <si>
    <t>Waveguide/Coad/Cabling</t>
  </si>
  <si>
    <t>Transmit/Receive Modules</t>
  </si>
  <si>
    <t>Antenna Other (Specify)</t>
  </si>
  <si>
    <t>Payload Other (Specify)</t>
  </si>
  <si>
    <t>Booster Adapter</t>
  </si>
  <si>
    <t>Space Vehicle Storage</t>
  </si>
  <si>
    <t>Space Vehicle Other (Specify)</t>
  </si>
  <si>
    <t>Launch Systems Integration (LSI)</t>
  </si>
  <si>
    <t>Launch Operations</t>
  </si>
  <si>
    <t>Launch Operations Support</t>
  </si>
  <si>
    <t>Launch Vehicle Services</t>
  </si>
  <si>
    <t>Launch Insurance</t>
  </si>
  <si>
    <t>Ground Segment SEITPM</t>
  </si>
  <si>
    <t>Mission Control Centers</t>
  </si>
  <si>
    <t>Science / Data Ops Centers</t>
  </si>
  <si>
    <t>Terminals and Data Networks – incl Antennas </t>
  </si>
  <si>
    <t>Data Distribution &amp; Archival </t>
  </si>
  <si>
    <t>Training Facilities </t>
  </si>
  <si>
    <t>CSA Mission Control</t>
  </si>
  <si>
    <t xml:space="preserve">SatOps Mission Control Complex at JHCSC </t>
  </si>
  <si>
    <t>ISS Mission Operations Complex</t>
  </si>
  <si>
    <t>NASA Mission Operations Complex</t>
  </si>
  <si>
    <t>RMPSR</t>
  </si>
  <si>
    <t>OEC</t>
  </si>
  <si>
    <t>PTOC</t>
  </si>
  <si>
    <t>SatOps Mission control SEITPM</t>
  </si>
  <si>
    <t>Hardware Components</t>
  </si>
  <si>
    <t>Workstations</t>
  </si>
  <si>
    <t>Servers</t>
  </si>
  <si>
    <t>Storage and Archive</t>
  </si>
  <si>
    <t>Network Equipment</t>
  </si>
  <si>
    <t>Interface Equipment</t>
  </si>
  <si>
    <t>Security Encryption/Decryption</t>
  </si>
  <si>
    <t>Data Processing</t>
  </si>
  <si>
    <t>COTS Hardware Other (Specify)</t>
  </si>
  <si>
    <t>Pre-Operations Maintenance (Specify)</t>
  </si>
  <si>
    <t>Environments</t>
  </si>
  <si>
    <t>SatOps GS Software</t>
  </si>
  <si>
    <t>SW CSCI</t>
  </si>
  <si>
    <t>NASA Science Operations Centers</t>
  </si>
  <si>
    <t>HPC (High Performance Computing)</t>
  </si>
  <si>
    <t>Geospace Observatory</t>
  </si>
  <si>
    <t>Other SODC (specify)</t>
  </si>
  <si>
    <t> CSA Terminals and Antennas</t>
  </si>
  <si>
    <t>CSA St-Hubert Antenna</t>
  </si>
  <si>
    <t>Ferme Yves Bachand Antenna</t>
  </si>
  <si>
    <t>Ferme Beldor Antenna</t>
  </si>
  <si>
    <t>Transponder</t>
  </si>
  <si>
    <t>Digital Earth Canada</t>
  </si>
  <si>
    <t>Federal Geospatial Platform (FGP)</t>
  </si>
  <si>
    <t>EODMS</t>
  </si>
  <si>
    <t>Canadian Astronomy Data Centre</t>
  </si>
  <si>
    <t>NASA Data Distribution &amp; Archival</t>
  </si>
  <si>
    <t>MMLC</t>
  </si>
  <si>
    <t>MOTS</t>
  </si>
  <si>
    <t>CSA Mission Operations</t>
  </si>
  <si>
    <t>CSA SatOps</t>
  </si>
  <si>
    <t>CSA ISS Ops</t>
  </si>
  <si>
    <t>CSA ISS Sustaining Engineering</t>
  </si>
  <si>
    <t>NASA Mission Operations</t>
  </si>
  <si>
    <t>Industry Partners (Specify)</t>
  </si>
  <si>
    <t>Mission Science Support</t>
  </si>
  <si>
    <t>Science Maturation Studies &amp; User Requirements</t>
  </si>
  <si>
    <t>Science Support for Mission Development</t>
  </si>
  <si>
    <t>Science Support for Commissioning, Including Cal/Val</t>
  </si>
  <si>
    <t>Science Support for Data Handling</t>
  </si>
  <si>
    <t>Science Utilization &amp; Application Development</t>
  </si>
  <si>
    <t>7 - Phasing Nomenclature</t>
  </si>
  <si>
    <t xml:space="preserve">What do you call your phases? </t>
  </si>
  <si>
    <t xml:space="preserve">1. To normalize the naming convention across all investments. </t>
  </si>
  <si>
    <t>2. Math Models are based on Costing Sub-Phase.</t>
  </si>
  <si>
    <t>3. We want to output results in your naming convention and scope.</t>
  </si>
  <si>
    <t>Based on IGMF rev E</t>
  </si>
  <si>
    <t>Based on CSA-FIN-RPT-0072</t>
  </si>
  <si>
    <t>Phasing according to</t>
  </si>
  <si>
    <t>EPMO</t>
  </si>
  <si>
    <t>Costing</t>
  </si>
  <si>
    <t>PM</t>
  </si>
  <si>
    <t>PREP</t>
  </si>
  <si>
    <t>PREP 1</t>
  </si>
  <si>
    <t>Prototyping Activities (before Gate 1)</t>
  </si>
  <si>
    <t>Pre-Project</t>
  </si>
  <si>
    <t>Option Analysis &amp; Planning Phase</t>
  </si>
  <si>
    <t>Pre-Phase 0</t>
  </si>
  <si>
    <t>PREP 2</t>
  </si>
  <si>
    <t>Prototyping Activities (during Phase 0/A)</t>
  </si>
  <si>
    <t>Phase 0</t>
  </si>
  <si>
    <t>Phase 0/A</t>
  </si>
  <si>
    <t>Concept &amp; Feasibility</t>
  </si>
  <si>
    <t>Project</t>
  </si>
  <si>
    <t>Definition Phase</t>
  </si>
  <si>
    <t>Detailed Project Requirements</t>
  </si>
  <si>
    <t>Phase A</t>
  </si>
  <si>
    <t>Mission Requirements</t>
  </si>
  <si>
    <t>Preliminary Definition</t>
  </si>
  <si>
    <t>Phase B/C</t>
  </si>
  <si>
    <t>Phase B</t>
  </si>
  <si>
    <t>Preliminary Design</t>
  </si>
  <si>
    <t>Detailed Definition</t>
  </si>
  <si>
    <t>Phase C</t>
  </si>
  <si>
    <t>Detailed Design</t>
  </si>
  <si>
    <t>Implementation Phase</t>
  </si>
  <si>
    <t>Implementation</t>
  </si>
  <si>
    <t>Phase D</t>
  </si>
  <si>
    <t>MAIT</t>
  </si>
  <si>
    <t xml:space="preserve"> Manufacturing, Assembly, Integration and Test of Canadian Subsystems and Components</t>
  </si>
  <si>
    <t>SAIT</t>
  </si>
  <si>
    <t>Spacecraft Level Assembly, Test</t>
  </si>
  <si>
    <t>LEOP</t>
  </si>
  <si>
    <t>Lauch and early operations</t>
  </si>
  <si>
    <t>Post-Project</t>
  </si>
  <si>
    <t>Post-Implementation Phase</t>
  </si>
  <si>
    <t>Operations &amp; Disposal</t>
  </si>
  <si>
    <t>Phase E</t>
  </si>
  <si>
    <t xml:space="preserve"> Nominal Operations (per design life)</t>
  </si>
  <si>
    <t>Phase E (EXT)</t>
  </si>
  <si>
    <t>Phase X</t>
  </si>
  <si>
    <t xml:space="preserve"> Extended operations (mission extension)</t>
  </si>
  <si>
    <t>Phase F</t>
  </si>
  <si>
    <t xml:space="preserve"> Disposal (incl. post-mortem audit reports)</t>
  </si>
  <si>
    <t>Phase G</t>
  </si>
  <si>
    <t xml:space="preserve"> Post-Mortem science utilization</t>
  </si>
  <si>
    <t>7b - Phasing Durations</t>
  </si>
  <si>
    <t>1. Durations affect Govt Salaries calculations</t>
  </si>
  <si>
    <t>2. Durations affect Parametric estimates for Space segment, ground segment, ops</t>
  </si>
  <si>
    <t>3. Schedule Scenarios are inputs to sensitivity analysis</t>
  </si>
  <si>
    <t>Schedule Scenario ID</t>
  </si>
  <si>
    <t>Scenario Name</t>
  </si>
  <si>
    <t>Nominal Schedule Used by Gaby for RAM calculation (PM Nomenclature)</t>
  </si>
  <si>
    <t>Scenario Description</t>
  </si>
  <si>
    <t>Phases 0 through F</t>
  </si>
  <si>
    <t>Rationale</t>
  </si>
  <si>
    <t>ORCA concept-stage schedule, consistent with CADRe Part A section 2.5</t>
  </si>
  <si>
    <t xml:space="preserve">Source Doc </t>
  </si>
  <si>
    <t>CADRe Part A</t>
  </si>
  <si>
    <t>Phase</t>
  </si>
  <si>
    <t>Expected Start</t>
  </si>
  <si>
    <t>Expected End</t>
  </si>
  <si>
    <t>Total D</t>
  </si>
  <si>
    <t>Total M</t>
  </si>
  <si>
    <t>Phase B1</t>
  </si>
  <si>
    <t>Phase B2</t>
  </si>
  <si>
    <t>Phase D1-MAIT</t>
  </si>
  <si>
    <t>Phase D2-SAIT</t>
  </si>
  <si>
    <t>Phase D3-LEOP</t>
  </si>
  <si>
    <t>ORCA Ref.</t>
  </si>
  <si>
    <t>Milestone</t>
  </si>
  <si>
    <t>ORCA Baseline</t>
  </si>
  <si>
    <t>Orbiter Platform (Partner Agency)</t>
  </si>
  <si>
    <t>ORCA Instrument Suite</t>
  </si>
  <si>
    <t>Worst case duration</t>
  </si>
  <si>
    <t>Worst case (+2 mo/phase)</t>
  </si>
  <si>
    <t>Realistic case duration</t>
  </si>
  <si>
    <t>Baseline: Realistic case date
(1 month delay per phase)</t>
  </si>
  <si>
    <t>Optimistic case duration</t>
  </si>
  <si>
    <t>Optimistic case</t>
  </si>
  <si>
    <t>Comments</t>
  </si>
  <si>
    <t>Mission Concept Review (MCR)</t>
  </si>
  <si>
    <t>N/A</t>
  </si>
  <si>
    <t>End of Phase 0; mission concept baseline.</t>
  </si>
  <si>
    <t>System Requirements Review (SRR)</t>
  </si>
  <si>
    <t>End of Phase A.</t>
  </si>
  <si>
    <t>ORCA Concept Rebaseline</t>
  </si>
  <si>
    <t>Programmatic baseline update within Phase A.</t>
  </si>
  <si>
    <t>Phases</t>
  </si>
  <si>
    <t>Duration (months)</t>
  </si>
  <si>
    <t>Expected start</t>
  </si>
  <si>
    <t>Expected finish</t>
  </si>
  <si>
    <t>Orbiter Bus / ORCA Instrument Suite Interface Complete</t>
  </si>
  <si>
    <t>Interface requirements</t>
  </si>
  <si>
    <t>Partner-agency orbiter interface control document (ICD) finalized.</t>
  </si>
  <si>
    <t>Preliminary Design Review (PDR)</t>
  </si>
  <si>
    <t>Bus accommodation</t>
  </si>
  <si>
    <t>Preliminary design</t>
  </si>
  <si>
    <t>End of Phase B (B1+B2).</t>
  </si>
  <si>
    <t>Instrument Suite Environmental Qualification Complete</t>
  </si>
  <si>
    <t>Qualification</t>
  </si>
  <si>
    <t>Vibration / thermal-vacuum qualification of the ORCA instrument suite.</t>
  </si>
  <si>
    <t>Critical Design Review (CDR)</t>
  </si>
  <si>
    <t>Critical design</t>
  </si>
  <si>
    <t>End of Phase C.</t>
  </si>
  <si>
    <t>Manufacturing Readiness Review (MRR)</t>
  </si>
  <si>
    <t>Mid-MAIT manufacturing readiness checkpoint.</t>
  </si>
  <si>
    <t>Pre-Ship Review of Systems to Prime (PSR)</t>
  </si>
  <si>
    <t>Integration readiness</t>
  </si>
  <si>
    <t>~6 months before launch.</t>
  </si>
  <si>
    <t>Integrated Instrument Suite Functional Test Complete</t>
  </si>
  <si>
    <t>Functional test</t>
  </si>
  <si>
    <t>Ahead of System Integration Review.</t>
  </si>
  <si>
    <t>System Integration Review (SIR)</t>
  </si>
  <si>
    <t>Bus integration</t>
  </si>
  <si>
    <t>Instrument integration</t>
  </si>
  <si>
    <t>ORCA integrated onto partner-agency orbiter bus.</t>
  </si>
  <si>
    <t>Acceptance Review (AR)</t>
  </si>
  <si>
    <t>Flight acceptance</t>
  </si>
  <si>
    <t>~3 months before launch.</t>
  </si>
  <si>
    <t>Flight Software and Autonomy Verification Complete</t>
  </si>
  <si>
    <t>Autonomy and fault-management software verified.</t>
  </si>
  <si>
    <t>Total</t>
  </si>
  <si>
    <t>Pre-Ship Review – Spacecraft to Launch Site</t>
  </si>
  <si>
    <t>Bus checkout</t>
  </si>
  <si>
    <t>Before shipment to launch site.</t>
  </si>
  <si>
    <t>Launch</t>
  </si>
  <si>
    <t>End of Phase D; Jupiter gravity-assist trajectory.</t>
  </si>
  <si>
    <t>Commissioning Review (CR)</t>
  </si>
  <si>
    <t>Instrument checkout</t>
  </si>
  <si>
    <t>Post-launch systems checkout, ~2 weeks after launch.</t>
  </si>
  <si>
    <t>Start of Nominal Operations</t>
  </si>
  <si>
    <t>Plume sampling begins</t>
  </si>
  <si>
    <t>Start of Phase E.</t>
  </si>
  <si>
    <t>End of Nominal Operations</t>
  </si>
  <si>
    <t>End of Phase E; 4-year prime science mission.</t>
  </si>
  <si>
    <t>End of Life / Disposal Operations Complete</t>
  </si>
  <si>
    <t>End of Phase X; optional mission extension.</t>
  </si>
  <si>
    <t>ORCA Milestone Reference</t>
  </si>
  <si>
    <t>Realistic Date</t>
  </si>
  <si>
    <t>Purpose</t>
  </si>
  <si>
    <t>Mission concept baseline</t>
  </si>
  <si>
    <t>Requirements baseline</t>
  </si>
  <si>
    <t>Programmatic baseline update</t>
  </si>
  <si>
    <t>Interface control document finalized</t>
  </si>
  <si>
    <t>Preliminary design maturity</t>
  </si>
  <si>
    <t>Instrument suite qualification</t>
  </si>
  <si>
    <t>Design baseline approval</t>
  </si>
  <si>
    <t>Manufacturing readiness</t>
  </si>
  <si>
    <t>Transfer readiness</t>
  </si>
  <si>
    <t>Functional test readiness</t>
  </si>
  <si>
    <t>Integrated system readiness</t>
  </si>
  <si>
    <t>Software verification</t>
  </si>
  <si>
    <t>Launch-site readiness</t>
  </si>
  <si>
    <t>Commissioning complete</t>
  </si>
  <si>
    <t>Plume-sampling operations begin</t>
  </si>
  <si>
    <t>Nominal mission complete</t>
  </si>
  <si>
    <t>Mission closeout</t>
  </si>
  <si>
    <t xml:space="preserve">Costing CSA Ground Rules &amp; Assumptions template </t>
  </si>
  <si>
    <t>Last review</t>
  </si>
  <si>
    <t>ID</t>
  </si>
  <si>
    <t>Catégorie</t>
  </si>
  <si>
    <t>Category</t>
  </si>
  <si>
    <t>Sub-category</t>
  </si>
  <si>
    <t>Items</t>
  </si>
  <si>
    <t>GR or A</t>
  </si>
  <si>
    <t>Title</t>
  </si>
  <si>
    <t>Description</t>
  </si>
  <si>
    <t>CBS # linked to GR&amp;A</t>
  </si>
  <si>
    <t>Impact on Project</t>
  </si>
  <si>
    <t>Impact on costing, methodology, models, tools &amp; analysis</t>
  </si>
  <si>
    <t xml:space="preserve">Excepted source </t>
  </si>
  <si>
    <t>Do not delete</t>
  </si>
  <si>
    <t>Source/Link</t>
  </si>
  <si>
    <t xml:space="preserve">Other rational </t>
  </si>
  <si>
    <t xml:space="preserve">Waiver deviation </t>
  </si>
  <si>
    <t>Hypothèses Programmatiques</t>
  </si>
  <si>
    <t>Strategy Naratives</t>
  </si>
  <si>
    <t>Objectifs politiques et stratégiques</t>
  </si>
  <si>
    <t>Alignement sur la stratégie de l’ASC</t>
  </si>
  <si>
    <t>Business Case et/ou CADRE Part C onglet CM list</t>
  </si>
  <si>
    <t>Strategy</t>
  </si>
  <si>
    <t>Contraintes gouvernementales ou directives de haut niveau</t>
  </si>
  <si>
    <t>Type de mission : Flagship, LargeSat, SmallSat, NanoSat, Hosted Payload, Data stream partnership, data stream purchase</t>
  </si>
  <si>
    <t>CADRE Part A</t>
  </si>
  <si>
    <t>CADRE Part A ou contants</t>
  </si>
  <si>
    <t>Disciplines et secteur : SatCom, Astronomie, exploration spatiale,...</t>
  </si>
  <si>
    <t>Dépendances avec d'autres projets/missions</t>
  </si>
  <si>
    <t>Budget global et financement</t>
  </si>
  <si>
    <t>Soumission au Conseil du Tésor (TBSub) - But de l'exercice de costing : Budget Ask, Reprofiling,… Définir le nombre de TBSub + échéancier associé aux TBSub</t>
  </si>
  <si>
    <t xml:space="preserve">CADRE Part C onglet Stratégie contractuelle  </t>
  </si>
  <si>
    <t xml:space="preserve">Enveloppe de la masse salariale </t>
  </si>
  <si>
    <t>CADRE Part C onglet RAM</t>
  </si>
  <si>
    <t>Enveloppe des frais de gestion et plan de voyages</t>
  </si>
  <si>
    <t>CADRE Part C onglet Overhead Costs</t>
  </si>
  <si>
    <t>Costign Plan</t>
  </si>
  <si>
    <t xml:space="preserve">Méthodologie d'établissement des coûts </t>
  </si>
  <si>
    <t>Plan de l’exercice d’établissement des coûts</t>
  </si>
  <si>
    <t>Costing Plan</t>
  </si>
  <si>
    <t>Note de réflexion supplémentaire</t>
  </si>
  <si>
    <t>Au moins 2 façon différentes pour chaque incluant RAM</t>
  </si>
  <si>
    <t>Plan de l’exercice d’établissement des coûts - Méthodologies</t>
  </si>
  <si>
    <t>Analyse de sensibilité</t>
  </si>
  <si>
    <t>À compléter par Finance</t>
  </si>
  <si>
    <t xml:space="preserve"> Sufficiency Report or Independent Cost Estimate or Independent Cost Review </t>
  </si>
  <si>
    <t>Analogie (nearest neighboors), lesquels.</t>
  </si>
  <si>
    <t>Analyse paramétrique (True planning, PCEC, NCIM, SEER, Compact). CER Calibration Plan.</t>
  </si>
  <si>
    <t>Soumission de l'industrie et jugement d'expert</t>
  </si>
  <si>
    <t>Analyse Monte Carlo (crystal ball)</t>
  </si>
  <si>
    <t>Bottom up, qui le fait et comment</t>
  </si>
  <si>
    <t xml:space="preserve">Learning curves </t>
  </si>
  <si>
    <t>RASCI =  qui fait quoi. bottom up = Plan de l’exercice d’établissement des coûts</t>
  </si>
  <si>
    <t xml:space="preserve">Inducteurs de coûts princicaux </t>
  </si>
  <si>
    <t>CADRE Part C onglet CER &amp; Tools</t>
  </si>
  <si>
    <t xml:space="preserve">Normalisation ( Stochométrie) - si applicable </t>
  </si>
  <si>
    <t>le choix de l'outil dicte CADRE part B qui collecte info pour l'analyse paramétrique</t>
  </si>
  <si>
    <t>Tracabilité - accès aux sources - répertoires normalisés -liens</t>
  </si>
  <si>
    <t>Stratégie de financement</t>
  </si>
  <si>
    <t>Limitation des coûts :  Par exemple, les sources de financement instables, les contraintes de personnel ou un budget à ne pas dépasser devraient être documentés.</t>
  </si>
  <si>
    <t xml:space="preserve">Enveloppe Services internes - O&amp;M et RAM </t>
  </si>
  <si>
    <t>CADRE Part C onglet Services internes</t>
  </si>
  <si>
    <t>OBS</t>
  </si>
  <si>
    <t>Partenariats (OGD, internationaux, industriels)</t>
  </si>
  <si>
    <t>Rôles et responsabilités des principaux partenaires (agences spatiales, industriels, universités et autres ministères)</t>
  </si>
  <si>
    <t>CADRE Part C onglet OBS</t>
  </si>
  <si>
    <t>Modalités de partage des coûts et des risques</t>
  </si>
  <si>
    <t>CADRE Part C onglet OBS - Cost Sharing provisions</t>
  </si>
  <si>
    <t>Si applicable, dépenses éligibles de l'OTAN</t>
  </si>
  <si>
    <t>À définir ici</t>
  </si>
  <si>
    <t>8. Economic Constants and short answers</t>
  </si>
  <si>
    <t>Gouvernance et autorités</t>
  </si>
  <si>
    <t>Ordre de grandeur général du projet (petit, moyen, grand, flagship)</t>
  </si>
  <si>
    <t>CERCES scale</t>
  </si>
  <si>
    <t>Constants</t>
  </si>
  <si>
    <t>Nature of the costing perimeter (degree of difficulty of costing exercise)</t>
  </si>
  <si>
    <t>Palier/ Tier</t>
  </si>
  <si>
    <t>PCRA</t>
  </si>
  <si>
    <t>Milestone Register</t>
  </si>
  <si>
    <t>Point de décision</t>
  </si>
  <si>
    <t>CADRE Part C - onglet Phasing Model</t>
  </si>
  <si>
    <t>Costing Exercise Schedule and associated milestones - Costing Plan, Internal WebReport Dashboard and power BI dashboard for CLAD</t>
  </si>
  <si>
    <t>Hypothèses Financières</t>
  </si>
  <si>
    <t>8. Inflation Model</t>
  </si>
  <si>
    <t>Indices économiques et inflation</t>
  </si>
  <si>
    <t>Taux d’inflation annuel, indice utilisé (IPC, indice sectoriel), taux de déflation</t>
  </si>
  <si>
    <t>Inflation Model dans son propre document - Oracle db ID</t>
  </si>
  <si>
    <t>Inflation Model</t>
  </si>
  <si>
    <t>Taux EBP 27%</t>
  </si>
  <si>
    <t>Financial Constants Reports  - CSA-FIN-RPT-XXXX rev 3</t>
  </si>
  <si>
    <t>Modèle d'inflation appliqué</t>
  </si>
  <si>
    <t xml:space="preserve">Année de base / Base year </t>
  </si>
  <si>
    <t>SSC 4%</t>
  </si>
  <si>
    <t>PSPC 13%</t>
  </si>
  <si>
    <t xml:space="preserve">Taux du Fairness Monitor </t>
  </si>
  <si>
    <t>Taux de change</t>
  </si>
  <si>
    <t>Monnaies concernées et valeur de référence (CAD, USD, EUR, etc.)</t>
  </si>
  <si>
    <t>Seuil de variation accepté avant révision budgétaire</t>
  </si>
  <si>
    <t>Defined in constnats, used in risk analysis. risk reserve - Risk register</t>
  </si>
  <si>
    <t>Contingence et marges de sécurité</t>
  </si>
  <si>
    <t>Pourcentage de contingence sur le coût total du projet (p. ex. 10 à 20 %)</t>
  </si>
  <si>
    <t>Defined in constnats, used in risk analysis. risk register  onglet. Unknown-Unknown Risk margin</t>
  </si>
  <si>
    <t>Barème d’évaluation des risques majeurs pour justifier la marge appliquée (modèle d’analyse de risques)</t>
  </si>
  <si>
    <t xml:space="preserve">À définir ici </t>
  </si>
  <si>
    <t>Je ne comprends pas la question</t>
  </si>
  <si>
    <t>Procurement Plan</t>
  </si>
  <si>
    <t>Stratégie contractuelle, coûts de main-d’œuvre et de sous-traitance</t>
  </si>
  <si>
    <t>Sunk Costs Report (STDP, EOADP, Cap Demo, Stedia FAST, ESA Program, Cubesats, space hub, Pre-Phase 0 etc)</t>
  </si>
  <si>
    <t>CADRe part C - Expenditure plan</t>
  </si>
  <si>
    <t>Stratégie contractuel Phase 0/A - 1 / 2 contrats</t>
  </si>
  <si>
    <t xml:space="preserve">CADRe Part C - Procurement strategy </t>
  </si>
  <si>
    <t>Nombre de contrats et valeur approximative prévus par phase</t>
  </si>
  <si>
    <t>CADRe Part C - Procurement Plan (list)</t>
  </si>
  <si>
    <t>Contrats en parallèle avec des concepts différents et un down select</t>
  </si>
  <si>
    <t>Agile ou waterfall</t>
  </si>
  <si>
    <t>STDP ou CapDemo en même temps que la phase 0 ou A</t>
  </si>
  <si>
    <t xml:space="preserve">Les fournisseurs attendus et leur capacite de production </t>
  </si>
  <si>
    <t>Type de SOW - SOW directif versus une architecture de mission proposée par le fournisseur</t>
  </si>
  <si>
    <t>Freedom of Design of Vendor</t>
  </si>
  <si>
    <t>CADRE Part C onglet OBS Maturité orgnisationelle du fourniseur</t>
  </si>
  <si>
    <t xml:space="preserve">Types de contrat – source unique ou compétitif (Contrat dirigé en Phase E ops aura une incidence sur le design du ground segment) </t>
  </si>
  <si>
    <t>Types de contrat – cout remboursable ou prix ferme</t>
  </si>
  <si>
    <t>Type de contrat: gonogo, options, milestones in April for CAFÉ</t>
  </si>
  <si>
    <t>Split next line into 2</t>
  </si>
  <si>
    <t>12 - Dispose, Divest, Descope, Delay</t>
  </si>
  <si>
    <t>Gestion du scope change et des risques dans chaque situation : cout remboursable (TA, options, gouvernance) ; prix ferme (descope, go no go, qualité du SOW a décrire le scope)</t>
  </si>
  <si>
    <t>Descope est dans DDD</t>
  </si>
  <si>
    <t>DDDD</t>
  </si>
  <si>
    <t>G&amp;C (cassiope ou radarsat 2) nous appartient pas</t>
  </si>
  <si>
    <t>Business model (CADRe part A) et le procurement strategy le repete</t>
  </si>
  <si>
    <t xml:space="preserve">incitatif commercial (ex. modele de commercialization comme a prior mission) </t>
  </si>
  <si>
    <t>Pour chaque phase et sous-systeme majeur -  CSA led, industry led, academia led (ex. En Phase E, CSA va mener les operations)</t>
  </si>
  <si>
    <t>Competitif - ouvert a l'international</t>
  </si>
  <si>
    <t>Competitif - ouvert au Canada</t>
  </si>
  <si>
    <t>Fausse competition</t>
  </si>
  <si>
    <t>monopole</t>
  </si>
  <si>
    <t>Dependences : Le fournisseur X doit etre le meme fournisseur que le fournisseur Y (Ex. Data processing handled by same supplier)</t>
  </si>
  <si>
    <t>Long lead Item - flux de trésorie en capital vs contrat vs échéancier</t>
  </si>
  <si>
    <t>CADRE Part C onglet QUANTITIES - LLI, spares, EM, PFM, RE-NRE</t>
  </si>
  <si>
    <t>Contenu Canadien</t>
  </si>
  <si>
    <t>Chaque contrat couvre quel partie du travail, liste d'inclusions et exclusions. List of inclusions and exclusions</t>
  </si>
  <si>
    <t>CBS Dictionary</t>
  </si>
  <si>
    <t>GFE and GFS (ex. DFL)</t>
  </si>
  <si>
    <t>Frais de transport et responsabilité</t>
  </si>
  <si>
    <t>Frais d'assurance et limitation de responsabilité</t>
  </si>
  <si>
    <t>Qualité du SOW</t>
  </si>
  <si>
    <t>RISK posture</t>
  </si>
  <si>
    <t>Stabilité des exigences. Par exemple, des exigences très instables, un nombre standard de demandes de modification technique, des exigences stables avec peu ou pas de changements attendus, etc.</t>
  </si>
  <si>
    <t>Résultats du RFI</t>
  </si>
  <si>
    <t>Procurement strategy</t>
  </si>
  <si>
    <t>Stratégie contractuelle Phase BCD - Concurrentiel, source unique (voir note de réflexion du point 2.4.1)</t>
  </si>
  <si>
    <t>Stratégie contractuelle Phase EF - Concurrentiel, source unique (voir note de réflexion du point 2.4.1)</t>
  </si>
  <si>
    <t>Capacité du vendeur dans le marché actuel, surcharge contractuel, effectif disponible</t>
  </si>
  <si>
    <t>OBS Maturité orgnisationelle du fourniseur</t>
  </si>
  <si>
    <t>Taux standard pour les ingénieurs, techniciens, gestionnaires, etc.</t>
  </si>
  <si>
    <t>Taux spécifiques pour les consultants ou experts externes</t>
  </si>
  <si>
    <t>Barème pour les appels d’offres et la sous-traitance (plafonds, politiques internes)</t>
  </si>
  <si>
    <t>Taux de frais et de profit appliqué au contrat</t>
  </si>
  <si>
    <t>Risk Register</t>
  </si>
  <si>
    <t>Plan de gestion des risques financiers</t>
  </si>
  <si>
    <t>Existence d’une réserve pour risques identifiés (p. ex. volatilité du marché, retards de paiement)</t>
  </si>
  <si>
    <t>Registre de risque</t>
  </si>
  <si>
    <t xml:space="preserve">Descope Plan and other strategies to deal with funding shortfalls, </t>
  </si>
  <si>
    <t>À définir ici et lié au CADRE Part C - onglet DDDD</t>
  </si>
  <si>
    <t>Source of funding for each CBS element and Risk to A-Base</t>
  </si>
  <si>
    <t>Expenditure plan</t>
  </si>
  <si>
    <t xml:space="preserve">Taxes </t>
  </si>
  <si>
    <t>Pays, province et taux de taxes applicables</t>
  </si>
  <si>
    <t>Hypothèses Techniques (Space &amp; Ground Segment)</t>
  </si>
  <si>
    <t>TRRA</t>
  </si>
  <si>
    <t>Technologie et niveau de maturité (TRL)</t>
  </si>
  <si>
    <t>TRL initial prévu pour les composants clés</t>
  </si>
  <si>
    <t>CADRE Part C onglet TRL</t>
  </si>
  <si>
    <t>TRL</t>
  </si>
  <si>
    <t>Objectifs de TRL à atteindre pour chaque phase du projet</t>
  </si>
  <si>
    <t>4a. CBS and CBS Dictionary</t>
  </si>
  <si>
    <t xml:space="preserve">Sous-systèmes et architecture globale </t>
  </si>
  <si>
    <t>Liste et description des principaux sous-systèmes (structure, propulsion, contrôle d’attitude, communication, etc.)</t>
  </si>
  <si>
    <t>CBS</t>
  </si>
  <si>
    <t>Interfaces critiques (par ex. protocole de communication, alignement mécanique)</t>
  </si>
  <si>
    <t>TRL assessment tab - worry list</t>
  </si>
  <si>
    <t>This ground rule should state, at a high level, what is within scope of the estimate. For example, an estimate may cover the space segment, ground segment, and government oversight during phases B, C and D. Further clarification should be given if required, such as refurbishment of the ground segment rather than complete rebuild.</t>
  </si>
  <si>
    <t>Perimeter of costing exercise. Further Claraifications in CBs dictionary</t>
  </si>
  <si>
    <t>Durée de vie du projet et cycles de développement</t>
  </si>
  <si>
    <t>Stratégie de validation (modèles d’ingénierie, prototypes, simulations)</t>
  </si>
  <si>
    <t>Quantities</t>
  </si>
  <si>
    <t>Méthodes d’essais en environnement (thermique, vibration, vide, etc.)</t>
  </si>
  <si>
    <t>This assumption should state the expected build approach for the mission. For example, the bus/platform and payloads could be built in series or parallel.</t>
  </si>
  <si>
    <t>This assumption should state the cost improvement curve, as a percentile, for any items to be acquired with more than a single unit. If appropriate, items should be marked as Xth unit within a lot, such as the 8th unit, to allow for cost improvement curve theory to be reflected.</t>
  </si>
  <si>
    <t>Engineering Parameters in CADRe part B</t>
  </si>
  <si>
    <t>Contraintes techniques spécifiques</t>
  </si>
  <si>
    <t>Estimation de masse et de volume du système</t>
  </si>
  <si>
    <t>CADRE part B</t>
  </si>
  <si>
    <t>Consommation électrique maximale</t>
  </si>
  <si>
    <t>Besoins minimaux pour assurer la fiabilité</t>
  </si>
  <si>
    <t>Hypothèses Qualité, Fiabilité et Sécurité</t>
  </si>
  <si>
    <t>Normes et standards de qualité</t>
  </si>
  <si>
    <t>ECSS-Q-ST-20, ISO 9001, etc.</t>
  </si>
  <si>
    <t>Méthodes d’assurance qualité (revues, audits internes et externes)</t>
  </si>
  <si>
    <t>Safety and mission assurance</t>
  </si>
  <si>
    <t xml:space="preserve">Classe de Mission </t>
  </si>
  <si>
    <t>La mesure de la surveillance et de la rigueur appliquées par la CSA</t>
  </si>
  <si>
    <t>Hypothèses Opérationnelles</t>
  </si>
  <si>
    <t>RAM</t>
  </si>
  <si>
    <t>Ressources humaines et expertise</t>
  </si>
  <si>
    <t>Équipe de base (ETP internes) et besoins en personnel spécialisé externe</t>
  </si>
  <si>
    <t>Disponibilité du personnel et plan de montée en compétence</t>
  </si>
  <si>
    <t>Calendrier, jalons et ressources temporelles</t>
  </si>
  <si>
    <t>Dates clés (ex. PDR – Preliminary Design Review, CDR – Critical Design Review, FRR – Flight Readiness Review) / Project Milestone Register (short report, detailed report)</t>
  </si>
  <si>
    <t>milestone Register</t>
  </si>
  <si>
    <t>Diagram of Phase Overlaps and Gaps</t>
  </si>
  <si>
    <t>we draw it form phasing</t>
  </si>
  <si>
    <t>GANTT Charts</t>
  </si>
  <si>
    <t>Schedule Constraints and Dependencies</t>
  </si>
  <si>
    <t>Marges pour délais</t>
  </si>
  <si>
    <t>Phasing Model, phases</t>
  </si>
  <si>
    <t>Schedule Constraints</t>
  </si>
  <si>
    <t>Gestion des retards : conditions de replanification, procédures d’escalade</t>
  </si>
  <si>
    <t>Phasing Schedules</t>
  </si>
  <si>
    <t>Modèle de phase utilisé pour analyse de sensibilité (Phasing Model)</t>
  </si>
  <si>
    <t>Phasing model (for risk analysis)</t>
  </si>
  <si>
    <t xml:space="preserve">Échéancier de l'industrie </t>
  </si>
  <si>
    <t>Schedule Scenarios for sensitivity analysis : Adjust Durations - optimistic, pessimistic and expected</t>
  </si>
  <si>
    <t>Planification des infrastructures et installations</t>
  </si>
  <si>
    <t>Is DFL being used as GFE</t>
  </si>
  <si>
    <t>DFL being used? Strategy</t>
  </si>
  <si>
    <t>Lieux de développement, sites d’intégration et de test (chambres à vide, bancs de test)</t>
  </si>
  <si>
    <t>CBS Dictionary - Ground Segment - Test facilities</t>
  </si>
  <si>
    <t>Disponibilité des installations (ex. créneaux de test partagés avec d’autres projets)</t>
  </si>
  <si>
    <t>schedule risk =  risk register -&gt; pessimistic schedule model</t>
  </si>
  <si>
    <t>Gestion de la logistique et de la chaîne d’approvisionnement</t>
  </si>
  <si>
    <t>Délai de livraison des composants critiques (satellites, propulseurs, éléments électroniques)</t>
  </si>
  <si>
    <t>Plans de contingence en cas de rupture d’approvisionnement</t>
  </si>
  <si>
    <t>CADRE Part C onglet DDDD - dispose, descope, divest, delay</t>
  </si>
  <si>
    <t>Plan de gestion de mission (SatOps)</t>
  </si>
  <si>
    <t>Description des opérations prévues : phases de lancement, mise à l’orbite, opérations nominales, etc.</t>
  </si>
  <si>
    <t>Cadre part A</t>
  </si>
  <si>
    <t>Mode de supervision et contrôle (centres de contrôle, horaires, équipes)</t>
  </si>
  <si>
    <t>Cadre Part A</t>
  </si>
  <si>
    <t>Mission Operation Center</t>
  </si>
  <si>
    <t>GoC Science Operation Centers (SOCs)</t>
  </si>
  <si>
    <t>External Science Operation Centers (ESOCs)</t>
  </si>
  <si>
    <t>Hypothèses sur la science</t>
  </si>
  <si>
    <t>Science et applications</t>
  </si>
  <si>
    <t>Échéancier lié au volet de science du projet</t>
  </si>
  <si>
    <t>Expected cost of science utilization related to the mission.</t>
  </si>
  <si>
    <t>Portée de la mission sur le milieu public et académique</t>
  </si>
  <si>
    <t>Coût en lien avec la portée de la mission</t>
  </si>
  <si>
    <t>Hypothèses Lancement</t>
  </si>
  <si>
    <t>Véhicule de lancement</t>
  </si>
  <si>
    <t>Sélection du lanceur (ex. Falcon 9, Ariane, etc.) ou fenêtre de lancement partagée</t>
  </si>
  <si>
    <t>Capacités du lanceur (masse, volume, orbite cible)</t>
  </si>
  <si>
    <t>Cadre part A un petit peu et le reste dans le LV database CM list</t>
  </si>
  <si>
    <t>Calendrier de lancement</t>
  </si>
  <si>
    <t>Fenêtres de lancement disponibles (contraintes de météo, alignement orbital, etc.)</t>
  </si>
  <si>
    <t>Schedule assumptions and constraints for JCL Analysis</t>
  </si>
  <si>
    <t>Contingences pour reports éventuels</t>
  </si>
  <si>
    <t>Contrat et services associés</t>
  </si>
  <si>
    <t>Responsabilités du fournisseur de lancement (intégration, tests, qualification)</t>
  </si>
  <si>
    <t>OBS (roles et responsiblity) - CSa qui paye ou MDa qui paye</t>
  </si>
  <si>
    <t>Assurances (couverture du satellite, du lanceur, etc.)</t>
  </si>
  <si>
    <t>CBS Dictionary - if insurance</t>
  </si>
  <si>
    <t xml:space="preserve">Hypothèses Opérations en orbite </t>
  </si>
  <si>
    <t>Mode opératoire</t>
  </si>
  <si>
    <t>Gestion du satellite ou rover (téléopération vs. autonomie)</t>
  </si>
  <si>
    <t>Durée et fréquence des communications</t>
  </si>
  <si>
    <t>CADRE Part B</t>
  </si>
  <si>
    <t>Maintenance, réparations et évolutions</t>
  </si>
  <si>
    <t>Possibilité ou non de mise à jour logicielle en vol (OTA updates)</t>
  </si>
  <si>
    <t>CADRE part A - Bus FSW section</t>
  </si>
  <si>
    <t xml:space="preserve">Stratégiques de réparation ou d’assistance robotique </t>
  </si>
  <si>
    <t>CADRE part A - does it have any robotic repair interfaces</t>
  </si>
  <si>
    <t>Fin de mission et désorbitation</t>
  </si>
  <si>
    <t>Scénario de désorbitation contrôlée ou passivation (réservoirs, batteries)</t>
  </si>
  <si>
    <t>Dépôt sur orbite-cimetière pour le matériel en fin de vie (si admissible)</t>
  </si>
  <si>
    <t>Flux de documentation et reporting</t>
  </si>
  <si>
    <t>Fréquence des rapports d’avancement (hebdomadaires, mensuels)</t>
  </si>
  <si>
    <t>Classifications et diffusion</t>
  </si>
  <si>
    <t>Niveau de confidentialité (projet public, secret défense, propriété intellectuelle)</t>
  </si>
  <si>
    <t>Politiques de publication ou de diffusion des résultats</t>
  </si>
  <si>
    <t>À définir ici et/ou Business Case</t>
  </si>
  <si>
    <t>Hypothèses Légales, Réglementaires et Sécuritaires</t>
  </si>
  <si>
    <t>Réglementations gouvernementales</t>
  </si>
  <si>
    <t>Exigences fédérales (agences spatiales, ministères, etc.)</t>
  </si>
  <si>
    <t>Normes internationales (ECSS, ISO, NASA, CSA, etc.)</t>
  </si>
  <si>
    <t>Règles et régulations afférentes</t>
  </si>
  <si>
    <t>Contrôle à l’exportation (ex. ITAR, EAR)</t>
  </si>
  <si>
    <t>Identification des composants ou technologies soumis à licences</t>
  </si>
  <si>
    <t>Implications sur la gestion des fournisseurs et des partenaires étrangers</t>
  </si>
  <si>
    <t>Sécurité et sûreté</t>
  </si>
  <si>
    <t>Mesures de cybersécurité (protection des données, des communications, etc.)</t>
  </si>
  <si>
    <t>Exigences de sûreté pour le personnel et les installations (accès restreints, habilitations)</t>
  </si>
  <si>
    <t>Droit spatial et aspects juridiques</t>
  </si>
  <si>
    <t>Propriété et exploitation des données spatiales</t>
  </si>
  <si>
    <t>Protocole en cas de débris spatiaux, en fin de vie du satellite</t>
  </si>
  <si>
    <t>Propriété intellectuelle</t>
  </si>
  <si>
    <t xml:space="preserve">Propriété intellectuel en lien avec le projet - enjeux </t>
  </si>
  <si>
    <t>Hypothèses Environnementales</t>
  </si>
  <si>
    <t>Gestion des débris spatiaux</t>
  </si>
  <si>
    <t>Respect des lignes directrices d’atténuation des débris (liaisons, désorbitation en fin de vie)</t>
  </si>
  <si>
    <t>Méthodes envisagées pour minimiser la pollution orbitale</t>
  </si>
  <si>
    <t>Green space</t>
  </si>
  <si>
    <t>Impacts environnementaux terrestres</t>
  </si>
  <si>
    <t>Contrôle des émissions lors du lancement (polluants, bruit, etc.)</t>
  </si>
  <si>
    <t>CADRE Part C onglet Green Space</t>
  </si>
  <si>
    <t>Green Space</t>
  </si>
  <si>
    <t>Politique de recyclage ou de réutilisation des composants</t>
  </si>
  <si>
    <t>Hypothèses sur le risques</t>
  </si>
  <si>
    <t xml:space="preserve">Risques </t>
  </si>
  <si>
    <t>Risque du Projet Phase A à D</t>
  </si>
  <si>
    <t>Risque du Projet Phase E</t>
  </si>
  <si>
    <t>Risque du Projet Phase F</t>
  </si>
  <si>
    <t>Risque Science</t>
  </si>
  <si>
    <t>Risque Salaire</t>
  </si>
  <si>
    <t>Schedule Risk Assessment file (ms project) as input to the Joint Cost and Schedule Confidence Analysis Report</t>
  </si>
  <si>
    <t>Aspect critique de la mission et impact si la mission n'est pas respectée</t>
  </si>
  <si>
    <t>minimum mission success criteria - DRM - CADRE part C Taxon</t>
  </si>
  <si>
    <t>Hypothèse sur les mesures de performance par la valeur acquise</t>
  </si>
  <si>
    <t>CADRe part D - EVM</t>
  </si>
  <si>
    <t>Mesures de performance par la valeur acquise (EVM = Earn Value Management)</t>
  </si>
  <si>
    <t>Seuil orange et rouge pour EVM justifiant une réduction de la portée, une replanification</t>
  </si>
  <si>
    <t>pas dans ce fichier, pas avant PDR</t>
  </si>
  <si>
    <t>9 - RAM LoE Inputs</t>
  </si>
  <si>
    <t>Why we are asking:</t>
  </si>
  <si>
    <t>To capture the ORCA project's Resource Allocation Matrix: every position on the team, its classification, and its Level of Effort (LoE) as a fraction of full-time equivalent (FTE) by mission phase. Rate is looked up from 'Labour Rates lookup' by Classification, and the fiscal-year \$ columns are computed self-contained on this sheet from LoE x rate x schedule-phase-month overlap (see '3 - Phase Durations'). EBP and inflation figures are illustrative placeholders.</t>
  </si>
  <si>
    <t>RAM Scenario ID</t>
  </si>
  <si>
    <t>Nominal RAM</t>
  </si>
  <si>
    <t>The baseline RAM used for ORCA's staffing plan.</t>
  </si>
  <si>
    <t>Derived from the ORCA instrument suite WBS/CBS and the Phase Durations schedule.</t>
  </si>
  <si>
    <t>Source Doc</t>
  </si>
  <si>
    <t>N/A - illustrative, pending confirmed CSA staffing plan</t>
  </si>
  <si>
    <t>Defaults</t>
  </si>
  <si>
    <t>Provided by PM</t>
  </si>
  <si>
    <t>LoE as % of one FTE, by phase (PM input)</t>
  </si>
  <si>
    <t>Rates tab</t>
  </si>
  <si>
    <t>FTE per fiscal year, calculated from '3 - Phase Durations' and the phase LoE on the left</t>
  </si>
  <si>
    <t>Row Num</t>
  </si>
  <si>
    <t>Agency / Dep't</t>
  </si>
  <si>
    <t>Team</t>
  </si>
  <si>
    <t>Skillset Group</t>
  </si>
  <si>
    <t>Skillset</t>
  </si>
  <si>
    <t>Title - Role</t>
  </si>
  <si>
    <t>Additional Labels</t>
  </si>
  <si>
    <t>Branch</t>
  </si>
  <si>
    <t>Directorate</t>
  </si>
  <si>
    <t>Employee Name</t>
  </si>
  <si>
    <t>Position No</t>
  </si>
  <si>
    <t>New or Existing</t>
  </si>
  <si>
    <t>Classification</t>
  </si>
  <si>
    <t>Echelon</t>
  </si>
  <si>
    <t>Math Model</t>
  </si>
  <si>
    <t>Funding Source</t>
  </si>
  <si>
    <t>Rate ($)</t>
  </si>
  <si>
    <t>Total (FTE-yrs)</t>
  </si>
  <si>
    <t>CSA</t>
  </si>
  <si>
    <t>Project Team</t>
  </si>
  <si>
    <t>Project Manager</t>
  </si>
  <si>
    <t>Portfolio Manager</t>
  </si>
  <si>
    <t>Program Office</t>
  </si>
  <si>
    <t>Space Exploration</t>
  </si>
  <si>
    <t>Program Management</t>
  </si>
  <si>
    <t>Alan Whitfield</t>
  </si>
  <si>
    <t>ORCA-PM-001</t>
  </si>
  <si>
    <t>Existing</t>
  </si>
  <si>
    <t>EN-ENG-6</t>
  </si>
  <si>
    <t>Max Echelon</t>
  </si>
  <si>
    <t>Labour Rates</t>
  </si>
  <si>
    <t>FF-CSA</t>
  </si>
  <si>
    <t>Mission Management</t>
  </si>
  <si>
    <t>ORCA Mission Manager</t>
  </si>
  <si>
    <t>Marie Tremblay</t>
  </si>
  <si>
    <t>ORCA-PM-002</t>
  </si>
  <si>
    <t>PC-4</t>
  </si>
  <si>
    <t>Scientific</t>
  </si>
  <si>
    <t>Mission Ops</t>
  </si>
  <si>
    <t>Mission Operations Scientist</t>
  </si>
  <si>
    <t>Planetary Science</t>
  </si>
  <si>
    <t>Devon Okafor</t>
  </si>
  <si>
    <t>ORCA-SCI-001</t>
  </si>
  <si>
    <t>New</t>
  </si>
  <si>
    <t>PC-3</t>
  </si>
  <si>
    <t>Lead Project Manager</t>
  </si>
  <si>
    <t>Priya Raman</t>
  </si>
  <si>
    <t>ORCA-PM-003</t>
  </si>
  <si>
    <t>EN-ENG-5</t>
  </si>
  <si>
    <t>Deputy Project Manager</t>
  </si>
  <si>
    <t>Étienne Lacroix</t>
  </si>
  <si>
    <t>ORCA-PM-004</t>
  </si>
  <si>
    <t>EN-ENG-4</t>
  </si>
  <si>
    <t>Planning</t>
  </si>
  <si>
    <t>Project Management Engineer</t>
  </si>
  <si>
    <t>Grace Lindqvist</t>
  </si>
  <si>
    <t>ORCA-PM-005</t>
  </si>
  <si>
    <t>Cost &amp; Schedule</t>
  </si>
  <si>
    <t>Schedule and Cost Management Engineer</t>
  </si>
  <si>
    <t>Samuel Boucher</t>
  </si>
  <si>
    <t>ORCA-PM-006</t>
  </si>
  <si>
    <t>Systems</t>
  </si>
  <si>
    <t>Lead Spacecraft Systems Engineer</t>
  </si>
  <si>
    <t>Instrument Suite</t>
  </si>
  <si>
    <t>Engineering</t>
  </si>
  <si>
    <t>Naomi Fitzgerald</t>
  </si>
  <si>
    <t>ORCA-SE-001</t>
  </si>
  <si>
    <t>Spacecraft Systems Engineer</t>
  </si>
  <si>
    <t>Kevin Anand</t>
  </si>
  <si>
    <t>ORCA-SE-002</t>
  </si>
  <si>
    <t>Speciality Engineer</t>
  </si>
  <si>
    <t>GNC</t>
  </si>
  <si>
    <t>Instrument Pointing / GNC Engineer</t>
  </si>
  <si>
    <t>Isabelle Roy</t>
  </si>
  <si>
    <t>ORCA-GNC-001</t>
  </si>
  <si>
    <t>Robotics</t>
  </si>
  <si>
    <t>Sampling Arm (ISA) Systems Engineer (Option C)</t>
  </si>
  <si>
    <t>Marcus Delgado</t>
  </si>
  <si>
    <t>ORCA-ISA-001</t>
  </si>
  <si>
    <t>S&amp;MA</t>
  </si>
  <si>
    <t>Safety and Mission Assurance Engineer</t>
  </si>
  <si>
    <t>Fatima Haidari</t>
  </si>
  <si>
    <t>ORCA-SMA-001</t>
  </si>
  <si>
    <t>FDIR</t>
  </si>
  <si>
    <t>Fault Detection, Isolation and Recovery Engineer</t>
  </si>
  <si>
    <t>Robert Cianci</t>
  </si>
  <si>
    <t>ORCA-FDIR-001</t>
  </si>
  <si>
    <t>SatOps</t>
  </si>
  <si>
    <t>Mission Operations and Ground Systems Engineer</t>
  </si>
  <si>
    <t>Mission Operations</t>
  </si>
  <si>
    <t>Simone Bergeron</t>
  </si>
  <si>
    <t>ORCA-OPS-001</t>
  </si>
  <si>
    <t>Instruments</t>
  </si>
  <si>
    <t>Mass Spectrometer Lead Engineer</t>
  </si>
  <si>
    <t>Yusuf Karimi</t>
  </si>
  <si>
    <t>ORCA-INS-001</t>
  </si>
  <si>
    <t>Ice-Penetrating Radar Lead Engineer</t>
  </si>
  <si>
    <t>Charlotte Nadeau</t>
  </si>
  <si>
    <t>ORCA-INS-002</t>
  </si>
  <si>
    <t>EMC/EMI</t>
  </si>
  <si>
    <t>Electromagnetic Compatibility (EMC/EMI) Specialist</t>
  </si>
  <si>
    <t>Daniel Osei</t>
  </si>
  <si>
    <t>ORCA-EMC-001</t>
  </si>
  <si>
    <t>Radiation</t>
  </si>
  <si>
    <t>Space Environment and Radiation Engineer</t>
  </si>
  <si>
    <t>Vera Kowalski</t>
  </si>
  <si>
    <t>ORCA-RAD-001</t>
  </si>
  <si>
    <t>Instrument Suite Structures Engineer</t>
  </si>
  <si>
    <t>Thomas Girard</t>
  </si>
  <si>
    <t>ORCA-STR-001</t>
  </si>
  <si>
    <t>Mechanical</t>
  </si>
  <si>
    <t>Launch and Mechanical Environment Engineer</t>
  </si>
  <si>
    <t>Aline Petit</t>
  </si>
  <si>
    <t>ORCA-MEC-001</t>
  </si>
  <si>
    <t>Sampling Arm Mechanisms Engineer (Option C)</t>
  </si>
  <si>
    <t>Hassan Malik</t>
  </si>
  <si>
    <t>ORCA-ISA-002</t>
  </si>
  <si>
    <t>Guidance, Navigation and Control (GNC) Engineer</t>
  </si>
  <si>
    <t>Julie Beaulieu</t>
  </si>
  <si>
    <t>ORCA-GNC-002</t>
  </si>
  <si>
    <t>Thermal Control Engineer</t>
  </si>
  <si>
    <t>Owen MacKenzie</t>
  </si>
  <si>
    <t>ORCA-THM-001</t>
  </si>
  <si>
    <t>Power</t>
  </si>
  <si>
    <t>RTG / Power Systems Engineer</t>
  </si>
  <si>
    <t>Leila Amini</t>
  </si>
  <si>
    <t>ORCA-PWR-001</t>
  </si>
  <si>
    <t>Software</t>
  </si>
  <si>
    <t>Flight Software and Autonomy Engineer</t>
  </si>
  <si>
    <t>Nathan Cormier</t>
  </si>
  <si>
    <t>ORCA-SW-001</t>
  </si>
  <si>
    <t>Internal Services</t>
  </si>
  <si>
    <t>Multiple - See Model</t>
  </si>
  <si>
    <t>Other</t>
  </si>
  <si>
    <t>Standard</t>
  </si>
  <si>
    <t>IS Model (%)</t>
  </si>
  <si>
    <t>A-Base</t>
  </si>
  <si>
    <t>Partner Agency (NASA/ESA)</t>
  </si>
  <si>
    <t>Orbiter Interface Liaison</t>
  </si>
  <si>
    <t>Interface Coordination</t>
  </si>
  <si>
    <t>Orbiter Bus Interface Liaison</t>
  </si>
  <si>
    <t>MOU</t>
  </si>
  <si>
    <t>Partner Agency Model</t>
  </si>
  <si>
    <t>Horizontal Services</t>
  </si>
  <si>
    <t>Infrastructure</t>
  </si>
  <si>
    <t>Real Property and IT Infrastructure</t>
  </si>
  <si>
    <t>PSPC</t>
  </si>
  <si>
    <t>Contracts</t>
  </si>
  <si>
    <t>Fairness Monitor</t>
  </si>
  <si>
    <t>Shared Services Canada</t>
  </si>
  <si>
    <t>IT</t>
  </si>
  <si>
    <t>IT Support</t>
  </si>
  <si>
    <t>Legal</t>
  </si>
  <si>
    <t>Total FTE</t>
  </si>
  <si>
    <t>Salary without inflation in "Then Year"</t>
  </si>
  <si>
    <t>Employee Benefit Plan (EBP)</t>
  </si>
  <si>
    <t>Salary and EBP in "Then Year"</t>
  </si>
  <si>
    <t>Bring historic data into Base Year 2026</t>
  </si>
  <si>
    <t>Apply inflation to future years</t>
  </si>
  <si>
    <t>Salary and EBP in "Base Year" 2026 with inflation</t>
  </si>
  <si>
    <t>Please provide an explanation why positions are required</t>
  </si>
  <si>
    <t>Method: FTE per fiscal year = sum over phases of (phase LoE % x months of that phase falling in the fiscal year, from '3 - Phase Durations') / 12. Salary = sum of (FTE x Rate), with Rate looked up by Classification from 'Labour Rates lookup'. EBP rate (blue input above) and inflation factors ('Inflation Rate' tab) are illustrative placeholders pending confirmed CSA parameters.</t>
  </si>
  <si>
    <t>13 - Risk Register for Costing Purposes</t>
  </si>
  <si>
    <t>EVM needs it, sensitivity analysis needs it</t>
  </si>
  <si>
    <t>Probability scale: 1 Very Low 10% | 2 Low 30% | 3 Medium 50% | 4 High 70% | 5 Very High 90%.  Costs in thousands of CAD ($000). Weighted Exposure = Probability x Most Likely cost. Risk Category / Sub-category follow the 'Risk Breakdown Structure' tab. Figures are illustrative.</t>
  </si>
  <si>
    <t>Risk Category</t>
  </si>
  <si>
    <t>Risk Sub-category</t>
  </si>
  <si>
    <t>Risk Name</t>
  </si>
  <si>
    <t>Type of Risk</t>
  </si>
  <si>
    <t>Internal Factors</t>
  </si>
  <si>
    <t>External Factors</t>
  </si>
  <si>
    <t>Probability</t>
  </si>
  <si>
    <t>Mitigation Strategy</t>
  </si>
  <si>
    <t>Mitigation Strategy Narrative</t>
  </si>
  <si>
    <t>Cost Impact – Optimistic ($000)</t>
  </si>
  <si>
    <t>Cost Impact – Most Likely ($000)</t>
  </si>
  <si>
    <t>Cost Impact – Pessimistic ($000)</t>
  </si>
  <si>
    <t>Weighted Exposure ($000)</t>
  </si>
  <si>
    <t>Cost Impact in Phase</t>
  </si>
  <si>
    <t>Schedule Impact in Phase</t>
  </si>
  <si>
    <t>Impact on Analysis</t>
  </si>
  <si>
    <t>R-001</t>
  </si>
  <si>
    <t>Programmatic Integration &amp; Execution</t>
  </si>
  <si>
    <t>Partnership &amp; External Agreements</t>
  </si>
  <si>
    <t>RTG Fuel Supply Delay</t>
  </si>
  <si>
    <t>Schedule</t>
  </si>
  <si>
    <t>Pu-238 production is limited and allocated across multiple missions; ORCA's supply commitment with the international partner is not yet finalized.</t>
  </si>
  <si>
    <t>RTG procurement depends on the partner; no CSA-held fuel allocation</t>
  </si>
  <si>
    <t>Limited Pu-238 production; competing mission demand</t>
  </si>
  <si>
    <t>Mitigate</t>
  </si>
  <si>
    <t>Secure a fuel allocation letter through the partner agency before PDR, track fuel-production milestones at every gate, and carry a launch-opportunity reserve.</t>
  </si>
  <si>
    <t>B2–D</t>
  </si>
  <si>
    <t>C–D</t>
  </si>
  <si>
    <t>Schedule slip to launch window; possible multi-year wait for the next Jupiter gravity-assist opportunity.</t>
  </si>
  <si>
    <t>Adds schedule contingency and extended Phase D standing-army LoE to the estimate.</t>
  </si>
  <si>
    <t>R-002</t>
  </si>
  <si>
    <t>Technological &amp; Engineering Factors</t>
  </si>
  <si>
    <t>Technology Readiness &amp; Maturity</t>
  </si>
  <si>
    <t>Ice-Penetrating Radar TRL Immaturity</t>
  </si>
  <si>
    <t>Technical</t>
  </si>
  <si>
    <t>Ice-penetrating radar performance at Enceladus's ice shell has not been demonstrated at flight TRL; ground and airborne analogue testing is still needed.</t>
  </si>
  <si>
    <t>Immature antenna and processing design; limited ice-analogue test data</t>
  </si>
  <si>
    <t>Access to analogue test sites; RF component availability</t>
  </si>
  <si>
    <t>Fund an airborne and ground analogue campaign in Phases A–B1, set a TRL 6 exit criterion at PDR, and keep a descoped radar mode as a fallback.</t>
  </si>
  <si>
    <t>B1–C</t>
  </si>
  <si>
    <t>B2–C</t>
  </si>
  <si>
    <t>Could require redesign, additional testing, increased costs, and schedule delays.</t>
  </si>
  <si>
    <t>Adds instrument engineering and test LoE in Phases B and C.</t>
  </si>
  <si>
    <t>R-003</t>
  </si>
  <si>
    <t>System Performance &amp; Reliability</t>
  </si>
  <si>
    <t>Mass Spectrometer Sensitivity Risk</t>
  </si>
  <si>
    <t>Detecting biosignature-relevant compounds at parts-per-billion concentrations has not yet been demonstrated in a flight-qualified instrument of this mass and power class.</t>
  </si>
  <si>
    <t>Detector noise and contamination budget not closed</t>
  </si>
  <si>
    <t>Detector supplier performance; availability of heritage instrument data</t>
  </si>
  <si>
    <t>Demonstrate sensitivity on a breadboard before PDR, hold an end-to-end error budget from inlet to detector, and reserve mass and power margin.</t>
  </si>
  <si>
    <t>Could require redesign, additional testing, and reduced science return if sensitivity targets are not met.</t>
  </si>
  <si>
    <t>Adds instrument engineering, calibration and verification LoE.</t>
  </si>
  <si>
    <t>R-004</t>
  </si>
  <si>
    <t>External &amp; Environmental Factors</t>
  </si>
  <si>
    <t>Regulatory &amp; Legal</t>
  </si>
  <si>
    <t>Export Control Delays</t>
  </si>
  <si>
    <t>Governance</t>
  </si>
  <si>
    <t>A Technical Assistance Agreement (TAA) covering instrument-level data exchange with the partner agency has not yet been established.</t>
  </si>
  <si>
    <t>Late identification of controlled data items</t>
  </si>
  <si>
    <t>Foreign export-licensing review timelines</t>
  </si>
  <si>
    <t>Start the TAA application in Phase A, identify controlled technical data early, and schedule data exchanges around licence approval dates.</t>
  </si>
  <si>
    <t>A–B2</t>
  </si>
  <si>
    <t>Could delay data exchange, joint testing, and integration activities with the partner agency.</t>
  </si>
  <si>
    <t>Adds PM and legal coordination LoE plus schedule contingency.</t>
  </si>
  <si>
    <t>R-005</t>
  </si>
  <si>
    <t>Partner Schedule Dependency</t>
  </si>
  <si>
    <t>Programmatic</t>
  </si>
  <si>
    <t>ORCA's instruments are accommodated payloads on a partner-led spacecraft; ORCA does not control the host mission's own schedule risk.</t>
  </si>
  <si>
    <t>Limited ORCA-side float before instrument delivery</t>
  </si>
  <si>
    <t>Host mission development and launch schedule</t>
  </si>
  <si>
    <t>Write need dates and interface milestones into the partner agreement and hold ORCA-side float ahead of instrument delivery.</t>
  </si>
  <si>
    <t>Delays on the partner's side could cascade directly into ORCA's integration and launch readiness dates.</t>
  </si>
  <si>
    <t>Adds standing-army LoE and storage cost if delivery must wait for the host.</t>
  </si>
  <si>
    <t>R-006</t>
  </si>
  <si>
    <t>Schedule Planning &amp; Control</t>
  </si>
  <si>
    <t>Launch Window Availability</t>
  </si>
  <si>
    <t>Manifest slots on the required class of launch vehicle are not yet reserved for the ~2041 launch opportunity.</t>
  </si>
  <si>
    <t>Instrument readiness must support a fixed trajectory window</t>
  </si>
  <si>
    <t>Launch-provider manifest; gravity-assist geometry</t>
  </si>
  <si>
    <t>Accept</t>
  </si>
  <si>
    <t>Launch procurement is the partner's responsibility; accept the residual exposure but track manifest status and backup trajectory options at each gate.</t>
  </si>
  <si>
    <t>D</t>
  </si>
  <si>
    <t>D–E</t>
  </si>
  <si>
    <t>Missing the trajectory window could force a multi-year delay to the next viable gravity-assist path.</t>
  </si>
  <si>
    <t>A missed window adds multi-year storage and standing-army cost.</t>
  </si>
  <si>
    <t>R-007</t>
  </si>
  <si>
    <t>Cost &amp; Budget Management</t>
  </si>
  <si>
    <t>Early-Stage Cost Uncertainty</t>
  </si>
  <si>
    <t>Cost</t>
  </si>
  <si>
    <t>Estimating maturity is consistent with Phase B/C; several subsystem costs are still based on analogous-mission estimates rather than vendor quotes.</t>
  </si>
  <si>
    <t>Analogy-based estimates; immature WBS</t>
  </si>
  <si>
    <t>Volatility in supplier quotations</t>
  </si>
  <si>
    <t>Refresh bottom-up estimates at PDR and CDR, replace analogy costs with vendor quotes, and reconcile the RAM and CBS at each gate.</t>
  </si>
  <si>
    <t>B1–D</t>
  </si>
  <si>
    <t>Could result in cost growth as design matures and vendor quotes replace parametric estimates.</t>
  </si>
  <si>
    <t>Widens the cost uncertainty range and drives contingency sizing.</t>
  </si>
  <si>
    <t>R-008</t>
  </si>
  <si>
    <t>Geopolitical &amp; Economic</t>
  </si>
  <si>
    <t>Currency Exchange Exposure</t>
  </si>
  <si>
    <t>Major payload contracts and the partner-agency relationship involve non-CAD-denominated costs.</t>
  </si>
  <si>
    <t>Foreign-denominated subcontracts</t>
  </si>
  <si>
    <t>Exchange-rate movements</t>
  </si>
  <si>
    <t>Transfer</t>
  </si>
  <si>
    <t>Use CAD-denominated contracts where possible and forward-purchase foreign currency for large milestone payments.</t>
  </si>
  <si>
    <t>Unfavourable exchange-rate movement could increase the CAD cost of foreign-denominated contracts.</t>
  </si>
  <si>
    <t>Adds FX contingency to foreign-content CBS elements.</t>
  </si>
  <si>
    <t>R-009</t>
  </si>
  <si>
    <t>Deep-Space Radiation/Thermal Margin</t>
  </si>
  <si>
    <t>Component qualification levels are based on analogous outer-planet missions and have not yet been validated against ORCA's specific trajectory and RTG thermal design.</t>
  </si>
  <si>
    <t>Analogy-based qualification levels</t>
  </si>
  <si>
    <t>Jovian and Saturnian radiation environment; RTG heat output</t>
  </si>
  <si>
    <t>Run trajectory-specific radiation and RTG thermal analyses in Phase B and qualify parts to mission-specific levels with margin.</t>
  </si>
  <si>
    <t>Could require additional shielding, thermal design changes, or component requalification.</t>
  </si>
  <si>
    <t>Adds shielding mass, parts qualification and thermal test LoE.</t>
  </si>
  <si>
    <t>R-010</t>
  </si>
  <si>
    <t>Software &amp; Algorithms</t>
  </si>
  <si>
    <t>Autonomous Operations Complexity</t>
  </si>
  <si>
    <t>The autonomy and fault-management software architecture for the instrument suite has not yet been baselined.</t>
  </si>
  <si>
    <t>Underestimated software complexity</t>
  </si>
  <si>
    <t>Light-time delay; host spacecraft FDIR interfaces</t>
  </si>
  <si>
    <t>Baseline the autonomy architecture before PDR, prototype fault-management logic early, and run long-duration autonomy simulations.</t>
  </si>
  <si>
    <t>Increased software development and validation effort could cause cost and schedule growth.</t>
  </si>
  <si>
    <t>Adds flight software development and V&amp;V LoE.</t>
  </si>
  <si>
    <t>R-011</t>
  </si>
  <si>
    <t>DSN Allocation Contention</t>
  </si>
  <si>
    <t>ORCA's downlink allocation has not yet been negotiated as part of the partnership agreement.</t>
  </si>
  <si>
    <t>Onboard storage sizing not yet tied to downlink plan</t>
  </si>
  <si>
    <t>Deep Space Network demand from other missions</t>
  </si>
  <si>
    <t>Negotiate a documented downlink allocation in the partner agreement and design onboard data prioritization for flythrough passes.</t>
  </si>
  <si>
    <t>E</t>
  </si>
  <si>
    <t>Insufficient downlink priority could limit science data return during plume flythroughs.</t>
  </si>
  <si>
    <t>Adds operations planning LoE; mainly reduces science return rather than adding cost.</t>
  </si>
  <si>
    <t>R-012</t>
  </si>
  <si>
    <t>Sampling Arm TRL Immaturity (Option C)</t>
  </si>
  <si>
    <t>The ISA (Ice Sampling Arm) concept builds on Canadarm heritage but has not been adapted or tested for the Enceladus surface/plume environment.</t>
  </si>
  <si>
    <t>Heritage design not adapted to cryogenic environment</t>
  </si>
  <si>
    <t>Uncertainty in Enceladus surface and plume conditions</t>
  </si>
  <si>
    <t>Run a dedicated ISA risk-reduction campaign in Phases A–B1, with a go/no-go decision on Option C at SRR.</t>
  </si>
  <si>
    <t>A–C</t>
  </si>
  <si>
    <t>Could require a dedicated technology risk-reduction campaign, adding cost and schedule.</t>
  </si>
  <si>
    <t>Adds robotics engineering and test LoE (Option C only).</t>
  </si>
  <si>
    <t>R-013</t>
  </si>
  <si>
    <t>Safety, Assurance &amp; Compliance</t>
  </si>
  <si>
    <t>Certification &amp; Standards</t>
  </si>
  <si>
    <t>Planetary Protection Scope</t>
  </si>
  <si>
    <t>A formal planetary protection plan has not yet been developed jointly with the partner agency.</t>
  </si>
  <si>
    <t>Planetary protection requirements not yet flowed down</t>
  </si>
  <si>
    <t>COSPAR category assignment; partner planetary protection policy</t>
  </si>
  <si>
    <t>Develop a joint planetary protection plan with the partner in Phase A and build bioburden controls into the AIT flow.</t>
  </si>
  <si>
    <t>A–D</t>
  </si>
  <si>
    <t>Late-defined planetary protection requirements could drive late design or trajectory changes.</t>
  </si>
  <si>
    <t>Adds cleanroom, bioburden testing and assurance LoE.</t>
  </si>
  <si>
    <t>R-014</t>
  </si>
  <si>
    <t>Organizational &amp; Human Factors</t>
  </si>
  <si>
    <t>Resource &amp; Staffing Capacity</t>
  </si>
  <si>
    <t>Workforce Continuity</t>
  </si>
  <si>
    <t>Program duration spans more than one career stage for most engineering staff; no succession plan is yet in place.</t>
  </si>
  <si>
    <t>Long mission duration; small specialist pool</t>
  </si>
  <si>
    <t>Labour-market competition for space specialists</t>
  </si>
  <si>
    <t>Establish a succession plan, pair senior and junior staff on key roles, and capture design rationale in controlled documents.</t>
  </si>
  <si>
    <t>0–F</t>
  </si>
  <si>
    <t>B1–E</t>
  </si>
  <si>
    <t>Loss of key personnel could cause knowledge gaps, rework, and schedule delays.</t>
  </si>
  <si>
    <t>Raises labour-rate and FTE assumptions and adds knowledge-transfer LoE.</t>
  </si>
  <si>
    <t>R-015</t>
  </si>
  <si>
    <t>Product Assurance &amp; Quality Control</t>
  </si>
  <si>
    <t>Multi-Party Configuration Management</t>
  </si>
  <si>
    <t>A single joint configuration management authority across all contractors and the partner agency has not yet been established.</t>
  </si>
  <si>
    <t>Multiple baselines across CSA and contractors</t>
  </si>
  <si>
    <t>Partner configuration-management practices</t>
  </si>
  <si>
    <t>Stand up a joint configuration control board with the partner and prime before PDR and audit baselines at each gate.</t>
  </si>
  <si>
    <t>Could lead to interface mismatches, rework, and integration delays.</t>
  </si>
  <si>
    <t>Adds configuration-management and reconciliation LoE.</t>
  </si>
  <si>
    <t>R-016</t>
  </si>
  <si>
    <t>Strategic &amp; Alignment Factors</t>
  </si>
  <si>
    <t>Strategic Direction &amp; Policy Alignment</t>
  </si>
  <si>
    <t>Partner Agency Stability</t>
  </si>
  <si>
    <t>Strategic</t>
  </si>
  <si>
    <t>The mission concept assumes stable multi-decade support from a single partner agency; this has not been contractually secured.</t>
  </si>
  <si>
    <t>Single-partner mission architecture</t>
  </si>
  <si>
    <t>Partner budget and policy changes</t>
  </si>
  <si>
    <t>Accept the residual exposure after securing a binding intergovernmental agreement, and keep a documented descope and re-host option.</t>
  </si>
  <si>
    <t>B2–E</t>
  </si>
  <si>
    <t>Loss of the partner relationship could require a costly architecture change or mission redesign.</t>
  </si>
  <si>
    <t>A partner exit would require re-estimating the mission architecture.</t>
  </si>
  <si>
    <t>R-017</t>
  </si>
  <si>
    <t>Governance Processes &amp; Controls</t>
  </si>
  <si>
    <t>Governance Workload</t>
  </si>
  <si>
    <t>Gate documentation and decision-note preparation draw on the same technical leads responsible for design closure activities.</t>
  </si>
  <si>
    <t>Same leads prepare gates and close the design</t>
  </si>
  <si>
    <t>Departmental review cycles</t>
  </si>
  <si>
    <t>Accept; plan gate-preparation windows into the integrated schedule and assign a dedicated gate coordinator.</t>
  </si>
  <si>
    <t>Could slow design progress during gate-preparation windows.</t>
  </si>
  <si>
    <t>Adds PM and governance LoE around gates.</t>
  </si>
  <si>
    <t>R-018</t>
  </si>
  <si>
    <t>Unallocated Reserve (Unknown-Unknowns)</t>
  </si>
  <si>
    <t>Held as management reserve per CSA cost-estimating policy for unknown-unknown risk at Phase B/C maturity.</t>
  </si>
  <si>
    <t>Estimate maturity at Phase B/C</t>
  </si>
  <si>
    <t>Risks not yet identified</t>
  </si>
  <si>
    <t>Hold as management reserve and release only through change control.</t>
  </si>
  <si>
    <t>Provides cost cover for risks not yet individually identified.</t>
  </si>
  <si>
    <t>Carried as reserve; not allocated to a CBS element.</t>
  </si>
  <si>
    <t>R-019</t>
  </si>
  <si>
    <t>Instrument Degradation During Cruise</t>
  </si>
  <si>
    <t>The ~10-year outbound cruise may degrade detectors, seals or calibration sources before the instruments reach Enceladus.</t>
  </si>
  <si>
    <t>Limited in-cruise checkout plan; aging consumables</t>
  </si>
  <si>
    <t>Cruise radiation dose; thermal cycling</t>
  </si>
  <si>
    <t>Plan periodic in-cruise instrument checkouts and calibrations, and select parts with lifetime margin.</t>
  </si>
  <si>
    <t>May reduce science performance at arrival or require recalibration campaigns.</t>
  </si>
  <si>
    <t>Adds cruise operations and calibration LoE.</t>
  </si>
  <si>
    <t>R-020</t>
  </si>
  <si>
    <t>Design &amp; Development</t>
  </si>
  <si>
    <t>Plume Sample Contamination</t>
  </si>
  <si>
    <t>Terrestrial contamination or spacecraft outgassing may mask low-concentration organics in plume samples.</t>
  </si>
  <si>
    <t>Contamination control plan not yet baselined</t>
  </si>
  <si>
    <t>Host spacecraft outgassing; propulsion plume products</t>
  </si>
  <si>
    <t>Define contamination budgets early, bake out sample inlets, and carry blank samples for background subtraction.</t>
  </si>
  <si>
    <t>Could compromise biosignature measurements.</t>
  </si>
  <si>
    <t>Adds contamination-control and cleanroom LoE.</t>
  </si>
  <si>
    <t>R-021</t>
  </si>
  <si>
    <t>Data, Knowledge &amp; Integration</t>
  </si>
  <si>
    <t>Data Integration &amp; Consistency</t>
  </si>
  <si>
    <t>Science Data Processing Capacity</t>
  </si>
  <si>
    <t>The CSA science operations centre may lack the processing and archive capacity for flythrough data volumes and joint partner data products.</t>
  </si>
  <si>
    <t>Early data-volume assumptions</t>
  </si>
  <si>
    <t>Changes to partner data formats</t>
  </si>
  <si>
    <t>Size processing and archive capacity from flythrough scenarios and agree data-product formats in the partner ICD.</t>
  </si>
  <si>
    <t>May delay science products after each flythrough.</t>
  </si>
  <si>
    <t>Adds ground-segment software and operations LoE.</t>
  </si>
  <si>
    <t>R-022</t>
  </si>
  <si>
    <t>Market &amp; Supply Chain</t>
  </si>
  <si>
    <t>Instrument Supplier Insolvency</t>
  </si>
  <si>
    <t>A key instrument subcontractor may exit the market or become insolvent during the long development cycle.</t>
  </si>
  <si>
    <t>Single-source instrument components</t>
  </si>
  <si>
    <t>Small space-supplier base; market conditions</t>
  </si>
  <si>
    <t>Include data-package delivery and escrow clauses in contracts and qualify second sources for critical items.</t>
  </si>
  <si>
    <t>Could force re-procurement and requalification.</t>
  </si>
  <si>
    <t>Adds procurement and requalification cost.</t>
  </si>
  <si>
    <t>R-023</t>
  </si>
  <si>
    <t>Parts, Components &amp; Materials</t>
  </si>
  <si>
    <t>Long-Lead Radiation-Hardened Parts</t>
  </si>
  <si>
    <t>Radiation-hardened EEE parts and detectors may arrive later than the integration schedule requires.</t>
  </si>
  <si>
    <t>Late parts list; late purchase orders</t>
  </si>
  <si>
    <t>Supplier backlog; export-controlled parts</t>
  </si>
  <si>
    <t>Release long-lead orders after PDR, track parts at weekly reviews, and qualify alternates.</t>
  </si>
  <si>
    <t>May delay instrument assembly and environmental testing.</t>
  </si>
  <si>
    <t>Adds procurement management and schedule contingency.</t>
  </si>
  <si>
    <t>R-024</t>
  </si>
  <si>
    <t>Integration &amp; Verification</t>
  </si>
  <si>
    <t>Instrument Environmental Test Failure</t>
  </si>
  <si>
    <t>Instrument-level thermal-vacuum or vibration testing may reveal design or workmanship defects requiring rework and retest.</t>
  </si>
  <si>
    <t>Limited margin on first-of-kind hardware</t>
  </si>
  <si>
    <t>Test facility availability</t>
  </si>
  <si>
    <t>Test engineering models early, apply workmanship screening, and reserve facility time for retest.</t>
  </si>
  <si>
    <t>May delay delivery to the host spacecraft.</t>
  </si>
  <si>
    <t>Adds rework, retest and facility cost.</t>
  </si>
  <si>
    <t>R-025</t>
  </si>
  <si>
    <t>End-of-Mission Disposal Requirements</t>
  </si>
  <si>
    <t>Planetary protection disposal requirements for the Saturn system may extend Phase X/F operations or constrain the end-of-mission trajectory.</t>
  </si>
  <si>
    <t>Disposal concept not yet defined</t>
  </si>
  <si>
    <t>Partner end-of-mission plan; planetary protection policy</t>
  </si>
  <si>
    <t>Accept; the host spacecraft owns disposal, and ORCA carries only operations-support LoE.</t>
  </si>
  <si>
    <t>X–F</t>
  </si>
  <si>
    <t>May extend operations and data archiving.</t>
  </si>
  <si>
    <t>Adds Phase X/F operations LoE.</t>
  </si>
  <si>
    <t>Total ($000)</t>
  </si>
  <si>
    <t>Cost - Impact in Phase</t>
  </si>
  <si>
    <t>Schedule - Initial Impact in Phase</t>
  </si>
  <si>
    <t>Parent CBS</t>
  </si>
  <si>
    <t>Leadership, Governance &amp; Culture</t>
  </si>
  <si>
    <t>Ineffective Governance and Decision-Making</t>
  </si>
  <si>
    <t>Governance structures, roles, and escalation paths are unclear or inconsistently applied, delaying key decisions and creating misalignment across the program.</t>
  </si>
  <si>
    <t>- Unclear authority 
- Slow approvals 
- Inconsistent executive oversight</t>
  </si>
  <si>
    <t>- Evolving GoC governance expectations 
- Partner governance incompatibility</t>
  </si>
  <si>
    <t>All Phases</t>
  </si>
  <si>
    <t>Misaligned Organizational Incentives</t>
  </si>
  <si>
    <t>Incentives prioritize innovation or technical achievement over disciplined cost/schedule performance, reducing accountability.</t>
  </si>
  <si>
    <t>- Incentives tied to technical milestones
- Weak KPIs</t>
  </si>
  <si>
    <t>- Public/political pressure for innovation</t>
  </si>
  <si>
    <t>PREP 1 to MAIT</t>
  </si>
  <si>
    <t>None</t>
  </si>
  <si>
    <t>Leadership Turnover and Instability</t>
  </si>
  <si>
    <t>High turnover in key leadership roles reduces continuity and strategic alignment across program phases.</t>
  </si>
  <si>
    <t>- Succession gaps
- Staffing instability</t>
  </si>
  <si>
    <t>- Broader public sector mobility pressures</t>
  </si>
  <si>
    <t>Risk Governance Culture</t>
  </si>
  <si>
    <t>Risk processes are inconsistently followed or valued, leading to late identification of major issues.</t>
  </si>
  <si>
    <t>- Lack of active risk boards
- Inconsistent risk scoring</t>
  </si>
  <si>
    <t>- Changing departmental reporting expectations</t>
  </si>
  <si>
    <t>Communication &amp; Coordination</t>
  </si>
  <si>
    <t>Internal Miscommunication and Information Silos</t>
  </si>
  <si>
    <t>Teams lack timely, consistent information sharing, resulting in misaligned decisions and rework.</t>
  </si>
  <si>
    <t>- Poor knowledge sharing
- Unclear reporting paths</t>
  </si>
  <si>
    <t>- Increased complexity in multi-site or remote collaboration</t>
  </si>
  <si>
    <t>Interface Definition Gaps</t>
  </si>
  <si>
    <t>Unclear or incomplete interface definitions lead to integration challenges and design errors.</t>
  </si>
  <si>
    <t>- Documentation gaps
- Inconsistent configuration control</t>
  </si>
  <si>
    <t>- Partner documentation misalignment</t>
  </si>
  <si>
    <t>Phase 0 to SAIT</t>
  </si>
  <si>
    <t>International Coordination Challenges</t>
  </si>
  <si>
    <t>Communication barriers across time zones, cultures, and languages delay critical alignment with partners.</t>
  </si>
  <si>
    <t>- Limited resources for partner coordination</t>
  </si>
  <si>
    <t>- Diverse international work practices</t>
  </si>
  <si>
    <t>Stakeholder Engagement</t>
  </si>
  <si>
    <t>Unclear or Misaligned Stakeholder Expectations</t>
  </si>
  <si>
    <t>Stakeholder needs are not fully understood or aligned, causing redefinition of scope or priorities.</t>
  </si>
  <si>
    <t>- Insufficient early engagement</t>
  </si>
  <si>
    <t>- User community evolution
- Science priorities</t>
  </si>
  <si>
    <t>PREP 1 to Phase C</t>
  </si>
  <si>
    <t>Insufficient Executive Sponsorship</t>
  </si>
  <si>
    <t>Executive sponsors are not consistently engaged, weakening decision support and program momentum.</t>
  </si>
  <si>
    <t>- Competing leadership priorities</t>
  </si>
  <si>
    <t>- Shifts in departmental focus</t>
  </si>
  <si>
    <t>Skilled Resource Shortages</t>
  </si>
  <si>
    <t>Lack of experienced personnel delays technical development and increases rework.</t>
  </si>
  <si>
    <t>- Training gaps
- Turnover</t>
  </si>
  <si>
    <t>- Labour market shortages in space-specialized skills</t>
  </si>
  <si>
    <t>Knowledge Loss and Continuity Gaps</t>
  </si>
  <si>
    <t>Loss of key personnel or weak documentation undermines continuity across phases.</t>
  </si>
  <si>
    <t>- Insufficient knowledge management</t>
  </si>
  <si>
    <t>- Competitive hiring environment</t>
  </si>
  <si>
    <t>Overreliance on Individual Experts</t>
  </si>
  <si>
    <t>Critical knowledge is concentrated in a few individuals, creating vulnerability if unavailable.</t>
  </si>
  <si>
    <t>- Limited SME capacity</t>
  </si>
  <si>
    <t>- Industry-wide SME scarcity</t>
  </si>
  <si>
    <t>Insufficient Technology Readiness Level (TRL)</t>
  </si>
  <si>
    <t>Technology maturity is overestimated or not demonstrated early enough, causing downstream delays.</t>
  </si>
  <si>
    <t>- Over-optimistic internal assessments</t>
  </si>
  <si>
    <t>- Vendor overstatements of maturity</t>
  </si>
  <si>
    <t>Immature or Unproven Materials/Processes</t>
  </si>
  <si>
    <t>New materials or manufacturing processes fail to meet requirements or require redesign.</t>
  </si>
  <si>
    <t>- Limited early testing</t>
  </si>
  <si>
    <t>- Supplier process immaturity</t>
  </si>
  <si>
    <t>Unstable or Incomplete Design Baseline</t>
  </si>
  <si>
    <t>Delays in achieving a stable baseline cascade into integration and manufacturing issues.</t>
  </si>
  <si>
    <t>- Late requirements
- Design churn</t>
  </si>
  <si>
    <t>- Changing partner specifications</t>
  </si>
  <si>
    <t>PREP 1 to SAIT</t>
  </si>
  <si>
    <t>Design Complexity Beyond Analytical Capability</t>
  </si>
  <si>
    <t>Engineering tools or models cannot fully resolve complex design interactions.</t>
  </si>
  <si>
    <t>- Tool limitations</t>
  </si>
  <si>
    <t>- Novel mission or payload architectures</t>
  </si>
  <si>
    <t>Over-Customization Instead of COTS Adoption</t>
  </si>
  <si>
    <t>Excessive customization increases cost, lead time, and risk compared with qualified COTS alternatives.</t>
  </si>
  <si>
    <t>- Preference for bespoke solutions</t>
  </si>
  <si>
    <t>- Limited space-qualified COTS availability</t>
  </si>
  <si>
    <t>EEE Part Failure or Obsolescence</t>
  </si>
  <si>
    <t>Component failures or discontinuations disrupt design choices and testing schedules.</t>
  </si>
  <si>
    <t>- Inadequte part screening</t>
  </si>
  <si>
    <t>- Supply chain obsolescence</t>
  </si>
  <si>
    <t>MAIT &amp; SAIT</t>
  </si>
  <si>
    <t>Long-Lead Item Delays</t>
  </si>
  <si>
    <t>Critical components with long procurement cycles delay integration readiness.</t>
  </si>
  <si>
    <t>- Late ordering</t>
  </si>
  <si>
    <t>- Supplier backlog or disruption</t>
  </si>
  <si>
    <t>Incomplete Integration Planning</t>
  </si>
  <si>
    <t>Integration sequencing or planning gaps result in late rework and testing conflicts.</t>
  </si>
  <si>
    <t>- Inadequate early I&amp;T definition</t>
  </si>
  <si>
    <t>- Partner delays</t>
  </si>
  <si>
    <t>Environmental or Vibration Test Failures</t>
  </si>
  <si>
    <t>Hardware fails during qualification or environmental tests, requiring redesign or rework.</t>
  </si>
  <si>
    <t>- Weak margins
- Design flaws</t>
  </si>
  <si>
    <t>- Facility constraints</t>
  </si>
  <si>
    <t>Phase B to Phase C</t>
  </si>
  <si>
    <t>Manufacturing &amp; Assembly</t>
  </si>
  <si>
    <t>Poor Workmanship or QA Deficiencies</t>
  </si>
  <si>
    <t>Manufacturing quality issues result in defects discovered late in testing or integration.</t>
  </si>
  <si>
    <t>- Insufficient QA processes</t>
  </si>
  <si>
    <t>- Supplier QA variability</t>
  </si>
  <si>
    <t>Immature Manufacturing Processes</t>
  </si>
  <si>
    <t>New or insufficiently validated processes lead to production delays or variability.</t>
  </si>
  <si>
    <t>- Lac of documentation</t>
  </si>
  <si>
    <t>- Small-capacity suppliers</t>
  </si>
  <si>
    <t>Underestimated Software Complexity</t>
  </si>
  <si>
    <t>Software complexity is underestimated, requiring additional development time and testing.</t>
  </si>
  <si>
    <t>- Limited early prototyping</t>
  </si>
  <si>
    <t>- Integration with partner systems</t>
  </si>
  <si>
    <t>Phase B to SAIT</t>
  </si>
  <si>
    <t>Insufficient Software Validation</t>
  </si>
  <si>
    <t>Gaps in software validation cause faults discovered late in testing.</t>
  </si>
  <si>
    <t>- Limited regression testing</t>
  </si>
  <si>
    <t>- Late partner code deliveries</t>
  </si>
  <si>
    <t>Insufficient System Margin</t>
  </si>
  <si>
    <t>System lacks adequate performance margins, requiring late design changes.</t>
  </si>
  <si>
    <t>- Underestimated loads</t>
  </si>
  <si>
    <t>- Evolving partner or payload requirements</t>
  </si>
  <si>
    <t>Unproven Redundancy or Fail-Safe Design</t>
  </si>
  <si>
    <t>Redundant designs are untested or do not function as intended.</t>
  </si>
  <si>
    <t>- Inadequate model validation</t>
  </si>
  <si>
    <t>- Supplier delays in providing redundancy analyses</t>
  </si>
  <si>
    <t>Obsolescence &amp; Sustainment</t>
  </si>
  <si>
    <t>Technology Obsolescence During Development</t>
  </si>
  <si>
    <t>Long development timelines result in components or systems becoming outdated before launch.</t>
  </si>
  <si>
    <t>- Slow decision-making</t>
  </si>
  <si>
    <t>- Rapid commercial technology cycles</t>
  </si>
  <si>
    <t>LEOP &amp; ATLO</t>
  </si>
  <si>
    <t>Inadequate Sustainment Planning</t>
  </si>
  <si>
    <t>Lifecycle sustainment needs are not fully planned, risking long-term mission continuity.</t>
  </si>
  <si>
    <t>- Limited spares strategy</t>
  </si>
  <si>
    <t>- Supplier discontinuation</t>
  </si>
  <si>
    <t>Phase E &amp; Phase X</t>
  </si>
  <si>
    <t>Optimistic Cost Baselines</t>
  </si>
  <si>
    <t>Early cost estimates underestimate complexity or required effort, resulting in overruns and re-baselining.</t>
  </si>
  <si>
    <t>- Immature designs
- Optimistic modelling
- Incomplete scoping</t>
  </si>
  <si>
    <t>- Vendor underestimation
- Inflation volatility</t>
  </si>
  <si>
    <t>PREP 1 to Phase A</t>
  </si>
  <si>
    <t>Inadequate Contingency and Reserves</t>
  </si>
  <si>
    <t>Cost reserves are insufficient to address risks, requirement changes, or technical growth.</t>
  </si>
  <si>
    <t>- Pressure to reduce contingency
- Lack of quantitative risk analysis</t>
  </si>
  <si>
    <t>- Unpredictable supplier or market cost changes</t>
  </si>
  <si>
    <t>Funding Gaps Across Phases</t>
  </si>
  <si>
    <t>Delays or gaps in funding between phases disrupt schedules and lead to inefficiencies.</t>
  </si>
  <si>
    <t>- Internal budget reallocations
- Fragmented planning</t>
  </si>
  <si>
    <t>- Treasury Board sequencing
- GoC budget cycles</t>
  </si>
  <si>
    <t>Long-Term Cost Unsustainability</t>
  </si>
  <si>
    <t>Operational or lifecycle costs exceed long-term funding, jeopardizing mission continuity.</t>
  </si>
  <si>
    <t>- Underestimated O&amp;M demands</t>
  </si>
  <si>
    <t>- Shifting fiscal priorities</t>
  </si>
  <si>
    <t>Overly Optimistic Schedule Baselines</t>
  </si>
  <si>
    <t>Schedules underestimate duration or complexity of integration, test and partner interactions.</t>
  </si>
  <si>
    <t>- Underestimated task durations
- Limited slack</t>
  </si>
  <si>
    <t>- Partner timeline dependencies</t>
  </si>
  <si>
    <t>Phase C, MAIT or SAIT</t>
  </si>
  <si>
    <t>Insufficient Schedule Margin</t>
  </si>
  <si>
    <t>Lack of adequate float/margin makes the project vulnerable to minor disruptions.</t>
  </si>
  <si>
    <t>- Compressed internal timelines</t>
  </si>
  <si>
    <t>- External approvals 
- Provider availability</t>
  </si>
  <si>
    <t>Poor Schedule Integration Across Teams</t>
  </si>
  <si>
    <t>Schedules are not fully integrated across subsystems or partners, creating conflicting paths.</t>
  </si>
  <si>
    <t>- Weak configuration control of schedule updates</t>
  </si>
  <si>
    <t>- Misaligned partner planning cycles</t>
  </si>
  <si>
    <t>Requirements &amp; Scope Management</t>
  </si>
  <si>
    <t>Evolving or Unstable Requirements</t>
  </si>
  <si>
    <t>Requirements shift during development, prompting redesign and rescheduling.</t>
  </si>
  <si>
    <t>- Incomplete early requirements
- Late discoveries</t>
  </si>
  <si>
    <t>- Regulatory or partner-driven changes</t>
  </si>
  <si>
    <t>Phase 0 to Phase C</t>
  </si>
  <si>
    <t>Scope Creep</t>
  </si>
  <si>
    <t>Additional features or changes are added without corresponding increases in budget or schedule.</t>
  </si>
  <si>
    <t>- Internal mission re-design</t>
  </si>
  <si>
    <t>- Requests from science/user community</t>
  </si>
  <si>
    <t>Unclear Definition of Deliverables</t>
  </si>
  <si>
    <t>Deliverables or success criteria are not explicitly defined, resulting in rework and disputes.</t>
  </si>
  <si>
    <t>- Vague SOW
- Weak requirement traceability</t>
  </si>
  <si>
    <t>- Partner interpretation differences</t>
  </si>
  <si>
    <t>Contracting &amp; Procurement</t>
  </si>
  <si>
    <t>Procurement and Contract Delays</t>
  </si>
  <si>
    <t>Delays in contract awards, evaluations, or negotiations slow project initiation and execution.</t>
  </si>
  <si>
    <t>- Insufficient procurement staffing</t>
  </si>
  <si>
    <t>- Federal procurement rules and oversight</t>
  </si>
  <si>
    <t>PREP 1 &amp; 2, Phase 0 to Phase B, MAIT</t>
  </si>
  <si>
    <t>Misaligned Contract Structures</t>
  </si>
  <si>
    <t>Contract types or terms do not support risk-sharing or needed flexibility.</t>
  </si>
  <si>
    <t>- Inexperienced contracting officers</t>
  </si>
  <si>
    <t>- Mandatory policy constraints</t>
  </si>
  <si>
    <t>Vendor Performance Issues</t>
  </si>
  <si>
    <t>Prime or subcontractor performance problems cause rework or schedule delays</t>
  </si>
  <si>
    <t>- Weak performance oversight</t>
  </si>
  <si>
    <t>- Supplier instability</t>
  </si>
  <si>
    <t>Waste, Fraud, or Abuse Vulnerabilities</t>
  </si>
  <si>
    <t>Inadequate internal controls expose the program to misuse of funds or fraudulent activity.</t>
  </si>
  <si>
    <t>- Limited review time
- Weak monitoring</t>
  </si>
  <si>
    <t>- Complex multinational supply chains</t>
  </si>
  <si>
    <t>Industrial Capability &amp; Supplier Performance</t>
  </si>
  <si>
    <t>Supplier Maturity Limitations</t>
  </si>
  <si>
    <t>Suppliers lack mature processes, certifications, or capacity to deliver quality components on time.</t>
  </si>
  <si>
    <t>- Insufficient oversight</t>
  </si>
  <si>
    <t>- Small national supplier base</t>
  </si>
  <si>
    <t>Manufacturing Defects or Quality Issues</t>
  </si>
  <si>
    <t>Supplier quality defects result in delays, retesting, or redesign.</t>
  </si>
  <si>
    <t>- Weak acceptance processes</t>
  </si>
  <si>
    <t>- Supplier QA inconsistency</t>
  </si>
  <si>
    <t>Overstretched SMEs</t>
  </si>
  <si>
    <t>Small suppliers lack the throughput or staffing required for schedule-critical work.</t>
  </si>
  <si>
    <t>- Inadequate supplier monitoring</t>
  </si>
  <si>
    <t>- High demand across space industry</t>
  </si>
  <si>
    <t>Misaligned Partner Schedules or Deliverables</t>
  </si>
  <si>
    <t>International partners operate on different timelines or processes, leading to integration delays.</t>
  </si>
  <si>
    <t>- Insufficient internal integration planning</t>
  </si>
  <si>
    <t>- Partner readiness issues</t>
  </si>
  <si>
    <t>SAIT &amp; ATLO</t>
  </si>
  <si>
    <t>Partner Scope or Commitment Changes</t>
  </si>
  <si>
    <t>Changes in partner priorities, scope, or funding affect shared milestones or system architecture.</t>
  </si>
  <si>
    <t>- Weak MOU/LOA clarity</t>
  </si>
  <si>
    <t>- Changing political or budgetary environments</t>
  </si>
  <si>
    <t>PREP 1 to ATLO</t>
  </si>
  <si>
    <t>Export Control and Licensing Constraints</t>
  </si>
  <si>
    <t>Export control requirements (ITAR, TAAs) delay access to components, data, or test facilities.</t>
  </si>
  <si>
    <t>- Limited early export planning</t>
  </si>
  <si>
    <t>- Regulatory changes</t>
  </si>
  <si>
    <t>Phase B to ATLO</t>
  </si>
  <si>
    <t>Weak Phase-Gate Discipline</t>
  </si>
  <si>
    <t>Phase reviews lack rigor, allowing unresolved issues to carry forward.</t>
  </si>
  <si>
    <t>- Inconsistent review criteria</t>
  </si>
  <si>
    <t>- Pressure to meet partner timelines</t>
  </si>
  <si>
    <t>Phase 0 to ATLO</t>
  </si>
  <si>
    <t>Fragmented Technical/Cost/Schedule Reporting</t>
  </si>
  <si>
    <t>Reports are inconsistent or disconnected, obscuring emerging risks.</t>
  </si>
  <si>
    <t>- Misaligned data system</t>
  </si>
  <si>
    <t>- Adjusted GoC reporting frameworks</t>
  </si>
  <si>
    <t>Export Licensing or Regulatory Delays</t>
  </si>
  <si>
    <t>Licensing processes delay hardware transfers, testing, or component acquisition.</t>
  </si>
  <si>
    <t>- Unclear internal responsibilities</t>
  </si>
  <si>
    <t>- ITAR/Canadian regulations</t>
  </si>
  <si>
    <t>MAIT, SAIT, ATLO</t>
  </si>
  <si>
    <t>Changes in Laws, Policies, or Standards</t>
  </si>
  <si>
    <t>Domestic or international policy changes impact program scope, design, or compliance obligations.</t>
  </si>
  <si>
    <t>- Slow adaptation</t>
  </si>
  <si>
    <t>- New global or national regulations</t>
  </si>
  <si>
    <t>Supplier Insolvency or Instability</t>
  </si>
  <si>
    <t>Key suppliers face financial or operational challenges that disrupt delivery.</t>
  </si>
  <si>
    <t>- Dependence on single supplier</t>
  </si>
  <si>
    <t>- Market volatility</t>
  </si>
  <si>
    <t>Price Escalation or Market Shock</t>
  </si>
  <si>
    <t>Unexpected increase in material or component costs exceed planned budgets.</t>
  </si>
  <si>
    <t>- Long-term fixed-price contracts</t>
  </si>
  <si>
    <t>- Global supply shocks</t>
  </si>
  <si>
    <t>Logistics and Shipping Disruptions</t>
  </si>
  <si>
    <t>Transportation or customs delays impact integration timelines.</t>
  </si>
  <si>
    <t>- Limited logistics planning</t>
  </si>
  <si>
    <t>- International border issues</t>
  </si>
  <si>
    <t>Currency Exchange Volatility</t>
  </si>
  <si>
    <t>Foreign-denominated contracts become more expensive due to unstable currency rates.</t>
  </si>
  <si>
    <t>- High foreign procurement content</t>
  </si>
  <si>
    <t>- Global economic instability</t>
  </si>
  <si>
    <t>Inflation Spikes</t>
  </si>
  <si>
    <t>Inflation increase labour, materials, and subcontractor prices beyond assumptions.</t>
  </si>
  <si>
    <t>- Long program timeline</t>
  </si>
  <si>
    <t>- Global economic trends</t>
  </si>
  <si>
    <t>Geopolitical Instability or Sanctions</t>
  </si>
  <si>
    <t>Political instability or sanctions disrupt suppliers, partners, or launch providers.</t>
  </si>
  <si>
    <t>- Limited diversification</t>
  </si>
  <si>
    <t>- International conflicts or trade actions</t>
  </si>
  <si>
    <t>Force Majeure &amp; Environmental Events</t>
  </si>
  <si>
    <t>Natural Disasters or Environmental Accidents</t>
  </si>
  <si>
    <t>Floods, fires, or contamination events disrupt testing or manufacturing.</t>
  </si>
  <si>
    <t>- Facility resilience gaps</t>
  </si>
  <si>
    <t>- Environmental events</t>
  </si>
  <si>
    <t>Space Weather Impacts</t>
  </si>
  <si>
    <t>Radiation storms or solar activity necessitate design changes or additional testing.</t>
  </si>
  <si>
    <t>- Margins underestimated</t>
  </si>
  <si>
    <t>- Solar activity cycles</t>
  </si>
  <si>
    <t>Shifting GoC or Agency Priorities</t>
  </si>
  <si>
    <t>Changes in federal or departmental priorities alter program direction, scope, or funding.</t>
  </si>
  <si>
    <t>- Misalignment with strategic planning</t>
  </si>
  <si>
    <t>- New government mandates</t>
  </si>
  <si>
    <t>Policy-Driven Changes in Agency Focus</t>
  </si>
  <si>
    <t>Agency focus shifts between mission delivery and administrative compliance due to policy changes.</t>
  </si>
  <si>
    <t>- Leadership turnover</t>
  </si>
  <si>
    <t>- Political direction</t>
  </si>
  <si>
    <t>Value, Stewardship &amp; "Mission vs Resources" Balance</t>
  </si>
  <si>
    <t>Priority on Technology over Stewardship</t>
  </si>
  <si>
    <t>Culture prioritizes technical success over disciplines resource management, contribution to overruns.</t>
  </si>
  <si>
    <t>- Incentives tied to innovation</t>
  </si>
  <si>
    <t>- Public expectations for technological leadership</t>
  </si>
  <si>
    <t>Unclear Mission Success Criteria</t>
  </si>
  <si>
    <t>Lack of clear definition of success undermines tracking, reporting, and accountability.</t>
  </si>
  <si>
    <t>- Weak KPI framework</t>
  </si>
  <si>
    <t>- Evolving departmental expectations</t>
  </si>
  <si>
    <t>System Safety &amp; Human Protection</t>
  </si>
  <si>
    <t>Inadequate Hazard Identification and Mitigation</t>
  </si>
  <si>
    <t>Safety</t>
  </si>
  <si>
    <t>Hazards are not fully identified or mitigated, increasing risk during testing or integration.</t>
  </si>
  <si>
    <t>- Limited safety analysis</t>
  </si>
  <si>
    <t>- New or updated safety regulations</t>
  </si>
  <si>
    <t>Safety Procedures Not Followed</t>
  </si>
  <si>
    <t>Deviations from safety protocol create risk of injury or system damage.</t>
  </si>
  <si>
    <t>- Training gaps</t>
  </si>
  <si>
    <t>- Contractor procedure variance</t>
  </si>
  <si>
    <t>Inadequate QA or Inspection Processes</t>
  </si>
  <si>
    <t>Weak QA processes lead to undetected defects in hardware or documentation.</t>
  </si>
  <si>
    <t>- Insufficient QA staffing</t>
  </si>
  <si>
    <t>- Supplier quality variability</t>
  </si>
  <si>
    <t>Configuration Management Lapses</t>
  </si>
  <si>
    <t>CM issues result in inconsistencies between design, test, and manufacturing data.</t>
  </si>
  <si>
    <t>- Weak configuration discipline</t>
  </si>
  <si>
    <t>- Partner CM incompatibility</t>
  </si>
  <si>
    <t>Test &amp; Verification</t>
  </si>
  <si>
    <t>Incomplete or Insufficient Test Plans</t>
  </si>
  <si>
    <t>Gaps in test coverage allow defects to be discovered late.</t>
  </si>
  <si>
    <t>- Inadequate early test planning</t>
  </si>
  <si>
    <t>- Facility limitations</t>
  </si>
  <si>
    <t>MAIT, SAIT, LEOP, ATLO, Early Ops, Phase E</t>
  </si>
  <si>
    <t>Late Discovery of Non-Compliance</t>
  </si>
  <si>
    <t>Key requirements failures are found late in qualification, increasing cost and schedule impact.</t>
  </si>
  <si>
    <t>- Weak integration testing</t>
  </si>
  <si>
    <t>- Late partner deliveries</t>
  </si>
  <si>
    <t>Delayed Safety or Standards Certification</t>
  </si>
  <si>
    <t>Delays obtaining required certifications impede integration or launch activities</t>
  </si>
  <si>
    <t>- Incomplete documentation</t>
  </si>
  <si>
    <t>- Changing standards</t>
  </si>
  <si>
    <t>LEOP, ATLO, Cruise Out</t>
  </si>
  <si>
    <t>Misaligned Baselines (Cost, Schedule, Technical)</t>
  </si>
  <si>
    <t>Cost, schedule, and technical baselines are not consistently aligned, obscuring issues.</t>
  </si>
  <si>
    <t>- Tool integration gaps</t>
  </si>
  <si>
    <t>- Partner baseline mismatches</t>
  </si>
  <si>
    <t>Inconsistent Data Exchange Across Teams</t>
  </si>
  <si>
    <t>Data is inconsistent or incompatible across engineering, finance, and risk systems.</t>
  </si>
  <si>
    <t>- Multiple unlinked tools</t>
  </si>
  <si>
    <t>- Partner data format variability</t>
  </si>
  <si>
    <t>Knowledge Management</t>
  </si>
  <si>
    <t>Knowledge Loss Through Poor Documentation</t>
  </si>
  <si>
    <t>Documentation gaps cause loss of design rationale and technical context across phases.</t>
  </si>
  <si>
    <t>- Weak KM discipline</t>
  </si>
  <si>
    <t>- Staff turnover</t>
  </si>
  <si>
    <t>Absence of a Knowledge Management Framework</t>
  </si>
  <si>
    <t>Lack of organizational KM policy results in inconsistent retention of critical program information.</t>
  </si>
  <si>
    <t>- No formal KM process</t>
  </si>
  <si>
    <t>- Cross-agency documentation expectations</t>
  </si>
  <si>
    <t>Illustrative extract of published Treasury Board of Canada pay-scale bands, top (MAX) step only, for the classification groups used on the ORCA project. Placeholder figures pending confirmed CSA compensation data; not authoritative.</t>
  </si>
  <si>
    <t>Classification Name</t>
  </si>
  <si>
    <t>Step</t>
  </si>
  <si>
    <t>Salary</t>
  </si>
  <si>
    <t>Effective Date</t>
  </si>
  <si>
    <t>Active</t>
  </si>
  <si>
    <t>AS-1</t>
  </si>
  <si>
    <t>Administrative Services 1</t>
  </si>
  <si>
    <t>MAX</t>
  </si>
  <si>
    <t>2026-04-01</t>
  </si>
  <si>
    <t>Yes</t>
  </si>
  <si>
    <t>AS-2</t>
  </si>
  <si>
    <t>Administrative Services 2</t>
  </si>
  <si>
    <t>CR-4</t>
  </si>
  <si>
    <t>Clerical and Regulatory 4</t>
  </si>
  <si>
    <t>CS-2</t>
  </si>
  <si>
    <t>Computer Systems 2</t>
  </si>
  <si>
    <t>EC-1</t>
  </si>
  <si>
    <t>Economics and Social Science Services 1</t>
  </si>
  <si>
    <t>EG-6</t>
  </si>
  <si>
    <t>Engineering and Scientific Support 6</t>
  </si>
  <si>
    <t>EN-ENG-3</t>
  </si>
  <si>
    <t>Engineering 3</t>
  </si>
  <si>
    <t>Engineering 4</t>
  </si>
  <si>
    <t>Engineering 5</t>
  </si>
  <si>
    <t>Engineering 6</t>
  </si>
  <si>
    <t>EX-2</t>
  </si>
  <si>
    <t>Executive 2</t>
  </si>
  <si>
    <t>GT-4</t>
  </si>
  <si>
    <t>General Technical 4</t>
  </si>
  <si>
    <t>Physical Sciences 3</t>
  </si>
  <si>
    <t>Physical Sciences 4</t>
  </si>
  <si>
    <t>PC-5</t>
  </si>
  <si>
    <t>Physical Sciences 5</t>
  </si>
  <si>
    <t>One row per classification actually used on the ORCA RAM, with its top-step (MAX) annual rate pulled from 'Raw Labour Rates' by formula. The RAM sheet's Rate column looks up against this table.</t>
  </si>
  <si>
    <t>MaxStep</t>
  </si>
  <si>
    <t>Fictional placeholder directory for the ORCA project team. Names are illustrative and used only to drive the RAM sheet's Classification lookup; no real CSA personnel data is represented here.</t>
  </si>
  <si>
    <t>Position Title</t>
  </si>
  <si>
    <t>Base Year 2026</t>
  </si>
  <si>
    <t>Illustrative escalation table. Historic years use placeholder Bank-of-Canada-style CPI figures; future years assume a flat 2.5% escalation. Not authoritative; pending confirmed CSA/TBS economic parameters.</t>
  </si>
  <si>
    <t>FY</t>
  </si>
  <si>
    <t>In BY 2026</t>
  </si>
  <si>
    <t>Forward Index</t>
  </si>
  <si>
    <t>Source</t>
  </si>
  <si>
    <t>Historical CPI</t>
  </si>
  <si>
    <t>Illustrative - Bank of Canada CPI series</t>
  </si>
  <si>
    <t>Base year</t>
  </si>
  <si>
    <t>Illustrative flat 2.5%/yr 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</si>
</sst>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_(* #,##0.00_);_(* \(#,##0.00\);_(* \-??_);_(@_)"/>
    <numFmt numFmtId="165" formatCode="_ * #,##0.00_)\ _$_ ;_ * \(#,##0.00&quot;) &quot;_$_ ;_ * \-??_)\ _$_ ;_ @_ "/>
    <numFmt numFmtId="166" formatCode="_ * #,##0.00_)&quot; $&quot;_ ;_ * \(#,##0.00&quot;) $&quot;_ ;_ * \-??_)&quot; $&quot;_ ;_ @_ "/>
    <numFmt numFmtId="167" formatCode="[$-1009]mmmm\ d&quot;, &quot;yyyy;@"/>
    <numFmt numFmtId="168" formatCode="[$$-409]#,##0_);[Red]\([$$-409]#,##0\)"/>
    <numFmt numFmtId="169" formatCode="d\-mmm\-yy"/>
    <numFmt numFmtId="170" formatCode="[$-1009]General"/>
    <numFmt numFmtId="171" formatCode="yyyy\-mmm\-dd"/>
    <numFmt numFmtId="172" formatCode="0.0"/>
    <numFmt numFmtId="173" formatCode="&quot;FY  &quot;0"/>
    <numFmt numFmtId="174" formatCode="m/d/yyyy"/>
    <numFmt numFmtId="175" formatCode="_(* #,##0_)&quot; d&quot;;_(* \(#,##0\);_(* \-??_);_(@_)"/>
    <numFmt numFmtId="176" formatCode="_(* #,##0.0_)&quot;mo&quot;;_(* \(#,##0.0\);_(* \-??_);_(@_)"/>
    <numFmt numFmtId="177" formatCode="0.0&quot; mo&quot;;;;"/>
    <numFmt numFmtId="178" formatCode=";;;@"/>
    <numFmt numFmtId="180" formatCode="yyyy/mmm/dd"/>
    <numFmt numFmtId="181" formatCode="0.0&quot; mo&quot;"/>
    <numFmt numFmtId="182" formatCode="&quot;FY &quot;0"/>
    <numFmt numFmtId="183" formatCode="\$#,##0;[Red]&quot;-$&quot;#,##0;\-"/>
    <numFmt numFmtId="184" formatCode="0.0&quot; FTE&quot;;\-0.0&quot; FTE&quot;;\-"/>
    <numFmt numFmtId="185" formatCode="0.0&quot; FTE-yr&quot;;\-0.0&quot; FTE-yr&quot;;\-"/>
    <numFmt numFmtId="186" formatCode="0.00&quot; FTE&quot;;\-0.00&quot; FTE&quot;;\-"/>
    <numFmt numFmtId="187" formatCode="0.0&quot; FTE-yr&quot;"/>
    <numFmt numFmtId="188" formatCode="\$#,##0"/>
    <numFmt numFmtId="189" formatCode="0.0000"/>
    <numFmt numFmtId="190" formatCode="0.0%"/>
  </numFmts>
  <fonts count="53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u/>
      <sz val="10"/>
      <color rgb="FF800080"/>
      <name val="Arial"/>
      <family val="2"/>
      <charset val="1"/>
    </font>
    <font>
      <sz val="11"/>
      <color theme="1"/>
      <name val="Aptos"/>
      <family val="2"/>
      <charset val="1"/>
    </font>
    <font>
      <sz val="10"/>
      <color rgb="FF000000"/>
      <name val="Times New Roman"/>
      <family val="1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u/>
      <sz val="11"/>
      <color rgb="FF0563C1"/>
      <name val="Cambria"/>
      <charset val="1"/>
    </font>
    <font>
      <sz val="11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1"/>
      <charset val="2"/>
    </font>
    <font>
      <b/>
      <sz val="24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name val="Arial"/>
      <family val="2"/>
    </font>
    <font>
      <sz val="10"/>
      <color rgb="FF222222"/>
      <name val="Aptos"/>
      <charset val="1"/>
    </font>
    <font>
      <b/>
      <sz val="10"/>
      <color rgb="FF17365D"/>
      <name val="Aptos"/>
      <charset val="1"/>
    </font>
    <font>
      <b/>
      <sz val="10"/>
      <color rgb="FF222222"/>
      <name val="Aptos"/>
      <charset val="1"/>
    </font>
    <font>
      <b/>
      <sz val="10"/>
      <color rgb="FFFFFFFF"/>
      <name val="Aptos"/>
      <charset val="1"/>
    </font>
    <font>
      <b/>
      <sz val="12"/>
      <color rgb="FFFFFFFF"/>
      <name val="Aptos"/>
      <charset val="1"/>
    </font>
    <font>
      <b/>
      <sz val="20"/>
      <color theme="0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1"/>
      <color theme="3"/>
      <name val="Calibri"/>
      <family val="2"/>
      <charset val="1"/>
    </font>
    <font>
      <sz val="11"/>
      <color rgb="FF242424"/>
      <name val="Aptos Narrow"/>
      <family val="2"/>
      <charset val="1"/>
    </font>
    <font>
      <b/>
      <sz val="16"/>
      <color rgb="FFFFFFFF"/>
      <name val="Cambria"/>
      <charset val="1"/>
    </font>
    <font>
      <b/>
      <sz val="16"/>
      <color rgb="FFFFFFFF"/>
      <name val="Calibri"/>
      <family val="2"/>
      <charset val="1"/>
    </font>
    <font>
      <b/>
      <sz val="11"/>
      <color rgb="FF17365D"/>
      <name val="Cambria"/>
      <charset val="1"/>
    </font>
    <font>
      <b/>
      <sz val="11"/>
      <color rgb="FF17365D"/>
      <name val="Calibri"/>
      <family val="2"/>
      <charset val="1"/>
    </font>
    <font>
      <sz val="11"/>
      <color rgb="FF404040"/>
      <name val="Calibri"/>
      <family val="2"/>
      <charset val="1"/>
    </font>
    <font>
      <i/>
      <sz val="9"/>
      <color rgb="FF595959"/>
      <name val="Aptos"/>
      <charset val="1"/>
    </font>
    <font>
      <sz val="10"/>
      <color rgb="FF243447"/>
      <name val="Aptos"/>
      <charset val="1"/>
    </font>
    <font>
      <b/>
      <i/>
      <sz val="10"/>
      <color rgb="FF243447"/>
      <name val="Aptos"/>
      <charset val="1"/>
    </font>
    <font>
      <i/>
      <sz val="10"/>
      <color rgb="FF243447"/>
      <name val="Aptos"/>
      <charset val="1"/>
    </font>
    <font>
      <b/>
      <sz val="10"/>
      <color rgb="FF0000FF"/>
      <name val="Aptos"/>
      <charset val="1"/>
    </font>
    <font>
      <b/>
      <sz val="10"/>
      <color rgb="FF243447"/>
      <name val="Aptos"/>
      <charset val="1"/>
    </font>
    <font>
      <b/>
      <sz val="9"/>
      <color rgb="FFFFFFFF"/>
      <name val="Aptos"/>
      <charset val="1"/>
    </font>
    <font>
      <sz val="9"/>
      <color rgb="FF243447"/>
      <name val="Aptos"/>
      <charset val="1"/>
    </font>
    <font>
      <b/>
      <sz val="9"/>
      <color rgb="FF243447"/>
      <name val="Aptos"/>
      <charset val="1"/>
    </font>
    <font>
      <sz val="10"/>
      <color rgb="FF7F7F7F"/>
      <name val="Aptos"/>
      <charset val="1"/>
    </font>
    <font>
      <b/>
      <sz val="10"/>
      <color rgb="FF7F7F7F"/>
      <name val="Aptos"/>
      <charset val="1"/>
    </font>
    <font>
      <b/>
      <sz val="12"/>
      <name val="Cambria"/>
      <charset val="1"/>
    </font>
    <font>
      <i/>
      <sz val="9"/>
      <color rgb="FF808080"/>
      <name val="Cambria"/>
      <charset val="1"/>
    </font>
    <font>
      <sz val="11"/>
      <color theme="1"/>
      <name val="Calibri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theme="0" tint="-0.14999847407452621"/>
        <bgColor rgb="FFD9E1E8"/>
      </patternFill>
    </fill>
    <fill>
      <patternFill patternType="solid">
        <fgColor theme="4" tint="0.79979857783745845"/>
        <bgColor rgb="FFD9E1F2"/>
      </patternFill>
    </fill>
    <fill>
      <patternFill patternType="solid">
        <fgColor theme="9" tint="0.79979857783745845"/>
        <bgColor rgb="FFE2EFDA"/>
      </patternFill>
    </fill>
    <fill>
      <patternFill patternType="solid">
        <fgColor rgb="FFFFFFCC"/>
        <bgColor rgb="FFFFF8E1"/>
      </patternFill>
    </fill>
    <fill>
      <patternFill patternType="solid">
        <fgColor theme="8" tint="0.79979857783745845"/>
        <bgColor rgb="FFD9EAF7"/>
      </patternFill>
    </fill>
    <fill>
      <patternFill patternType="solid">
        <fgColor theme="5" tint="0.79979857783745845"/>
        <bgColor rgb="FFFCE4D6"/>
      </patternFill>
    </fill>
    <fill>
      <patternFill patternType="solid">
        <fgColor theme="3" tint="0.89989928891872917"/>
        <bgColor rgb="FFEEF1F4"/>
      </patternFill>
    </fill>
    <fill>
      <patternFill patternType="solid">
        <fgColor rgb="FFFFFF00"/>
        <bgColor rgb="FFFFC000"/>
      </patternFill>
    </fill>
    <fill>
      <patternFill patternType="solid">
        <fgColor theme="9"/>
        <bgColor rgb="FF548235"/>
      </patternFill>
    </fill>
    <fill>
      <patternFill patternType="solid">
        <fgColor theme="5" tint="-0.249977111117893"/>
        <bgColor rgb="FFED7D31"/>
      </patternFill>
    </fill>
    <fill>
      <patternFill patternType="solid">
        <fgColor theme="3"/>
        <bgColor rgb="FF315B7D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E2F0D9"/>
      </patternFill>
    </fill>
    <fill>
      <patternFill patternType="solid">
        <fgColor theme="0" tint="-4.9989318521683403E-2"/>
        <bgColor rgb="FFEEF1F4"/>
      </patternFill>
    </fill>
    <fill>
      <patternFill patternType="solid">
        <fgColor rgb="FFD9EAF7"/>
        <bgColor rgb="FFDEEBF7"/>
      </patternFill>
    </fill>
    <fill>
      <patternFill patternType="solid">
        <fgColor rgb="FFF4F7FA"/>
        <bgColor rgb="FFF3F5F7"/>
      </patternFill>
    </fill>
    <fill>
      <patternFill patternType="solid">
        <fgColor rgb="FF17365D"/>
        <bgColor rgb="FF243447"/>
      </patternFill>
    </fill>
    <fill>
      <patternFill patternType="solid">
        <fgColor rgb="FFFFFFFF"/>
        <bgColor rgb="FFF8FAFC"/>
      </patternFill>
    </fill>
    <fill>
      <patternFill patternType="solid">
        <fgColor rgb="FF2F75B5"/>
        <bgColor rgb="FF1F6D7A"/>
      </patternFill>
    </fill>
    <fill>
      <patternFill patternType="solid">
        <fgColor rgb="FFA5A5A5"/>
        <bgColor rgb="FF9EADBA"/>
      </patternFill>
    </fill>
    <fill>
      <patternFill patternType="solid">
        <fgColor rgb="FFF7F9FB"/>
        <bgColor rgb="FFF8FAFC"/>
      </patternFill>
    </fill>
    <fill>
      <patternFill patternType="solid">
        <fgColor rgb="FF1F6D7A"/>
        <bgColor rgb="FF315B7D"/>
      </patternFill>
    </fill>
    <fill>
      <patternFill patternType="solid">
        <fgColor rgb="FFEAF2F8"/>
        <bgColor rgb="FFE8F4F3"/>
      </patternFill>
    </fill>
    <fill>
      <patternFill patternType="solid">
        <fgColor rgb="FFF3F5F7"/>
        <bgColor rgb="FFF4F7FA"/>
      </patternFill>
    </fill>
    <fill>
      <patternFill patternType="solid">
        <fgColor rgb="FFE8F4F3"/>
        <bgColor rgb="FFEAF2F8"/>
      </patternFill>
    </fill>
    <fill>
      <patternFill patternType="solid">
        <fgColor rgb="FFFFF2CC"/>
        <bgColor rgb="FFFFF8E1"/>
      </patternFill>
    </fill>
    <fill>
      <patternFill patternType="solid">
        <fgColor rgb="FF315B7D"/>
        <bgColor rgb="FF44546A"/>
      </patternFill>
    </fill>
    <fill>
      <patternFill patternType="solid">
        <fgColor rgb="FFFFF8E1"/>
        <bgColor rgb="FFFFF2CC"/>
      </patternFill>
    </fill>
    <fill>
      <patternFill patternType="solid">
        <fgColor rgb="FFF8FAFC"/>
        <bgColor rgb="FFF7F9FB"/>
      </patternFill>
    </fill>
    <fill>
      <patternFill patternType="solid">
        <fgColor rgb="FFD9E1F2"/>
        <bgColor rgb="FFDAE3F3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rgb="FF9EADBA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  <border>
      <left/>
      <right/>
      <top style="thin">
        <color rgb="FF2F75B5"/>
      </top>
      <bottom/>
      <diagonal/>
    </border>
    <border>
      <left/>
      <right/>
      <top style="thin">
        <color rgb="FFD9E1E8"/>
      </top>
      <bottom style="thin">
        <color rgb="FF9EADBA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/>
      <bottom style="thin">
        <color rgb="FFD9E1F2"/>
      </bottom>
      <diagonal/>
    </border>
    <border>
      <left style="thin">
        <color rgb="FFDDE5EC"/>
      </left>
      <right style="thin">
        <color rgb="FFDDE5EC"/>
      </right>
      <top style="thin">
        <color rgb="FFDDE5EC"/>
      </top>
      <bottom style="thin">
        <color rgb="FFDDE5EC"/>
      </bottom>
      <diagonal/>
    </border>
    <border>
      <left style="thin">
        <color rgb="FFDDE5EC"/>
      </left>
      <right style="thin">
        <color rgb="FFDDE5EC"/>
      </right>
      <top style="thin">
        <color rgb="FF17365D"/>
      </top>
      <bottom style="thin">
        <color rgb="FF17365D"/>
      </bottom>
      <diagonal/>
    </border>
    <border>
      <left/>
      <right style="thin">
        <color rgb="FFEEF1F4"/>
      </right>
      <top/>
      <bottom style="thin">
        <color rgb="FFD9E1E8"/>
      </bottom>
      <diagonal/>
    </border>
    <border>
      <left style="thin">
        <color rgb="FFEEF1F4"/>
      </left>
      <right style="thin">
        <color rgb="FFEEF1F4"/>
      </right>
      <top/>
      <bottom style="thin">
        <color rgb="FFD9E1E8"/>
      </bottom>
      <diagonal/>
    </border>
    <border>
      <left style="thin">
        <color rgb="FFEEF1F4"/>
      </left>
      <right/>
      <top/>
      <bottom style="thin">
        <color rgb="FFD9E1E8"/>
      </bottom>
      <diagonal/>
    </border>
    <border>
      <left/>
      <right style="thin">
        <color rgb="FFEEF1F4"/>
      </right>
      <top style="thin">
        <color rgb="FFD9E1E8"/>
      </top>
      <bottom style="thin">
        <color rgb="FFD9E1E8"/>
      </bottom>
      <diagonal/>
    </border>
    <border>
      <left style="thin">
        <color rgb="FFEEF1F4"/>
      </left>
      <right style="thin">
        <color rgb="FFEEF1F4"/>
      </right>
      <top style="thin">
        <color rgb="FFD9E1E8"/>
      </top>
      <bottom style="thin">
        <color rgb="FFD9E1E8"/>
      </bottom>
      <diagonal/>
    </border>
    <border>
      <left style="thin">
        <color rgb="FFEEF1F4"/>
      </left>
      <right/>
      <top style="thin">
        <color rgb="FFD9E1E8"/>
      </top>
      <bottom style="thin">
        <color rgb="FFD9E1E8"/>
      </bottom>
      <diagonal/>
    </border>
    <border>
      <left/>
      <right style="thin">
        <color rgb="FFEEF1F4"/>
      </right>
      <top style="thin">
        <color rgb="FFD9E1E8"/>
      </top>
      <bottom/>
      <diagonal/>
    </border>
    <border>
      <left style="thin">
        <color rgb="FFEEF1F4"/>
      </left>
      <right style="thin">
        <color rgb="FFEEF1F4"/>
      </right>
      <top style="thin">
        <color rgb="FFD9E1E8"/>
      </top>
      <bottom/>
      <diagonal/>
    </border>
    <border>
      <left style="thin">
        <color rgb="FFEEF1F4"/>
      </left>
      <right/>
      <top style="thin">
        <color rgb="FFD9E1E8"/>
      </top>
      <bottom/>
      <diagonal/>
    </border>
    <border>
      <left/>
      <right style="thin">
        <color rgb="FFEEF1F4"/>
      </right>
      <top style="medium">
        <color rgb="FF2F75B5"/>
      </top>
      <bottom style="thin">
        <color rgb="FFD9E1E8"/>
      </bottom>
      <diagonal/>
    </border>
    <border>
      <left style="thin">
        <color rgb="FFEEF1F4"/>
      </left>
      <right style="thin">
        <color rgb="FFEEF1F4"/>
      </right>
      <top style="medium">
        <color rgb="FF2F75B5"/>
      </top>
      <bottom style="thin">
        <color rgb="FFD9E1E8"/>
      </bottom>
      <diagonal/>
    </border>
    <border>
      <left style="thin">
        <color rgb="FFEEF1F4"/>
      </left>
      <right/>
      <top style="medium">
        <color rgb="FF2F75B5"/>
      </top>
      <bottom style="thin">
        <color rgb="FFD9E1E8"/>
      </bottom>
      <diagonal/>
    </border>
    <border>
      <left/>
      <right style="thin">
        <color rgb="FFEEF1F4"/>
      </right>
      <top style="thin">
        <color rgb="FFD9E1E8"/>
      </top>
      <bottom style="thin">
        <color rgb="FF9EADBA"/>
      </bottom>
      <diagonal/>
    </border>
    <border>
      <left style="thin">
        <color rgb="FFEEF1F4"/>
      </left>
      <right style="thin">
        <color rgb="FFEEF1F4"/>
      </right>
      <top style="thin">
        <color rgb="FFD9E1E8"/>
      </top>
      <bottom style="thin">
        <color rgb="FF9EADBA"/>
      </bottom>
      <diagonal/>
    </border>
    <border>
      <left style="thin">
        <color rgb="FFEEF1F4"/>
      </left>
      <right/>
      <top style="thin">
        <color rgb="FFD9E1E8"/>
      </top>
      <bottom style="thin">
        <color rgb="FF9EADBA"/>
      </bottom>
      <diagonal/>
    </border>
  </borders>
  <cellStyleXfs count="19">
    <xf numFmtId="0" fontId="0" fillId="0" borderId="0"/>
    <xf numFmtId="164" fontId="52" fillId="0" borderId="0"/>
    <xf numFmtId="164" fontId="1" fillId="0" borderId="0"/>
    <xf numFmtId="164" fontId="52" fillId="0" borderId="0"/>
    <xf numFmtId="165" fontId="2" fillId="0" borderId="0"/>
    <xf numFmtId="166" fontId="1" fillId="0" borderId="0"/>
    <xf numFmtId="167" fontId="3" fillId="0" borderId="0"/>
    <xf numFmtId="167" fontId="1" fillId="0" borderId="0"/>
    <xf numFmtId="0" fontId="4" fillId="0" borderId="0"/>
    <xf numFmtId="167" fontId="5" fillId="0" borderId="0"/>
    <xf numFmtId="167" fontId="6" fillId="0" borderId="0"/>
    <xf numFmtId="0" fontId="52" fillId="0" borderId="0"/>
    <xf numFmtId="167" fontId="1" fillId="0" borderId="0"/>
    <xf numFmtId="167" fontId="52" fillId="0" borderId="0"/>
    <xf numFmtId="167" fontId="52" fillId="0" borderId="0"/>
    <xf numFmtId="168" fontId="52" fillId="0" borderId="0"/>
    <xf numFmtId="167" fontId="1" fillId="0" borderId="0"/>
    <xf numFmtId="9" fontId="1" fillId="0" borderId="0"/>
    <xf numFmtId="9" fontId="7" fillId="0" borderId="0"/>
  </cellStyleXfs>
  <cellXfs count="255">
    <xf numFmtId="0" fontId="0" fillId="0" borderId="0" xfId="0"/>
    <xf numFmtId="49" fontId="20" fillId="13" borderId="2" xfId="0" applyNumberFormat="1" applyFont="1" applyFill="1" applyBorder="1" applyAlignment="1">
      <alignment horizontal="left" vertical="center"/>
    </xf>
    <xf numFmtId="0" fontId="20" fillId="14" borderId="2" xfId="0" applyFont="1" applyFill="1" applyBorder="1" applyAlignment="1">
      <alignment vertical="center" wrapText="1"/>
    </xf>
    <xf numFmtId="0" fontId="20" fillId="14" borderId="2" xfId="0" applyFont="1" applyFill="1" applyBorder="1" applyAlignment="1">
      <alignment vertical="center"/>
    </xf>
    <xf numFmtId="49" fontId="20" fillId="13" borderId="2" xfId="0" applyNumberFormat="1" applyFont="1" applyFill="1" applyBorder="1" applyAlignment="1">
      <alignment vertical="center"/>
    </xf>
    <xf numFmtId="0" fontId="18" fillId="11" borderId="2" xfId="0" applyFont="1" applyFill="1" applyBorder="1" applyAlignment="1">
      <alignment horizontal="center"/>
    </xf>
    <xf numFmtId="0" fontId="18" fillId="10" borderId="6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170" fontId="15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169" fontId="12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left" vertical="top"/>
    </xf>
    <xf numFmtId="0" fontId="0" fillId="2" borderId="2" xfId="0" applyFill="1" applyBorder="1" applyAlignment="1">
      <alignment horizontal="center"/>
    </xf>
    <xf numFmtId="0" fontId="14" fillId="3" borderId="3" xfId="0" applyFont="1" applyFill="1" applyBorder="1" applyAlignment="1">
      <alignment horizontal="left" vertical="top"/>
    </xf>
    <xf numFmtId="0" fontId="14" fillId="3" borderId="2" xfId="0" applyFont="1" applyFill="1" applyBorder="1" applyAlignment="1">
      <alignment horizontal="left" vertical="top"/>
    </xf>
    <xf numFmtId="0" fontId="0" fillId="0" borderId="2" xfId="0" applyBorder="1"/>
    <xf numFmtId="171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2" borderId="2" xfId="0" applyFill="1" applyBorder="1"/>
    <xf numFmtId="172" fontId="0" fillId="2" borderId="2" xfId="0" applyNumberFormat="1" applyFill="1" applyBorder="1"/>
    <xf numFmtId="0" fontId="14" fillId="0" borderId="2" xfId="0" applyFont="1" applyBorder="1"/>
    <xf numFmtId="171" fontId="14" fillId="0" borderId="2" xfId="0" applyNumberFormat="1" applyFont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14" fillId="2" borderId="2" xfId="0" applyFont="1" applyFill="1" applyBorder="1"/>
    <xf numFmtId="172" fontId="14" fillId="2" borderId="2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left"/>
    </xf>
    <xf numFmtId="172" fontId="0" fillId="0" borderId="2" xfId="0" applyNumberFormat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 vertical="top"/>
    </xf>
    <xf numFmtId="0" fontId="0" fillId="4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 vertical="top"/>
    </xf>
    <xf numFmtId="0" fontId="0" fillId="5" borderId="2" xfId="0" applyFill="1" applyBorder="1"/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left" vertical="top"/>
    </xf>
    <xf numFmtId="0" fontId="0" fillId="7" borderId="2" xfId="0" applyFill="1" applyBorder="1"/>
    <xf numFmtId="0" fontId="0" fillId="7" borderId="3" xfId="0" applyFill="1" applyBorder="1" applyAlignment="1">
      <alignment horizontal="center"/>
    </xf>
    <xf numFmtId="0" fontId="0" fillId="7" borderId="3" xfId="0" applyFill="1" applyBorder="1" applyAlignment="1">
      <alignment horizontal="left" vertical="top"/>
    </xf>
    <xf numFmtId="0" fontId="0" fillId="7" borderId="3" xfId="0" applyFill="1" applyBorder="1"/>
    <xf numFmtId="0" fontId="0" fillId="0" borderId="3" xfId="0" applyBorder="1"/>
    <xf numFmtId="0" fontId="0" fillId="7" borderId="4" xfId="0" applyFill="1" applyBorder="1" applyAlignment="1">
      <alignment horizontal="center"/>
    </xf>
    <xf numFmtId="0" fontId="0" fillId="7" borderId="4" xfId="0" applyFill="1" applyBorder="1" applyAlignment="1">
      <alignment horizontal="left" vertical="top"/>
    </xf>
    <xf numFmtId="0" fontId="0" fillId="7" borderId="5" xfId="0" applyFill="1" applyBorder="1" applyAlignment="1">
      <alignment horizontal="center"/>
    </xf>
    <xf numFmtId="0" fontId="0" fillId="7" borderId="5" xfId="0" applyFill="1" applyBorder="1" applyAlignment="1">
      <alignment horizontal="left" vertical="top"/>
    </xf>
    <xf numFmtId="0" fontId="0" fillId="7" borderId="5" xfId="0" applyFill="1" applyBorder="1"/>
    <xf numFmtId="0" fontId="0" fillId="0" borderId="5" xfId="0" applyBorder="1"/>
    <xf numFmtId="0" fontId="0" fillId="6" borderId="2" xfId="0" applyFill="1" applyBorder="1" applyAlignment="1">
      <alignment horizontal="left" vertical="top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7" fillId="8" borderId="2" xfId="0" applyFont="1" applyFill="1" applyBorder="1"/>
    <xf numFmtId="0" fontId="7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 vertical="top"/>
    </xf>
    <xf numFmtId="0" fontId="0" fillId="9" borderId="2" xfId="0" applyFill="1" applyBorder="1"/>
    <xf numFmtId="0" fontId="0" fillId="0" borderId="0" xfId="0" applyAlignment="1">
      <alignment horizontal="left" vertical="top"/>
    </xf>
    <xf numFmtId="0" fontId="0" fillId="3" borderId="2" xfId="0" applyFill="1" applyBorder="1"/>
    <xf numFmtId="0" fontId="18" fillId="11" borderId="2" xfId="0" applyFont="1" applyFill="1" applyBorder="1" applyAlignment="1">
      <alignment horizontal="center"/>
    </xf>
    <xf numFmtId="0" fontId="18" fillId="12" borderId="3" xfId="0" applyFont="1" applyFill="1" applyBorder="1" applyAlignment="1">
      <alignment horizontal="center"/>
    </xf>
    <xf numFmtId="0" fontId="19" fillId="0" borderId="2" xfId="0" applyFont="1" applyBorder="1"/>
    <xf numFmtId="0" fontId="19" fillId="0" borderId="0" xfId="0" applyFont="1" applyAlignment="1">
      <alignment vertical="center" wrapText="1"/>
    </xf>
    <xf numFmtId="49" fontId="20" fillId="13" borderId="2" xfId="0" applyNumberFormat="1" applyFont="1" applyFill="1" applyBorder="1" applyAlignment="1">
      <alignment vertical="center"/>
    </xf>
    <xf numFmtId="49" fontId="19" fillId="0" borderId="0" xfId="0" applyNumberFormat="1" applyFont="1"/>
    <xf numFmtId="49" fontId="19" fillId="3" borderId="2" xfId="0" applyNumberFormat="1" applyFont="1" applyFill="1" applyBorder="1"/>
    <xf numFmtId="0" fontId="20" fillId="0" borderId="7" xfId="0" applyFont="1" applyBorder="1" applyAlignment="1">
      <alignment vertical="center"/>
    </xf>
    <xf numFmtId="0" fontId="20" fillId="14" borderId="2" xfId="0" applyFont="1" applyFill="1" applyBorder="1" applyAlignment="1">
      <alignment vertical="center"/>
    </xf>
    <xf numFmtId="49" fontId="20" fillId="3" borderId="2" xfId="0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18" fillId="12" borderId="0" xfId="0" applyFont="1" applyFill="1"/>
    <xf numFmtId="0" fontId="17" fillId="3" borderId="8" xfId="0" applyFont="1" applyFill="1" applyBorder="1" applyAlignment="1">
      <alignment horizontal="left"/>
    </xf>
    <xf numFmtId="0" fontId="17" fillId="3" borderId="9" xfId="0" applyFont="1" applyFill="1" applyBorder="1"/>
    <xf numFmtId="0" fontId="17" fillId="3" borderId="8" xfId="0" applyFont="1" applyFill="1" applyBorder="1"/>
    <xf numFmtId="0" fontId="18" fillId="12" borderId="2" xfId="0" applyFont="1" applyFill="1" applyBorder="1" applyAlignment="1">
      <alignment horizontal="center"/>
    </xf>
    <xf numFmtId="173" fontId="21" fillId="12" borderId="10" xfId="0" applyNumberFormat="1" applyFont="1" applyFill="1" applyBorder="1"/>
    <xf numFmtId="174" fontId="0" fillId="3" borderId="2" xfId="0" applyNumberFormat="1" applyFill="1" applyBorder="1" applyAlignment="1">
      <alignment horizontal="center"/>
    </xf>
    <xf numFmtId="175" fontId="0" fillId="2" borderId="2" xfId="0" applyNumberFormat="1" applyFill="1" applyBorder="1"/>
    <xf numFmtId="176" fontId="0" fillId="2" borderId="2" xfId="0" applyNumberFormat="1" applyFill="1" applyBorder="1"/>
    <xf numFmtId="177" fontId="0" fillId="15" borderId="8" xfId="0" applyNumberFormat="1" applyFill="1" applyBorder="1"/>
    <xf numFmtId="178" fontId="0" fillId="3" borderId="2" xfId="0" applyNumberFormat="1" applyFill="1" applyBorder="1"/>
    <xf numFmtId="175" fontId="0" fillId="2" borderId="8" xfId="0" applyNumberFormat="1" applyFill="1" applyBorder="1"/>
    <xf numFmtId="176" fontId="0" fillId="2" borderId="8" xfId="0" applyNumberFormat="1" applyFill="1" applyBorder="1"/>
    <xf numFmtId="164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23" fillId="0" borderId="0" xfId="0" applyFont="1" applyAlignment="1">
      <alignment vertical="center"/>
    </xf>
    <xf numFmtId="0" fontId="24" fillId="16" borderId="11" xfId="0" applyFont="1" applyFill="1" applyBorder="1" applyAlignment="1">
      <alignment horizontal="center" vertical="center"/>
    </xf>
    <xf numFmtId="180" fontId="25" fillId="17" borderId="11" xfId="0" applyNumberFormat="1" applyFont="1" applyFill="1" applyBorder="1" applyAlignment="1">
      <alignment horizontal="center" vertical="center"/>
    </xf>
    <xf numFmtId="0" fontId="26" fillId="18" borderId="0" xfId="0" applyFont="1" applyFill="1" applyAlignment="1">
      <alignment horizontal="center" vertical="center" wrapText="1"/>
    </xf>
    <xf numFmtId="0" fontId="23" fillId="19" borderId="12" xfId="0" applyFont="1" applyFill="1" applyBorder="1" applyAlignment="1">
      <alignment horizontal="center" vertical="center"/>
    </xf>
    <xf numFmtId="0" fontId="23" fillId="19" borderId="12" xfId="0" applyFont="1" applyFill="1" applyBorder="1" applyAlignment="1">
      <alignment vertical="center" wrapText="1"/>
    </xf>
    <xf numFmtId="180" fontId="23" fillId="19" borderId="12" xfId="0" applyNumberFormat="1" applyFont="1" applyFill="1" applyBorder="1" applyAlignment="1">
      <alignment horizontal="center" vertical="center"/>
    </xf>
    <xf numFmtId="0" fontId="23" fillId="19" borderId="12" xfId="0" applyFont="1" applyFill="1" applyBorder="1" applyAlignment="1">
      <alignment horizontal="center" vertical="center" wrapText="1"/>
    </xf>
    <xf numFmtId="181" fontId="23" fillId="19" borderId="12" xfId="0" applyNumberFormat="1" applyFont="1" applyFill="1" applyBorder="1" applyAlignment="1">
      <alignment horizontal="center" vertical="center"/>
    </xf>
    <xf numFmtId="0" fontId="23" fillId="19" borderId="13" xfId="0" applyFont="1" applyFill="1" applyBorder="1" applyAlignment="1">
      <alignment horizontal="center" vertical="center"/>
    </xf>
    <xf numFmtId="0" fontId="23" fillId="19" borderId="13" xfId="0" applyFont="1" applyFill="1" applyBorder="1" applyAlignment="1">
      <alignment vertical="center" wrapText="1"/>
    </xf>
    <xf numFmtId="180" fontId="23" fillId="19" borderId="13" xfId="0" applyNumberFormat="1" applyFont="1" applyFill="1" applyBorder="1" applyAlignment="1">
      <alignment horizontal="center" vertical="center"/>
    </xf>
    <xf numFmtId="0" fontId="23" fillId="19" borderId="13" xfId="0" applyFont="1" applyFill="1" applyBorder="1" applyAlignment="1">
      <alignment horizontal="center" vertical="center" wrapText="1"/>
    </xf>
    <xf numFmtId="181" fontId="23" fillId="19" borderId="13" xfId="0" applyNumberFormat="1" applyFont="1" applyFill="1" applyBorder="1" applyAlignment="1">
      <alignment horizontal="center" vertical="center"/>
    </xf>
    <xf numFmtId="0" fontId="26" fillId="20" borderId="0" xfId="0" applyFont="1" applyFill="1" applyAlignment="1">
      <alignment horizontal="center" vertical="center" wrapText="1"/>
    </xf>
    <xf numFmtId="0" fontId="23" fillId="19" borderId="12" xfId="0" applyFont="1" applyFill="1" applyBorder="1" applyAlignment="1">
      <alignment vertical="center"/>
    </xf>
    <xf numFmtId="0" fontId="23" fillId="19" borderId="13" xfId="0" applyFont="1" applyFill="1" applyBorder="1" applyAlignment="1">
      <alignment vertical="center"/>
    </xf>
    <xf numFmtId="0" fontId="23" fillId="19" borderId="14" xfId="0" applyFont="1" applyFill="1" applyBorder="1" applyAlignment="1">
      <alignment vertical="center"/>
    </xf>
    <xf numFmtId="181" fontId="23" fillId="19" borderId="14" xfId="0" applyNumberFormat="1" applyFont="1" applyFill="1" applyBorder="1" applyAlignment="1">
      <alignment horizontal="center" vertical="center"/>
    </xf>
    <xf numFmtId="180" fontId="23" fillId="19" borderId="14" xfId="0" applyNumberFormat="1" applyFont="1" applyFill="1" applyBorder="1" applyAlignment="1">
      <alignment horizontal="center" vertical="center"/>
    </xf>
    <xf numFmtId="0" fontId="24" fillId="16" borderId="15" xfId="0" applyFont="1" applyFill="1" applyBorder="1" applyAlignment="1">
      <alignment vertical="center"/>
    </xf>
    <xf numFmtId="181" fontId="24" fillId="16" borderId="15" xfId="0" applyNumberFormat="1" applyFont="1" applyFill="1" applyBorder="1" applyAlignment="1">
      <alignment vertical="center"/>
    </xf>
    <xf numFmtId="0" fontId="23" fillId="19" borderId="16" xfId="0" applyFont="1" applyFill="1" applyBorder="1" applyAlignment="1">
      <alignment horizontal="center" vertical="center"/>
    </xf>
    <xf numFmtId="0" fontId="23" fillId="19" borderId="16" xfId="0" applyFont="1" applyFill="1" applyBorder="1" applyAlignment="1">
      <alignment vertical="center" wrapText="1"/>
    </xf>
    <xf numFmtId="180" fontId="23" fillId="19" borderId="16" xfId="0" applyNumberFormat="1" applyFont="1" applyFill="1" applyBorder="1" applyAlignment="1">
      <alignment horizontal="center" vertical="center"/>
    </xf>
    <xf numFmtId="0" fontId="23" fillId="19" borderId="16" xfId="0" applyFont="1" applyFill="1" applyBorder="1" applyAlignment="1">
      <alignment horizontal="center" vertical="center" wrapText="1"/>
    </xf>
    <xf numFmtId="181" fontId="23" fillId="19" borderId="16" xfId="0" applyNumberFormat="1" applyFont="1" applyFill="1" applyBorder="1" applyAlignment="1">
      <alignment horizontal="center" vertical="center"/>
    </xf>
    <xf numFmtId="0" fontId="27" fillId="18" borderId="0" xfId="0" applyFont="1" applyFill="1" applyAlignment="1">
      <alignment vertical="center"/>
    </xf>
    <xf numFmtId="0" fontId="26" fillId="20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 wrapText="1"/>
    </xf>
    <xf numFmtId="0" fontId="21" fillId="21" borderId="18" xfId="0" applyFont="1" applyFill="1" applyBorder="1" applyAlignment="1">
      <alignment vertical="top"/>
    </xf>
    <xf numFmtId="0" fontId="18" fillId="21" borderId="18" xfId="0" applyFont="1" applyFill="1" applyBorder="1" applyAlignment="1">
      <alignment vertical="top"/>
    </xf>
    <xf numFmtId="174" fontId="21" fillId="21" borderId="18" xfId="0" applyNumberFormat="1" applyFont="1" applyFill="1" applyBorder="1" applyAlignment="1">
      <alignment vertical="top" wrapText="1"/>
    </xf>
    <xf numFmtId="0" fontId="29" fillId="21" borderId="19" xfId="0" applyFont="1" applyFill="1" applyBorder="1" applyAlignment="1">
      <alignment vertical="top" wrapText="1"/>
    </xf>
    <xf numFmtId="0" fontId="30" fillId="21" borderId="19" xfId="0" applyFont="1" applyFill="1" applyBorder="1" applyAlignment="1">
      <alignment vertical="top" wrapText="1"/>
    </xf>
    <xf numFmtId="0" fontId="31" fillId="9" borderId="19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32" fillId="0" borderId="2" xfId="0" applyFont="1" applyBorder="1" applyAlignment="1">
      <alignment horizontal="left" vertical="top" wrapText="1" indent="1"/>
    </xf>
    <xf numFmtId="0" fontId="32" fillId="0" borderId="2" xfId="0" applyFont="1" applyBorder="1" applyAlignment="1">
      <alignment horizontal="left" vertical="top" wrapText="1" indent="5"/>
    </xf>
    <xf numFmtId="0" fontId="0" fillId="0" borderId="2" xfId="0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0" fontId="0" fillId="9" borderId="2" xfId="0" applyFill="1" applyBorder="1" applyAlignment="1">
      <alignment vertical="top"/>
    </xf>
    <xf numFmtId="0" fontId="32" fillId="0" borderId="2" xfId="0" applyFont="1" applyBorder="1" applyAlignment="1">
      <alignment horizontal="left" vertical="top" wrapText="1"/>
    </xf>
    <xf numFmtId="0" fontId="32" fillId="9" borderId="2" xfId="0" applyFont="1" applyFill="1" applyBorder="1" applyAlignment="1">
      <alignment horizontal="left" vertical="top" wrapText="1"/>
    </xf>
    <xf numFmtId="0" fontId="33" fillId="0" borderId="2" xfId="0" applyFont="1" applyBorder="1" applyAlignment="1">
      <alignment vertical="top" wrapText="1"/>
    </xf>
    <xf numFmtId="0" fontId="34" fillId="18" borderId="0" xfId="0" applyFont="1" applyFill="1" applyAlignment="1">
      <alignment vertical="center"/>
    </xf>
    <xf numFmtId="0" fontId="35" fillId="18" borderId="0" xfId="0" applyFont="1" applyFill="1" applyAlignment="1">
      <alignment vertical="center"/>
    </xf>
    <xf numFmtId="0" fontId="36" fillId="16" borderId="0" xfId="0" applyFont="1" applyFill="1"/>
    <xf numFmtId="0" fontId="37" fillId="16" borderId="0" xfId="0" applyFont="1" applyFill="1"/>
    <xf numFmtId="0" fontId="36" fillId="16" borderId="0" xfId="0" applyFont="1" applyFill="1" applyAlignment="1">
      <alignment vertical="center"/>
    </xf>
    <xf numFmtId="0" fontId="0" fillId="22" borderId="0" xfId="0" applyFill="1" applyAlignment="1">
      <alignment vertical="center" wrapText="1"/>
    </xf>
    <xf numFmtId="0" fontId="36" fillId="16" borderId="20" xfId="0" applyFont="1" applyFill="1" applyBorder="1" applyAlignment="1">
      <alignment vertical="center"/>
    </xf>
    <xf numFmtId="0" fontId="0" fillId="22" borderId="20" xfId="0" applyFill="1" applyBorder="1" applyAlignment="1">
      <alignment vertical="center" wrapText="1"/>
    </xf>
    <xf numFmtId="0" fontId="39" fillId="0" borderId="0" xfId="0" applyFont="1"/>
    <xf numFmtId="0" fontId="26" fillId="18" borderId="21" xfId="0" applyFont="1" applyFill="1" applyBorder="1" applyAlignment="1">
      <alignment horizontal="center" vertical="center" wrapText="1"/>
    </xf>
    <xf numFmtId="182" fontId="26" fillId="23" borderId="21" xfId="0" applyNumberFormat="1" applyFont="1" applyFill="1" applyBorder="1" applyAlignment="1">
      <alignment horizontal="center" vertical="center" wrapText="1"/>
    </xf>
    <xf numFmtId="0" fontId="26" fillId="23" borderId="21" xfId="0" applyFont="1" applyFill="1" applyBorder="1" applyAlignment="1">
      <alignment horizontal="center" vertical="center" wrapText="1"/>
    </xf>
    <xf numFmtId="0" fontId="40" fillId="24" borderId="21" xfId="0" applyFont="1" applyFill="1" applyBorder="1" applyAlignment="1">
      <alignment horizontal="center" vertical="center"/>
    </xf>
    <xf numFmtId="0" fontId="40" fillId="24" borderId="21" xfId="0" applyFont="1" applyFill="1" applyBorder="1" applyAlignment="1">
      <alignment horizontal="left" vertical="center"/>
    </xf>
    <xf numFmtId="0" fontId="40" fillId="24" borderId="21" xfId="0" applyFont="1" applyFill="1" applyBorder="1" applyAlignment="1">
      <alignment horizontal="left" vertical="center" wrapText="1"/>
    </xf>
    <xf numFmtId="9" fontId="40" fillId="24" borderId="21" xfId="0" applyNumberFormat="1" applyFont="1" applyFill="1" applyBorder="1" applyAlignment="1">
      <alignment horizontal="center" vertical="center"/>
    </xf>
    <xf numFmtId="183" fontId="40" fillId="24" borderId="21" xfId="0" applyNumberFormat="1" applyFont="1" applyFill="1" applyBorder="1" applyAlignment="1">
      <alignment horizontal="right" vertical="center"/>
    </xf>
    <xf numFmtId="184" fontId="40" fillId="24" borderId="21" xfId="0" applyNumberFormat="1" applyFont="1" applyFill="1" applyBorder="1" applyAlignment="1">
      <alignment horizontal="center" vertical="center"/>
    </xf>
    <xf numFmtId="185" fontId="40" fillId="24" borderId="21" xfId="0" applyNumberFormat="1" applyFont="1" applyFill="1" applyBorder="1" applyAlignment="1">
      <alignment horizontal="center" vertical="center"/>
    </xf>
    <xf numFmtId="0" fontId="40" fillId="19" borderId="21" xfId="0" applyFont="1" applyFill="1" applyBorder="1" applyAlignment="1">
      <alignment horizontal="center" vertical="center"/>
    </xf>
    <xf numFmtId="0" fontId="40" fillId="19" borderId="21" xfId="0" applyFont="1" applyFill="1" applyBorder="1" applyAlignment="1">
      <alignment horizontal="left" vertical="center"/>
    </xf>
    <xf numFmtId="0" fontId="40" fillId="19" borderId="21" xfId="0" applyFont="1" applyFill="1" applyBorder="1" applyAlignment="1">
      <alignment horizontal="left" vertical="center" wrapText="1"/>
    </xf>
    <xf numFmtId="9" fontId="40" fillId="19" borderId="21" xfId="0" applyNumberFormat="1" applyFont="1" applyFill="1" applyBorder="1" applyAlignment="1">
      <alignment horizontal="center" vertical="center"/>
    </xf>
    <xf numFmtId="183" fontId="40" fillId="19" borderId="21" xfId="0" applyNumberFormat="1" applyFont="1" applyFill="1" applyBorder="1" applyAlignment="1">
      <alignment horizontal="right" vertical="center"/>
    </xf>
    <xf numFmtId="184" fontId="40" fillId="19" borderId="21" xfId="0" applyNumberFormat="1" applyFont="1" applyFill="1" applyBorder="1" applyAlignment="1">
      <alignment horizontal="center" vertical="center"/>
    </xf>
    <xf numFmtId="185" fontId="40" fillId="19" borderId="21" xfId="0" applyNumberFormat="1" applyFont="1" applyFill="1" applyBorder="1" applyAlignment="1">
      <alignment horizontal="center" vertical="center"/>
    </xf>
    <xf numFmtId="0" fontId="41" fillId="25" borderId="21" xfId="0" applyFont="1" applyFill="1" applyBorder="1" applyAlignment="1">
      <alignment horizontal="center" vertical="center"/>
    </xf>
    <xf numFmtId="0" fontId="41" fillId="25" borderId="21" xfId="0" applyFont="1" applyFill="1" applyBorder="1" applyAlignment="1">
      <alignment horizontal="left" vertical="center"/>
    </xf>
    <xf numFmtId="0" fontId="41" fillId="25" borderId="21" xfId="0" applyFont="1" applyFill="1" applyBorder="1" applyAlignment="1">
      <alignment horizontal="left" vertical="center" wrapText="1"/>
    </xf>
    <xf numFmtId="0" fontId="42" fillId="25" borderId="21" xfId="0" applyFont="1" applyFill="1" applyBorder="1" applyAlignment="1">
      <alignment horizontal="left" vertical="center"/>
    </xf>
    <xf numFmtId="0" fontId="42" fillId="25" borderId="21" xfId="0" applyFont="1" applyFill="1" applyBorder="1" applyAlignment="1">
      <alignment horizontal="center" vertical="center"/>
    </xf>
    <xf numFmtId="0" fontId="42" fillId="25" borderId="21" xfId="0" applyFont="1" applyFill="1" applyBorder="1" applyAlignment="1">
      <alignment horizontal="left" vertical="center" wrapText="1"/>
    </xf>
    <xf numFmtId="9" fontId="42" fillId="25" borderId="21" xfId="0" applyNumberFormat="1" applyFont="1" applyFill="1" applyBorder="1" applyAlignment="1">
      <alignment horizontal="center" vertical="center"/>
    </xf>
    <xf numFmtId="183" fontId="42" fillId="25" borderId="21" xfId="0" applyNumberFormat="1" applyFont="1" applyFill="1" applyBorder="1" applyAlignment="1">
      <alignment horizontal="right" vertical="center"/>
    </xf>
    <xf numFmtId="184" fontId="42" fillId="25" borderId="21" xfId="0" applyNumberFormat="1" applyFont="1" applyFill="1" applyBorder="1" applyAlignment="1">
      <alignment horizontal="center" vertical="center"/>
    </xf>
    <xf numFmtId="185" fontId="42" fillId="25" borderId="21" xfId="0" applyNumberFormat="1" applyFont="1" applyFill="1" applyBorder="1" applyAlignment="1">
      <alignment horizontal="center" vertical="center"/>
    </xf>
    <xf numFmtId="0" fontId="26" fillId="23" borderId="22" xfId="0" applyFont="1" applyFill="1" applyBorder="1" applyAlignment="1">
      <alignment horizontal="left" vertical="center"/>
    </xf>
    <xf numFmtId="0" fontId="26" fillId="23" borderId="22" xfId="0" applyFont="1" applyFill="1" applyBorder="1" applyAlignment="1">
      <alignment horizontal="center" vertical="center"/>
    </xf>
    <xf numFmtId="186" fontId="26" fillId="23" borderId="22" xfId="0" applyNumberFormat="1" applyFont="1" applyFill="1" applyBorder="1" applyAlignment="1">
      <alignment horizontal="center" vertical="center"/>
    </xf>
    <xf numFmtId="187" fontId="26" fillId="23" borderId="22" xfId="0" applyNumberFormat="1" applyFont="1" applyFill="1" applyBorder="1" applyAlignment="1">
      <alignment horizontal="center" vertical="center"/>
    </xf>
    <xf numFmtId="183" fontId="40" fillId="26" borderId="21" xfId="0" applyNumberFormat="1" applyFont="1" applyFill="1" applyBorder="1" applyAlignment="1">
      <alignment horizontal="right" vertical="center"/>
    </xf>
    <xf numFmtId="9" fontId="43" fillId="27" borderId="21" xfId="0" applyNumberFormat="1" applyFont="1" applyFill="1" applyBorder="1" applyAlignment="1">
      <alignment horizontal="center" vertical="center"/>
    </xf>
    <xf numFmtId="183" fontId="26" fillId="23" borderId="21" xfId="0" applyNumberFormat="1" applyFont="1" applyFill="1" applyBorder="1" applyAlignment="1">
      <alignment horizontal="right" vertical="center"/>
    </xf>
    <xf numFmtId="0" fontId="44" fillId="0" borderId="0" xfId="0" applyFont="1"/>
    <xf numFmtId="0" fontId="15" fillId="0" borderId="0" xfId="0" applyFont="1"/>
    <xf numFmtId="0" fontId="16" fillId="0" borderId="0" xfId="0" applyFont="1"/>
    <xf numFmtId="0" fontId="45" fillId="18" borderId="21" xfId="0" applyFont="1" applyFill="1" applyBorder="1" applyAlignment="1">
      <alignment horizontal="center" vertical="center" wrapText="1"/>
    </xf>
    <xf numFmtId="0" fontId="45" fillId="23" borderId="21" xfId="0" applyFont="1" applyFill="1" applyBorder="1" applyAlignment="1">
      <alignment horizontal="center" vertical="center" wrapText="1"/>
    </xf>
    <xf numFmtId="0" fontId="45" fillId="28" borderId="21" xfId="0" applyFont="1" applyFill="1" applyBorder="1" applyAlignment="1">
      <alignment horizontal="center" vertical="center" wrapText="1"/>
    </xf>
    <xf numFmtId="0" fontId="46" fillId="0" borderId="21" xfId="0" applyFont="1" applyBorder="1" applyAlignment="1">
      <alignment horizontal="center" vertical="top" wrapText="1"/>
    </xf>
    <xf numFmtId="0" fontId="46" fillId="0" borderId="21" xfId="0" applyFont="1" applyBorder="1" applyAlignment="1">
      <alignment vertical="top" wrapText="1"/>
    </xf>
    <xf numFmtId="9" fontId="46" fillId="29" borderId="21" xfId="0" applyNumberFormat="1" applyFont="1" applyFill="1" applyBorder="1" applyAlignment="1">
      <alignment horizontal="center" vertical="top" wrapText="1"/>
    </xf>
    <xf numFmtId="0" fontId="47" fillId="0" borderId="21" xfId="0" applyFont="1" applyBorder="1" applyAlignment="1">
      <alignment horizontal="center" vertical="top" wrapText="1"/>
    </xf>
    <xf numFmtId="183" fontId="46" fillId="0" borderId="21" xfId="0" applyNumberFormat="1" applyFont="1" applyBorder="1" applyAlignment="1">
      <alignment horizontal="right" vertical="top"/>
    </xf>
    <xf numFmtId="183" fontId="47" fillId="26" borderId="21" xfId="0" applyNumberFormat="1" applyFont="1" applyFill="1" applyBorder="1" applyAlignment="1">
      <alignment horizontal="right" vertical="top"/>
    </xf>
    <xf numFmtId="0" fontId="45" fillId="18" borderId="0" xfId="0" applyFont="1" applyFill="1" applyAlignment="1">
      <alignment horizontal="right" vertical="center"/>
    </xf>
    <xf numFmtId="183" fontId="45" fillId="23" borderId="21" xfId="0" applyNumberFormat="1" applyFont="1" applyFill="1" applyBorder="1" applyAlignment="1">
      <alignment horizontal="right" vertical="center"/>
    </xf>
    <xf numFmtId="0" fontId="23" fillId="17" borderId="23" xfId="0" applyFont="1" applyFill="1" applyBorder="1" applyAlignment="1">
      <alignment vertical="top" wrapText="1"/>
    </xf>
    <xf numFmtId="0" fontId="23" fillId="17" borderId="24" xfId="0" applyFont="1" applyFill="1" applyBorder="1" applyAlignment="1">
      <alignment vertical="top" wrapText="1"/>
    </xf>
    <xf numFmtId="0" fontId="23" fillId="17" borderId="24" xfId="0" applyFont="1" applyFill="1" applyBorder="1" applyAlignment="1">
      <alignment horizontal="center" vertical="top" wrapText="1"/>
    </xf>
    <xf numFmtId="0" fontId="23" fillId="19" borderId="24" xfId="0" applyFont="1" applyFill="1" applyBorder="1" applyAlignment="1">
      <alignment vertical="top" wrapText="1"/>
    </xf>
    <xf numFmtId="0" fontId="23" fillId="30" borderId="24" xfId="0" applyFont="1" applyFill="1" applyBorder="1" applyAlignment="1">
      <alignment horizontal="center" vertical="top" wrapText="1"/>
    </xf>
    <xf numFmtId="0" fontId="48" fillId="30" borderId="25" xfId="0" applyFont="1" applyFill="1" applyBorder="1" applyAlignment="1">
      <alignment horizontal="center" vertical="top" wrapText="1"/>
    </xf>
    <xf numFmtId="0" fontId="23" fillId="17" borderId="26" xfId="0" applyFont="1" applyFill="1" applyBorder="1" applyAlignment="1">
      <alignment vertical="top" wrapText="1"/>
    </xf>
    <xf numFmtId="0" fontId="23" fillId="17" borderId="27" xfId="0" applyFont="1" applyFill="1" applyBorder="1" applyAlignment="1">
      <alignment vertical="top" wrapText="1"/>
    </xf>
    <xf numFmtId="0" fontId="23" fillId="17" borderId="27" xfId="0" applyFont="1" applyFill="1" applyBorder="1" applyAlignment="1">
      <alignment horizontal="center" vertical="top" wrapText="1"/>
    </xf>
    <xf numFmtId="0" fontId="23" fillId="19" borderId="27" xfId="0" applyFont="1" applyFill="1" applyBorder="1" applyAlignment="1">
      <alignment vertical="top" wrapText="1"/>
    </xf>
    <xf numFmtId="0" fontId="23" fillId="30" borderId="27" xfId="0" applyFont="1" applyFill="1" applyBorder="1" applyAlignment="1">
      <alignment horizontal="center" vertical="top" wrapText="1"/>
    </xf>
    <xf numFmtId="0" fontId="48" fillId="30" borderId="28" xfId="0" applyFont="1" applyFill="1" applyBorder="1" applyAlignment="1">
      <alignment horizontal="center" vertical="top" wrapText="1"/>
    </xf>
    <xf numFmtId="0" fontId="23" fillId="17" borderId="29" xfId="0" applyFont="1" applyFill="1" applyBorder="1" applyAlignment="1">
      <alignment vertical="top" wrapText="1"/>
    </xf>
    <xf numFmtId="0" fontId="23" fillId="17" borderId="30" xfId="0" applyFont="1" applyFill="1" applyBorder="1" applyAlignment="1">
      <alignment vertical="top" wrapText="1"/>
    </xf>
    <xf numFmtId="0" fontId="23" fillId="17" borderId="30" xfId="0" applyFont="1" applyFill="1" applyBorder="1" applyAlignment="1">
      <alignment horizontal="center" vertical="top" wrapText="1"/>
    </xf>
    <xf numFmtId="0" fontId="23" fillId="19" borderId="30" xfId="0" applyFont="1" applyFill="1" applyBorder="1" applyAlignment="1">
      <alignment vertical="top" wrapText="1"/>
    </xf>
    <xf numFmtId="0" fontId="23" fillId="30" borderId="30" xfId="0" applyFont="1" applyFill="1" applyBorder="1" applyAlignment="1">
      <alignment horizontal="center" vertical="top" wrapText="1"/>
    </xf>
    <xf numFmtId="0" fontId="48" fillId="30" borderId="31" xfId="0" applyFont="1" applyFill="1" applyBorder="1" applyAlignment="1">
      <alignment horizontal="center" vertical="top" wrapText="1"/>
    </xf>
    <xf numFmtId="0" fontId="25" fillId="17" borderId="32" xfId="0" applyFont="1" applyFill="1" applyBorder="1" applyAlignment="1">
      <alignment vertical="top" wrapText="1"/>
    </xf>
    <xf numFmtId="0" fontId="25" fillId="17" borderId="33" xfId="0" applyFont="1" applyFill="1" applyBorder="1" applyAlignment="1">
      <alignment vertical="top" wrapText="1"/>
    </xf>
    <xf numFmtId="0" fontId="25" fillId="17" borderId="33" xfId="0" applyFont="1" applyFill="1" applyBorder="1" applyAlignment="1">
      <alignment horizontal="center" vertical="top" wrapText="1"/>
    </xf>
    <xf numFmtId="0" fontId="25" fillId="19" borderId="33" xfId="0" applyFont="1" applyFill="1" applyBorder="1" applyAlignment="1">
      <alignment vertical="top" wrapText="1"/>
    </xf>
    <xf numFmtId="0" fontId="25" fillId="30" borderId="33" xfId="0" applyFont="1" applyFill="1" applyBorder="1" applyAlignment="1">
      <alignment horizontal="center" vertical="top" wrapText="1"/>
    </xf>
    <xf numFmtId="0" fontId="49" fillId="30" borderId="34" xfId="0" applyFont="1" applyFill="1" applyBorder="1" applyAlignment="1">
      <alignment horizontal="center" vertical="top" wrapText="1"/>
    </xf>
    <xf numFmtId="0" fontId="23" fillId="17" borderId="35" xfId="0" applyFont="1" applyFill="1" applyBorder="1" applyAlignment="1">
      <alignment vertical="top" wrapText="1"/>
    </xf>
    <xf numFmtId="0" fontId="23" fillId="17" borderId="36" xfId="0" applyFont="1" applyFill="1" applyBorder="1" applyAlignment="1">
      <alignment vertical="top" wrapText="1"/>
    </xf>
    <xf numFmtId="0" fontId="23" fillId="17" borderId="36" xfId="0" applyFont="1" applyFill="1" applyBorder="1" applyAlignment="1">
      <alignment horizontal="center" vertical="top" wrapText="1"/>
    </xf>
    <xf numFmtId="0" fontId="23" fillId="19" borderId="36" xfId="0" applyFont="1" applyFill="1" applyBorder="1" applyAlignment="1">
      <alignment vertical="top" wrapText="1"/>
    </xf>
    <xf numFmtId="0" fontId="23" fillId="30" borderId="36" xfId="0" applyFont="1" applyFill="1" applyBorder="1" applyAlignment="1">
      <alignment horizontal="center" vertical="top" wrapText="1"/>
    </xf>
    <xf numFmtId="0" fontId="48" fillId="30" borderId="37" xfId="0" applyFont="1" applyFill="1" applyBorder="1" applyAlignment="1">
      <alignment horizontal="center" vertical="top" wrapText="1"/>
    </xf>
    <xf numFmtId="0" fontId="50" fillId="0" borderId="0" xfId="0" applyFont="1"/>
    <xf numFmtId="0" fontId="9" fillId="31" borderId="2" xfId="0" applyFont="1" applyFill="1" applyBorder="1"/>
    <xf numFmtId="188" fontId="0" fillId="0" borderId="2" xfId="0" applyNumberFormat="1" applyBorder="1"/>
    <xf numFmtId="189" fontId="0" fillId="0" borderId="2" xfId="0" applyNumberFormat="1" applyBorder="1"/>
    <xf numFmtId="190" fontId="0" fillId="0" borderId="2" xfId="0" applyNumberFormat="1" applyBorder="1"/>
    <xf numFmtId="0" fontId="20" fillId="14" borderId="2" xfId="0" applyFont="1" applyFill="1" applyBorder="1" applyAlignment="1">
      <alignment horizontal="left" vertical="center"/>
    </xf>
    <xf numFmtId="0" fontId="28" fillId="21" borderId="17" xfId="0" applyFont="1" applyFill="1" applyBorder="1" applyAlignment="1">
      <alignment horizontal="left" vertical="top"/>
    </xf>
    <xf numFmtId="0" fontId="38" fillId="17" borderId="0" xfId="0" applyFont="1" applyFill="1" applyAlignment="1">
      <alignment vertical="top" wrapText="1"/>
    </xf>
    <xf numFmtId="0" fontId="26" fillId="18" borderId="0" xfId="0" applyFont="1" applyFill="1" applyAlignment="1">
      <alignment horizontal="left" vertical="center" indent="1"/>
    </xf>
    <xf numFmtId="0" fontId="26" fillId="23" borderId="0" xfId="0" applyFont="1" applyFill="1" applyAlignment="1">
      <alignment horizontal="left" vertical="center" indent="1"/>
    </xf>
    <xf numFmtId="0" fontId="0" fillId="0" borderId="21" xfId="0" applyBorder="1" applyAlignment="1">
      <alignment vertical="top" wrapText="1"/>
    </xf>
    <xf numFmtId="0" fontId="39" fillId="0" borderId="0" xfId="0" applyFont="1" applyAlignment="1">
      <alignment vertical="top" wrapText="1"/>
    </xf>
    <xf numFmtId="0" fontId="51" fillId="0" borderId="0" xfId="0" applyFont="1" applyAlignment="1">
      <alignment wrapText="1"/>
    </xf>
  </cellXfs>
  <cellStyles count="19">
    <cellStyle name="Comma 2" xfId="1" xr:uid="{00000000-0005-0000-0000-000006000000}"/>
    <cellStyle name="Comma 2 2" xfId="2" xr:uid="{00000000-0005-0000-0000-000007000000}"/>
    <cellStyle name="Comma 3" xfId="3" xr:uid="{00000000-0005-0000-0000-000008000000}"/>
    <cellStyle name="Comma 8" xfId="4" xr:uid="{00000000-0005-0000-0000-000009000000}"/>
    <cellStyle name="Currency 2" xfId="5" xr:uid="{00000000-0005-0000-0000-00000A000000}"/>
    <cellStyle name="Hyperlink 2" xfId="6" xr:uid="{00000000-0005-0000-0000-00000B000000}"/>
    <cellStyle name="Normal" xfId="0" builtinId="0"/>
    <cellStyle name="Normal 12 3" xfId="7" xr:uid="{00000000-0005-0000-0000-00000C000000}"/>
    <cellStyle name="Normal 2" xfId="8" xr:uid="{00000000-0005-0000-0000-00000D000000}"/>
    <cellStyle name="Normal 2 10" xfId="9" xr:uid="{00000000-0005-0000-0000-00000E000000}"/>
    <cellStyle name="Normal 2 2" xfId="10" xr:uid="{00000000-0005-0000-0000-00000F000000}"/>
    <cellStyle name="Normal 2 2 2" xfId="11" xr:uid="{00000000-0005-0000-0000-000010000000}"/>
    <cellStyle name="Normal 2 3" xfId="12" xr:uid="{00000000-0005-0000-0000-000011000000}"/>
    <cellStyle name="Normal 2 5 3 3 2 2 2 2" xfId="13" xr:uid="{00000000-0005-0000-0000-000012000000}"/>
    <cellStyle name="Normal 2 5 3 3 5" xfId="14" xr:uid="{00000000-0005-0000-0000-000013000000}"/>
    <cellStyle name="Normal 24" xfId="15" xr:uid="{00000000-0005-0000-0000-000014000000}"/>
    <cellStyle name="Normal 59" xfId="16" xr:uid="{00000000-0005-0000-0000-000015000000}"/>
    <cellStyle name="Percent 2" xfId="17" xr:uid="{00000000-0005-0000-0000-000016000000}"/>
    <cellStyle name="Percent 2 3" xfId="18" xr:uid="{00000000-0005-0000-0000-000017000000}"/>
  </cellStyles>
  <dxfs count="127"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theme="9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2" tint="-9.9978637043366805E-2"/>
        </patternFill>
      </fill>
    </dxf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ont>
        <color rgb="FFFFFFFF"/>
      </font>
      <fill>
        <patternFill>
          <bgColor theme="7" tint="0.79979857783745845"/>
        </patternFill>
      </fill>
    </dxf>
    <dxf>
      <font>
        <color rgb="FFFFFFFF"/>
      </font>
      <fill>
        <patternFill>
          <bgColor theme="9" tint="0.59968871120334488"/>
        </patternFill>
      </fill>
    </dxf>
    <dxf>
      <font>
        <color rgb="FFFFFFFF"/>
      </font>
      <fill>
        <patternFill>
          <bgColor theme="5" tint="0.79979857783745845"/>
        </patternFill>
      </fill>
    </dxf>
    <dxf>
      <font>
        <color rgb="FFFFFFFF"/>
      </font>
      <fill>
        <patternFill>
          <bgColor theme="3"/>
        </patternFill>
      </fill>
    </dxf>
    <dxf>
      <font>
        <color rgb="FF595959"/>
      </font>
      <fill>
        <patternFill>
          <bgColor theme="0" tint="-0.14999847407452621"/>
        </patternFill>
      </fill>
    </dxf>
    <dxf>
      <font>
        <color rgb="FFFFFFFF"/>
      </font>
      <fill>
        <patternFill>
          <bgColor theme="9" tint="0.79979857783745845"/>
        </patternFill>
      </fill>
    </dxf>
    <dxf>
      <font>
        <color rgb="FF595959"/>
      </font>
      <fill>
        <patternFill>
          <bgColor theme="0" tint="-0.14999847407452621"/>
        </patternFill>
      </fill>
    </dxf>
    <dxf>
      <font>
        <color rgb="FFFFFFFF"/>
      </font>
      <fill>
        <patternFill>
          <bgColor theme="3"/>
        </patternFill>
      </fill>
    </dxf>
    <dxf>
      <font>
        <color rgb="FFFFFFFF"/>
      </font>
      <fill>
        <patternFill>
          <bgColor theme="5" tint="0.79979857783745845"/>
        </patternFill>
      </fill>
    </dxf>
    <dxf>
      <font>
        <color rgb="FFFFFFFF"/>
      </font>
      <fill>
        <patternFill>
          <bgColor theme="9" tint="0.59968871120334488"/>
        </patternFill>
      </fill>
    </dxf>
    <dxf>
      <font>
        <color rgb="FFFFFFFF"/>
      </font>
      <fill>
        <patternFill>
          <bgColor theme="7" tint="0.79979857783745845"/>
        </patternFill>
      </fill>
    </dxf>
    <dxf>
      <font>
        <color rgb="FFFFFFFF"/>
      </font>
      <fill>
        <patternFill>
          <bgColor theme="9" tint="0.7997985778374584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BEEF2"/>
      <rgbColor rgb="FF0000FF"/>
      <rgbColor rgb="FFFFFF00"/>
      <rgbColor rgb="FFF2F2F2"/>
      <rgbColor rgb="FFDEEBF7"/>
      <rgbColor rgb="FFF8FAFC"/>
      <rgbColor rgb="FFEEF1F4"/>
      <rgbColor rgb="FF000080"/>
      <rgbColor rgb="FF548235"/>
      <rgbColor rgb="FF800080"/>
      <rgbColor rgb="FF1F6D7A"/>
      <rgbColor rgb="FFD0CECE"/>
      <rgbColor rgb="FF808080"/>
      <rgbColor rgb="FF9EADBA"/>
      <rgbColor rgb="FF404040"/>
      <rgbColor rgb="FFFFFFCC"/>
      <rgbColor rgb="FFD9EAF7"/>
      <rgbColor rgb="FFF7F9FB"/>
      <rgbColor rgb="FF7F7F7F"/>
      <rgbColor rgb="FF0563C1"/>
      <rgbColor rgb="FFD9D9D9"/>
      <rgbColor rgb="FF000080"/>
      <rgbColor rgb="FFF3F5F7"/>
      <rgbColor rgb="FFFFF8E1"/>
      <rgbColor rgb="FFEAF2F8"/>
      <rgbColor rgb="FFF4F7FA"/>
      <rgbColor rgb="FF800000"/>
      <rgbColor rgb="FF315B7D"/>
      <rgbColor rgb="FF0000FF"/>
      <rgbColor rgb="FFDDE5EC"/>
      <rgbColor rgb="FFE8F4F3"/>
      <rgbColor rgb="FFE2F0D9"/>
      <rgbColor rgb="FFFFF2CC"/>
      <rgbColor rgb="FFC5E0B4"/>
      <rgbColor rgb="FFFBE5D6"/>
      <rgbColor rgb="FFD9E1F2"/>
      <rgbColor rgb="FFFCE4D6"/>
      <rgbColor rgb="FF2F75B5"/>
      <rgbColor rgb="FFDAE3F3"/>
      <rgbColor rgb="FFD9E1E8"/>
      <rgbColor rgb="FFFFC000"/>
      <rgbColor rgb="FFE2EFDA"/>
      <rgbColor rgb="FFED7D31"/>
      <rgbColor rgb="FF595959"/>
      <rgbColor rgb="FFA5A5A5"/>
      <rgbColor rgb="FF17365D"/>
      <rgbColor rgb="FF70AD47"/>
      <rgbColor rgb="FF222222"/>
      <rgbColor rgb="FF242424"/>
      <rgbColor rgb="FFC55A11"/>
      <rgbColor rgb="FF3F3F3F"/>
      <rgbColor rgb="FF44546A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5.8417228684064799E-2"/>
          <c:y val="0.10808169647219799"/>
          <c:w val="0.92724725507444705"/>
          <c:h val="0.850776898270302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'3 - Phase Durations'!$C$15</c:f>
              <c:strCache>
                <c:ptCount val="1"/>
                <c:pt idx="0">
                  <c:v>Expected 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95C-4C8A-8921-2DE24577652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95C-4C8A-8921-2DE24577652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95C-4C8A-8921-2DE24577652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95C-4C8A-8921-2DE24577652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95C-4C8A-8921-2DE24577652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95C-4C8A-8921-2DE24577652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95C-4C8A-8921-2DE24577652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395C-4C8A-8921-2DE24577652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95C-4C8A-8921-2DE2457765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5C-4C8A-8921-2DE2457765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5C-4C8A-8921-2DE2457765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5C-4C8A-8921-2DE2457765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5C-4C8A-8921-2DE24577652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5C-4C8A-8921-2DE24577652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5C-4C8A-8921-2DE24577652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5C-4C8A-8921-2DE245776527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5C-4C8A-8921-2DE245776527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95C-4C8A-8921-2DE245776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'3 - Phase Durations'!$B$16:$B$24</c:f>
              <c:strCache>
                <c:ptCount val="9"/>
                <c:pt idx="0">
                  <c:v>Phase 0</c:v>
                </c:pt>
                <c:pt idx="1">
                  <c:v>Phase A</c:v>
                </c:pt>
                <c:pt idx="2">
                  <c:v>Phase B1</c:v>
                </c:pt>
                <c:pt idx="3">
                  <c:v>Phase B2</c:v>
                </c:pt>
                <c:pt idx="4">
                  <c:v>Phase C</c:v>
                </c:pt>
                <c:pt idx="5">
                  <c:v>Phase D</c:v>
                </c:pt>
                <c:pt idx="6">
                  <c:v>Phase E</c:v>
                </c:pt>
                <c:pt idx="7">
                  <c:v>Phase X</c:v>
                </c:pt>
                <c:pt idx="8">
                  <c:v>Phase F</c:v>
                </c:pt>
              </c:strCache>
            </c:strRef>
          </c:cat>
          <c:val>
            <c:numRef>
              <c:f>'3 - Phase Durations'!$C$16:$C$24</c:f>
              <c:numCache>
                <c:formatCode>m/d/yyyy</c:formatCode>
                <c:ptCount val="9"/>
                <c:pt idx="0">
                  <c:v>46023</c:v>
                </c:pt>
                <c:pt idx="1">
                  <c:v>46753</c:v>
                </c:pt>
                <c:pt idx="2">
                  <c:v>47484</c:v>
                </c:pt>
                <c:pt idx="3">
                  <c:v>47849</c:v>
                </c:pt>
                <c:pt idx="4">
                  <c:v>48214</c:v>
                </c:pt>
                <c:pt idx="5">
                  <c:v>48945</c:v>
                </c:pt>
                <c:pt idx="6">
                  <c:v>51502</c:v>
                </c:pt>
                <c:pt idx="7">
                  <c:v>56980</c:v>
                </c:pt>
                <c:pt idx="8">
                  <c:v>58257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95C-4C8A-8921-2DE245776527}"/>
            </c:ext>
          </c:extLst>
        </c:ser>
        <c:ser>
          <c:idx val="1"/>
          <c:order val="1"/>
          <c:tx>
            <c:strRef>
              <c:f>'3 - Phase Durations'!$E$15</c:f>
              <c:strCache>
                <c:ptCount val="1"/>
                <c:pt idx="0">
                  <c:v>Total D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4-395C-4C8A-8921-2DE245776527}"/>
              </c:ext>
            </c:extLst>
          </c:dPt>
          <c:dPt>
            <c:idx val="1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6-395C-4C8A-8921-2DE245776527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8-395C-4C8A-8921-2DE245776527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A-395C-4C8A-8921-2DE245776527}"/>
              </c:ext>
            </c:extLst>
          </c:dPt>
          <c:dPt>
            <c:idx val="4"/>
            <c:invertIfNegative val="0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C-395C-4C8A-8921-2DE245776527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E-395C-4C8A-8921-2DE245776527}"/>
              </c:ext>
            </c:extLst>
          </c:dPt>
          <c:dPt>
            <c:idx val="7"/>
            <c:invertIfNegative val="0"/>
            <c:bubble3D val="0"/>
            <c:spPr>
              <a:noFill/>
              <a:ln w="3240">
                <a:solidFill>
                  <a:srgbClr val="808080"/>
                </a:solidFill>
                <a:prstDash val="lgDash"/>
                <a:round/>
              </a:ln>
            </c:spPr>
            <c:extLst>
              <c:ext xmlns:c16="http://schemas.microsoft.com/office/drawing/2014/chart" uri="{C3380CC4-5D6E-409C-BE32-E72D297353CC}">
                <c16:uniqueId val="{00000020-395C-4C8A-8921-2DE245776527}"/>
              </c:ext>
            </c:extLst>
          </c:dPt>
          <c:dPt>
            <c:idx val="8"/>
            <c:invertIfNegative val="0"/>
            <c:bubble3D val="0"/>
            <c:spPr>
              <a:solidFill>
                <a:srgbClr val="44546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2-395C-4C8A-8921-2DE2457765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95C-4C8A-8921-2DE2457765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95C-4C8A-8921-2DE2457765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95C-4C8A-8921-2DE2457765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95C-4C8A-8921-2DE24577652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95C-4C8A-8921-2DE24577652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95C-4C8A-8921-2DE245776527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95C-4C8A-8921-2DE245776527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95C-4C8A-8921-2DE245776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'3 - Phase Durations'!$B$16:$B$24</c:f>
              <c:strCache>
                <c:ptCount val="9"/>
                <c:pt idx="0">
                  <c:v>Phase 0</c:v>
                </c:pt>
                <c:pt idx="1">
                  <c:v>Phase A</c:v>
                </c:pt>
                <c:pt idx="2">
                  <c:v>Phase B1</c:v>
                </c:pt>
                <c:pt idx="3">
                  <c:v>Phase B2</c:v>
                </c:pt>
                <c:pt idx="4">
                  <c:v>Phase C</c:v>
                </c:pt>
                <c:pt idx="5">
                  <c:v>Phase D</c:v>
                </c:pt>
                <c:pt idx="6">
                  <c:v>Phase E</c:v>
                </c:pt>
                <c:pt idx="7">
                  <c:v>Phase X</c:v>
                </c:pt>
                <c:pt idx="8">
                  <c:v>Phase F</c:v>
                </c:pt>
              </c:strCache>
            </c:strRef>
          </c:cat>
          <c:val>
            <c:numRef>
              <c:f>'3 - Phase Durations'!$E$16:$E$24</c:f>
              <c:numCache>
                <c:formatCode>_(* #,##0_)" d";_(* \(#,##0\);_(* \-??_);_(@_)</c:formatCode>
                <c:ptCount val="9"/>
                <c:pt idx="0">
                  <c:v>729</c:v>
                </c:pt>
                <c:pt idx="1">
                  <c:v>730</c:v>
                </c:pt>
                <c:pt idx="2">
                  <c:v>364</c:v>
                </c:pt>
                <c:pt idx="3">
                  <c:v>364</c:v>
                </c:pt>
                <c:pt idx="4">
                  <c:v>730</c:v>
                </c:pt>
                <c:pt idx="5">
                  <c:v>2556</c:v>
                </c:pt>
                <c:pt idx="6">
                  <c:v>5477</c:v>
                </c:pt>
                <c:pt idx="7">
                  <c:v>1276</c:v>
                </c:pt>
                <c:pt idx="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95C-4C8A-8921-2DE245776527}"/>
            </c:ext>
          </c:extLst>
        </c:ser>
        <c:ser>
          <c:idx val="2"/>
          <c:order val="2"/>
          <c:tx>
            <c:strRef>
              <c:f>'3 - Phase Durations'!$F$15</c:f>
              <c:strCache>
                <c:ptCount val="1"/>
                <c:pt idx="0">
                  <c:v>Total M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'3 - Phase Durations'!$B$16:$B$24</c:f>
              <c:strCache>
                <c:ptCount val="9"/>
                <c:pt idx="0">
                  <c:v>Phase 0</c:v>
                </c:pt>
                <c:pt idx="1">
                  <c:v>Phase A</c:v>
                </c:pt>
                <c:pt idx="2">
                  <c:v>Phase B1</c:v>
                </c:pt>
                <c:pt idx="3">
                  <c:v>Phase B2</c:v>
                </c:pt>
                <c:pt idx="4">
                  <c:v>Phase C</c:v>
                </c:pt>
                <c:pt idx="5">
                  <c:v>Phase D</c:v>
                </c:pt>
                <c:pt idx="6">
                  <c:v>Phase E</c:v>
                </c:pt>
                <c:pt idx="7">
                  <c:v>Phase X</c:v>
                </c:pt>
                <c:pt idx="8">
                  <c:v>Phase F</c:v>
                </c:pt>
              </c:strCache>
            </c:strRef>
          </c:cat>
          <c:val>
            <c:numRef>
              <c:f>'3 - Phase Durations'!$F$16:$F$24</c:f>
              <c:numCache>
                <c:formatCode>_(* #,##0.0_)"mo";_(* \(#,##0.0\);_(* \-??_);_(@_)</c:formatCode>
                <c:ptCount val="9"/>
                <c:pt idx="0">
                  <c:v>23.967123287671232</c:v>
                </c:pt>
                <c:pt idx="1">
                  <c:v>24</c:v>
                </c:pt>
                <c:pt idx="2">
                  <c:v>11.967123287671233</c:v>
                </c:pt>
                <c:pt idx="3">
                  <c:v>11.967123287671233</c:v>
                </c:pt>
                <c:pt idx="4">
                  <c:v>24</c:v>
                </c:pt>
                <c:pt idx="5">
                  <c:v>84.032876712328772</c:v>
                </c:pt>
                <c:pt idx="6">
                  <c:v>180.06575342465754</c:v>
                </c:pt>
                <c:pt idx="7">
                  <c:v>41.950684931506849</c:v>
                </c:pt>
                <c:pt idx="8">
                  <c:v>5.9178082191780819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95C-4C8A-8921-2DE24577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003815"/>
        <c:axId val="28848046"/>
      </c:barChart>
      <c:catAx>
        <c:axId val="54003815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8848046"/>
        <c:crosses val="autoZero"/>
        <c:auto val="1"/>
        <c:lblAlgn val="ctr"/>
        <c:lblOffset val="100"/>
        <c:noMultiLvlLbl val="0"/>
      </c:catAx>
      <c:valAx>
        <c:axId val="28848046"/>
        <c:scaling>
          <c:orientation val="minMax"/>
          <c:max val="58807"/>
          <c:min val="45658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yyyy" sourceLinked="0"/>
        <c:majorTickMark val="none"/>
        <c:minorTickMark val="none"/>
        <c:tickLblPos val="nextTo"/>
        <c:spPr>
          <a:ln w="6480">
            <a:noFill/>
          </a:ln>
        </c:spPr>
        <c:txPr>
          <a:bodyPr rot="-5400000"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4003815"/>
        <c:crosses val="autoZero"/>
        <c:crossBetween val="between"/>
        <c:majorUnit val="365"/>
        <c:minorUnit val="36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2" name="Callout: Down Arrow 1">
          <a:extLst>
            <a:ext uri="{FF2B5EF4-FFF2-40B4-BE49-F238E27FC236}">
              <a16:creationId xmlns:a16="http://schemas.microsoft.com/office/drawing/2014/main" id="{FD44F609-458F-4202-8F86-01794D340A57}"/>
            </a:ext>
          </a:extLst>
        </xdr:cNvPr>
        <xdr:cNvSpPr/>
      </xdr:nvSpPr>
      <xdr:spPr>
        <a:xfrm>
          <a:off x="9648825" y="390526"/>
          <a:ext cx="2266950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3" name="Callout: Down Arrow 2">
          <a:extLst>
            <a:ext uri="{FF2B5EF4-FFF2-40B4-BE49-F238E27FC236}">
              <a16:creationId xmlns:a16="http://schemas.microsoft.com/office/drawing/2014/main" id="{CB3CD3C7-6DDF-4C3D-873D-1ECA98381D85}"/>
            </a:ext>
          </a:extLst>
        </xdr:cNvPr>
        <xdr:cNvSpPr/>
      </xdr:nvSpPr>
      <xdr:spPr>
        <a:xfrm>
          <a:off x="6858000" y="771526"/>
          <a:ext cx="1914525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1275840</xdr:colOff>
      <xdr:row>27</xdr:row>
      <xdr:rowOff>116640</xdr:rowOff>
    </xdr:from>
    <xdr:to>
      <xdr:col>17</xdr:col>
      <xdr:colOff>284400</xdr:colOff>
      <xdr:row>47</xdr:row>
      <xdr:rowOff>6480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M_LoE" displayName="RAM_LoE" ref="A17:W48" totalsRowShown="0">
  <autoFilter ref="A17:W48" xr:uid="{00000000-0009-0000-0100-000001000000}"/>
  <tableColumns count="23">
    <tableColumn id="1" xr3:uid="{00000000-0010-0000-0000-000001000000}" name="Row Num"/>
    <tableColumn id="2" xr3:uid="{00000000-0010-0000-0000-000002000000}" name="Agency / Dep't"/>
    <tableColumn id="3" xr3:uid="{00000000-0010-0000-0000-000003000000}" name="Team"/>
    <tableColumn id="4" xr3:uid="{00000000-0010-0000-0000-000004000000}" name="Skillset Group"/>
    <tableColumn id="5" xr3:uid="{00000000-0010-0000-0000-000005000000}" name="Skillset"/>
    <tableColumn id="6" xr3:uid="{00000000-0010-0000-0000-000006000000}" name="Title - Role"/>
    <tableColumn id="7" xr3:uid="{00000000-0010-0000-0000-000007000000}" name="Additional Labels"/>
    <tableColumn id="8" xr3:uid="{00000000-0010-0000-0000-000008000000}" name="Branch"/>
    <tableColumn id="9" xr3:uid="{00000000-0010-0000-0000-000009000000}" name="Directorate"/>
    <tableColumn id="10" xr3:uid="{00000000-0010-0000-0000-00000A000000}" name="Employee Name"/>
    <tableColumn id="11" xr3:uid="{00000000-0010-0000-0000-00000B000000}" name="Position No"/>
    <tableColumn id="12" xr3:uid="{00000000-0010-0000-0000-00000C000000}" name="New or Existing"/>
    <tableColumn id="13" xr3:uid="{00000000-0010-0000-0000-00000D000000}" name="Classification"/>
    <tableColumn id="14" xr3:uid="{00000000-0010-0000-0000-00000E000000}" name="Echelon"/>
    <tableColumn id="15" xr3:uid="{00000000-0010-0000-0000-00000F000000}" name="Math Model"/>
    <tableColumn id="16" xr3:uid="{00000000-0010-0000-0000-000010000000}" name="Funding Source"/>
    <tableColumn id="17" xr3:uid="{00000000-0010-0000-0000-000011000000}" name="Phase 0"/>
    <tableColumn id="18" xr3:uid="{00000000-0010-0000-0000-000012000000}" name="Phase A"/>
    <tableColumn id="19" xr3:uid="{00000000-0010-0000-0000-000013000000}" name="Phase B"/>
    <tableColumn id="20" xr3:uid="{00000000-0010-0000-0000-000014000000}" name="Phase C"/>
    <tableColumn id="21" xr3:uid="{00000000-0010-0000-0000-000015000000}" name="Phase D"/>
    <tableColumn id="22" xr3:uid="{00000000-0010-0000-0000-000016000000}" name="Phase E"/>
    <tableColumn id="23" xr3:uid="{00000000-0010-0000-0000-000017000000}" name="Phase F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Table" displayName="RiskRegisterTable" ref="B8:U33" totalsRowShown="0">
  <autoFilter ref="B8:U33" xr:uid="{00000000-0009-0000-0100-000002000000}"/>
  <tableColumns count="20">
    <tableColumn id="1" xr3:uid="{00000000-0010-0000-0100-000001000000}" name="#"/>
    <tableColumn id="2" xr3:uid="{00000000-0010-0000-0100-000002000000}" name="ID"/>
    <tableColumn id="3" xr3:uid="{00000000-0010-0000-0100-000003000000}" name="Risk Category"/>
    <tableColumn id="4" xr3:uid="{00000000-0010-0000-0100-000004000000}" name="Risk Sub-category"/>
    <tableColumn id="5" xr3:uid="{00000000-0010-0000-0100-000005000000}" name="Risk Name"/>
    <tableColumn id="6" xr3:uid="{00000000-0010-0000-0100-000006000000}" name="Type of Risk"/>
    <tableColumn id="7" xr3:uid="{00000000-0010-0000-0100-000007000000}" name="Description"/>
    <tableColumn id="8" xr3:uid="{00000000-0010-0000-0100-000008000000}" name="Internal Factors"/>
    <tableColumn id="9" xr3:uid="{00000000-0010-0000-0100-000009000000}" name="External Factors"/>
    <tableColumn id="10" xr3:uid="{00000000-0010-0000-0100-00000A000000}" name="Probability"/>
    <tableColumn id="11" xr3:uid="{00000000-0010-0000-0100-00000B000000}" name="Mitigation Strategy"/>
    <tableColumn id="12" xr3:uid="{00000000-0010-0000-0100-00000C000000}" name="Mitigation Strategy Narrative"/>
    <tableColumn id="13" xr3:uid="{00000000-0010-0000-0100-00000D000000}" name="Cost Impact – Optimistic ($000)"/>
    <tableColumn id="14" xr3:uid="{00000000-0010-0000-0100-00000E000000}" name="Cost Impact – Most Likely ($000)"/>
    <tableColumn id="15" xr3:uid="{00000000-0010-0000-0100-00000F000000}" name="Cost Impact – Pessimistic ($000)"/>
    <tableColumn id="16" xr3:uid="{00000000-0010-0000-0100-000010000000}" name="Weighted Exposure ($000)"/>
    <tableColumn id="17" xr3:uid="{00000000-0010-0000-0100-000011000000}" name="Cost Impact in Phase"/>
    <tableColumn id="18" xr3:uid="{00000000-0010-0000-0100-000012000000}" name="Schedule Impact in Phase"/>
    <tableColumn id="19" xr3:uid="{00000000-0010-0000-0100-000013000000}" name="Impact on Project"/>
    <tableColumn id="20" xr3:uid="{00000000-0010-0000-0100-000014000000}" name="Impact on Analysi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Downloads/current_delivered.xlsx" TargetMode="External"/><Relationship Id="rId13" Type="http://schemas.openxmlformats.org/officeDocument/2006/relationships/hyperlink" Target="current_delivered.xlsx" TargetMode="External"/><Relationship Id="rId3" Type="http://schemas.openxmlformats.org/officeDocument/2006/relationships/hyperlink" Target="../../../../../../Downloads/current_delivered.xlsx" TargetMode="External"/><Relationship Id="rId7" Type="http://schemas.openxmlformats.org/officeDocument/2006/relationships/hyperlink" Target="../../../../../../Downloads/current_delivered.xlsx" TargetMode="External"/><Relationship Id="rId12" Type="http://schemas.openxmlformats.org/officeDocument/2006/relationships/hyperlink" Target="current_delivered.xlsx" TargetMode="External"/><Relationship Id="rId2" Type="http://schemas.openxmlformats.org/officeDocument/2006/relationships/hyperlink" Target="../../../../../../Downloads/current_delivered.xlsx" TargetMode="External"/><Relationship Id="rId1" Type="http://schemas.openxmlformats.org/officeDocument/2006/relationships/hyperlink" Target="../../../../../../Downloads/current_delivered.xlsx" TargetMode="External"/><Relationship Id="rId6" Type="http://schemas.openxmlformats.org/officeDocument/2006/relationships/hyperlink" Target="../../../../../../Downloads/current_delivered.xlsx" TargetMode="External"/><Relationship Id="rId11" Type="http://schemas.openxmlformats.org/officeDocument/2006/relationships/hyperlink" Target="current_delivered.xlsx" TargetMode="External"/><Relationship Id="rId5" Type="http://schemas.openxmlformats.org/officeDocument/2006/relationships/hyperlink" Target="../../../../../../Downloads/current_delivered.xlsx" TargetMode="External"/><Relationship Id="rId10" Type="http://schemas.openxmlformats.org/officeDocument/2006/relationships/hyperlink" Target="../../../../../../Downloads/current_delivered.xlsx" TargetMode="External"/><Relationship Id="rId4" Type="http://schemas.openxmlformats.org/officeDocument/2006/relationships/hyperlink" Target="../../../../../../Downloads/current_delivered.xlsx" TargetMode="External"/><Relationship Id="rId9" Type="http://schemas.openxmlformats.org/officeDocument/2006/relationships/hyperlink" Target="../../../../../../Downloads/current_delivered.xlsx" TargetMode="External"/><Relationship Id="rId14" Type="http://schemas.openxmlformats.org/officeDocument/2006/relationships/hyperlink" Target="current_delivered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current_delivere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tabSelected="1" zoomScaleNormal="100" workbookViewId="0"/>
  </sheetViews>
  <sheetFormatPr defaultColWidth="0" defaultRowHeight="15" zeroHeight="1"/>
  <cols>
    <col min="1" max="8" width="9.140625" customWidth="1"/>
    <col min="9" max="16384" width="9.140625" hidden="1"/>
  </cols>
  <sheetData>
    <row r="1" spans="2:7" ht="14.25" customHeight="1"/>
    <row r="2" spans="2:7" ht="14.25" customHeight="1"/>
    <row r="3" spans="2:7" ht="14.25" customHeight="1">
      <c r="B3" t="s">
        <v>17</v>
      </c>
      <c r="G3" s="16"/>
    </row>
    <row r="4" spans="2:7" ht="14.25" customHeight="1">
      <c r="B4" t="s">
        <v>18</v>
      </c>
    </row>
    <row r="5" spans="2:7" ht="14.25" customHeight="1">
      <c r="B5" s="17">
        <v>46286</v>
      </c>
    </row>
    <row r="6" spans="2:7" ht="14.25" customHeight="1"/>
    <row r="7" spans="2:7" ht="14.25" customHeight="1"/>
    <row r="8" spans="2:7" ht="21" customHeight="1">
      <c r="B8" s="11" t="s">
        <v>19</v>
      </c>
      <c r="C8" s="11"/>
      <c r="D8" s="11"/>
      <c r="E8" s="11"/>
      <c r="F8" s="11"/>
      <c r="G8" s="11"/>
    </row>
    <row r="9" spans="2:7" ht="21" customHeight="1">
      <c r="B9" s="18"/>
      <c r="C9" s="18"/>
      <c r="D9" s="19" t="s">
        <v>20</v>
      </c>
      <c r="E9" s="18"/>
      <c r="F9" s="18"/>
      <c r="G9" s="18"/>
    </row>
    <row r="10" spans="2:7" ht="14.25" customHeight="1">
      <c r="D10" s="20" t="s">
        <v>21</v>
      </c>
    </row>
    <row r="11" spans="2:7" ht="14.25" customHeight="1">
      <c r="D11" s="20"/>
    </row>
    <row r="12" spans="2:7" ht="14.25" customHeight="1"/>
    <row r="13" spans="2:7" ht="14.25" customHeight="1"/>
    <row r="14" spans="2:7" ht="15" customHeight="1">
      <c r="B14" s="10"/>
      <c r="C14" s="10"/>
      <c r="D14" s="10"/>
      <c r="E14" s="10"/>
      <c r="F14" s="10"/>
      <c r="G14" s="10"/>
    </row>
    <row r="15" spans="2:7" ht="14.25" customHeight="1"/>
    <row r="16" spans="2:7" ht="14.25" customHeight="1">
      <c r="C16" t="s">
        <v>22</v>
      </c>
    </row>
    <row r="17" spans="3:4" ht="14.25" customHeight="1">
      <c r="C17" t="s">
        <v>23</v>
      </c>
      <c r="D17" t="s">
        <v>24</v>
      </c>
    </row>
    <row r="18" spans="3:4" ht="14.25" customHeight="1"/>
    <row r="19" spans="3:4" ht="14.25" customHeight="1"/>
    <row r="20" spans="3:4" ht="15" customHeight="1"/>
  </sheetData>
  <mergeCells count="2">
    <mergeCell ref="B8:G8"/>
    <mergeCell ref="B14:G14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/>
  </sheetViews>
  <sheetFormatPr defaultColWidth="8.7109375" defaultRowHeight="15"/>
  <cols>
    <col min="1" max="1" width="6" customWidth="1"/>
    <col min="2" max="2" width="32" customWidth="1"/>
  </cols>
  <sheetData>
    <row r="1" spans="1:2" ht="18" customHeight="1">
      <c r="A1" s="13" t="s">
        <v>0</v>
      </c>
    </row>
    <row r="3" spans="1:2" ht="15" customHeight="1">
      <c r="A3" s="14" t="s">
        <v>1</v>
      </c>
      <c r="B3" s="14" t="s">
        <v>2</v>
      </c>
    </row>
    <row r="4" spans="1:2" ht="15" customHeight="1">
      <c r="A4">
        <v>1</v>
      </c>
      <c r="B4" s="15" t="s">
        <v>3</v>
      </c>
    </row>
    <row r="5" spans="1:2" ht="15" customHeight="1">
      <c r="A5">
        <v>2</v>
      </c>
      <c r="B5" s="15" t="s">
        <v>4</v>
      </c>
    </row>
    <row r="6" spans="1:2" ht="15" customHeight="1">
      <c r="A6">
        <v>3</v>
      </c>
      <c r="B6" s="15" t="s">
        <v>5</v>
      </c>
    </row>
    <row r="7" spans="1:2" ht="15" customHeight="1">
      <c r="A7">
        <v>4</v>
      </c>
      <c r="B7" s="15" t="s">
        <v>6</v>
      </c>
    </row>
    <row r="8" spans="1:2" ht="15" customHeight="1">
      <c r="A8">
        <v>5</v>
      </c>
      <c r="B8" s="15" t="s">
        <v>7</v>
      </c>
    </row>
    <row r="9" spans="1:2" ht="15" customHeight="1">
      <c r="A9">
        <v>6</v>
      </c>
      <c r="B9" s="15" t="s">
        <v>8</v>
      </c>
    </row>
    <row r="10" spans="1:2" ht="15" customHeight="1">
      <c r="A10">
        <v>7</v>
      </c>
      <c r="B10" s="15" t="s">
        <v>9</v>
      </c>
    </row>
    <row r="11" spans="1:2" ht="15" customHeight="1">
      <c r="A11">
        <v>8</v>
      </c>
      <c r="B11" s="15" t="s">
        <v>10</v>
      </c>
    </row>
    <row r="12" spans="1:2" ht="15" customHeight="1">
      <c r="A12">
        <v>9</v>
      </c>
      <c r="B12" s="15" t="s">
        <v>11</v>
      </c>
    </row>
    <row r="13" spans="1:2" ht="15" customHeight="1">
      <c r="A13">
        <v>10</v>
      </c>
      <c r="B13" s="15" t="s">
        <v>12</v>
      </c>
    </row>
    <row r="14" spans="1:2" ht="15" customHeight="1">
      <c r="A14">
        <v>11</v>
      </c>
      <c r="B14" s="15" t="s">
        <v>13</v>
      </c>
    </row>
    <row r="15" spans="1:2" ht="15" customHeight="1">
      <c r="A15">
        <v>12</v>
      </c>
      <c r="B15" s="15" t="s">
        <v>14</v>
      </c>
    </row>
    <row r="16" spans="1:2" ht="15" customHeight="1">
      <c r="A16">
        <v>13</v>
      </c>
      <c r="B16" s="15" t="s">
        <v>15</v>
      </c>
    </row>
    <row r="17" spans="1:2" ht="15" customHeight="1">
      <c r="A17">
        <v>14</v>
      </c>
      <c r="B17" s="15" t="s">
        <v>16</v>
      </c>
    </row>
  </sheetData>
  <hyperlinks>
    <hyperlink ref="B4" r:id="rId1" location="'Cover%20Page'!A1" xr:uid="{00000000-0004-0000-0000-000000000000}"/>
    <hyperlink ref="B5" r:id="rId2" location="'1%20-%20Change%20History'!A1" xr:uid="{00000000-0004-0000-0000-000001000000}"/>
    <hyperlink ref="B6" r:id="rId3" location="'4d%20-%20CBS%20in%20JS%20format'!A1" xr:uid="{00000000-0004-0000-0000-000002000000}"/>
    <hyperlink ref="B7" r:id="rId4" location="'2%20-%20Phasing%20Nomenclature'!A1" xr:uid="{00000000-0004-0000-0000-000003000000}"/>
    <hyperlink ref="B8" r:id="rId5" location="'3%20-%20Phase%20Durations'!A1" xr:uid="{00000000-0004-0000-0000-000004000000}"/>
    <hyperlink ref="B9" r:id="rId6" location="'PM's%20sched%20Scenarios'!A1" xr:uid="{00000000-0004-0000-0000-000005000000}"/>
    <hyperlink ref="B10" r:id="rId7" location="'GR&amp;A'!A1" xr:uid="{00000000-0004-0000-0000-000006000000}"/>
    <hyperlink ref="B11" r:id="rId8" location="'4%20-%20RAM%20LoE'!A1" xr:uid="{00000000-0004-0000-0000-000007000000}"/>
    <hyperlink ref="B12" r:id="rId9" location="'5%20-%20Risk%20Register'!A1" xr:uid="{00000000-0004-0000-0000-000008000000}"/>
    <hyperlink ref="B13" r:id="rId10" location="'Risk%20Breakdown%20Structure'!A1" xr:uid="{00000000-0004-0000-0000-000009000000}"/>
    <hyperlink ref="B14" r:id="rId11" location="'Raw%20Labour%20Rates'!A1" xr:uid="{00000000-0004-0000-0000-00000A000000}"/>
    <hyperlink ref="B15" r:id="rId12" location="'Labour%20Rates%20lookup'!A1" xr:uid="{00000000-0004-0000-0000-00000B000000}"/>
    <hyperlink ref="B16" r:id="rId13" location="'Rolodex'!A1" xr:uid="{00000000-0004-0000-0000-00000C000000}"/>
    <hyperlink ref="B17" r:id="rId14" location="'Inflation%20Rate'!A1" xr:uid="{00000000-0004-0000-00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zoomScaleNormal="100" workbookViewId="0"/>
  </sheetViews>
  <sheetFormatPr defaultColWidth="8.7109375" defaultRowHeight="15"/>
  <cols>
    <col min="2" max="2" width="15.42578125" customWidth="1"/>
    <col min="3" max="3" width="11.85546875" customWidth="1"/>
    <col min="4" max="4" width="6.5703125" customWidth="1"/>
    <col min="5" max="5" width="3.5703125" customWidth="1"/>
    <col min="6" max="6" width="38.85546875" customWidth="1"/>
    <col min="7" max="7" width="25.85546875" customWidth="1"/>
    <col min="8" max="8" width="10.42578125" customWidth="1"/>
    <col min="9" max="9" width="16.42578125" customWidth="1"/>
    <col min="10" max="10" width="14" customWidth="1"/>
    <col min="15" max="15" width="16.42578125" customWidth="1"/>
  </cols>
  <sheetData>
    <row r="1" spans="1:11" ht="14.25" customHeight="1">
      <c r="A1" s="12" t="s">
        <v>25</v>
      </c>
      <c r="B1" s="12"/>
    </row>
    <row r="3" spans="1:11" ht="30.75" customHeight="1">
      <c r="A3" s="21" t="s">
        <v>26</v>
      </c>
      <c r="B3" s="22"/>
      <c r="C3" s="23"/>
      <c r="D3" s="23"/>
      <c r="E3" s="23"/>
      <c r="F3" s="23"/>
      <c r="G3" s="23"/>
      <c r="H3" s="23"/>
      <c r="I3" s="23"/>
      <c r="J3" s="23"/>
      <c r="K3" s="23"/>
    </row>
    <row r="4" spans="1:11" ht="14.25" customHeight="1">
      <c r="A4" t="s">
        <v>27</v>
      </c>
      <c r="B4" t="s">
        <v>28</v>
      </c>
    </row>
    <row r="5" spans="1:11" ht="14.25" customHeight="1">
      <c r="A5" s="24"/>
      <c r="B5" s="24" t="s">
        <v>29</v>
      </c>
    </row>
    <row r="9" spans="1:11" ht="14.25" customHeight="1">
      <c r="B9" t="s">
        <v>30</v>
      </c>
      <c r="G9" s="9" t="s">
        <v>31</v>
      </c>
      <c r="H9" s="9"/>
    </row>
    <row r="10" spans="1:11" ht="14.25" customHeight="1">
      <c r="B10" s="26" t="s">
        <v>32</v>
      </c>
      <c r="C10" s="26" t="s">
        <v>33</v>
      </c>
      <c r="D10" s="26" t="s">
        <v>34</v>
      </c>
      <c r="E10" s="26" t="s">
        <v>35</v>
      </c>
      <c r="F10" s="26" t="s">
        <v>36</v>
      </c>
      <c r="G10" s="26" t="s">
        <v>37</v>
      </c>
      <c r="H10" s="27" t="s">
        <v>38</v>
      </c>
    </row>
    <row r="11" spans="1:11" ht="14.25" customHeight="1">
      <c r="B11" s="28"/>
      <c r="C11" s="29"/>
      <c r="D11" s="30"/>
      <c r="E11" s="30"/>
      <c r="F11" s="30"/>
      <c r="G11" s="31" t="s">
        <v>39</v>
      </c>
      <c r="H11" s="32">
        <v>1</v>
      </c>
    </row>
    <row r="12" spans="1:11" ht="14.25" customHeight="1">
      <c r="B12" s="28"/>
      <c r="C12" s="29"/>
      <c r="D12" s="30"/>
      <c r="E12" s="30"/>
      <c r="F12" s="30"/>
      <c r="G12" s="31" t="s">
        <v>40</v>
      </c>
      <c r="H12" s="32">
        <v>2</v>
      </c>
    </row>
    <row r="13" spans="1:11" ht="14.25" customHeight="1">
      <c r="B13" s="28"/>
      <c r="C13" s="29"/>
      <c r="D13" s="30"/>
      <c r="E13" s="30" t="s">
        <v>41</v>
      </c>
      <c r="F13" s="30" t="s">
        <v>42</v>
      </c>
      <c r="G13" s="31" t="s">
        <v>43</v>
      </c>
      <c r="H13" s="32">
        <v>3</v>
      </c>
    </row>
    <row r="14" spans="1:11" ht="14.25" customHeight="1">
      <c r="B14" s="28"/>
      <c r="C14" s="29"/>
      <c r="D14" s="30"/>
      <c r="E14" s="30"/>
      <c r="F14" s="30"/>
      <c r="G14" s="31" t="s">
        <v>44</v>
      </c>
      <c r="H14" s="32">
        <v>4</v>
      </c>
    </row>
    <row r="15" spans="1:11" ht="14.25" customHeight="1">
      <c r="B15" s="33"/>
      <c r="C15" s="34"/>
      <c r="D15" s="35"/>
      <c r="E15" s="30"/>
      <c r="F15" s="35"/>
      <c r="G15" s="31" t="s">
        <v>45</v>
      </c>
      <c r="H15" s="32">
        <v>5</v>
      </c>
    </row>
    <row r="16" spans="1:11" ht="14.25" customHeight="1">
      <c r="B16" s="33" t="s">
        <v>46</v>
      </c>
      <c r="C16" s="34">
        <v>48933</v>
      </c>
      <c r="D16" s="35" t="s">
        <v>47</v>
      </c>
      <c r="E16" s="30" t="s">
        <v>41</v>
      </c>
      <c r="F16" s="35" t="s">
        <v>48</v>
      </c>
      <c r="G16" s="36" t="s">
        <v>49</v>
      </c>
      <c r="H16" s="37">
        <v>6</v>
      </c>
    </row>
    <row r="17" spans="2:9" ht="14.25" customHeight="1">
      <c r="B17" s="28"/>
      <c r="C17" s="29"/>
      <c r="D17" s="30"/>
      <c r="E17" s="30"/>
      <c r="F17" s="30"/>
      <c r="G17" s="31" t="s">
        <v>50</v>
      </c>
      <c r="H17" s="32">
        <v>7</v>
      </c>
    </row>
    <row r="18" spans="2:9" ht="14.25" customHeight="1">
      <c r="B18" s="28"/>
      <c r="C18" s="29"/>
      <c r="D18" s="30"/>
      <c r="E18" s="30"/>
      <c r="F18" s="30"/>
      <c r="G18" s="31" t="s">
        <v>51</v>
      </c>
      <c r="H18" s="32">
        <v>8</v>
      </c>
    </row>
    <row r="19" spans="2:9" ht="14.25" customHeight="1">
      <c r="B19" s="28" t="s">
        <v>52</v>
      </c>
      <c r="C19" s="29">
        <v>46286</v>
      </c>
      <c r="D19" s="30" t="s">
        <v>47</v>
      </c>
      <c r="E19" s="30" t="s">
        <v>41</v>
      </c>
      <c r="F19" s="30" t="s">
        <v>53</v>
      </c>
      <c r="G19" s="31" t="s">
        <v>54</v>
      </c>
      <c r="H19" s="32">
        <v>9</v>
      </c>
      <c r="I19" t="s">
        <v>55</v>
      </c>
    </row>
    <row r="20" spans="2:9" ht="14.25" customHeight="1">
      <c r="B20" s="28"/>
      <c r="C20" s="29"/>
      <c r="D20" s="30"/>
      <c r="E20" s="30"/>
      <c r="F20" s="30"/>
      <c r="G20" s="31" t="s">
        <v>56</v>
      </c>
      <c r="H20" s="32">
        <v>10</v>
      </c>
    </row>
    <row r="21" spans="2:9" ht="14.25" customHeight="1">
      <c r="B21" s="28"/>
      <c r="C21" s="29"/>
      <c r="D21" s="30"/>
      <c r="E21" s="30"/>
      <c r="F21" s="30"/>
      <c r="G21" s="31" t="s">
        <v>57</v>
      </c>
      <c r="H21" s="32">
        <v>11</v>
      </c>
    </row>
    <row r="22" spans="2:9" ht="14.25" customHeight="1">
      <c r="B22" s="28"/>
      <c r="C22" s="29"/>
      <c r="D22" s="30"/>
      <c r="E22" s="30"/>
      <c r="F22" s="30"/>
      <c r="G22" s="31" t="s">
        <v>58</v>
      </c>
      <c r="H22" s="32">
        <v>12</v>
      </c>
    </row>
    <row r="23" spans="2:9" ht="14.25" customHeight="1">
      <c r="B23" s="28"/>
      <c r="C23" s="29"/>
      <c r="D23" s="28"/>
      <c r="E23" s="30"/>
      <c r="F23" s="28"/>
      <c r="G23" s="31" t="s">
        <v>59</v>
      </c>
      <c r="H23" s="32">
        <v>13</v>
      </c>
    </row>
  </sheetData>
  <mergeCells count="2">
    <mergeCell ref="A1:B1"/>
    <mergeCell ref="G9:H9"/>
  </mergeCells>
  <conditionalFormatting sqref="A3:B5">
    <cfRule type="expression" dxfId="126" priority="2">
      <formula>IF($A3="Subsystem", 1, 0)</formula>
    </cfRule>
    <cfRule type="expression" dxfId="125" priority="3">
      <formula>IF($A3="Assembly", 1, 0)</formula>
    </cfRule>
    <cfRule type="expression" dxfId="124" priority="4">
      <formula>IF($A3="System", 1, 0)</formula>
    </cfRule>
    <cfRule type="expression" dxfId="123" priority="5">
      <formula>IF($A3="SoS", 1, 0)</formula>
    </cfRule>
    <cfRule type="expression" dxfId="122" priority="6">
      <formula>IF($A3="Segment", 1, 0)</formula>
    </cfRule>
    <cfRule type="expression" dxfId="121" priority="7">
      <formula>IF($A3="SEITPM", 1, 0)</formula>
    </cfRule>
  </conditionalFormatting>
  <hyperlinks>
    <hyperlink ref="A1" location="'Table of Contents'!A1" display="` Table of Contents" xr:uid="{00000000-0004-0000-02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8"/>
  <sheetViews>
    <sheetView zoomScale="98" zoomScaleNormal="98" workbookViewId="0"/>
  </sheetViews>
  <sheetFormatPr defaultColWidth="8.7109375" defaultRowHeight="15"/>
  <cols>
    <col min="1" max="1" width="4.140625" customWidth="1"/>
    <col min="3" max="3" width="5.7109375" customWidth="1"/>
    <col min="4" max="4" width="75.85546875" customWidth="1"/>
    <col min="5" max="5" width="11.42578125" customWidth="1"/>
    <col min="6" max="6" width="24.28515625" customWidth="1"/>
    <col min="7" max="7" width="16.140625" customWidth="1"/>
    <col min="8" max="8" width="11.42578125" customWidth="1"/>
    <col min="10" max="10" width="130.5703125" customWidth="1"/>
    <col min="14" max="14" width="24.28515625" customWidth="1"/>
  </cols>
  <sheetData>
    <row r="1" spans="1:15" ht="14.25" customHeight="1">
      <c r="A1" s="12" t="s">
        <v>25</v>
      </c>
      <c r="B1" s="12"/>
      <c r="C1" s="12"/>
    </row>
    <row r="3" spans="1:15" ht="30.75" customHeight="1">
      <c r="A3" s="21" t="s">
        <v>60</v>
      </c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  <c r="N3" s="24"/>
      <c r="O3" s="24"/>
    </row>
    <row r="4" spans="1:15" ht="14.25" customHeight="1">
      <c r="A4" t="s">
        <v>61</v>
      </c>
      <c r="B4" s="20"/>
      <c r="M4" s="24"/>
      <c r="N4" s="24"/>
      <c r="O4" s="24"/>
    </row>
    <row r="5" spans="1:15" ht="14.25" customHeight="1">
      <c r="B5" t="s">
        <v>62</v>
      </c>
    </row>
    <row r="6" spans="1:15" ht="14.25" customHeight="1">
      <c r="E6" t="s">
        <v>63</v>
      </c>
    </row>
    <row r="8" spans="1:15" ht="14.25" customHeight="1">
      <c r="A8" s="38" t="s">
        <v>64</v>
      </c>
      <c r="B8" s="38" t="s">
        <v>65</v>
      </c>
      <c r="C8" s="38" t="s">
        <v>66</v>
      </c>
      <c r="D8" s="28" t="s">
        <v>67</v>
      </c>
      <c r="E8" s="28" t="s">
        <v>68</v>
      </c>
      <c r="F8" s="28" t="s">
        <v>69</v>
      </c>
      <c r="G8" s="28" t="s">
        <v>70</v>
      </c>
      <c r="H8" s="39" t="s">
        <v>71</v>
      </c>
      <c r="J8" t="s">
        <v>72</v>
      </c>
      <c r="N8" t="s">
        <v>69</v>
      </c>
    </row>
    <row r="9" spans="1:15" ht="14.25" customHeight="1">
      <c r="A9" s="38">
        <v>1</v>
      </c>
      <c r="B9" s="38">
        <v>-1</v>
      </c>
      <c r="C9" s="38">
        <v>1</v>
      </c>
      <c r="D9" s="28" t="s">
        <v>73</v>
      </c>
      <c r="E9" s="40"/>
      <c r="F9" s="28" t="s">
        <v>74</v>
      </c>
      <c r="G9" s="28" t="s">
        <v>75</v>
      </c>
      <c r="J9" t="str">
        <f t="shared" ref="J9:J72" si="0">"datatable["&amp;A9-1&amp;"] = new Array(""" &amp; A9 &amp;""",""" &amp; B9 &amp;""",""" &amp; D9 &amp; """,""" &amp; C9&amp;""","""&amp;""&amp;G9&amp;""");"</f>
        <v>datatable[0] = new Array("1","-1","Space Missions","1","Box.png");</v>
      </c>
      <c r="N9" t="s">
        <v>74</v>
      </c>
    </row>
    <row r="10" spans="1:15" ht="14.25" customHeight="1">
      <c r="A10" s="38">
        <v>2</v>
      </c>
      <c r="B10" s="38">
        <f>A9</f>
        <v>1</v>
      </c>
      <c r="C10" s="38">
        <v>2</v>
      </c>
      <c r="D10" s="28" t="s">
        <v>76</v>
      </c>
      <c r="E10" s="40"/>
      <c r="F10" s="28" t="s">
        <v>77</v>
      </c>
      <c r="G10" s="28" t="s">
        <v>78</v>
      </c>
      <c r="J10" t="str">
        <f t="shared" si="0"/>
        <v>datatable[1] = new Array("2","1","EO SAR Missions","2","EO.png");</v>
      </c>
      <c r="N10" t="s">
        <v>77</v>
      </c>
    </row>
    <row r="11" spans="1:15" ht="14.25" customHeight="1">
      <c r="A11" s="38">
        <f t="shared" ref="A11:A74" si="1">A10+1</f>
        <v>3</v>
      </c>
      <c r="B11" s="38">
        <f>A10</f>
        <v>2</v>
      </c>
      <c r="C11" s="38">
        <v>3</v>
      </c>
      <c r="D11" s="28" t="s">
        <v>79</v>
      </c>
      <c r="E11" s="40"/>
      <c r="F11" s="28" t="s">
        <v>80</v>
      </c>
      <c r="G11" s="28" t="s">
        <v>81</v>
      </c>
      <c r="J11" t="str">
        <f t="shared" si="0"/>
        <v>datatable[2] = new Array("3","2","Radarsat Portfolio","3","Pouch.png");</v>
      </c>
      <c r="N11" t="s">
        <v>80</v>
      </c>
    </row>
    <row r="12" spans="1:15" ht="14.25" customHeight="1">
      <c r="A12" s="38">
        <f t="shared" si="1"/>
        <v>4</v>
      </c>
      <c r="B12" s="38">
        <f>A$6</f>
        <v>0</v>
      </c>
      <c r="C12" s="38">
        <v>4</v>
      </c>
      <c r="D12" s="28" t="s">
        <v>82</v>
      </c>
      <c r="E12" s="40"/>
      <c r="F12" s="28" t="s">
        <v>83</v>
      </c>
      <c r="G12" s="28" t="s">
        <v>84</v>
      </c>
      <c r="J12" t="str">
        <f t="shared" si="0"/>
        <v>datatable[3] = new Array("4","0","Radarsat 1","4","Satellite.png");</v>
      </c>
      <c r="N12" t="s">
        <v>83</v>
      </c>
    </row>
    <row r="13" spans="1:15" ht="14.25" customHeight="1">
      <c r="A13" s="38">
        <f t="shared" si="1"/>
        <v>5</v>
      </c>
      <c r="B13" s="38">
        <f>A$6</f>
        <v>0</v>
      </c>
      <c r="C13" s="38">
        <v>4</v>
      </c>
      <c r="D13" s="28" t="s">
        <v>85</v>
      </c>
      <c r="E13" s="40"/>
      <c r="F13" s="28" t="s">
        <v>83</v>
      </c>
      <c r="G13" s="28" t="s">
        <v>84</v>
      </c>
      <c r="J13" t="str">
        <f t="shared" si="0"/>
        <v>datatable[4] = new Array("5","0","Radarsat 2","4","Satellite.png");</v>
      </c>
      <c r="N13" t="s">
        <v>86</v>
      </c>
    </row>
    <row r="14" spans="1:15" ht="14.25" customHeight="1">
      <c r="A14" s="38">
        <f t="shared" si="1"/>
        <v>6</v>
      </c>
      <c r="B14" s="38">
        <f>A$6</f>
        <v>0</v>
      </c>
      <c r="C14" s="38">
        <v>4</v>
      </c>
      <c r="D14" s="28" t="s">
        <v>87</v>
      </c>
      <c r="E14" s="40"/>
      <c r="F14" s="28" t="s">
        <v>83</v>
      </c>
      <c r="G14" s="28" t="s">
        <v>84</v>
      </c>
      <c r="J14" t="str">
        <f t="shared" si="0"/>
        <v>datatable[5] = new Array("6","0","Radarsat Constellation Mission","4","Satellite.png");</v>
      </c>
      <c r="N14" t="s">
        <v>88</v>
      </c>
    </row>
    <row r="15" spans="1:15" ht="14.25" customHeight="1">
      <c r="A15" s="38">
        <f t="shared" si="1"/>
        <v>7</v>
      </c>
      <c r="B15" s="38">
        <f>A$6</f>
        <v>0</v>
      </c>
      <c r="C15" s="38">
        <v>4</v>
      </c>
      <c r="D15" s="28" t="s">
        <v>89</v>
      </c>
      <c r="E15" s="41">
        <v>1</v>
      </c>
      <c r="F15" s="28" t="s">
        <v>83</v>
      </c>
      <c r="G15" s="28" t="s">
        <v>84</v>
      </c>
      <c r="J15" t="str">
        <f t="shared" si="0"/>
        <v>datatable[6] = new Array("7","0","Radarsat+ Replenishment","4","Satellite.png");</v>
      </c>
      <c r="N15" t="s">
        <v>90</v>
      </c>
    </row>
    <row r="16" spans="1:15" ht="14.25" customHeight="1">
      <c r="A16" s="38">
        <f t="shared" si="1"/>
        <v>8</v>
      </c>
      <c r="B16" s="38">
        <f>A$6</f>
        <v>0</v>
      </c>
      <c r="C16" s="38">
        <v>4</v>
      </c>
      <c r="D16" s="28" t="s">
        <v>91</v>
      </c>
      <c r="E16" s="41"/>
      <c r="F16" s="28" t="s">
        <v>83</v>
      </c>
      <c r="G16" s="28" t="s">
        <v>84</v>
      </c>
      <c r="J16" t="str">
        <f t="shared" si="0"/>
        <v>datatable[7] = new Array("8","0","Radarsat+ Next Generation","4","Satellite.png");</v>
      </c>
      <c r="N16" t="s">
        <v>92</v>
      </c>
    </row>
    <row r="17" spans="1:14" ht="14.25" customHeight="1">
      <c r="A17" s="38">
        <f t="shared" si="1"/>
        <v>9</v>
      </c>
      <c r="B17" s="38">
        <f t="shared" ref="B17:B22" si="2">A$10</f>
        <v>2</v>
      </c>
      <c r="C17" s="38">
        <v>5</v>
      </c>
      <c r="D17" s="28" t="s">
        <v>93</v>
      </c>
      <c r="E17" s="41"/>
      <c r="F17" s="28" t="s">
        <v>86</v>
      </c>
      <c r="G17" s="28" t="s">
        <v>94</v>
      </c>
      <c r="J17" t="str">
        <f t="shared" si="0"/>
        <v>datatable[8] = new Array("9","2","Analysis Scenario 1: RCM Proxy","5","Scenario.png");</v>
      </c>
      <c r="N17" t="s">
        <v>95</v>
      </c>
    </row>
    <row r="18" spans="1:14" ht="14.25" customHeight="1">
      <c r="A18" s="38">
        <f t="shared" si="1"/>
        <v>10</v>
      </c>
      <c r="B18" s="38">
        <f t="shared" si="2"/>
        <v>2</v>
      </c>
      <c r="C18" s="38">
        <v>5</v>
      </c>
      <c r="D18" s="28" t="s">
        <v>96</v>
      </c>
      <c r="E18" s="41"/>
      <c r="F18" s="28" t="s">
        <v>86</v>
      </c>
      <c r="G18" s="28" t="s">
        <v>94</v>
      </c>
      <c r="J18" t="str">
        <f t="shared" si="0"/>
        <v>datatable[9] = new Array("10","2","Analysis Scenario 2: RCM+","5","Scenario.png");</v>
      </c>
      <c r="N18" t="s">
        <v>97</v>
      </c>
    </row>
    <row r="19" spans="1:14" ht="14.25" customHeight="1">
      <c r="A19" s="38">
        <f t="shared" si="1"/>
        <v>11</v>
      </c>
      <c r="B19" s="38">
        <f t="shared" si="2"/>
        <v>2</v>
      </c>
      <c r="C19" s="38">
        <v>5</v>
      </c>
      <c r="D19" s="28" t="s">
        <v>98</v>
      </c>
      <c r="E19" s="41"/>
      <c r="F19" s="28" t="s">
        <v>86</v>
      </c>
      <c r="G19" s="28" t="s">
        <v>94</v>
      </c>
      <c r="J19" t="str">
        <f t="shared" si="0"/>
        <v>datatable[10] = new Array("11","2","Analysis Scenario 3: Airbus concept","5","Scenario.png");</v>
      </c>
      <c r="N19" t="s">
        <v>99</v>
      </c>
    </row>
    <row r="20" spans="1:14" ht="14.25" customHeight="1">
      <c r="A20" s="38">
        <f t="shared" si="1"/>
        <v>12</v>
      </c>
      <c r="B20" s="38">
        <f t="shared" si="2"/>
        <v>2</v>
      </c>
      <c r="C20" s="38">
        <v>5</v>
      </c>
      <c r="D20" s="28" t="s">
        <v>100</v>
      </c>
      <c r="E20" s="41"/>
      <c r="F20" s="28" t="s">
        <v>86</v>
      </c>
      <c r="G20" s="28" t="s">
        <v>94</v>
      </c>
      <c r="J20" t="str">
        <f t="shared" si="0"/>
        <v>datatable[11] = new Array("12","2","Analysis Scenario 4: MDA Chorus Data Buy","5","Scenario.png");</v>
      </c>
    </row>
    <row r="21" spans="1:14" ht="14.25" customHeight="1">
      <c r="A21" s="38">
        <f t="shared" si="1"/>
        <v>13</v>
      </c>
      <c r="B21" s="38">
        <f t="shared" si="2"/>
        <v>2</v>
      </c>
      <c r="C21" s="38">
        <v>5</v>
      </c>
      <c r="D21" s="28" t="s">
        <v>101</v>
      </c>
      <c r="E21" s="41"/>
      <c r="F21" s="28" t="s">
        <v>86</v>
      </c>
      <c r="G21" s="28" t="s">
        <v>94</v>
      </c>
      <c r="J21" t="str">
        <f t="shared" si="0"/>
        <v>datatable[12] = new Array("13","2","Analysis Scenario 5: MDA Chorus+","5","Scenario.png");</v>
      </c>
    </row>
    <row r="22" spans="1:14" ht="14.25" customHeight="1">
      <c r="A22" s="38">
        <f t="shared" si="1"/>
        <v>14</v>
      </c>
      <c r="B22" s="38">
        <f t="shared" si="2"/>
        <v>2</v>
      </c>
      <c r="C22" s="38">
        <v>5</v>
      </c>
      <c r="D22" s="28" t="s">
        <v>102</v>
      </c>
      <c r="E22" s="41"/>
      <c r="F22" s="28" t="s">
        <v>86</v>
      </c>
      <c r="G22" s="28" t="s">
        <v>94</v>
      </c>
      <c r="J22" t="str">
        <f t="shared" si="0"/>
        <v>datatable[13] = new Array("14","2","Analysis Scenario 6: Airbus Sentinel 2","5","Scenario.png");</v>
      </c>
    </row>
    <row r="23" spans="1:14" ht="14.25" customHeight="1">
      <c r="A23" s="25">
        <f t="shared" si="1"/>
        <v>15</v>
      </c>
      <c r="B23" s="25">
        <f t="shared" ref="B23:B28" si="3">A$16</f>
        <v>8</v>
      </c>
      <c r="C23" s="25">
        <v>6</v>
      </c>
      <c r="D23" s="31" t="s">
        <v>103</v>
      </c>
      <c r="E23" s="42">
        <v>1.1000000000000001</v>
      </c>
      <c r="F23" s="31" t="s">
        <v>88</v>
      </c>
      <c r="G23" s="28" t="s">
        <v>104</v>
      </c>
      <c r="H23" s="28" t="s">
        <v>105</v>
      </c>
      <c r="J23" t="str">
        <f t="shared" si="0"/>
        <v>datatable[14] = new Array("15","8","Government Overhead and Oversight","6","Government.png");</v>
      </c>
    </row>
    <row r="24" spans="1:14" ht="14.25" customHeight="1">
      <c r="A24" s="25">
        <f t="shared" si="1"/>
        <v>16</v>
      </c>
      <c r="B24" s="25">
        <f t="shared" si="3"/>
        <v>8</v>
      </c>
      <c r="C24" s="25">
        <v>6</v>
      </c>
      <c r="D24" s="31" t="s">
        <v>106</v>
      </c>
      <c r="E24" s="42">
        <v>1.2</v>
      </c>
      <c r="F24" s="31" t="s">
        <v>88</v>
      </c>
      <c r="G24" s="28" t="s">
        <v>84</v>
      </c>
      <c r="H24" s="28" t="s">
        <v>107</v>
      </c>
      <c r="J24" t="str">
        <f t="shared" si="0"/>
        <v>datatable[15] = new Array("16","8","Space Segment","6","Satellite.png");</v>
      </c>
    </row>
    <row r="25" spans="1:14" ht="14.25" customHeight="1">
      <c r="A25" s="25">
        <f t="shared" si="1"/>
        <v>17</v>
      </c>
      <c r="B25" s="25">
        <f t="shared" si="3"/>
        <v>8</v>
      </c>
      <c r="C25" s="25">
        <v>6</v>
      </c>
      <c r="D25" s="31" t="s">
        <v>108</v>
      </c>
      <c r="E25" s="42">
        <v>1.3</v>
      </c>
      <c r="F25" s="31" t="s">
        <v>88</v>
      </c>
      <c r="G25" s="28" t="s">
        <v>109</v>
      </c>
      <c r="H25" s="28" t="s">
        <v>110</v>
      </c>
      <c r="J25" t="str">
        <f t="shared" si="0"/>
        <v>datatable[16] = new Array("17","8","Launch Segment","6","Rocket.png");</v>
      </c>
    </row>
    <row r="26" spans="1:14" ht="14.25" customHeight="1">
      <c r="A26" s="25">
        <f t="shared" si="1"/>
        <v>18</v>
      </c>
      <c r="B26" s="25">
        <f t="shared" si="3"/>
        <v>8</v>
      </c>
      <c r="C26" s="25">
        <v>6</v>
      </c>
      <c r="D26" s="31" t="s">
        <v>111</v>
      </c>
      <c r="E26" s="42">
        <v>1.4</v>
      </c>
      <c r="F26" s="31" t="s">
        <v>88</v>
      </c>
      <c r="G26" s="28" t="s">
        <v>112</v>
      </c>
      <c r="H26" s="28" t="s">
        <v>113</v>
      </c>
      <c r="J26" t="str">
        <f t="shared" si="0"/>
        <v>datatable[17] = new Array("18","8","Ground Segment","6","Facility.png");</v>
      </c>
    </row>
    <row r="27" spans="1:14" ht="14.25" customHeight="1">
      <c r="A27" s="25">
        <f t="shared" si="1"/>
        <v>19</v>
      </c>
      <c r="B27" s="25">
        <f t="shared" si="3"/>
        <v>8</v>
      </c>
      <c r="C27" s="25">
        <v>6</v>
      </c>
      <c r="D27" s="31" t="s">
        <v>114</v>
      </c>
      <c r="E27" s="42">
        <v>1.5</v>
      </c>
      <c r="F27" s="31" t="s">
        <v>88</v>
      </c>
      <c r="G27" s="28" t="s">
        <v>115</v>
      </c>
      <c r="H27" s="28" t="s">
        <v>116</v>
      </c>
      <c r="J27" t="str">
        <f t="shared" si="0"/>
        <v>datatable[18] = new Array("19","8","Ops Segment","6","Ops.png");</v>
      </c>
    </row>
    <row r="28" spans="1:14" ht="14.25" customHeight="1">
      <c r="A28" s="25">
        <f t="shared" si="1"/>
        <v>20</v>
      </c>
      <c r="B28" s="25">
        <f t="shared" si="3"/>
        <v>8</v>
      </c>
      <c r="C28" s="25">
        <v>6</v>
      </c>
      <c r="D28" s="31" t="s">
        <v>117</v>
      </c>
      <c r="E28" s="42">
        <v>1.6</v>
      </c>
      <c r="F28" s="31" t="s">
        <v>88</v>
      </c>
      <c r="G28" s="28" t="s">
        <v>118</v>
      </c>
      <c r="H28" s="28" t="s">
        <v>119</v>
      </c>
      <c r="J28" t="str">
        <f t="shared" si="0"/>
        <v>datatable[19] = new Array("20","8","Science Segment","6","Science.png");</v>
      </c>
    </row>
    <row r="29" spans="1:14" ht="14.25" customHeight="1">
      <c r="A29" s="43">
        <f t="shared" si="1"/>
        <v>21</v>
      </c>
      <c r="B29" s="43">
        <f>A$18</f>
        <v>10</v>
      </c>
      <c r="C29" s="43">
        <v>7</v>
      </c>
      <c r="D29" s="44" t="s">
        <v>120</v>
      </c>
      <c r="E29" s="45" t="s">
        <v>121</v>
      </c>
      <c r="F29" s="45" t="s">
        <v>90</v>
      </c>
      <c r="G29" s="28" t="s">
        <v>104</v>
      </c>
      <c r="J29" t="str">
        <f t="shared" si="0"/>
        <v>datatable[20] = new Array("21","10","Gov't Oversight (Salaries and EBP)","7","Government.png");</v>
      </c>
    </row>
    <row r="30" spans="1:14" ht="14.25" customHeight="1">
      <c r="A30" s="43">
        <f t="shared" si="1"/>
        <v>22</v>
      </c>
      <c r="B30" s="43">
        <f>A$18</f>
        <v>10</v>
      </c>
      <c r="C30" s="43">
        <v>7</v>
      </c>
      <c r="D30" s="44" t="s">
        <v>122</v>
      </c>
      <c r="E30" s="45" t="s">
        <v>123</v>
      </c>
      <c r="F30" s="45" t="s">
        <v>90</v>
      </c>
      <c r="G30" s="28" t="s">
        <v>104</v>
      </c>
      <c r="J30" t="str">
        <f t="shared" si="0"/>
        <v>datatable[21] = new Array("22","10","Government Overhead","7","Government.png");</v>
      </c>
    </row>
    <row r="31" spans="1:14" ht="14.25" customHeight="1">
      <c r="A31" s="43">
        <f t="shared" si="1"/>
        <v>23</v>
      </c>
      <c r="B31" s="43">
        <f>A29</f>
        <v>21</v>
      </c>
      <c r="C31" s="43">
        <v>8</v>
      </c>
      <c r="D31" s="44" t="s">
        <v>124</v>
      </c>
      <c r="E31" s="45" t="s">
        <v>125</v>
      </c>
      <c r="F31" s="45" t="s">
        <v>92</v>
      </c>
      <c r="G31" s="28" t="s">
        <v>104</v>
      </c>
      <c r="J31" t="str">
        <f t="shared" si="0"/>
        <v>datatable[22] = new Array("23","21","CSA Oversight","8","Government.png");</v>
      </c>
    </row>
    <row r="32" spans="1:14" ht="14.25" customHeight="1">
      <c r="A32" s="43">
        <f t="shared" si="1"/>
        <v>24</v>
      </c>
      <c r="B32" s="43">
        <f>A29</f>
        <v>21</v>
      </c>
      <c r="C32" s="43">
        <v>8</v>
      </c>
      <c r="D32" s="44" t="s">
        <v>126</v>
      </c>
      <c r="E32" s="45" t="s">
        <v>127</v>
      </c>
      <c r="F32" s="45" t="s">
        <v>92</v>
      </c>
      <c r="G32" s="28" t="s">
        <v>104</v>
      </c>
      <c r="J32" t="str">
        <f t="shared" si="0"/>
        <v>datatable[23] = new Array("24","21","OGD Oversight","8","Government.png");</v>
      </c>
    </row>
    <row r="33" spans="1:10" ht="14.25" customHeight="1">
      <c r="A33" s="43">
        <f t="shared" si="1"/>
        <v>25</v>
      </c>
      <c r="B33" s="43">
        <f>A31</f>
        <v>23</v>
      </c>
      <c r="C33" s="43">
        <v>9</v>
      </c>
      <c r="D33" s="44" t="s">
        <v>128</v>
      </c>
      <c r="E33" s="45" t="s">
        <v>129</v>
      </c>
      <c r="F33" s="45" t="s">
        <v>95</v>
      </c>
      <c r="G33" s="28" t="s">
        <v>104</v>
      </c>
      <c r="H33" s="28" t="s">
        <v>130</v>
      </c>
      <c r="J33" t="str">
        <f t="shared" si="0"/>
        <v>datatable[24] = new Array("25","23","CSA Project Team","9","Government.png");</v>
      </c>
    </row>
    <row r="34" spans="1:10" ht="14.25" customHeight="1">
      <c r="A34" s="43">
        <f t="shared" si="1"/>
        <v>26</v>
      </c>
      <c r="B34" s="43">
        <f>A31</f>
        <v>23</v>
      </c>
      <c r="C34" s="43">
        <v>9</v>
      </c>
      <c r="D34" s="44" t="s">
        <v>131</v>
      </c>
      <c r="E34" s="45" t="s">
        <v>132</v>
      </c>
      <c r="F34" s="45" t="s">
        <v>95</v>
      </c>
      <c r="G34" s="28" t="s">
        <v>104</v>
      </c>
      <c r="H34" s="28" t="s">
        <v>133</v>
      </c>
      <c r="J34" t="str">
        <f t="shared" si="0"/>
        <v>datatable[25] = new Array("26","23","CSA Internal Services","9","Government.png");</v>
      </c>
    </row>
    <row r="35" spans="1:10" ht="14.25" customHeight="1">
      <c r="A35" s="43">
        <f t="shared" si="1"/>
        <v>27</v>
      </c>
      <c r="B35" s="43">
        <f>A32</f>
        <v>24</v>
      </c>
      <c r="C35" s="43">
        <v>9</v>
      </c>
      <c r="D35" s="44" t="s">
        <v>134</v>
      </c>
      <c r="E35" s="45" t="s">
        <v>135</v>
      </c>
      <c r="F35" s="45" t="s">
        <v>95</v>
      </c>
      <c r="G35" s="28" t="s">
        <v>104</v>
      </c>
      <c r="J35" t="str">
        <f t="shared" si="0"/>
        <v>datatable[26] = new Array("27","24","OGD Internal Services by MOU","9","Government.png");</v>
      </c>
    </row>
    <row r="36" spans="1:10" ht="14.25" customHeight="1">
      <c r="A36" s="43">
        <f t="shared" si="1"/>
        <v>28</v>
      </c>
      <c r="B36" s="43">
        <f>A32</f>
        <v>24</v>
      </c>
      <c r="C36" s="43">
        <v>9</v>
      </c>
      <c r="D36" s="44" t="s">
        <v>136</v>
      </c>
      <c r="E36" s="45" t="s">
        <v>137</v>
      </c>
      <c r="F36" s="45" t="s">
        <v>95</v>
      </c>
      <c r="G36" s="28" t="s">
        <v>104</v>
      </c>
      <c r="J36" t="str">
        <f t="shared" si="0"/>
        <v>datatable[27] = new Array("28","24","OGD User Departments by MOU (RAM portion)","9","Government.png");</v>
      </c>
    </row>
    <row r="37" spans="1:10" ht="14.25" customHeight="1">
      <c r="A37" s="43">
        <f t="shared" si="1"/>
        <v>29</v>
      </c>
      <c r="B37" s="43">
        <f>A$29</f>
        <v>21</v>
      </c>
      <c r="C37" s="43">
        <v>10</v>
      </c>
      <c r="D37" s="44" t="s">
        <v>138</v>
      </c>
      <c r="E37" s="45" t="s">
        <v>139</v>
      </c>
      <c r="F37" s="45" t="s">
        <v>97</v>
      </c>
      <c r="G37" s="28" t="s">
        <v>104</v>
      </c>
      <c r="J37" t="str">
        <f t="shared" si="0"/>
        <v>datatable[28] = new Array("29","21","Shared Services","10","Government.png");</v>
      </c>
    </row>
    <row r="38" spans="1:10" ht="14.25" customHeight="1">
      <c r="A38" s="43">
        <f t="shared" si="1"/>
        <v>30</v>
      </c>
      <c r="B38" s="43">
        <f>A$29</f>
        <v>21</v>
      </c>
      <c r="C38" s="43">
        <v>10</v>
      </c>
      <c r="D38" s="44" t="s">
        <v>140</v>
      </c>
      <c r="E38" s="45" t="s">
        <v>141</v>
      </c>
      <c r="F38" s="45" t="s">
        <v>97</v>
      </c>
      <c r="G38" s="28" t="s">
        <v>104</v>
      </c>
      <c r="J38" t="str">
        <f t="shared" si="0"/>
        <v>datatable[29] = new Array("30","21","SPAC","10","Government.png");</v>
      </c>
    </row>
    <row r="39" spans="1:10" ht="14.25" customHeight="1">
      <c r="A39" s="43">
        <f t="shared" si="1"/>
        <v>31</v>
      </c>
      <c r="B39" s="43">
        <f>A$29</f>
        <v>21</v>
      </c>
      <c r="C39" s="43">
        <v>10</v>
      </c>
      <c r="D39" s="44" t="s">
        <v>142</v>
      </c>
      <c r="E39" s="45" t="s">
        <v>143</v>
      </c>
      <c r="F39" s="45" t="s">
        <v>97</v>
      </c>
      <c r="G39" s="28" t="s">
        <v>104</v>
      </c>
      <c r="J39" t="str">
        <f t="shared" si="0"/>
        <v>datatable[30] = new Array("31","21","Justice Canada","10","Government.png");</v>
      </c>
    </row>
    <row r="40" spans="1:10" ht="14.25" customHeight="1">
      <c r="A40" s="43">
        <f t="shared" si="1"/>
        <v>32</v>
      </c>
      <c r="B40" s="43">
        <f>A$31</f>
        <v>23</v>
      </c>
      <c r="C40" s="43">
        <v>10</v>
      </c>
      <c r="D40" s="44" t="s">
        <v>144</v>
      </c>
      <c r="E40" s="45" t="s">
        <v>145</v>
      </c>
      <c r="F40" s="45" t="s">
        <v>97</v>
      </c>
      <c r="G40" s="28" t="s">
        <v>104</v>
      </c>
      <c r="J40" t="str">
        <f t="shared" si="0"/>
        <v>datatable[31] = new Array("32","23","ECCC","10","Government.png");</v>
      </c>
    </row>
    <row r="41" spans="1:10" ht="14.25" customHeight="1">
      <c r="A41" s="43">
        <f t="shared" si="1"/>
        <v>33</v>
      </c>
      <c r="B41" s="43">
        <f>A$31</f>
        <v>23</v>
      </c>
      <c r="C41" s="43">
        <v>10</v>
      </c>
      <c r="D41" s="44" t="s">
        <v>146</v>
      </c>
      <c r="E41" s="45" t="s">
        <v>147</v>
      </c>
      <c r="F41" s="45" t="s">
        <v>97</v>
      </c>
      <c r="G41" s="28" t="s">
        <v>104</v>
      </c>
      <c r="J41" t="str">
        <f t="shared" si="0"/>
        <v>datatable[32] = new Array("33","23","NRCAN","10","Government.png");</v>
      </c>
    </row>
    <row r="42" spans="1:10" ht="14.25" customHeight="1">
      <c r="A42" s="43">
        <f t="shared" si="1"/>
        <v>34</v>
      </c>
      <c r="B42" s="43">
        <f>A$31</f>
        <v>23</v>
      </c>
      <c r="C42" s="43">
        <v>10</v>
      </c>
      <c r="D42" s="44" t="s">
        <v>148</v>
      </c>
      <c r="E42" s="45" t="s">
        <v>149</v>
      </c>
      <c r="F42" s="45" t="s">
        <v>97</v>
      </c>
      <c r="G42" s="28" t="s">
        <v>104</v>
      </c>
      <c r="J42" t="str">
        <f t="shared" si="0"/>
        <v>datatable[33] = new Array("34","23","DND","10","Government.png");</v>
      </c>
    </row>
    <row r="43" spans="1:10" ht="14.25" customHeight="1">
      <c r="A43" s="43">
        <f t="shared" si="1"/>
        <v>35</v>
      </c>
      <c r="B43" s="43">
        <f>A33</f>
        <v>25</v>
      </c>
      <c r="C43" s="43">
        <v>11</v>
      </c>
      <c r="D43" s="44" t="s">
        <v>150</v>
      </c>
      <c r="E43" s="45" t="s">
        <v>151</v>
      </c>
      <c r="F43" s="45" t="s">
        <v>99</v>
      </c>
      <c r="G43" s="28" t="s">
        <v>104</v>
      </c>
      <c r="J43" t="str">
        <f t="shared" si="0"/>
        <v>datatable[34] = new Array("35","25","RAM per Person per FY and Phase","11","Government.png");</v>
      </c>
    </row>
    <row r="44" spans="1:10" ht="14.25" customHeight="1">
      <c r="A44" s="43">
        <f t="shared" si="1"/>
        <v>36</v>
      </c>
      <c r="B44" s="43">
        <f>A$33</f>
        <v>25</v>
      </c>
      <c r="C44" s="43">
        <v>11</v>
      </c>
      <c r="D44" s="44" t="s">
        <v>152</v>
      </c>
      <c r="E44" s="45" t="s">
        <v>153</v>
      </c>
      <c r="F44" s="45" t="s">
        <v>99</v>
      </c>
      <c r="G44" s="28" t="s">
        <v>104</v>
      </c>
      <c r="J44" t="str">
        <f t="shared" si="0"/>
        <v>datatable[35] = new Array("36","25","PSPC Procurement Services","11","Government.png");</v>
      </c>
    </row>
    <row r="45" spans="1:10" ht="14.25" customHeight="1">
      <c r="A45" s="43">
        <f t="shared" si="1"/>
        <v>37</v>
      </c>
      <c r="B45" s="43">
        <f>A$33</f>
        <v>25</v>
      </c>
      <c r="C45" s="43">
        <v>11</v>
      </c>
      <c r="D45" s="44" t="s">
        <v>154</v>
      </c>
      <c r="E45" s="45" t="s">
        <v>155</v>
      </c>
      <c r="F45" s="45" t="s">
        <v>99</v>
      </c>
      <c r="G45" s="28" t="s">
        <v>104</v>
      </c>
      <c r="J45" t="str">
        <f t="shared" si="0"/>
        <v>datatable[36] = new Array("37","25","PSPC Fairness Monitor","11","Government.png");</v>
      </c>
    </row>
    <row r="46" spans="1:10" ht="14.25" customHeight="1">
      <c r="A46" s="43">
        <f t="shared" si="1"/>
        <v>38</v>
      </c>
      <c r="B46" s="43">
        <f>A39</f>
        <v>31</v>
      </c>
      <c r="C46" s="43">
        <v>11</v>
      </c>
      <c r="D46" s="44" t="s">
        <v>156</v>
      </c>
      <c r="E46" s="45" t="s">
        <v>157</v>
      </c>
      <c r="F46" s="45" t="s">
        <v>99</v>
      </c>
      <c r="G46" s="28" t="s">
        <v>104</v>
      </c>
      <c r="J46" t="str">
        <f t="shared" si="0"/>
        <v>datatable[37] = new Array("38","31","Legal Services","11","Government.png");</v>
      </c>
    </row>
    <row r="47" spans="1:10" ht="14.25" customHeight="1">
      <c r="A47" s="43">
        <f t="shared" si="1"/>
        <v>39</v>
      </c>
      <c r="B47" s="43">
        <f>A30</f>
        <v>22</v>
      </c>
      <c r="C47" s="43">
        <v>8</v>
      </c>
      <c r="D47" s="44" t="s">
        <v>158</v>
      </c>
      <c r="E47" s="45" t="s">
        <v>159</v>
      </c>
      <c r="F47" s="45" t="s">
        <v>92</v>
      </c>
      <c r="G47" s="28" t="s">
        <v>104</v>
      </c>
      <c r="J47" t="str">
        <f t="shared" si="0"/>
        <v>datatable[38] = new Array("39","22","CSA Overhead","8","Government.png");</v>
      </c>
    </row>
    <row r="48" spans="1:10" ht="14.25" customHeight="1">
      <c r="A48" s="43">
        <f t="shared" si="1"/>
        <v>40</v>
      </c>
      <c r="B48" s="43">
        <f t="shared" ref="B48:B57" si="4">A$42</f>
        <v>34</v>
      </c>
      <c r="C48" s="43">
        <v>9</v>
      </c>
      <c r="D48" s="45" t="s">
        <v>160</v>
      </c>
      <c r="E48" s="45" t="s">
        <v>161</v>
      </c>
      <c r="F48" s="45" t="s">
        <v>95</v>
      </c>
      <c r="G48" s="28" t="s">
        <v>104</v>
      </c>
      <c r="J48" t="str">
        <f t="shared" si="0"/>
        <v>datatable[39] = new Array("40","34","IS Management Overhead ","9","Government.png");</v>
      </c>
    </row>
    <row r="49" spans="1:10" ht="14.25" customHeight="1">
      <c r="A49" s="43">
        <f t="shared" si="1"/>
        <v>41</v>
      </c>
      <c r="B49" s="43">
        <f t="shared" si="4"/>
        <v>34</v>
      </c>
      <c r="C49" s="43">
        <v>9</v>
      </c>
      <c r="D49" s="45" t="s">
        <v>162</v>
      </c>
      <c r="E49" s="45" t="s">
        <v>163</v>
      </c>
      <c r="F49" s="45" t="s">
        <v>95</v>
      </c>
      <c r="G49" s="28" t="s">
        <v>104</v>
      </c>
      <c r="J49" t="str">
        <f t="shared" si="0"/>
        <v>datatable[40] = new Array("41","34","Management Consulting Services","9","Government.png");</v>
      </c>
    </row>
    <row r="50" spans="1:10" ht="14.25" customHeight="1">
      <c r="A50" s="43">
        <f t="shared" si="1"/>
        <v>42</v>
      </c>
      <c r="B50" s="43">
        <f t="shared" si="4"/>
        <v>34</v>
      </c>
      <c r="C50" s="43">
        <v>9</v>
      </c>
      <c r="D50" s="45" t="s">
        <v>164</v>
      </c>
      <c r="E50" s="45" t="s">
        <v>165</v>
      </c>
      <c r="F50" s="45" t="s">
        <v>95</v>
      </c>
      <c r="G50" s="28" t="s">
        <v>104</v>
      </c>
      <c r="J50" t="str">
        <f t="shared" si="0"/>
        <v>datatable[41] = new Array("42","34","Temporary Help","9","Government.png");</v>
      </c>
    </row>
    <row r="51" spans="1:10" ht="14.25" customHeight="1">
      <c r="A51" s="43">
        <f t="shared" si="1"/>
        <v>43</v>
      </c>
      <c r="B51" s="43">
        <f t="shared" si="4"/>
        <v>34</v>
      </c>
      <c r="C51" s="43">
        <v>9</v>
      </c>
      <c r="D51" s="45" t="s">
        <v>166</v>
      </c>
      <c r="E51" s="45" t="s">
        <v>167</v>
      </c>
      <c r="F51" s="45" t="s">
        <v>95</v>
      </c>
      <c r="G51" s="28" t="s">
        <v>104</v>
      </c>
      <c r="H51" s="28" t="s">
        <v>168</v>
      </c>
      <c r="J51" t="str">
        <f t="shared" si="0"/>
        <v>datatable[42] = new Array("43","34","Students","9","Government.png");</v>
      </c>
    </row>
    <row r="52" spans="1:10" ht="14.25" customHeight="1">
      <c r="A52" s="43">
        <f t="shared" si="1"/>
        <v>44</v>
      </c>
      <c r="B52" s="43">
        <f t="shared" si="4"/>
        <v>34</v>
      </c>
      <c r="C52" s="43">
        <v>9</v>
      </c>
      <c r="D52" s="45" t="s">
        <v>169</v>
      </c>
      <c r="E52" s="45" t="s">
        <v>170</v>
      </c>
      <c r="F52" s="45" t="s">
        <v>95</v>
      </c>
      <c r="G52" s="28" t="s">
        <v>104</v>
      </c>
      <c r="H52" s="28" t="s">
        <v>171</v>
      </c>
      <c r="J52" t="str">
        <f t="shared" si="0"/>
        <v>datatable[43] = new Array("44","34","Government Travel &amp; Living","9","Government.png");</v>
      </c>
    </row>
    <row r="53" spans="1:10" ht="14.25" customHeight="1">
      <c r="A53" s="43">
        <f t="shared" si="1"/>
        <v>45</v>
      </c>
      <c r="B53" s="43">
        <f t="shared" si="4"/>
        <v>34</v>
      </c>
      <c r="C53" s="43">
        <v>9</v>
      </c>
      <c r="D53" s="45" t="s">
        <v>172</v>
      </c>
      <c r="E53" s="45" t="s">
        <v>173</v>
      </c>
      <c r="F53" s="45" t="s">
        <v>95</v>
      </c>
      <c r="G53" s="28" t="s">
        <v>104</v>
      </c>
      <c r="H53" s="28" t="s">
        <v>174</v>
      </c>
      <c r="J53" t="str">
        <f t="shared" si="0"/>
        <v>datatable[44] = new Array("45","34","Translation","9","Government.png");</v>
      </c>
    </row>
    <row r="54" spans="1:10" ht="14.25" customHeight="1">
      <c r="A54" s="43">
        <f t="shared" si="1"/>
        <v>46</v>
      </c>
      <c r="B54" s="43">
        <f t="shared" si="4"/>
        <v>34</v>
      </c>
      <c r="C54" s="43">
        <v>9</v>
      </c>
      <c r="D54" s="45" t="s">
        <v>175</v>
      </c>
      <c r="E54" s="45" t="s">
        <v>176</v>
      </c>
      <c r="F54" s="45" t="s">
        <v>95</v>
      </c>
      <c r="G54" s="28" t="s">
        <v>104</v>
      </c>
      <c r="H54" s="28" t="s">
        <v>177</v>
      </c>
      <c r="J54" t="str">
        <f t="shared" si="0"/>
        <v>datatable[45] = new Array("46","34","Shipping","9","Government.png");</v>
      </c>
    </row>
    <row r="55" spans="1:10" ht="14.25" customHeight="1">
      <c r="A55" s="43">
        <f t="shared" si="1"/>
        <v>47</v>
      </c>
      <c r="B55" s="43">
        <f t="shared" si="4"/>
        <v>34</v>
      </c>
      <c r="C55" s="43">
        <v>9</v>
      </c>
      <c r="D55" s="45" t="s">
        <v>178</v>
      </c>
      <c r="E55" s="45" t="s">
        <v>179</v>
      </c>
      <c r="F55" s="45" t="s">
        <v>95</v>
      </c>
      <c r="G55" s="28" t="s">
        <v>104</v>
      </c>
      <c r="H55" s="28" t="s">
        <v>180</v>
      </c>
      <c r="J55" t="str">
        <f t="shared" si="0"/>
        <v>datatable[46] = new Array("47","34","Software Licenses","9","Government.png");</v>
      </c>
    </row>
    <row r="56" spans="1:10" ht="14.25" customHeight="1">
      <c r="A56" s="43">
        <f t="shared" si="1"/>
        <v>48</v>
      </c>
      <c r="B56" s="43">
        <f t="shared" si="4"/>
        <v>34</v>
      </c>
      <c r="C56" s="43">
        <v>9</v>
      </c>
      <c r="D56" s="45" t="s">
        <v>181</v>
      </c>
      <c r="E56" s="45" t="s">
        <v>182</v>
      </c>
      <c r="F56" s="45" t="s">
        <v>95</v>
      </c>
      <c r="G56" s="28" t="s">
        <v>104</v>
      </c>
      <c r="H56" s="28" t="s">
        <v>183</v>
      </c>
      <c r="J56" t="str">
        <f t="shared" si="0"/>
        <v>datatable[47] = new Array("48","34","Public Outreach and STEM initiatives","9","Government.png");</v>
      </c>
    </row>
    <row r="57" spans="1:10" ht="14.25" customHeight="1">
      <c r="A57" s="43">
        <f t="shared" si="1"/>
        <v>49</v>
      </c>
      <c r="B57" s="43">
        <f t="shared" si="4"/>
        <v>34</v>
      </c>
      <c r="C57" s="43">
        <v>9</v>
      </c>
      <c r="D57" s="45" t="s">
        <v>184</v>
      </c>
      <c r="E57" s="45" t="s">
        <v>185</v>
      </c>
      <c r="F57" s="45" t="s">
        <v>95</v>
      </c>
      <c r="G57" s="28" t="s">
        <v>104</v>
      </c>
      <c r="H57" s="28" t="s">
        <v>186</v>
      </c>
      <c r="J57" t="str">
        <f t="shared" si="0"/>
        <v>datatable[48] = new Array("49","34","Other Overhead (Specify)","9","Government.png");</v>
      </c>
    </row>
    <row r="58" spans="1:10" ht="14.25" customHeight="1">
      <c r="A58" s="43">
        <f t="shared" si="1"/>
        <v>50</v>
      </c>
      <c r="B58" s="43">
        <f>A$44</f>
        <v>36</v>
      </c>
      <c r="C58" s="43">
        <v>10</v>
      </c>
      <c r="D58" s="45" t="s">
        <v>187</v>
      </c>
      <c r="E58" s="45" t="s">
        <v>188</v>
      </c>
      <c r="F58" s="45" t="s">
        <v>97</v>
      </c>
      <c r="G58" s="28" t="s">
        <v>104</v>
      </c>
      <c r="J58" t="str">
        <f t="shared" si="0"/>
        <v>datatable[49] = new Array("50","36","Consultants - Industrial Space Experts","10","Government.png");</v>
      </c>
    </row>
    <row r="59" spans="1:10" ht="14.25" customHeight="1">
      <c r="A59" s="43">
        <f t="shared" si="1"/>
        <v>51</v>
      </c>
      <c r="B59" s="43">
        <f>A$44</f>
        <v>36</v>
      </c>
      <c r="C59" s="43">
        <v>10</v>
      </c>
      <c r="D59" s="45" t="s">
        <v>189</v>
      </c>
      <c r="E59" s="45" t="s">
        <v>190</v>
      </c>
      <c r="F59" s="45" t="s">
        <v>97</v>
      </c>
      <c r="G59" s="28" t="s">
        <v>104</v>
      </c>
      <c r="J59" t="str">
        <f t="shared" si="0"/>
        <v>datatable[50] = new Array("51","36","Consultants - Academia","10","Government.png");</v>
      </c>
    </row>
    <row r="60" spans="1:10" ht="14.25" customHeight="1">
      <c r="A60" s="43">
        <f t="shared" si="1"/>
        <v>52</v>
      </c>
      <c r="B60" s="43">
        <f>A$44</f>
        <v>36</v>
      </c>
      <c r="C60" s="43">
        <v>10</v>
      </c>
      <c r="D60" s="45" t="s">
        <v>191</v>
      </c>
      <c r="E60" s="45" t="s">
        <v>192</v>
      </c>
      <c r="F60" s="45" t="s">
        <v>97</v>
      </c>
      <c r="G60" s="28" t="s">
        <v>104</v>
      </c>
      <c r="J60" t="str">
        <f t="shared" si="0"/>
        <v>datatable[51] = new Array("52","36","Consultants - Non-Space Experts","10","Government.png");</v>
      </c>
    </row>
    <row r="61" spans="1:10" ht="14.25" customHeight="1">
      <c r="A61" s="46">
        <f t="shared" si="1"/>
        <v>53</v>
      </c>
      <c r="B61" s="46">
        <v>12</v>
      </c>
      <c r="C61" s="46">
        <v>6</v>
      </c>
      <c r="D61" s="47" t="s">
        <v>193</v>
      </c>
      <c r="E61" s="47"/>
      <c r="F61" s="48" t="s">
        <v>88</v>
      </c>
      <c r="G61" s="28" t="s">
        <v>194</v>
      </c>
      <c r="J61" t="str">
        <f t="shared" si="0"/>
        <v>datatable[52] = new Array("53","12","Mission SEITPM and Support Equipment","6","SEITPM.png");</v>
      </c>
    </row>
    <row r="62" spans="1:10" ht="14.25" customHeight="1">
      <c r="A62" s="46">
        <f t="shared" si="1"/>
        <v>54</v>
      </c>
      <c r="B62" s="46">
        <f>A$56</f>
        <v>48</v>
      </c>
      <c r="C62" s="46">
        <v>7</v>
      </c>
      <c r="D62" s="47" t="s">
        <v>195</v>
      </c>
      <c r="E62" s="48"/>
      <c r="F62" s="48" t="s">
        <v>90</v>
      </c>
      <c r="G62" s="28" t="s">
        <v>194</v>
      </c>
      <c r="J62" t="str">
        <f t="shared" si="0"/>
        <v>datatable[53] = new Array("54","48","Project Management","7","SEITPM.png");</v>
      </c>
    </row>
    <row r="63" spans="1:10" ht="14.25" customHeight="1">
      <c r="A63" s="46">
        <f t="shared" si="1"/>
        <v>55</v>
      </c>
      <c r="B63" s="46">
        <f>A$56</f>
        <v>48</v>
      </c>
      <c r="C63" s="46">
        <v>7</v>
      </c>
      <c r="D63" s="47" t="s">
        <v>196</v>
      </c>
      <c r="E63" s="48"/>
      <c r="F63" s="48" t="s">
        <v>90</v>
      </c>
      <c r="G63" s="28" t="s">
        <v>194</v>
      </c>
      <c r="J63" t="str">
        <f t="shared" si="0"/>
        <v>datatable[54] = new Array("55","48","Systems Engineering","7","SEITPM.png");</v>
      </c>
    </row>
    <row r="64" spans="1:10" ht="14.25" customHeight="1">
      <c r="A64" s="46">
        <f t="shared" si="1"/>
        <v>56</v>
      </c>
      <c r="B64" s="46">
        <f>A$56</f>
        <v>48</v>
      </c>
      <c r="C64" s="46">
        <v>7</v>
      </c>
      <c r="D64" s="47" t="s">
        <v>197</v>
      </c>
      <c r="E64" s="48"/>
      <c r="F64" s="48" t="s">
        <v>90</v>
      </c>
      <c r="G64" s="28" t="s">
        <v>194</v>
      </c>
      <c r="J64" t="str">
        <f t="shared" si="0"/>
        <v>datatable[55] = new Array("56","48","Mission Assurance","7","SEITPM.png");</v>
      </c>
    </row>
    <row r="65" spans="1:10" ht="14.25" customHeight="1">
      <c r="A65" s="46">
        <f t="shared" si="1"/>
        <v>57</v>
      </c>
      <c r="B65" s="46">
        <f>A$56</f>
        <v>48</v>
      </c>
      <c r="C65" s="46">
        <v>7</v>
      </c>
      <c r="D65" s="47" t="s">
        <v>198</v>
      </c>
      <c r="E65" s="48"/>
      <c r="F65" s="48" t="s">
        <v>90</v>
      </c>
      <c r="G65" s="28" t="s">
        <v>194</v>
      </c>
      <c r="J65" t="str">
        <f t="shared" si="0"/>
        <v>datatable[56] = new Array("57","48","Assembly, Integration and Testing","7","SEITPM.png");</v>
      </c>
    </row>
    <row r="66" spans="1:10" ht="14.25" customHeight="1">
      <c r="A66" s="46">
        <f t="shared" si="1"/>
        <v>58</v>
      </c>
      <c r="B66" s="46">
        <f>A$56</f>
        <v>48</v>
      </c>
      <c r="C66" s="46">
        <v>7</v>
      </c>
      <c r="D66" s="47" t="s">
        <v>199</v>
      </c>
      <c r="E66" s="48"/>
      <c r="F66" s="48" t="s">
        <v>90</v>
      </c>
      <c r="G66" s="28" t="s">
        <v>194</v>
      </c>
      <c r="J66" t="str">
        <f t="shared" si="0"/>
        <v>datatable[57] = new Array("58","48","Support Equipment","7","SEITPM.png");</v>
      </c>
    </row>
    <row r="67" spans="1:10" ht="14.25" customHeight="1">
      <c r="A67" s="49">
        <f t="shared" si="1"/>
        <v>59</v>
      </c>
      <c r="B67" s="49">
        <f>A24</f>
        <v>16</v>
      </c>
      <c r="C67" s="49">
        <v>7</v>
      </c>
      <c r="D67" s="50" t="s">
        <v>200</v>
      </c>
      <c r="E67" s="50"/>
      <c r="F67" s="50" t="s">
        <v>90</v>
      </c>
      <c r="G67" s="28" t="s">
        <v>84</v>
      </c>
      <c r="J67" t="str">
        <f t="shared" si="0"/>
        <v>datatable[58] = new Array("59","16","Space Vehicle 1 … i","7","Satellite.png");</v>
      </c>
    </row>
    <row r="68" spans="1:10" ht="14.25" customHeight="1">
      <c r="A68" s="49">
        <f t="shared" si="1"/>
        <v>60</v>
      </c>
      <c r="B68" s="49">
        <f>A67</f>
        <v>59</v>
      </c>
      <c r="C68" s="49">
        <v>8</v>
      </c>
      <c r="D68" s="50" t="s">
        <v>201</v>
      </c>
      <c r="E68" s="50"/>
      <c r="F68" s="50" t="s">
        <v>92</v>
      </c>
      <c r="G68" s="28" t="s">
        <v>194</v>
      </c>
      <c r="J68" t="str">
        <f t="shared" si="0"/>
        <v>datatable[59] = new Array("60","59","Spacecraft SEITPM and Support Equipment","8","SEITPM.png");</v>
      </c>
    </row>
    <row r="69" spans="1:10" ht="14.25" customHeight="1">
      <c r="A69" s="49">
        <f t="shared" si="1"/>
        <v>61</v>
      </c>
      <c r="B69" s="49">
        <f>A$63</f>
        <v>55</v>
      </c>
      <c r="C69" s="49">
        <v>9</v>
      </c>
      <c r="D69" s="50" t="s">
        <v>195</v>
      </c>
      <c r="E69" s="50"/>
      <c r="F69" s="50" t="s">
        <v>95</v>
      </c>
      <c r="G69" s="28" t="s">
        <v>194</v>
      </c>
      <c r="J69" t="str">
        <f t="shared" si="0"/>
        <v>datatable[60] = new Array("61","55","Project Management","9","SEITPM.png");</v>
      </c>
    </row>
    <row r="70" spans="1:10" ht="14.25" customHeight="1">
      <c r="A70" s="49">
        <f t="shared" si="1"/>
        <v>62</v>
      </c>
      <c r="B70" s="49">
        <f>A$63</f>
        <v>55</v>
      </c>
      <c r="C70" s="49">
        <v>9</v>
      </c>
      <c r="D70" s="50" t="s">
        <v>196</v>
      </c>
      <c r="E70" s="50"/>
      <c r="F70" s="50" t="s">
        <v>95</v>
      </c>
      <c r="G70" s="28" t="s">
        <v>194</v>
      </c>
      <c r="J70" t="str">
        <f t="shared" si="0"/>
        <v>datatable[61] = new Array("62","55","Systems Engineering","9","SEITPM.png");</v>
      </c>
    </row>
    <row r="71" spans="1:10" ht="14.25" customHeight="1">
      <c r="A71" s="49">
        <f t="shared" si="1"/>
        <v>63</v>
      </c>
      <c r="B71" s="49">
        <f>A$63</f>
        <v>55</v>
      </c>
      <c r="C71" s="49">
        <v>9</v>
      </c>
      <c r="D71" s="50" t="s">
        <v>197</v>
      </c>
      <c r="E71" s="50"/>
      <c r="F71" s="50" t="s">
        <v>95</v>
      </c>
      <c r="G71" s="28" t="s">
        <v>194</v>
      </c>
      <c r="J71" t="str">
        <f t="shared" si="0"/>
        <v>datatable[62] = new Array("63","55","Mission Assurance","9","SEITPM.png");</v>
      </c>
    </row>
    <row r="72" spans="1:10" ht="14.25" customHeight="1">
      <c r="A72" s="49">
        <f t="shared" si="1"/>
        <v>64</v>
      </c>
      <c r="B72" s="49">
        <f>A$63</f>
        <v>55</v>
      </c>
      <c r="C72" s="49">
        <v>9</v>
      </c>
      <c r="D72" s="50" t="s">
        <v>198</v>
      </c>
      <c r="E72" s="50"/>
      <c r="F72" s="50" t="s">
        <v>95</v>
      </c>
      <c r="G72" s="28" t="s">
        <v>194</v>
      </c>
      <c r="J72" t="str">
        <f t="shared" si="0"/>
        <v>datatable[63] = new Array("64","55","Assembly, Integration and Testing","9","SEITPM.png");</v>
      </c>
    </row>
    <row r="73" spans="1:10" ht="14.25" customHeight="1">
      <c r="A73" s="49">
        <f t="shared" si="1"/>
        <v>65</v>
      </c>
      <c r="B73" s="49">
        <f>A$63</f>
        <v>55</v>
      </c>
      <c r="C73" s="49">
        <v>9</v>
      </c>
      <c r="D73" s="50" t="s">
        <v>199</v>
      </c>
      <c r="E73" s="50"/>
      <c r="F73" s="50" t="s">
        <v>95</v>
      </c>
      <c r="G73" s="28" t="s">
        <v>194</v>
      </c>
      <c r="J73" t="str">
        <f t="shared" ref="J73:J136" si="5">"datatable["&amp;A73-1&amp;"] = new Array(""" &amp; A73 &amp;""",""" &amp; B73 &amp;""",""" &amp; D73 &amp; """,""" &amp; C73&amp;""","""&amp;""&amp;G73&amp;""");"</f>
        <v>datatable[64] = new Array("65","55","Support Equipment","9","SEITPM.png");</v>
      </c>
    </row>
    <row r="74" spans="1:10" ht="14.25" customHeight="1">
      <c r="A74" s="49">
        <f t="shared" si="1"/>
        <v>66</v>
      </c>
      <c r="B74" s="49">
        <f>A67</f>
        <v>59</v>
      </c>
      <c r="C74" s="49">
        <v>8</v>
      </c>
      <c r="D74" s="50" t="s">
        <v>202</v>
      </c>
      <c r="E74" s="50"/>
      <c r="F74" s="50" t="s">
        <v>92</v>
      </c>
      <c r="G74" s="28" t="s">
        <v>203</v>
      </c>
      <c r="J74" t="str">
        <f t="shared" si="5"/>
        <v>datatable[65] = new Array("66","59","Bus/Platform","8","Widget.png");</v>
      </c>
    </row>
    <row r="75" spans="1:10" ht="14.25" customHeight="1">
      <c r="A75" s="49">
        <f t="shared" ref="A75:A138" si="6">A74+1</f>
        <v>67</v>
      </c>
      <c r="B75" s="49">
        <f>A74</f>
        <v>66</v>
      </c>
      <c r="C75" s="49">
        <v>9</v>
      </c>
      <c r="D75" s="50" t="s">
        <v>204</v>
      </c>
      <c r="E75" s="50"/>
      <c r="F75" s="50" t="s">
        <v>95</v>
      </c>
      <c r="G75" s="28" t="s">
        <v>194</v>
      </c>
      <c r="J75" t="str">
        <f t="shared" si="5"/>
        <v>datatable[66] = new Array("67","66","Platform SEITPM and Support Equipment","9","SEITPM.png");</v>
      </c>
    </row>
    <row r="76" spans="1:10" ht="14.25" customHeight="1">
      <c r="A76" s="49">
        <f t="shared" si="6"/>
        <v>68</v>
      </c>
      <c r="B76" s="49">
        <f>A$70</f>
        <v>62</v>
      </c>
      <c r="C76" s="49">
        <v>10</v>
      </c>
      <c r="D76" s="50" t="s">
        <v>195</v>
      </c>
      <c r="E76" s="50"/>
      <c r="F76" s="50" t="s">
        <v>97</v>
      </c>
      <c r="G76" s="28" t="s">
        <v>194</v>
      </c>
      <c r="J76" t="str">
        <f t="shared" si="5"/>
        <v>datatable[67] = new Array("68","62","Project Management","10","SEITPM.png");</v>
      </c>
    </row>
    <row r="77" spans="1:10" ht="14.25" customHeight="1">
      <c r="A77" s="49">
        <f t="shared" si="6"/>
        <v>69</v>
      </c>
      <c r="B77" s="49">
        <f>A$70</f>
        <v>62</v>
      </c>
      <c r="C77" s="49">
        <v>10</v>
      </c>
      <c r="D77" s="50" t="s">
        <v>196</v>
      </c>
      <c r="E77" s="50"/>
      <c r="F77" s="50" t="s">
        <v>97</v>
      </c>
      <c r="G77" s="28" t="s">
        <v>194</v>
      </c>
      <c r="J77" t="str">
        <f t="shared" si="5"/>
        <v>datatable[68] = new Array("69","62","Systems Engineering","10","SEITPM.png");</v>
      </c>
    </row>
    <row r="78" spans="1:10" ht="14.25" customHeight="1">
      <c r="A78" s="49">
        <f t="shared" si="6"/>
        <v>70</v>
      </c>
      <c r="B78" s="49">
        <f>A$70</f>
        <v>62</v>
      </c>
      <c r="C78" s="49">
        <v>10</v>
      </c>
      <c r="D78" s="50" t="s">
        <v>197</v>
      </c>
      <c r="E78" s="50"/>
      <c r="F78" s="50" t="s">
        <v>97</v>
      </c>
      <c r="G78" s="28" t="s">
        <v>194</v>
      </c>
      <c r="J78" t="str">
        <f t="shared" si="5"/>
        <v>datatable[69] = new Array("70","62","Mission Assurance","10","SEITPM.png");</v>
      </c>
    </row>
    <row r="79" spans="1:10" ht="14.25" customHeight="1">
      <c r="A79" s="49">
        <f t="shared" si="6"/>
        <v>71</v>
      </c>
      <c r="B79" s="49">
        <f>A$70</f>
        <v>62</v>
      </c>
      <c r="C79" s="49">
        <v>10</v>
      </c>
      <c r="D79" s="50" t="s">
        <v>198</v>
      </c>
      <c r="E79" s="50"/>
      <c r="F79" s="50" t="s">
        <v>97</v>
      </c>
      <c r="G79" s="28" t="s">
        <v>194</v>
      </c>
      <c r="J79" t="str">
        <f t="shared" si="5"/>
        <v>datatable[70] = new Array("71","62","Assembly, Integration and Testing","10","SEITPM.png");</v>
      </c>
    </row>
    <row r="80" spans="1:10" ht="14.25" customHeight="1">
      <c r="A80" s="49">
        <f t="shared" si="6"/>
        <v>72</v>
      </c>
      <c r="B80" s="49">
        <f>A$70</f>
        <v>62</v>
      </c>
      <c r="C80" s="49">
        <v>10</v>
      </c>
      <c r="D80" s="50" t="s">
        <v>199</v>
      </c>
      <c r="E80" s="50"/>
      <c r="F80" s="50" t="s">
        <v>97</v>
      </c>
      <c r="G80" s="28" t="s">
        <v>194</v>
      </c>
      <c r="J80" t="str">
        <f t="shared" si="5"/>
        <v>datatable[71] = new Array("72","62","Support Equipment","10","SEITPM.png");</v>
      </c>
    </row>
    <row r="81" spans="1:10" ht="14.25" customHeight="1">
      <c r="A81" s="49">
        <f t="shared" si="6"/>
        <v>73</v>
      </c>
      <c r="B81" s="49">
        <f>A$69</f>
        <v>61</v>
      </c>
      <c r="C81" s="49">
        <v>9</v>
      </c>
      <c r="D81" s="50" t="s">
        <v>205</v>
      </c>
      <c r="E81" s="50"/>
      <c r="F81" s="50" t="s">
        <v>95</v>
      </c>
      <c r="G81" s="28" t="s">
        <v>203</v>
      </c>
      <c r="J81" t="str">
        <f t="shared" si="5"/>
        <v>datatable[72] = new Array("73","61","Structures and Mechanisms Subsystem (SMS)","9","Widget.png");</v>
      </c>
    </row>
    <row r="82" spans="1:10" ht="14.25" customHeight="1">
      <c r="A82" s="49">
        <f t="shared" si="6"/>
        <v>74</v>
      </c>
      <c r="B82" s="49">
        <f>A$76</f>
        <v>68</v>
      </c>
      <c r="C82" s="49">
        <v>10</v>
      </c>
      <c r="D82" s="50" t="s">
        <v>206</v>
      </c>
      <c r="E82" s="50"/>
      <c r="F82" s="50" t="s">
        <v>97</v>
      </c>
      <c r="G82" s="28" t="s">
        <v>194</v>
      </c>
      <c r="J82" t="str">
        <f t="shared" si="5"/>
        <v>datatable[73] = new Array("74","68","Structures and Mechanisms Subsystem SEITPM","10","SEITPM.png");</v>
      </c>
    </row>
    <row r="83" spans="1:10" ht="14.25" customHeight="1">
      <c r="A83" s="49">
        <f t="shared" si="6"/>
        <v>75</v>
      </c>
      <c r="B83" s="49">
        <f>A$77</f>
        <v>69</v>
      </c>
      <c r="C83" s="49">
        <v>11</v>
      </c>
      <c r="D83" s="50" t="s">
        <v>195</v>
      </c>
      <c r="E83" s="50"/>
      <c r="F83" s="50" t="s">
        <v>99</v>
      </c>
      <c r="G83" s="28" t="s">
        <v>194</v>
      </c>
      <c r="J83" t="str">
        <f t="shared" si="5"/>
        <v>datatable[74] = new Array("75","69","Project Management","11","SEITPM.png");</v>
      </c>
    </row>
    <row r="84" spans="1:10" ht="14.25" customHeight="1">
      <c r="A84" s="49">
        <f t="shared" si="6"/>
        <v>76</v>
      </c>
      <c r="B84" s="49">
        <f>A$77</f>
        <v>69</v>
      </c>
      <c r="C84" s="49">
        <v>11</v>
      </c>
      <c r="D84" s="50" t="s">
        <v>196</v>
      </c>
      <c r="E84" s="50"/>
      <c r="F84" s="50" t="s">
        <v>99</v>
      </c>
      <c r="G84" s="28" t="s">
        <v>194</v>
      </c>
      <c r="J84" t="str">
        <f t="shared" si="5"/>
        <v>datatable[75] = new Array("76","69","Systems Engineering","11","SEITPM.png");</v>
      </c>
    </row>
    <row r="85" spans="1:10" ht="14.25" customHeight="1">
      <c r="A85" s="49">
        <f t="shared" si="6"/>
        <v>77</v>
      </c>
      <c r="B85" s="49">
        <f>A$77</f>
        <v>69</v>
      </c>
      <c r="C85" s="49">
        <v>11</v>
      </c>
      <c r="D85" s="50" t="s">
        <v>197</v>
      </c>
      <c r="E85" s="50"/>
      <c r="F85" s="50" t="s">
        <v>99</v>
      </c>
      <c r="G85" s="28" t="s">
        <v>194</v>
      </c>
      <c r="J85" t="str">
        <f t="shared" si="5"/>
        <v>datatable[76] = new Array("77","69","Mission Assurance","11","SEITPM.png");</v>
      </c>
    </row>
    <row r="86" spans="1:10" ht="14.25" customHeight="1">
      <c r="A86" s="49">
        <f t="shared" si="6"/>
        <v>78</v>
      </c>
      <c r="B86" s="49">
        <f>A$77</f>
        <v>69</v>
      </c>
      <c r="C86" s="49">
        <v>11</v>
      </c>
      <c r="D86" s="50" t="s">
        <v>198</v>
      </c>
      <c r="E86" s="50"/>
      <c r="F86" s="50" t="s">
        <v>99</v>
      </c>
      <c r="G86" s="28" t="s">
        <v>194</v>
      </c>
      <c r="J86" t="str">
        <f t="shared" si="5"/>
        <v>datatable[77] = new Array("78","69","Assembly, Integration and Testing","11","SEITPM.png");</v>
      </c>
    </row>
    <row r="87" spans="1:10" ht="14.25" customHeight="1">
      <c r="A87" s="49">
        <f t="shared" si="6"/>
        <v>79</v>
      </c>
      <c r="B87" s="49">
        <f>A$77</f>
        <v>69</v>
      </c>
      <c r="C87" s="49">
        <v>11</v>
      </c>
      <c r="D87" s="50" t="s">
        <v>199</v>
      </c>
      <c r="E87" s="50"/>
      <c r="F87" s="50" t="s">
        <v>99</v>
      </c>
      <c r="G87" s="28" t="s">
        <v>194</v>
      </c>
      <c r="J87" t="str">
        <f t="shared" si="5"/>
        <v>datatable[78] = new Array("79","69","Support Equipment","11","SEITPM.png");</v>
      </c>
    </row>
    <row r="88" spans="1:10" ht="14.25" customHeight="1">
      <c r="A88" s="49">
        <f t="shared" si="6"/>
        <v>80</v>
      </c>
      <c r="B88" s="49">
        <f>A$76</f>
        <v>68</v>
      </c>
      <c r="C88" s="49">
        <v>10</v>
      </c>
      <c r="D88" s="50" t="s">
        <v>207</v>
      </c>
      <c r="E88" s="50"/>
      <c r="F88" s="50" t="s">
        <v>97</v>
      </c>
      <c r="G88" s="28" t="s">
        <v>203</v>
      </c>
      <c r="J88" t="str">
        <f t="shared" si="5"/>
        <v>datatable[79] = new Array("80","68","Primary Structures","10","Widget.png");</v>
      </c>
    </row>
    <row r="89" spans="1:10" ht="14.25" customHeight="1">
      <c r="A89" s="49">
        <f t="shared" si="6"/>
        <v>81</v>
      </c>
      <c r="B89" s="49">
        <f>A$83</f>
        <v>75</v>
      </c>
      <c r="C89" s="49">
        <v>11</v>
      </c>
      <c r="D89" s="50" t="s">
        <v>208</v>
      </c>
      <c r="E89" s="50"/>
      <c r="F89" s="50" t="s">
        <v>99</v>
      </c>
      <c r="G89" s="28" t="s">
        <v>203</v>
      </c>
      <c r="J89" t="str">
        <f t="shared" si="5"/>
        <v>datatable[80] = new Array("81","75","Load Carrying Shell/Truss","11","Widget.png");</v>
      </c>
    </row>
    <row r="90" spans="1:10" ht="14.25" customHeight="1">
      <c r="A90" s="49">
        <f t="shared" si="6"/>
        <v>82</v>
      </c>
      <c r="B90" s="49">
        <f>A$83</f>
        <v>75</v>
      </c>
      <c r="C90" s="49">
        <v>11</v>
      </c>
      <c r="D90" s="50" t="s">
        <v>209</v>
      </c>
      <c r="E90" s="50"/>
      <c r="F90" s="50" t="s">
        <v>99</v>
      </c>
      <c r="G90" s="28" t="s">
        <v>203</v>
      </c>
      <c r="J90" t="str">
        <f t="shared" si="5"/>
        <v>datatable[81] = new Array("82","75","Equipment Compartments","11","Widget.png");</v>
      </c>
    </row>
    <row r="91" spans="1:10" ht="14.25" customHeight="1">
      <c r="A91" s="49">
        <f t="shared" si="6"/>
        <v>83</v>
      </c>
      <c r="B91" s="49">
        <f>A$83</f>
        <v>75</v>
      </c>
      <c r="C91" s="49">
        <v>11</v>
      </c>
      <c r="D91" s="50" t="s">
        <v>210</v>
      </c>
      <c r="E91" s="50"/>
      <c r="F91" s="50" t="s">
        <v>99</v>
      </c>
      <c r="G91" s="28" t="s">
        <v>203</v>
      </c>
      <c r="J91" t="str">
        <f t="shared" si="5"/>
        <v>datatable[82] = new Array("83","75","Booms","11","Widget.png");</v>
      </c>
    </row>
    <row r="92" spans="1:10" ht="14.25" customHeight="1">
      <c r="A92" s="49">
        <f t="shared" si="6"/>
        <v>84</v>
      </c>
      <c r="B92" s="49">
        <f>A$83</f>
        <v>75</v>
      </c>
      <c r="C92" s="49">
        <v>11</v>
      </c>
      <c r="D92" s="50" t="s">
        <v>211</v>
      </c>
      <c r="E92" s="50"/>
      <c r="F92" s="50" t="s">
        <v>99</v>
      </c>
      <c r="G92" s="28" t="s">
        <v>203</v>
      </c>
      <c r="J92" t="str">
        <f t="shared" si="5"/>
        <v>datatable[83] = new Array("84","75","Adapters","11","Widget.png");</v>
      </c>
    </row>
    <row r="93" spans="1:10" ht="14.25" customHeight="1">
      <c r="A93" s="49">
        <f t="shared" si="6"/>
        <v>85</v>
      </c>
      <c r="B93" s="49">
        <f>A$83</f>
        <v>75</v>
      </c>
      <c r="C93" s="49">
        <v>11</v>
      </c>
      <c r="D93" s="50" t="s">
        <v>212</v>
      </c>
      <c r="E93" s="50"/>
      <c r="F93" s="50" t="s">
        <v>99</v>
      </c>
      <c r="G93" s="28" t="s">
        <v>203</v>
      </c>
      <c r="J93" t="str">
        <f t="shared" si="5"/>
        <v>datatable[84] = new Array("85","75","Other Structures (Specify)","11","Widget.png");</v>
      </c>
    </row>
    <row r="94" spans="1:10" ht="14.25" customHeight="1">
      <c r="A94" s="49">
        <f t="shared" si="6"/>
        <v>86</v>
      </c>
      <c r="B94" s="49">
        <f>A$76</f>
        <v>68</v>
      </c>
      <c r="C94" s="49">
        <v>10</v>
      </c>
      <c r="D94" s="50" t="s">
        <v>213</v>
      </c>
      <c r="E94" s="50"/>
      <c r="F94" s="50" t="s">
        <v>97</v>
      </c>
      <c r="G94" s="28" t="s">
        <v>203</v>
      </c>
      <c r="J94" t="str">
        <f t="shared" si="5"/>
        <v>datatable[85] = new Array("86","68","Secondary Structures","10","Widget.png");</v>
      </c>
    </row>
    <row r="95" spans="1:10" ht="14.25" customHeight="1">
      <c r="A95" s="49">
        <f t="shared" si="6"/>
        <v>87</v>
      </c>
      <c r="B95" s="49">
        <f>A$89</f>
        <v>81</v>
      </c>
      <c r="C95" s="49">
        <v>11</v>
      </c>
      <c r="D95" s="50" t="s">
        <v>214</v>
      </c>
      <c r="E95" s="50"/>
      <c r="F95" s="50" t="s">
        <v>99</v>
      </c>
      <c r="G95" s="28" t="s">
        <v>203</v>
      </c>
      <c r="J95" t="str">
        <f t="shared" si="5"/>
        <v>datatable[86] = new Array("87","81","Equipment (Instrument) Mountings","11","Widget.png");</v>
      </c>
    </row>
    <row r="96" spans="1:10" ht="14.25" customHeight="1">
      <c r="A96" s="49">
        <f t="shared" si="6"/>
        <v>88</v>
      </c>
      <c r="B96" s="49">
        <f>A$89</f>
        <v>81</v>
      </c>
      <c r="C96" s="49">
        <v>11</v>
      </c>
      <c r="D96" s="50" t="s">
        <v>215</v>
      </c>
      <c r="E96" s="50"/>
      <c r="F96" s="50" t="s">
        <v>99</v>
      </c>
      <c r="G96" s="28" t="s">
        <v>203</v>
      </c>
      <c r="J96" t="str">
        <f t="shared" si="5"/>
        <v>datatable[87] = new Array("88","81","Ballast Mass","11","Widget.png");</v>
      </c>
    </row>
    <row r="97" spans="1:10" ht="14.25" customHeight="1">
      <c r="A97" s="49">
        <f t="shared" si="6"/>
        <v>89</v>
      </c>
      <c r="B97" s="49">
        <f>A$89</f>
        <v>81</v>
      </c>
      <c r="C97" s="49">
        <v>11</v>
      </c>
      <c r="D97" s="50" t="s">
        <v>216</v>
      </c>
      <c r="E97" s="50"/>
      <c r="F97" s="50" t="s">
        <v>99</v>
      </c>
      <c r="G97" s="28" t="s">
        <v>203</v>
      </c>
      <c r="J97" t="str">
        <f t="shared" si="5"/>
        <v>datatable[88] = new Array("89","81","Other Secondary Structures (Specify)","11","Widget.png");</v>
      </c>
    </row>
    <row r="98" spans="1:10" ht="14.25" customHeight="1">
      <c r="A98" s="49">
        <f t="shared" si="6"/>
        <v>90</v>
      </c>
      <c r="B98" s="49">
        <f>A$76</f>
        <v>68</v>
      </c>
      <c r="C98" s="49">
        <v>10</v>
      </c>
      <c r="D98" s="50" t="s">
        <v>217</v>
      </c>
      <c r="E98" s="50"/>
      <c r="F98" s="50" t="s">
        <v>97</v>
      </c>
      <c r="G98" s="28" t="s">
        <v>203</v>
      </c>
      <c r="J98" t="str">
        <f t="shared" si="5"/>
        <v>datatable[89] = new Array("90","68","Mechanisms and Pyrotechnics","10","Widget.png");</v>
      </c>
    </row>
    <row r="99" spans="1:10" ht="14.25" customHeight="1">
      <c r="A99" s="49">
        <f t="shared" si="6"/>
        <v>91</v>
      </c>
      <c r="B99" s="49">
        <f>A$93</f>
        <v>85</v>
      </c>
      <c r="C99" s="49">
        <v>11</v>
      </c>
      <c r="D99" s="50" t="s">
        <v>218</v>
      </c>
      <c r="E99" s="50"/>
      <c r="F99" s="50" t="s">
        <v>99</v>
      </c>
      <c r="G99" s="28" t="s">
        <v>203</v>
      </c>
      <c r="J99" t="str">
        <f t="shared" si="5"/>
        <v>datatable[90] = new Array("91","85","Positioning","11","Widget.png");</v>
      </c>
    </row>
    <row r="100" spans="1:10" ht="14.25" customHeight="1">
      <c r="A100" s="49">
        <f t="shared" si="6"/>
        <v>92</v>
      </c>
      <c r="B100" s="49">
        <f>A$93</f>
        <v>85</v>
      </c>
      <c r="C100" s="49">
        <v>11</v>
      </c>
      <c r="D100" s="50" t="s">
        <v>219</v>
      </c>
      <c r="E100" s="50"/>
      <c r="F100" s="50" t="s">
        <v>99</v>
      </c>
      <c r="G100" s="28" t="s">
        <v>203</v>
      </c>
      <c r="J100" t="str">
        <f t="shared" si="5"/>
        <v>datatable[91] = new Array("92","85","Deployment and Storage Equipment","11","Widget.png");</v>
      </c>
    </row>
    <row r="101" spans="1:10" ht="14.25" customHeight="1">
      <c r="A101" s="49">
        <f t="shared" si="6"/>
        <v>93</v>
      </c>
      <c r="B101" s="49">
        <f>A$93</f>
        <v>85</v>
      </c>
      <c r="C101" s="49">
        <v>11</v>
      </c>
      <c r="D101" s="50" t="s">
        <v>220</v>
      </c>
      <c r="E101" s="50"/>
      <c r="F101" s="50" t="s">
        <v>99</v>
      </c>
      <c r="G101" s="28" t="s">
        <v>203</v>
      </c>
      <c r="J101" t="str">
        <f t="shared" si="5"/>
        <v>datatable[92] = new Array("93","85","Docking Mechanisms","11","Widget.png");</v>
      </c>
    </row>
    <row r="102" spans="1:10" ht="14.25" customHeight="1">
      <c r="A102" s="49">
        <f t="shared" si="6"/>
        <v>94</v>
      </c>
      <c r="B102" s="49">
        <f>A$93</f>
        <v>85</v>
      </c>
      <c r="C102" s="49">
        <v>11</v>
      </c>
      <c r="D102" s="50" t="s">
        <v>221</v>
      </c>
      <c r="E102" s="50"/>
      <c r="F102" s="50" t="s">
        <v>99</v>
      </c>
      <c r="G102" s="28" t="s">
        <v>203</v>
      </c>
      <c r="J102" t="str">
        <f t="shared" si="5"/>
        <v>datatable[93] = new Array("94","85","Other Mechanisms (Specify)","11","Widget.png");</v>
      </c>
    </row>
    <row r="103" spans="1:10" ht="14.25" customHeight="1">
      <c r="A103" s="49">
        <f t="shared" si="6"/>
        <v>95</v>
      </c>
      <c r="B103" s="49">
        <f>A$93</f>
        <v>85</v>
      </c>
      <c r="C103" s="49">
        <v>11</v>
      </c>
      <c r="D103" s="50" t="s">
        <v>222</v>
      </c>
      <c r="E103" s="50"/>
      <c r="F103" s="50" t="s">
        <v>99</v>
      </c>
      <c r="G103" s="28" t="s">
        <v>203</v>
      </c>
      <c r="J103" t="str">
        <f t="shared" si="5"/>
        <v>datatable[94] = new Array("95","85","Pyrotechnics","11","Widget.png");</v>
      </c>
    </row>
    <row r="104" spans="1:10" ht="14.25" customHeight="1">
      <c r="A104" s="49">
        <f t="shared" si="6"/>
        <v>96</v>
      </c>
      <c r="B104" s="49">
        <f>A$76</f>
        <v>68</v>
      </c>
      <c r="C104" s="49">
        <v>10</v>
      </c>
      <c r="D104" s="50" t="s">
        <v>223</v>
      </c>
      <c r="E104" s="50"/>
      <c r="F104" s="50" t="s">
        <v>97</v>
      </c>
      <c r="G104" s="28" t="s">
        <v>203</v>
      </c>
      <c r="J104" t="str">
        <f t="shared" si="5"/>
        <v>datatable[95] = new Array("96","68","SMS Other (Specify)","10","Widget.png");</v>
      </c>
    </row>
    <row r="105" spans="1:10" ht="14.25" customHeight="1">
      <c r="A105" s="49">
        <f t="shared" si="6"/>
        <v>97</v>
      </c>
      <c r="B105" s="49">
        <f>A$69</f>
        <v>61</v>
      </c>
      <c r="C105" s="49">
        <v>9</v>
      </c>
      <c r="D105" s="50" t="s">
        <v>224</v>
      </c>
      <c r="E105" s="50"/>
      <c r="F105" s="50" t="s">
        <v>95</v>
      </c>
      <c r="G105" s="28" t="s">
        <v>203</v>
      </c>
      <c r="J105" t="str">
        <f t="shared" si="5"/>
        <v>datatable[96] = new Array("97","61","Thermal Control Subsystem (TCS)","9","Widget.png");</v>
      </c>
    </row>
    <row r="106" spans="1:10" ht="14.25" customHeight="1">
      <c r="A106" s="49">
        <f t="shared" si="6"/>
        <v>98</v>
      </c>
      <c r="B106" s="49">
        <f>A$100</f>
        <v>92</v>
      </c>
      <c r="C106" s="49">
        <v>10</v>
      </c>
      <c r="D106" s="50" t="s">
        <v>225</v>
      </c>
      <c r="E106" s="50"/>
      <c r="F106" s="50" t="s">
        <v>97</v>
      </c>
      <c r="G106" s="28" t="s">
        <v>194</v>
      </c>
      <c r="J106" t="str">
        <f t="shared" si="5"/>
        <v>datatable[97] = new Array("98","92","Thermal Control Subsystem SEITPM","10","SEITPM.png");</v>
      </c>
    </row>
    <row r="107" spans="1:10" ht="14.25" customHeight="1">
      <c r="A107" s="49">
        <f t="shared" si="6"/>
        <v>99</v>
      </c>
      <c r="B107" s="49">
        <f>A$101</f>
        <v>93</v>
      </c>
      <c r="C107" s="49">
        <v>11</v>
      </c>
      <c r="D107" s="50" t="s">
        <v>195</v>
      </c>
      <c r="E107" s="50"/>
      <c r="F107" s="50" t="s">
        <v>99</v>
      </c>
      <c r="G107" s="28" t="s">
        <v>194</v>
      </c>
      <c r="J107" t="str">
        <f t="shared" si="5"/>
        <v>datatable[98] = new Array("99","93","Project Management","11","SEITPM.png");</v>
      </c>
    </row>
    <row r="108" spans="1:10" ht="14.25" customHeight="1">
      <c r="A108" s="49">
        <f t="shared" si="6"/>
        <v>100</v>
      </c>
      <c r="B108" s="49">
        <f>A$101</f>
        <v>93</v>
      </c>
      <c r="C108" s="49">
        <v>11</v>
      </c>
      <c r="D108" s="50" t="s">
        <v>196</v>
      </c>
      <c r="E108" s="50"/>
      <c r="F108" s="50" t="s">
        <v>99</v>
      </c>
      <c r="G108" s="28" t="s">
        <v>194</v>
      </c>
      <c r="J108" t="str">
        <f t="shared" si="5"/>
        <v>datatable[99] = new Array("100","93","Systems Engineering","11","SEITPM.png");</v>
      </c>
    </row>
    <row r="109" spans="1:10" ht="14.25" customHeight="1">
      <c r="A109" s="49">
        <f t="shared" si="6"/>
        <v>101</v>
      </c>
      <c r="B109" s="49">
        <f>A$101</f>
        <v>93</v>
      </c>
      <c r="C109" s="49">
        <v>11</v>
      </c>
      <c r="D109" s="50" t="s">
        <v>197</v>
      </c>
      <c r="E109" s="50"/>
      <c r="F109" s="50" t="s">
        <v>99</v>
      </c>
      <c r="G109" s="28" t="s">
        <v>194</v>
      </c>
      <c r="J109" t="str">
        <f t="shared" si="5"/>
        <v>datatable[100] = new Array("101","93","Mission Assurance","11","SEITPM.png");</v>
      </c>
    </row>
    <row r="110" spans="1:10" ht="14.25" customHeight="1">
      <c r="A110" s="49">
        <f t="shared" si="6"/>
        <v>102</v>
      </c>
      <c r="B110" s="49">
        <f>A$101</f>
        <v>93</v>
      </c>
      <c r="C110" s="49">
        <v>11</v>
      </c>
      <c r="D110" s="50" t="s">
        <v>198</v>
      </c>
      <c r="E110" s="50"/>
      <c r="F110" s="50" t="s">
        <v>99</v>
      </c>
      <c r="G110" s="28" t="s">
        <v>194</v>
      </c>
      <c r="J110" t="str">
        <f t="shared" si="5"/>
        <v>datatable[101] = new Array("102","93","Assembly, Integration and Testing","11","SEITPM.png");</v>
      </c>
    </row>
    <row r="111" spans="1:10" ht="14.25" customHeight="1">
      <c r="A111" s="49">
        <f t="shared" si="6"/>
        <v>103</v>
      </c>
      <c r="B111" s="49">
        <f>A$101</f>
        <v>93</v>
      </c>
      <c r="C111" s="49">
        <v>11</v>
      </c>
      <c r="D111" s="50" t="s">
        <v>199</v>
      </c>
      <c r="E111" s="50"/>
      <c r="F111" s="50" t="s">
        <v>99</v>
      </c>
      <c r="G111" s="28" t="s">
        <v>194</v>
      </c>
      <c r="J111" t="str">
        <f t="shared" si="5"/>
        <v>datatable[102] = new Array("103","93","Support Equipment","11","SEITPM.png");</v>
      </c>
    </row>
    <row r="112" spans="1:10" ht="14.25" customHeight="1">
      <c r="A112" s="49">
        <f t="shared" si="6"/>
        <v>104</v>
      </c>
      <c r="B112" s="49">
        <f>A$100</f>
        <v>92</v>
      </c>
      <c r="C112" s="49">
        <v>10</v>
      </c>
      <c r="D112" s="50" t="s">
        <v>226</v>
      </c>
      <c r="E112" s="50"/>
      <c r="F112" s="50" t="s">
        <v>97</v>
      </c>
      <c r="G112" s="28" t="s">
        <v>203</v>
      </c>
      <c r="J112" t="str">
        <f t="shared" si="5"/>
        <v>datatable[103] = new Array("104","92","Active Devices","10","Widget.png");</v>
      </c>
    </row>
    <row r="113" spans="1:10" ht="14.25" customHeight="1">
      <c r="A113" s="49">
        <f t="shared" si="6"/>
        <v>105</v>
      </c>
      <c r="B113" s="49">
        <f>A$107</f>
        <v>99</v>
      </c>
      <c r="C113" s="49">
        <v>11</v>
      </c>
      <c r="D113" s="50" t="s">
        <v>227</v>
      </c>
      <c r="E113" s="50"/>
      <c r="F113" s="50" t="s">
        <v>99</v>
      </c>
      <c r="G113" s="28" t="s">
        <v>203</v>
      </c>
      <c r="J113" t="str">
        <f t="shared" si="5"/>
        <v>datatable[104] = new Array("105","99","Cryogenic Devices","11","Widget.png");</v>
      </c>
    </row>
    <row r="114" spans="1:10" ht="14.25" customHeight="1">
      <c r="A114" s="49">
        <f t="shared" si="6"/>
        <v>106</v>
      </c>
      <c r="B114" s="49">
        <f>A$107</f>
        <v>99</v>
      </c>
      <c r="C114" s="49">
        <v>11</v>
      </c>
      <c r="D114" s="50" t="s">
        <v>228</v>
      </c>
      <c r="E114" s="50"/>
      <c r="F114" s="50" t="s">
        <v>99</v>
      </c>
      <c r="G114" s="28" t="s">
        <v>203</v>
      </c>
      <c r="J114" t="str">
        <f t="shared" si="5"/>
        <v>datatable[105] = new Array("106","99","Liquid Loops","11","Widget.png");</v>
      </c>
    </row>
    <row r="115" spans="1:10" ht="14.25" customHeight="1">
      <c r="A115" s="49">
        <f t="shared" si="6"/>
        <v>107</v>
      </c>
      <c r="B115" s="49">
        <f>A$107</f>
        <v>99</v>
      </c>
      <c r="C115" s="49">
        <v>11</v>
      </c>
      <c r="D115" s="50" t="s">
        <v>229</v>
      </c>
      <c r="E115" s="50"/>
      <c r="F115" s="50" t="s">
        <v>99</v>
      </c>
      <c r="G115" s="28" t="s">
        <v>203</v>
      </c>
      <c r="J115" t="str">
        <f t="shared" si="5"/>
        <v>datatable[106] = new Array("107","99","Electric Coolers","11","Widget.png");</v>
      </c>
    </row>
    <row r="116" spans="1:10" ht="14.25" customHeight="1">
      <c r="A116" s="49">
        <f t="shared" si="6"/>
        <v>108</v>
      </c>
      <c r="B116" s="49">
        <f>A$107</f>
        <v>99</v>
      </c>
      <c r="C116" s="49">
        <v>11</v>
      </c>
      <c r="D116" s="50" t="s">
        <v>230</v>
      </c>
      <c r="E116" s="50"/>
      <c r="F116" s="50" t="s">
        <v>99</v>
      </c>
      <c r="G116" s="28" t="s">
        <v>203</v>
      </c>
      <c r="J116" t="str">
        <f t="shared" si="5"/>
        <v>datatable[107] = new Array("108","99","Heaters, Thermistors, and Thermostats","11","Widget.png");</v>
      </c>
    </row>
    <row r="117" spans="1:10" ht="14.25" customHeight="1">
      <c r="A117" s="49">
        <f t="shared" si="6"/>
        <v>109</v>
      </c>
      <c r="B117" s="49">
        <f>A$107</f>
        <v>99</v>
      </c>
      <c r="C117" s="49">
        <v>11</v>
      </c>
      <c r="D117" s="50" t="s">
        <v>231</v>
      </c>
      <c r="E117" s="50"/>
      <c r="F117" s="50" t="s">
        <v>99</v>
      </c>
      <c r="G117" s="28" t="s">
        <v>203</v>
      </c>
      <c r="J117" t="str">
        <f t="shared" si="5"/>
        <v>datatable[108] = new Array("109","99","Other Active Devices (Specify)","11","Widget.png");</v>
      </c>
    </row>
    <row r="118" spans="1:10" ht="14.25" customHeight="1">
      <c r="A118" s="49">
        <f t="shared" si="6"/>
        <v>110</v>
      </c>
      <c r="B118" s="49">
        <f>A$100</f>
        <v>92</v>
      </c>
      <c r="C118" s="49">
        <v>10</v>
      </c>
      <c r="D118" s="50" t="s">
        <v>232</v>
      </c>
      <c r="E118" s="50"/>
      <c r="F118" s="50" t="s">
        <v>97</v>
      </c>
      <c r="G118" s="28" t="s">
        <v>203</v>
      </c>
      <c r="J118" t="str">
        <f t="shared" si="5"/>
        <v>datatable[109] = new Array("110","92","Passive Devices","10","Widget.png");</v>
      </c>
    </row>
    <row r="119" spans="1:10" ht="14.25" customHeight="1">
      <c r="A119" s="49">
        <f t="shared" si="6"/>
        <v>111</v>
      </c>
      <c r="B119" s="49">
        <f t="shared" ref="B119:B128" si="7">A$113</f>
        <v>105</v>
      </c>
      <c r="C119" s="49">
        <v>11</v>
      </c>
      <c r="D119" s="50" t="s">
        <v>233</v>
      </c>
      <c r="E119" s="50"/>
      <c r="F119" s="50" t="s">
        <v>99</v>
      </c>
      <c r="G119" s="28" t="s">
        <v>203</v>
      </c>
      <c r="J119" t="str">
        <f t="shared" si="5"/>
        <v>datatable[110] = new Array("111","105","Radiator Panel/Fins","11","Widget.png");</v>
      </c>
    </row>
    <row r="120" spans="1:10" ht="14.25" customHeight="1">
      <c r="A120" s="49">
        <f t="shared" si="6"/>
        <v>112</v>
      </c>
      <c r="B120" s="49">
        <f t="shared" si="7"/>
        <v>105</v>
      </c>
      <c r="C120" s="49">
        <v>11</v>
      </c>
      <c r="D120" s="50" t="s">
        <v>234</v>
      </c>
      <c r="E120" s="50"/>
      <c r="F120" s="50" t="s">
        <v>99</v>
      </c>
      <c r="G120" s="28" t="s">
        <v>203</v>
      </c>
      <c r="J120" t="str">
        <f t="shared" si="5"/>
        <v>datatable[111] = new Array("112","105","Coatings","11","Widget.png");</v>
      </c>
    </row>
    <row r="121" spans="1:10" ht="14.25" customHeight="1">
      <c r="A121" s="49">
        <f t="shared" si="6"/>
        <v>113</v>
      </c>
      <c r="B121" s="49">
        <f t="shared" si="7"/>
        <v>105</v>
      </c>
      <c r="C121" s="49">
        <v>11</v>
      </c>
      <c r="D121" s="50" t="s">
        <v>235</v>
      </c>
      <c r="E121" s="50"/>
      <c r="F121" s="50" t="s">
        <v>99</v>
      </c>
      <c r="G121" s="28" t="s">
        <v>203</v>
      </c>
      <c r="J121" t="str">
        <f t="shared" si="5"/>
        <v>datatable[112] = new Array("113","105","Heat Pipes","11","Widget.png");</v>
      </c>
    </row>
    <row r="122" spans="1:10" ht="14.25" customHeight="1">
      <c r="A122" s="49">
        <f t="shared" si="6"/>
        <v>114</v>
      </c>
      <c r="B122" s="49">
        <f t="shared" si="7"/>
        <v>105</v>
      </c>
      <c r="C122" s="49">
        <v>11</v>
      </c>
      <c r="D122" s="50" t="s">
        <v>236</v>
      </c>
      <c r="E122" s="50"/>
      <c r="F122" s="50" t="s">
        <v>99</v>
      </c>
      <c r="G122" s="28" t="s">
        <v>203</v>
      </c>
      <c r="J122" t="str">
        <f t="shared" si="5"/>
        <v>datatable[113] = new Array("114","105","Insulation","11","Widget.png");</v>
      </c>
    </row>
    <row r="123" spans="1:10" ht="14.25" customHeight="1">
      <c r="A123" s="49">
        <f t="shared" si="6"/>
        <v>115</v>
      </c>
      <c r="B123" s="49">
        <f t="shared" si="7"/>
        <v>105</v>
      </c>
      <c r="C123" s="49">
        <v>11</v>
      </c>
      <c r="D123" s="50" t="s">
        <v>237</v>
      </c>
      <c r="E123" s="50"/>
      <c r="F123" s="50" t="s">
        <v>99</v>
      </c>
      <c r="G123" s="28" t="s">
        <v>203</v>
      </c>
      <c r="J123" t="str">
        <f t="shared" si="5"/>
        <v>datatable[114] = new Array("115","105","Conductive Structures","11","Widget.png");</v>
      </c>
    </row>
    <row r="124" spans="1:10" ht="14.25" customHeight="1">
      <c r="A124" s="49">
        <f t="shared" si="6"/>
        <v>116</v>
      </c>
      <c r="B124" s="49">
        <f t="shared" si="7"/>
        <v>105</v>
      </c>
      <c r="C124" s="49">
        <v>11</v>
      </c>
      <c r="D124" s="50" t="s">
        <v>238</v>
      </c>
      <c r="E124" s="50"/>
      <c r="F124" s="50" t="s">
        <v>99</v>
      </c>
      <c r="G124" s="28" t="s">
        <v>203</v>
      </c>
      <c r="J124" t="str">
        <f t="shared" si="5"/>
        <v>datatable[115] = new Array("116","105","Heat Activated Structures","11","Widget.png");</v>
      </c>
    </row>
    <row r="125" spans="1:10" ht="14.25" customHeight="1">
      <c r="A125" s="49">
        <f t="shared" si="6"/>
        <v>117</v>
      </c>
      <c r="B125" s="49">
        <f t="shared" si="7"/>
        <v>105</v>
      </c>
      <c r="C125" s="49">
        <v>11</v>
      </c>
      <c r="D125" s="50" t="s">
        <v>239</v>
      </c>
      <c r="E125" s="50"/>
      <c r="F125" s="50" t="s">
        <v>99</v>
      </c>
      <c r="G125" s="28" t="s">
        <v>203</v>
      </c>
      <c r="J125" t="str">
        <f t="shared" si="5"/>
        <v>datatable[116] = new Array("117","105","Sun Shields","11","Widget.png");</v>
      </c>
    </row>
    <row r="126" spans="1:10" ht="14.25" customHeight="1">
      <c r="A126" s="49">
        <f t="shared" si="6"/>
        <v>118</v>
      </c>
      <c r="B126" s="49">
        <f t="shared" si="7"/>
        <v>105</v>
      </c>
      <c r="C126" s="49">
        <v>11</v>
      </c>
      <c r="D126" s="50" t="s">
        <v>240</v>
      </c>
      <c r="E126" s="50"/>
      <c r="F126" s="50" t="s">
        <v>99</v>
      </c>
      <c r="G126" s="28" t="s">
        <v>203</v>
      </c>
      <c r="J126" t="str">
        <f t="shared" si="5"/>
        <v>datatable[117] = new Array("118","105","Second Surface Mirrors","11","Widget.png");</v>
      </c>
    </row>
    <row r="127" spans="1:10" ht="14.25" customHeight="1">
      <c r="A127" s="49">
        <f t="shared" si="6"/>
        <v>119</v>
      </c>
      <c r="B127" s="49">
        <f t="shared" si="7"/>
        <v>105</v>
      </c>
      <c r="C127" s="49">
        <v>11</v>
      </c>
      <c r="D127" s="50" t="s">
        <v>241</v>
      </c>
      <c r="E127" s="50"/>
      <c r="F127" s="50" t="s">
        <v>99</v>
      </c>
      <c r="G127" s="28" t="s">
        <v>203</v>
      </c>
      <c r="J127" t="str">
        <f t="shared" si="5"/>
        <v>datatable[118] = new Array("119","105","Shutters and Louvers","11","Widget.png");</v>
      </c>
    </row>
    <row r="128" spans="1:10" ht="14.25" customHeight="1">
      <c r="A128" s="49">
        <f t="shared" si="6"/>
        <v>120</v>
      </c>
      <c r="B128" s="49">
        <f t="shared" si="7"/>
        <v>105</v>
      </c>
      <c r="C128" s="49">
        <v>11</v>
      </c>
      <c r="D128" s="50" t="s">
        <v>242</v>
      </c>
      <c r="E128" s="50"/>
      <c r="F128" s="50" t="s">
        <v>99</v>
      </c>
      <c r="G128" s="28" t="s">
        <v>203</v>
      </c>
      <c r="J128" t="str">
        <f t="shared" si="5"/>
        <v>datatable[119] = new Array("120","105","Other Passive Devices (Specify)","11","Widget.png");</v>
      </c>
    </row>
    <row r="129" spans="1:10" ht="14.25" customHeight="1">
      <c r="A129" s="49">
        <f t="shared" si="6"/>
        <v>121</v>
      </c>
      <c r="B129" s="49">
        <f>A$100</f>
        <v>92</v>
      </c>
      <c r="C129" s="49">
        <v>10</v>
      </c>
      <c r="D129" s="50" t="s">
        <v>243</v>
      </c>
      <c r="E129" s="50"/>
      <c r="F129" s="50" t="s">
        <v>97</v>
      </c>
      <c r="G129" s="28" t="s">
        <v>203</v>
      </c>
      <c r="J129" t="str">
        <f t="shared" si="5"/>
        <v>datatable[120] = new Array("121","92","TCS Other (Specify)","10","Widget.png");</v>
      </c>
    </row>
    <row r="130" spans="1:10" ht="14.25" customHeight="1">
      <c r="A130" s="49">
        <f t="shared" si="6"/>
        <v>122</v>
      </c>
      <c r="B130" s="49">
        <f>A$69</f>
        <v>61</v>
      </c>
      <c r="C130" s="49">
        <v>9</v>
      </c>
      <c r="D130" s="50" t="s">
        <v>244</v>
      </c>
      <c r="E130" s="50"/>
      <c r="F130" s="50" t="s">
        <v>95</v>
      </c>
      <c r="G130" s="28" t="s">
        <v>203</v>
      </c>
      <c r="J130" t="str">
        <f t="shared" si="5"/>
        <v>datatable[121] = new Array("122","61","Electric Power Subsystem (EPS)","9","Widget.png");</v>
      </c>
    </row>
    <row r="131" spans="1:10" ht="14.25" customHeight="1">
      <c r="A131" s="49">
        <f t="shared" si="6"/>
        <v>123</v>
      </c>
      <c r="B131" s="49">
        <f>A$125</f>
        <v>117</v>
      </c>
      <c r="C131" s="49">
        <v>10</v>
      </c>
      <c r="D131" s="50" t="s">
        <v>245</v>
      </c>
      <c r="E131" s="50"/>
      <c r="F131" s="50" t="s">
        <v>97</v>
      </c>
      <c r="G131" s="28" t="s">
        <v>194</v>
      </c>
      <c r="J131" t="str">
        <f t="shared" si="5"/>
        <v>datatable[122] = new Array("123","117","Electric Power Subsystem SEITPM","10","SEITPM.png");</v>
      </c>
    </row>
    <row r="132" spans="1:10" ht="14.25" customHeight="1">
      <c r="A132" s="49">
        <f t="shared" si="6"/>
        <v>124</v>
      </c>
      <c r="B132" s="49">
        <f>A$126</f>
        <v>118</v>
      </c>
      <c r="C132" s="49">
        <v>11</v>
      </c>
      <c r="D132" s="50" t="s">
        <v>195</v>
      </c>
      <c r="E132" s="50"/>
      <c r="F132" s="50" t="s">
        <v>99</v>
      </c>
      <c r="G132" s="28" t="s">
        <v>194</v>
      </c>
      <c r="J132" t="str">
        <f t="shared" si="5"/>
        <v>datatable[123] = new Array("124","118","Project Management","11","SEITPM.png");</v>
      </c>
    </row>
    <row r="133" spans="1:10" ht="14.25" customHeight="1">
      <c r="A133" s="49">
        <f t="shared" si="6"/>
        <v>125</v>
      </c>
      <c r="B133" s="49">
        <f>A$126</f>
        <v>118</v>
      </c>
      <c r="C133" s="49">
        <v>11</v>
      </c>
      <c r="D133" s="50" t="s">
        <v>196</v>
      </c>
      <c r="E133" s="50"/>
      <c r="F133" s="50" t="s">
        <v>99</v>
      </c>
      <c r="G133" s="28" t="s">
        <v>194</v>
      </c>
      <c r="J133" t="str">
        <f t="shared" si="5"/>
        <v>datatable[124] = new Array("125","118","Systems Engineering","11","SEITPM.png");</v>
      </c>
    </row>
    <row r="134" spans="1:10" ht="14.25" customHeight="1">
      <c r="A134" s="49">
        <f t="shared" si="6"/>
        <v>126</v>
      </c>
      <c r="B134" s="49">
        <f>A$126</f>
        <v>118</v>
      </c>
      <c r="C134" s="49">
        <v>11</v>
      </c>
      <c r="D134" s="50" t="s">
        <v>197</v>
      </c>
      <c r="E134" s="50"/>
      <c r="F134" s="50" t="s">
        <v>99</v>
      </c>
      <c r="G134" s="28" t="s">
        <v>194</v>
      </c>
      <c r="J134" t="str">
        <f t="shared" si="5"/>
        <v>datatable[125] = new Array("126","118","Mission Assurance","11","SEITPM.png");</v>
      </c>
    </row>
    <row r="135" spans="1:10" ht="14.25" customHeight="1">
      <c r="A135" s="49">
        <f t="shared" si="6"/>
        <v>127</v>
      </c>
      <c r="B135" s="49">
        <f>A$126</f>
        <v>118</v>
      </c>
      <c r="C135" s="49">
        <v>11</v>
      </c>
      <c r="D135" s="50" t="s">
        <v>198</v>
      </c>
      <c r="E135" s="50"/>
      <c r="F135" s="50" t="s">
        <v>99</v>
      </c>
      <c r="G135" s="28" t="s">
        <v>194</v>
      </c>
      <c r="J135" t="str">
        <f t="shared" si="5"/>
        <v>datatable[126] = new Array("127","118","Assembly, Integration and Testing","11","SEITPM.png");</v>
      </c>
    </row>
    <row r="136" spans="1:10" ht="14.25" customHeight="1">
      <c r="A136" s="49">
        <f t="shared" si="6"/>
        <v>128</v>
      </c>
      <c r="B136" s="49">
        <f>A$126</f>
        <v>118</v>
      </c>
      <c r="C136" s="49">
        <v>11</v>
      </c>
      <c r="D136" s="50" t="s">
        <v>199</v>
      </c>
      <c r="E136" s="50"/>
      <c r="F136" s="50" t="s">
        <v>99</v>
      </c>
      <c r="G136" s="28" t="s">
        <v>194</v>
      </c>
      <c r="J136" t="str">
        <f t="shared" si="5"/>
        <v>datatable[127] = new Array("128","118","Support Equipment","11","SEITPM.png");</v>
      </c>
    </row>
    <row r="137" spans="1:10" ht="14.25" customHeight="1">
      <c r="A137" s="49">
        <f t="shared" si="6"/>
        <v>129</v>
      </c>
      <c r="B137" s="49">
        <f>A$125</f>
        <v>117</v>
      </c>
      <c r="C137" s="49">
        <v>10</v>
      </c>
      <c r="D137" s="50" t="s">
        <v>246</v>
      </c>
      <c r="E137" s="50"/>
      <c r="F137" s="50" t="s">
        <v>97</v>
      </c>
      <c r="G137" s="28" t="s">
        <v>203</v>
      </c>
      <c r="J137" t="str">
        <f t="shared" ref="J137:J200" si="8">"datatable["&amp;A137-1&amp;"] = new Array(""" &amp; A137 &amp;""",""" &amp; B137 &amp;""",""" &amp; D137 &amp; """,""" &amp; C137&amp;""","""&amp;""&amp;G137&amp;""");"</f>
        <v>datatable[128] = new Array("129","117","Electrical Power Generation","10","Widget.png");</v>
      </c>
    </row>
    <row r="138" spans="1:10" ht="14.25" customHeight="1">
      <c r="A138" s="49">
        <f t="shared" si="6"/>
        <v>130</v>
      </c>
      <c r="B138" s="49">
        <f t="shared" ref="B138:B143" si="9">A$132</f>
        <v>124</v>
      </c>
      <c r="C138" s="49">
        <v>11</v>
      </c>
      <c r="D138" s="50" t="s">
        <v>247</v>
      </c>
      <c r="E138" s="50"/>
      <c r="F138" s="50" t="s">
        <v>99</v>
      </c>
      <c r="G138" s="28" t="s">
        <v>203</v>
      </c>
      <c r="J138" t="str">
        <f t="shared" si="8"/>
        <v>datatable[129] = new Array("130","124","Solar Array","11","Widget.png");</v>
      </c>
    </row>
    <row r="139" spans="1:10" ht="14.25" customHeight="1">
      <c r="A139" s="49">
        <f t="shared" ref="A139:A202" si="10">A138+1</f>
        <v>131</v>
      </c>
      <c r="B139" s="49">
        <f t="shared" si="9"/>
        <v>124</v>
      </c>
      <c r="C139" s="49">
        <v>11</v>
      </c>
      <c r="D139" s="50" t="s">
        <v>248</v>
      </c>
      <c r="E139" s="50"/>
      <c r="F139" s="50" t="s">
        <v>99</v>
      </c>
      <c r="G139" s="28" t="s">
        <v>203</v>
      </c>
      <c r="J139" t="str">
        <f t="shared" si="8"/>
        <v>datatable[130] = new Array("131","124","Solar Array Positioner","11","Widget.png");</v>
      </c>
    </row>
    <row r="140" spans="1:10" ht="14.25" customHeight="1">
      <c r="A140" s="49">
        <f t="shared" si="10"/>
        <v>132</v>
      </c>
      <c r="B140" s="49">
        <f t="shared" si="9"/>
        <v>124</v>
      </c>
      <c r="C140" s="49">
        <v>11</v>
      </c>
      <c r="D140" s="50" t="s">
        <v>249</v>
      </c>
      <c r="E140" s="50"/>
      <c r="F140" s="50" t="s">
        <v>99</v>
      </c>
      <c r="G140" s="28" t="s">
        <v>203</v>
      </c>
      <c r="J140" t="str">
        <f t="shared" si="8"/>
        <v>datatable[131] = new Array("132","124","Radioisotope Thermionic Generator","11","Widget.png");</v>
      </c>
    </row>
    <row r="141" spans="1:10" ht="14.25" customHeight="1">
      <c r="A141" s="49">
        <f t="shared" si="10"/>
        <v>133</v>
      </c>
      <c r="B141" s="49">
        <f t="shared" si="9"/>
        <v>124</v>
      </c>
      <c r="C141" s="49">
        <v>11</v>
      </c>
      <c r="D141" s="50" t="s">
        <v>250</v>
      </c>
      <c r="E141" s="50"/>
      <c r="F141" s="50" t="s">
        <v>99</v>
      </c>
      <c r="G141" s="28" t="s">
        <v>203</v>
      </c>
      <c r="J141" t="str">
        <f t="shared" si="8"/>
        <v>datatable[132] = new Array("133","124","Chemical (Fuel Cells)","11","Widget.png");</v>
      </c>
    </row>
    <row r="142" spans="1:10" ht="14.25" customHeight="1">
      <c r="A142" s="49">
        <f t="shared" si="10"/>
        <v>134</v>
      </c>
      <c r="B142" s="49">
        <f t="shared" si="9"/>
        <v>124</v>
      </c>
      <c r="C142" s="49">
        <v>11</v>
      </c>
      <c r="D142" s="50" t="s">
        <v>251</v>
      </c>
      <c r="E142" s="50"/>
      <c r="F142" s="50" t="s">
        <v>99</v>
      </c>
      <c r="G142" s="28" t="s">
        <v>203</v>
      </c>
      <c r="J142" t="str">
        <f t="shared" si="8"/>
        <v>datatable[133] = new Array("134","124","Auxiliary Power Units","11","Widget.png");</v>
      </c>
    </row>
    <row r="143" spans="1:10" ht="14.25" customHeight="1">
      <c r="A143" s="49">
        <f t="shared" si="10"/>
        <v>135</v>
      </c>
      <c r="B143" s="49">
        <f t="shared" si="9"/>
        <v>124</v>
      </c>
      <c r="C143" s="49">
        <v>11</v>
      </c>
      <c r="D143" s="50" t="s">
        <v>252</v>
      </c>
      <c r="E143" s="50"/>
      <c r="F143" s="50" t="s">
        <v>99</v>
      </c>
      <c r="G143" s="28" t="s">
        <v>203</v>
      </c>
      <c r="J143" t="str">
        <f t="shared" si="8"/>
        <v>datatable[134] = new Array("135","124","Other Power Sources","11","Widget.png");</v>
      </c>
    </row>
    <row r="144" spans="1:10" ht="14.25" customHeight="1">
      <c r="A144" s="49">
        <f t="shared" si="10"/>
        <v>136</v>
      </c>
      <c r="B144" s="49">
        <f>A$125</f>
        <v>117</v>
      </c>
      <c r="C144" s="49">
        <v>10</v>
      </c>
      <c r="D144" s="50" t="s">
        <v>253</v>
      </c>
      <c r="E144" s="50"/>
      <c r="F144" s="50" t="s">
        <v>97</v>
      </c>
      <c r="G144" s="28" t="s">
        <v>203</v>
      </c>
      <c r="J144" t="str">
        <f t="shared" si="8"/>
        <v>datatable[135] = new Array("136","117","Electrical Power Conditioning","10","Widget.png");</v>
      </c>
    </row>
    <row r="145" spans="1:10" ht="14.25" customHeight="1">
      <c r="A145" s="49">
        <f t="shared" si="10"/>
        <v>137</v>
      </c>
      <c r="B145" s="49">
        <f t="shared" ref="B145:B151" si="11">A$139</f>
        <v>131</v>
      </c>
      <c r="C145" s="49">
        <v>11</v>
      </c>
      <c r="D145" s="50" t="s">
        <v>254</v>
      </c>
      <c r="E145" s="50"/>
      <c r="F145" s="50" t="s">
        <v>99</v>
      </c>
      <c r="G145" s="28" t="s">
        <v>203</v>
      </c>
      <c r="J145" t="str">
        <f t="shared" si="8"/>
        <v>datatable[136] = new Array("137","131","Power Control Electronics","11","Widget.png");</v>
      </c>
    </row>
    <row r="146" spans="1:10" ht="14.25" customHeight="1">
      <c r="A146" s="49">
        <f t="shared" si="10"/>
        <v>138</v>
      </c>
      <c r="B146" s="49">
        <f t="shared" si="11"/>
        <v>131</v>
      </c>
      <c r="C146" s="49">
        <v>11</v>
      </c>
      <c r="D146" s="50" t="s">
        <v>255</v>
      </c>
      <c r="E146" s="50"/>
      <c r="F146" s="50" t="s">
        <v>99</v>
      </c>
      <c r="G146" s="28" t="s">
        <v>203</v>
      </c>
      <c r="J146" t="str">
        <f t="shared" si="8"/>
        <v>datatable[137] = new Array("138","131","Power Conversion Electronics","11","Widget.png");</v>
      </c>
    </row>
    <row r="147" spans="1:10" ht="14.25" customHeight="1">
      <c r="A147" s="49">
        <f t="shared" si="10"/>
        <v>139</v>
      </c>
      <c r="B147" s="49">
        <f t="shared" si="11"/>
        <v>131</v>
      </c>
      <c r="C147" s="49">
        <v>11</v>
      </c>
      <c r="D147" s="50" t="s">
        <v>256</v>
      </c>
      <c r="E147" s="50"/>
      <c r="F147" s="50" t="s">
        <v>99</v>
      </c>
      <c r="G147" s="28" t="s">
        <v>203</v>
      </c>
      <c r="J147" t="str">
        <f t="shared" si="8"/>
        <v>datatable[138] = new Array("139","131","Power Dissipation Devices","11","Widget.png");</v>
      </c>
    </row>
    <row r="148" spans="1:10" ht="14.25" customHeight="1">
      <c r="A148" s="49">
        <f t="shared" si="10"/>
        <v>140</v>
      </c>
      <c r="B148" s="49">
        <f t="shared" si="11"/>
        <v>131</v>
      </c>
      <c r="C148" s="49">
        <v>11</v>
      </c>
      <c r="D148" s="50" t="s">
        <v>257</v>
      </c>
      <c r="E148" s="50"/>
      <c r="F148" s="50" t="s">
        <v>99</v>
      </c>
      <c r="G148" s="28" t="s">
        <v>203</v>
      </c>
      <c r="J148" t="str">
        <f t="shared" si="8"/>
        <v>datatable[139] = new Array("140","131","Power Distribution Electronics","11","Widget.png");</v>
      </c>
    </row>
    <row r="149" spans="1:10" ht="14.25" customHeight="1">
      <c r="A149" s="49">
        <f t="shared" si="10"/>
        <v>141</v>
      </c>
      <c r="B149" s="49">
        <f t="shared" si="11"/>
        <v>131</v>
      </c>
      <c r="C149" s="49">
        <v>11</v>
      </c>
      <c r="D149" s="50" t="s">
        <v>258</v>
      </c>
      <c r="E149" s="50"/>
      <c r="F149" s="50" t="s">
        <v>99</v>
      </c>
      <c r="G149" s="28" t="s">
        <v>203</v>
      </c>
      <c r="J149" t="str">
        <f t="shared" si="8"/>
        <v>datatable[140] = new Array("141","131","Power Switching Electronics","11","Widget.png");</v>
      </c>
    </row>
    <row r="150" spans="1:10" ht="14.25" customHeight="1">
      <c r="A150" s="49">
        <f t="shared" si="10"/>
        <v>142</v>
      </c>
      <c r="B150" s="49">
        <f t="shared" si="11"/>
        <v>131</v>
      </c>
      <c r="C150" s="49">
        <v>11</v>
      </c>
      <c r="D150" s="50" t="s">
        <v>259</v>
      </c>
      <c r="E150" s="50"/>
      <c r="F150" s="50" t="s">
        <v>99</v>
      </c>
      <c r="G150" s="28" t="s">
        <v>203</v>
      </c>
      <c r="J150" t="str">
        <f t="shared" si="8"/>
        <v>datatable[141] = new Array("142","131","Power Regulation Electronics","11","Widget.png");</v>
      </c>
    </row>
    <row r="151" spans="1:10" ht="14.25" customHeight="1">
      <c r="A151" s="49">
        <f t="shared" si="10"/>
        <v>143</v>
      </c>
      <c r="B151" s="49">
        <f t="shared" si="11"/>
        <v>131</v>
      </c>
      <c r="C151" s="49">
        <v>11</v>
      </c>
      <c r="D151" s="50" t="s">
        <v>260</v>
      </c>
      <c r="E151" s="50"/>
      <c r="F151" s="50" t="s">
        <v>99</v>
      </c>
      <c r="G151" s="28" t="s">
        <v>203</v>
      </c>
      <c r="J151" t="str">
        <f t="shared" si="8"/>
        <v>datatable[142] = new Array("143","131","Other Power Conditioning Devices (Specify)","11","Widget.png");</v>
      </c>
    </row>
    <row r="152" spans="1:10" ht="14.25" customHeight="1">
      <c r="A152" s="49">
        <f t="shared" si="10"/>
        <v>144</v>
      </c>
      <c r="B152" s="49">
        <f>A$125</f>
        <v>117</v>
      </c>
      <c r="C152" s="49">
        <v>10</v>
      </c>
      <c r="D152" s="50" t="s">
        <v>261</v>
      </c>
      <c r="E152" s="50"/>
      <c r="F152" s="50" t="s">
        <v>97</v>
      </c>
      <c r="G152" s="28" t="s">
        <v>203</v>
      </c>
      <c r="J152" t="str">
        <f t="shared" si="8"/>
        <v>datatable[143] = new Array("144","117","Electrical Power Storage","10","Widget.png");</v>
      </c>
    </row>
    <row r="153" spans="1:10" ht="14.25" customHeight="1">
      <c r="A153" s="49">
        <f t="shared" si="10"/>
        <v>145</v>
      </c>
      <c r="B153" s="49">
        <f>A$147</f>
        <v>139</v>
      </c>
      <c r="C153" s="49">
        <v>11</v>
      </c>
      <c r="D153" s="50" t="s">
        <v>262</v>
      </c>
      <c r="E153" s="50"/>
      <c r="F153" s="50" t="s">
        <v>99</v>
      </c>
      <c r="G153" s="28" t="s">
        <v>203</v>
      </c>
      <c r="J153" t="str">
        <f t="shared" si="8"/>
        <v>datatable[144] = new Array("145","139","Rechargeable Batteries","11","Widget.png");</v>
      </c>
    </row>
    <row r="154" spans="1:10" ht="14.25" customHeight="1">
      <c r="A154" s="49">
        <f t="shared" si="10"/>
        <v>146</v>
      </c>
      <c r="B154" s="49">
        <f>A$147</f>
        <v>139</v>
      </c>
      <c r="C154" s="49">
        <v>11</v>
      </c>
      <c r="D154" s="50" t="s">
        <v>263</v>
      </c>
      <c r="E154" s="50"/>
      <c r="F154" s="50" t="s">
        <v>99</v>
      </c>
      <c r="G154" s="28" t="s">
        <v>203</v>
      </c>
      <c r="J154" t="str">
        <f t="shared" si="8"/>
        <v>datatable[145] = new Array("146","139","Charge Control Electronics","11","Widget.png");</v>
      </c>
    </row>
    <row r="155" spans="1:10" ht="14.25" customHeight="1">
      <c r="A155" s="49">
        <f t="shared" si="10"/>
        <v>147</v>
      </c>
      <c r="B155" s="49">
        <f>A$147</f>
        <v>139</v>
      </c>
      <c r="C155" s="49">
        <v>11</v>
      </c>
      <c r="D155" s="50" t="s">
        <v>264</v>
      </c>
      <c r="E155" s="50"/>
      <c r="F155" s="50" t="s">
        <v>99</v>
      </c>
      <c r="G155" s="28" t="s">
        <v>203</v>
      </c>
      <c r="J155" t="str">
        <f t="shared" si="8"/>
        <v>datatable[146] = new Array("147","139","Other Electrical Power Storage Devices (Specify)","11","Widget.png");</v>
      </c>
    </row>
    <row r="156" spans="1:10" ht="14.25" customHeight="1">
      <c r="A156" s="49">
        <f t="shared" si="10"/>
        <v>148</v>
      </c>
      <c r="B156" s="49">
        <f>A$125</f>
        <v>117</v>
      </c>
      <c r="C156" s="49">
        <v>10</v>
      </c>
      <c r="D156" s="50" t="s">
        <v>265</v>
      </c>
      <c r="E156" s="50"/>
      <c r="F156" s="50" t="s">
        <v>97</v>
      </c>
      <c r="G156" s="28" t="s">
        <v>203</v>
      </c>
      <c r="J156" t="str">
        <f t="shared" si="8"/>
        <v>datatable[147] = new Array("148","117","Harnesses and Cables","10","Widget.png");</v>
      </c>
    </row>
    <row r="157" spans="1:10" ht="14.25" customHeight="1">
      <c r="A157" s="49">
        <f t="shared" si="10"/>
        <v>149</v>
      </c>
      <c r="B157" s="49">
        <f>A$125</f>
        <v>117</v>
      </c>
      <c r="C157" s="49">
        <v>10</v>
      </c>
      <c r="D157" s="50" t="s">
        <v>266</v>
      </c>
      <c r="E157" s="50"/>
      <c r="F157" s="50" t="s">
        <v>97</v>
      </c>
      <c r="G157" s="28" t="s">
        <v>203</v>
      </c>
      <c r="J157" t="str">
        <f t="shared" si="8"/>
        <v>datatable[148] = new Array("149","117","EPS Other (Specify)","10","Widget.png");</v>
      </c>
    </row>
    <row r="158" spans="1:10" ht="14.25" customHeight="1">
      <c r="A158" s="49">
        <f t="shared" si="10"/>
        <v>150</v>
      </c>
      <c r="B158" s="49">
        <f>A$69</f>
        <v>61</v>
      </c>
      <c r="C158" s="49">
        <v>9</v>
      </c>
      <c r="D158" s="50" t="s">
        <v>267</v>
      </c>
      <c r="E158" s="50"/>
      <c r="F158" s="50" t="s">
        <v>95</v>
      </c>
      <c r="G158" s="28" t="s">
        <v>203</v>
      </c>
      <c r="J158" t="str">
        <f t="shared" si="8"/>
        <v>datatable[149] = new Array("150","61","Attitude Control Subsystem (ACS)","9","Widget.png");</v>
      </c>
    </row>
    <row r="159" spans="1:10" ht="14.25" customHeight="1">
      <c r="A159" s="49">
        <f t="shared" si="10"/>
        <v>151</v>
      </c>
      <c r="B159" s="49">
        <f>A$153</f>
        <v>145</v>
      </c>
      <c r="C159" s="49">
        <v>10</v>
      </c>
      <c r="D159" s="50" t="s">
        <v>268</v>
      </c>
      <c r="E159" s="50"/>
      <c r="F159" s="50" t="s">
        <v>97</v>
      </c>
      <c r="G159" s="28" t="s">
        <v>194</v>
      </c>
      <c r="J159" t="str">
        <f t="shared" si="8"/>
        <v>datatable[150] = new Array("151","145","Attitude Control Subsystem SEITPM","10","SEITPM.png");</v>
      </c>
    </row>
    <row r="160" spans="1:10" ht="14.25" customHeight="1">
      <c r="A160" s="49">
        <f t="shared" si="10"/>
        <v>152</v>
      </c>
      <c r="B160" s="49">
        <f>A$154</f>
        <v>146</v>
      </c>
      <c r="C160" s="49">
        <v>11</v>
      </c>
      <c r="D160" s="50" t="s">
        <v>195</v>
      </c>
      <c r="E160" s="50"/>
      <c r="F160" s="50" t="s">
        <v>99</v>
      </c>
      <c r="G160" s="28" t="s">
        <v>194</v>
      </c>
      <c r="J160" t="str">
        <f t="shared" si="8"/>
        <v>datatable[151] = new Array("152","146","Project Management","11","SEITPM.png");</v>
      </c>
    </row>
    <row r="161" spans="1:10" ht="14.25" customHeight="1">
      <c r="A161" s="49">
        <f t="shared" si="10"/>
        <v>153</v>
      </c>
      <c r="B161" s="49">
        <f>A$154</f>
        <v>146</v>
      </c>
      <c r="C161" s="49">
        <v>11</v>
      </c>
      <c r="D161" s="50" t="s">
        <v>196</v>
      </c>
      <c r="E161" s="50"/>
      <c r="F161" s="50" t="s">
        <v>99</v>
      </c>
      <c r="G161" s="28" t="s">
        <v>194</v>
      </c>
      <c r="J161" t="str">
        <f t="shared" si="8"/>
        <v>datatable[152] = new Array("153","146","Systems Engineering","11","SEITPM.png");</v>
      </c>
    </row>
    <row r="162" spans="1:10" ht="14.25" customHeight="1">
      <c r="A162" s="49">
        <f t="shared" si="10"/>
        <v>154</v>
      </c>
      <c r="B162" s="49">
        <f>A$154</f>
        <v>146</v>
      </c>
      <c r="C162" s="49">
        <v>11</v>
      </c>
      <c r="D162" s="50" t="s">
        <v>197</v>
      </c>
      <c r="E162" s="50"/>
      <c r="F162" s="50" t="s">
        <v>99</v>
      </c>
      <c r="G162" s="28" t="s">
        <v>194</v>
      </c>
      <c r="J162" t="str">
        <f t="shared" si="8"/>
        <v>datatable[153] = new Array("154","146","Mission Assurance","11","SEITPM.png");</v>
      </c>
    </row>
    <row r="163" spans="1:10" ht="14.25" customHeight="1">
      <c r="A163" s="49">
        <f t="shared" si="10"/>
        <v>155</v>
      </c>
      <c r="B163" s="49">
        <f>A$154</f>
        <v>146</v>
      </c>
      <c r="C163" s="49">
        <v>11</v>
      </c>
      <c r="D163" s="50" t="s">
        <v>198</v>
      </c>
      <c r="E163" s="50"/>
      <c r="F163" s="50" t="s">
        <v>99</v>
      </c>
      <c r="G163" s="28" t="s">
        <v>194</v>
      </c>
      <c r="J163" t="str">
        <f t="shared" si="8"/>
        <v>datatable[154] = new Array("155","146","Assembly, Integration and Testing","11","SEITPM.png");</v>
      </c>
    </row>
    <row r="164" spans="1:10" ht="14.25" customHeight="1">
      <c r="A164" s="49">
        <f t="shared" si="10"/>
        <v>156</v>
      </c>
      <c r="B164" s="49">
        <f>A$154</f>
        <v>146</v>
      </c>
      <c r="C164" s="49">
        <v>11</v>
      </c>
      <c r="D164" s="50" t="s">
        <v>199</v>
      </c>
      <c r="E164" s="50"/>
      <c r="F164" s="50" t="s">
        <v>99</v>
      </c>
      <c r="G164" s="28" t="s">
        <v>194</v>
      </c>
      <c r="J164" t="str">
        <f t="shared" si="8"/>
        <v>datatable[155] = new Array("156","146","Support Equipment","11","SEITPM.png");</v>
      </c>
    </row>
    <row r="165" spans="1:10" ht="14.25" customHeight="1">
      <c r="A165" s="49">
        <f t="shared" si="10"/>
        <v>157</v>
      </c>
      <c r="B165" s="49">
        <f>A$153</f>
        <v>145</v>
      </c>
      <c r="C165" s="49">
        <v>10</v>
      </c>
      <c r="D165" s="50" t="s">
        <v>269</v>
      </c>
      <c r="E165" s="50"/>
      <c r="F165" s="50" t="s">
        <v>97</v>
      </c>
      <c r="G165" s="28" t="s">
        <v>203</v>
      </c>
      <c r="J165" t="str">
        <f t="shared" si="8"/>
        <v>datatable[156] = new Array("157","145","Attitude Determination","10","Widget.png");</v>
      </c>
    </row>
    <row r="166" spans="1:10" ht="14.25" customHeight="1">
      <c r="A166" s="49">
        <f t="shared" si="10"/>
        <v>158</v>
      </c>
      <c r="B166" s="49">
        <f t="shared" ref="B166:B178" si="12">A$160</f>
        <v>152</v>
      </c>
      <c r="C166" s="49">
        <v>11</v>
      </c>
      <c r="D166" s="50" t="s">
        <v>270</v>
      </c>
      <c r="E166" s="50"/>
      <c r="F166" s="50" t="s">
        <v>99</v>
      </c>
      <c r="G166" s="28" t="s">
        <v>203</v>
      </c>
      <c r="J166" t="str">
        <f t="shared" si="8"/>
        <v>datatable[157] = new Array("158","152","Earth (Horizon) Sensors","11","Widget.png");</v>
      </c>
    </row>
    <row r="167" spans="1:10" ht="14.25" customHeight="1">
      <c r="A167" s="49">
        <f t="shared" si="10"/>
        <v>159</v>
      </c>
      <c r="B167" s="49">
        <f t="shared" si="12"/>
        <v>152</v>
      </c>
      <c r="C167" s="49">
        <v>11</v>
      </c>
      <c r="D167" s="50" t="s">
        <v>271</v>
      </c>
      <c r="E167" s="50"/>
      <c r="F167" s="50" t="s">
        <v>99</v>
      </c>
      <c r="G167" s="28" t="s">
        <v>203</v>
      </c>
      <c r="J167" t="str">
        <f t="shared" si="8"/>
        <v>datatable[158] = new Array("159","152","Sun Sensors","11","Widget.png");</v>
      </c>
    </row>
    <row r="168" spans="1:10" ht="14.25" customHeight="1">
      <c r="A168" s="49">
        <f t="shared" si="10"/>
        <v>160</v>
      </c>
      <c r="B168" s="49">
        <f t="shared" si="12"/>
        <v>152</v>
      </c>
      <c r="C168" s="49">
        <v>11</v>
      </c>
      <c r="D168" s="50" t="s">
        <v>272</v>
      </c>
      <c r="E168" s="50"/>
      <c r="F168" s="50" t="s">
        <v>99</v>
      </c>
      <c r="G168" s="28" t="s">
        <v>203</v>
      </c>
      <c r="J168" t="str">
        <f t="shared" si="8"/>
        <v>datatable[159] = new Array("160","152","Star Tracker/Sensors","11","Widget.png");</v>
      </c>
    </row>
    <row r="169" spans="1:10" ht="14.25" customHeight="1">
      <c r="A169" s="49">
        <f t="shared" si="10"/>
        <v>161</v>
      </c>
      <c r="B169" s="49">
        <f t="shared" si="12"/>
        <v>152</v>
      </c>
      <c r="C169" s="49">
        <v>11</v>
      </c>
      <c r="D169" s="50" t="s">
        <v>273</v>
      </c>
      <c r="E169" s="50"/>
      <c r="F169" s="50" t="s">
        <v>99</v>
      </c>
      <c r="G169" s="28" t="s">
        <v>203</v>
      </c>
      <c r="J169" t="str">
        <f t="shared" si="8"/>
        <v>datatable[160] = new Array("161","152","Global Positioning System (GPS) Receiver","11","Widget.png");</v>
      </c>
    </row>
    <row r="170" spans="1:10" ht="14.25" customHeight="1">
      <c r="A170" s="49">
        <f t="shared" si="10"/>
        <v>162</v>
      </c>
      <c r="B170" s="49">
        <f t="shared" si="12"/>
        <v>152</v>
      </c>
      <c r="C170" s="49">
        <v>11</v>
      </c>
      <c r="D170" s="50" t="s">
        <v>274</v>
      </c>
      <c r="E170" s="50"/>
      <c r="F170" s="50" t="s">
        <v>99</v>
      </c>
      <c r="G170" s="28" t="s">
        <v>203</v>
      </c>
      <c r="J170" t="str">
        <f t="shared" si="8"/>
        <v>datatable[161] = new Array("162","152","Imagers","11","Widget.png");</v>
      </c>
    </row>
    <row r="171" spans="1:10" ht="14.25" customHeight="1">
      <c r="A171" s="49">
        <f t="shared" si="10"/>
        <v>163</v>
      </c>
      <c r="B171" s="49">
        <f t="shared" si="12"/>
        <v>152</v>
      </c>
      <c r="C171" s="49">
        <v>11</v>
      </c>
      <c r="D171" s="50" t="s">
        <v>275</v>
      </c>
      <c r="E171" s="50"/>
      <c r="F171" s="50" t="s">
        <v>99</v>
      </c>
      <c r="G171" s="28" t="s">
        <v>203</v>
      </c>
      <c r="J171" t="str">
        <f t="shared" si="8"/>
        <v>datatable[162] = new Array("163","152","Magnetometers","11","Widget.png");</v>
      </c>
    </row>
    <row r="172" spans="1:10" ht="14.25" customHeight="1">
      <c r="A172" s="49">
        <f t="shared" si="10"/>
        <v>164</v>
      </c>
      <c r="B172" s="49">
        <f t="shared" si="12"/>
        <v>152</v>
      </c>
      <c r="C172" s="49">
        <v>11</v>
      </c>
      <c r="D172" s="50" t="s">
        <v>276</v>
      </c>
      <c r="E172" s="50"/>
      <c r="F172" s="50" t="s">
        <v>99</v>
      </c>
      <c r="G172" s="28" t="s">
        <v>203</v>
      </c>
      <c r="J172" t="str">
        <f t="shared" si="8"/>
        <v>datatable[163] = new Array("164","152","Altimeters","11","Widget.png");</v>
      </c>
    </row>
    <row r="173" spans="1:10" ht="14.25" customHeight="1">
      <c r="A173" s="49">
        <f t="shared" si="10"/>
        <v>165</v>
      </c>
      <c r="B173" s="49">
        <f t="shared" si="12"/>
        <v>152</v>
      </c>
      <c r="C173" s="49">
        <v>11</v>
      </c>
      <c r="D173" s="50" t="s">
        <v>277</v>
      </c>
      <c r="E173" s="50"/>
      <c r="F173" s="50" t="s">
        <v>99</v>
      </c>
      <c r="G173" s="28" t="s">
        <v>203</v>
      </c>
      <c r="J173" t="str">
        <f t="shared" si="8"/>
        <v>datatable[164] = new Array("165","152","Inertial Reference Unit (IRU)/Inertial Measurement Unit (IMU)","11","Widget.png");</v>
      </c>
    </row>
    <row r="174" spans="1:10" ht="14.25" customHeight="1">
      <c r="A174" s="49">
        <f t="shared" si="10"/>
        <v>166</v>
      </c>
      <c r="B174" s="49">
        <f t="shared" si="12"/>
        <v>152</v>
      </c>
      <c r="C174" s="49">
        <v>11</v>
      </c>
      <c r="D174" s="50" t="s">
        <v>278</v>
      </c>
      <c r="E174" s="50"/>
      <c r="F174" s="50" t="s">
        <v>99</v>
      </c>
      <c r="G174" s="28" t="s">
        <v>203</v>
      </c>
      <c r="J174" t="str">
        <f t="shared" si="8"/>
        <v>datatable[165] = new Array("166","152","Radar","11","Widget.png");</v>
      </c>
    </row>
    <row r="175" spans="1:10" ht="14.25" customHeight="1">
      <c r="A175" s="49">
        <f t="shared" si="10"/>
        <v>167</v>
      </c>
      <c r="B175" s="49">
        <f t="shared" si="12"/>
        <v>152</v>
      </c>
      <c r="C175" s="49">
        <v>11</v>
      </c>
      <c r="D175" s="50" t="s">
        <v>279</v>
      </c>
      <c r="E175" s="50"/>
      <c r="F175" s="50" t="s">
        <v>99</v>
      </c>
      <c r="G175" s="28" t="s">
        <v>203</v>
      </c>
      <c r="J175" t="str">
        <f t="shared" si="8"/>
        <v>datatable[166] = new Array("167","152","Rate Gyros","11","Widget.png");</v>
      </c>
    </row>
    <row r="176" spans="1:10" ht="14.25" customHeight="1">
      <c r="A176" s="49">
        <f t="shared" si="10"/>
        <v>168</v>
      </c>
      <c r="B176" s="49">
        <f t="shared" si="12"/>
        <v>152</v>
      </c>
      <c r="C176" s="49">
        <v>11</v>
      </c>
      <c r="D176" s="50" t="s">
        <v>280</v>
      </c>
      <c r="E176" s="50"/>
      <c r="F176" s="50" t="s">
        <v>99</v>
      </c>
      <c r="G176" s="28" t="s">
        <v>203</v>
      </c>
      <c r="J176" t="str">
        <f t="shared" si="8"/>
        <v>datatable[167] = new Array("168","152","Accelerometers","11","Widget.png");</v>
      </c>
    </row>
    <row r="177" spans="1:10" ht="14.25" customHeight="1">
      <c r="A177" s="49">
        <f t="shared" si="10"/>
        <v>169</v>
      </c>
      <c r="B177" s="49">
        <f t="shared" si="12"/>
        <v>152</v>
      </c>
      <c r="C177" s="49">
        <v>11</v>
      </c>
      <c r="D177" s="50" t="s">
        <v>281</v>
      </c>
      <c r="E177" s="50"/>
      <c r="F177" s="50" t="s">
        <v>99</v>
      </c>
      <c r="G177" s="28" t="s">
        <v>203</v>
      </c>
      <c r="J177" t="str">
        <f t="shared" si="8"/>
        <v>datatable[168] = new Array("169","152","Bearing and Power Transfer Assembly","11","Widget.png");</v>
      </c>
    </row>
    <row r="178" spans="1:10" ht="14.25" customHeight="1">
      <c r="A178" s="49">
        <f t="shared" si="10"/>
        <v>170</v>
      </c>
      <c r="B178" s="49">
        <f t="shared" si="12"/>
        <v>152</v>
      </c>
      <c r="C178" s="49">
        <v>11</v>
      </c>
      <c r="D178" s="50" t="s">
        <v>282</v>
      </c>
      <c r="E178" s="50"/>
      <c r="F178" s="50" t="s">
        <v>99</v>
      </c>
      <c r="G178" s="28" t="s">
        <v>203</v>
      </c>
      <c r="J178" t="str">
        <f t="shared" si="8"/>
        <v>datatable[169] = new Array("170","152","Other Attitude Determination Devices (Specify)","11","Widget.png");</v>
      </c>
    </row>
    <row r="179" spans="1:10" ht="14.25" customHeight="1">
      <c r="A179" s="49">
        <f t="shared" si="10"/>
        <v>171</v>
      </c>
      <c r="B179" s="49">
        <f>A$153</f>
        <v>145</v>
      </c>
      <c r="C179" s="49">
        <v>10</v>
      </c>
      <c r="D179" s="50" t="s">
        <v>283</v>
      </c>
      <c r="E179" s="50"/>
      <c r="F179" s="50" t="s">
        <v>97</v>
      </c>
      <c r="G179" s="28" t="s">
        <v>203</v>
      </c>
      <c r="J179" t="str">
        <f t="shared" si="8"/>
        <v>datatable[170] = new Array("171","145","Attitude Control","10","Widget.png");</v>
      </c>
    </row>
    <row r="180" spans="1:10" ht="14.25" customHeight="1">
      <c r="A180" s="49">
        <f t="shared" si="10"/>
        <v>172</v>
      </c>
      <c r="B180" s="49">
        <f t="shared" ref="B180:B187" si="13">A$174</f>
        <v>166</v>
      </c>
      <c r="C180" s="49">
        <v>11</v>
      </c>
      <c r="D180" s="50" t="s">
        <v>284</v>
      </c>
      <c r="E180" s="50"/>
      <c r="F180" s="50" t="s">
        <v>99</v>
      </c>
      <c r="G180" s="28" t="s">
        <v>203</v>
      </c>
      <c r="J180" t="str">
        <f t="shared" si="8"/>
        <v>datatable[171] = new Array("172","166","Reaction Wheel","11","Widget.png");</v>
      </c>
    </row>
    <row r="181" spans="1:10" ht="14.25" customHeight="1">
      <c r="A181" s="49">
        <f t="shared" si="10"/>
        <v>173</v>
      </c>
      <c r="B181" s="49">
        <f t="shared" si="13"/>
        <v>166</v>
      </c>
      <c r="C181" s="49">
        <v>11</v>
      </c>
      <c r="D181" s="50" t="s">
        <v>285</v>
      </c>
      <c r="E181" s="50"/>
      <c r="F181" s="50" t="s">
        <v>99</v>
      </c>
      <c r="G181" s="28" t="s">
        <v>203</v>
      </c>
      <c r="J181" t="str">
        <f t="shared" si="8"/>
        <v>datatable[172] = new Array("173","166","Momentum Wheel","11","Widget.png");</v>
      </c>
    </row>
    <row r="182" spans="1:10" ht="14.25" customHeight="1">
      <c r="A182" s="49">
        <f t="shared" si="10"/>
        <v>174</v>
      </c>
      <c r="B182" s="49">
        <f t="shared" si="13"/>
        <v>166</v>
      </c>
      <c r="C182" s="49">
        <v>11</v>
      </c>
      <c r="D182" s="50" t="s">
        <v>286</v>
      </c>
      <c r="E182" s="50"/>
      <c r="F182" s="50" t="s">
        <v>99</v>
      </c>
      <c r="G182" s="28" t="s">
        <v>203</v>
      </c>
      <c r="J182" t="str">
        <f t="shared" si="8"/>
        <v>datatable[173] = new Array("174","166","Control Moment Gyro","11","Widget.png");</v>
      </c>
    </row>
    <row r="183" spans="1:10" ht="14.25" customHeight="1">
      <c r="A183" s="49">
        <f t="shared" si="10"/>
        <v>175</v>
      </c>
      <c r="B183" s="49">
        <f t="shared" si="13"/>
        <v>166</v>
      </c>
      <c r="C183" s="49">
        <v>11</v>
      </c>
      <c r="D183" s="50" t="s">
        <v>287</v>
      </c>
      <c r="E183" s="50"/>
      <c r="F183" s="50" t="s">
        <v>99</v>
      </c>
      <c r="G183" s="28" t="s">
        <v>203</v>
      </c>
      <c r="J183" t="str">
        <f t="shared" si="8"/>
        <v>datatable[174] = new Array("175","166","Other Energy Storage Devices","11","Widget.png");</v>
      </c>
    </row>
    <row r="184" spans="1:10" ht="14.25" customHeight="1">
      <c r="A184" s="49">
        <f t="shared" si="10"/>
        <v>176</v>
      </c>
      <c r="B184" s="49">
        <f t="shared" si="13"/>
        <v>166</v>
      </c>
      <c r="C184" s="49">
        <v>11</v>
      </c>
      <c r="D184" s="50" t="s">
        <v>288</v>
      </c>
      <c r="E184" s="50"/>
      <c r="F184" s="50" t="s">
        <v>99</v>
      </c>
      <c r="G184" s="28" t="s">
        <v>203</v>
      </c>
      <c r="J184" t="str">
        <f t="shared" si="8"/>
        <v>datatable[175] = new Array("176","166","Magnetic Control Devices","11","Widget.png");</v>
      </c>
    </row>
    <row r="185" spans="1:10" ht="14.25" customHeight="1">
      <c r="A185" s="49">
        <f t="shared" si="10"/>
        <v>177</v>
      </c>
      <c r="B185" s="49">
        <f t="shared" si="13"/>
        <v>166</v>
      </c>
      <c r="C185" s="49">
        <v>11</v>
      </c>
      <c r="D185" s="50" t="s">
        <v>289</v>
      </c>
      <c r="E185" s="50"/>
      <c r="F185" s="50" t="s">
        <v>99</v>
      </c>
      <c r="G185" s="28" t="s">
        <v>203</v>
      </c>
      <c r="J185" t="str">
        <f t="shared" si="8"/>
        <v>datatable[176] = new Array("177","166","Spin Control Devices","11","Widget.png");</v>
      </c>
    </row>
    <row r="186" spans="1:10" ht="14.25" customHeight="1">
      <c r="A186" s="49">
        <f t="shared" si="10"/>
        <v>178</v>
      </c>
      <c r="B186" s="49">
        <f t="shared" si="13"/>
        <v>166</v>
      </c>
      <c r="C186" s="49">
        <v>11</v>
      </c>
      <c r="D186" s="50" t="s">
        <v>290</v>
      </c>
      <c r="E186" s="50"/>
      <c r="F186" s="50" t="s">
        <v>99</v>
      </c>
      <c r="G186" s="28" t="s">
        <v>203</v>
      </c>
      <c r="J186" t="str">
        <f t="shared" si="8"/>
        <v>datatable[177] = new Array("178","166","Control Electronics","11","Widget.png");</v>
      </c>
    </row>
    <row r="187" spans="1:10" ht="14.25" customHeight="1">
      <c r="A187" s="49">
        <f t="shared" si="10"/>
        <v>179</v>
      </c>
      <c r="B187" s="49">
        <f t="shared" si="13"/>
        <v>166</v>
      </c>
      <c r="C187" s="49">
        <v>11</v>
      </c>
      <c r="D187" s="50" t="s">
        <v>291</v>
      </c>
      <c r="E187" s="50"/>
      <c r="F187" s="50" t="s">
        <v>99</v>
      </c>
      <c r="G187" s="28" t="s">
        <v>203</v>
      </c>
      <c r="J187" t="str">
        <f t="shared" si="8"/>
        <v>datatable[178] = new Array("179","166","Other Attitude Control Devices (Specify)","11","Widget.png");</v>
      </c>
    </row>
    <row r="188" spans="1:10" ht="14.25" customHeight="1">
      <c r="A188" s="49">
        <f t="shared" si="10"/>
        <v>180</v>
      </c>
      <c r="B188" s="49">
        <f>A$153</f>
        <v>145</v>
      </c>
      <c r="C188" s="49">
        <v>10</v>
      </c>
      <c r="D188" s="50" t="s">
        <v>292</v>
      </c>
      <c r="E188" s="50"/>
      <c r="F188" s="50" t="s">
        <v>97</v>
      </c>
      <c r="G188" s="28" t="s">
        <v>203</v>
      </c>
      <c r="J188" t="str">
        <f t="shared" si="8"/>
        <v>datatable[179] = new Array("180","145","ACS Other (Specify)","10","Widget.png");</v>
      </c>
    </row>
    <row r="189" spans="1:10" ht="14.25" customHeight="1">
      <c r="A189" s="49">
        <f t="shared" si="10"/>
        <v>181</v>
      </c>
      <c r="B189" s="49">
        <f>A$69</f>
        <v>61</v>
      </c>
      <c r="C189" s="49">
        <v>9</v>
      </c>
      <c r="D189" s="50" t="s">
        <v>293</v>
      </c>
      <c r="E189" s="50"/>
      <c r="F189" s="50" t="s">
        <v>95</v>
      </c>
      <c r="G189" s="28" t="s">
        <v>203</v>
      </c>
      <c r="J189" t="str">
        <f t="shared" si="8"/>
        <v>datatable[180] = new Array("181","61","Propulsion Subsystem","9","Widget.png");</v>
      </c>
    </row>
    <row r="190" spans="1:10" ht="14.25" customHeight="1">
      <c r="A190" s="49">
        <f t="shared" si="10"/>
        <v>182</v>
      </c>
      <c r="B190" s="49">
        <f>A$184</f>
        <v>176</v>
      </c>
      <c r="C190" s="49">
        <v>10</v>
      </c>
      <c r="D190" s="50" t="s">
        <v>294</v>
      </c>
      <c r="E190" s="50"/>
      <c r="F190" s="50" t="s">
        <v>97</v>
      </c>
      <c r="G190" s="28" t="s">
        <v>194</v>
      </c>
      <c r="J190" t="str">
        <f t="shared" si="8"/>
        <v>datatable[181] = new Array("182","176","Propulsion Subsystem SEITPM","10","SEITPM.png");</v>
      </c>
    </row>
    <row r="191" spans="1:10" ht="14.25" customHeight="1">
      <c r="A191" s="49">
        <f t="shared" si="10"/>
        <v>183</v>
      </c>
      <c r="B191" s="49">
        <f>A$185</f>
        <v>177</v>
      </c>
      <c r="C191" s="49">
        <v>11</v>
      </c>
      <c r="D191" s="50" t="s">
        <v>195</v>
      </c>
      <c r="E191" s="50"/>
      <c r="F191" s="50" t="s">
        <v>99</v>
      </c>
      <c r="G191" s="28" t="s">
        <v>194</v>
      </c>
      <c r="J191" t="str">
        <f t="shared" si="8"/>
        <v>datatable[182] = new Array("183","177","Project Management","11","SEITPM.png");</v>
      </c>
    </row>
    <row r="192" spans="1:10" ht="14.25" customHeight="1">
      <c r="A192" s="49">
        <f t="shared" si="10"/>
        <v>184</v>
      </c>
      <c r="B192" s="49">
        <f>A$185</f>
        <v>177</v>
      </c>
      <c r="C192" s="49">
        <v>11</v>
      </c>
      <c r="D192" s="50" t="s">
        <v>196</v>
      </c>
      <c r="E192" s="50"/>
      <c r="F192" s="50" t="s">
        <v>99</v>
      </c>
      <c r="G192" s="28" t="s">
        <v>194</v>
      </c>
      <c r="J192" t="str">
        <f t="shared" si="8"/>
        <v>datatable[183] = new Array("184","177","Systems Engineering","11","SEITPM.png");</v>
      </c>
    </row>
    <row r="193" spans="1:10" ht="14.25" customHeight="1">
      <c r="A193" s="49">
        <f t="shared" si="10"/>
        <v>185</v>
      </c>
      <c r="B193" s="49">
        <f>A$185</f>
        <v>177</v>
      </c>
      <c r="C193" s="49">
        <v>11</v>
      </c>
      <c r="D193" s="50" t="s">
        <v>197</v>
      </c>
      <c r="E193" s="50"/>
      <c r="F193" s="50" t="s">
        <v>99</v>
      </c>
      <c r="G193" s="28" t="s">
        <v>194</v>
      </c>
      <c r="J193" t="str">
        <f t="shared" si="8"/>
        <v>datatable[184] = new Array("185","177","Mission Assurance","11","SEITPM.png");</v>
      </c>
    </row>
    <row r="194" spans="1:10" ht="14.25" customHeight="1">
      <c r="A194" s="49">
        <f t="shared" si="10"/>
        <v>186</v>
      </c>
      <c r="B194" s="49">
        <f>A$185</f>
        <v>177</v>
      </c>
      <c r="C194" s="49">
        <v>11</v>
      </c>
      <c r="D194" s="50" t="s">
        <v>198</v>
      </c>
      <c r="E194" s="50"/>
      <c r="F194" s="50" t="s">
        <v>99</v>
      </c>
      <c r="G194" s="28" t="s">
        <v>194</v>
      </c>
      <c r="J194" t="str">
        <f t="shared" si="8"/>
        <v>datatable[185] = new Array("186","177","Assembly, Integration and Testing","11","SEITPM.png");</v>
      </c>
    </row>
    <row r="195" spans="1:10" ht="14.25" customHeight="1">
      <c r="A195" s="49">
        <f t="shared" si="10"/>
        <v>187</v>
      </c>
      <c r="B195" s="49">
        <f>A$185</f>
        <v>177</v>
      </c>
      <c r="C195" s="49">
        <v>11</v>
      </c>
      <c r="D195" s="50" t="s">
        <v>199</v>
      </c>
      <c r="E195" s="50"/>
      <c r="F195" s="50" t="s">
        <v>99</v>
      </c>
      <c r="G195" s="28" t="s">
        <v>194</v>
      </c>
      <c r="J195" t="str">
        <f t="shared" si="8"/>
        <v>datatable[186] = new Array("187","177","Support Equipment","11","SEITPM.png");</v>
      </c>
    </row>
    <row r="196" spans="1:10" ht="14.25" customHeight="1">
      <c r="A196" s="49">
        <f t="shared" si="10"/>
        <v>188</v>
      </c>
      <c r="B196" s="49">
        <f>A$184</f>
        <v>176</v>
      </c>
      <c r="C196" s="49">
        <v>10</v>
      </c>
      <c r="D196" s="50" t="s">
        <v>295</v>
      </c>
      <c r="E196" s="50"/>
      <c r="F196" s="50" t="s">
        <v>97</v>
      </c>
      <c r="G196" s="28" t="s">
        <v>203</v>
      </c>
      <c r="J196" t="str">
        <f t="shared" si="8"/>
        <v>datatable[187] = new Array("188","176","Tanks","10","Widget.png");</v>
      </c>
    </row>
    <row r="197" spans="1:10" ht="14.25" customHeight="1">
      <c r="A197" s="49">
        <f t="shared" si="10"/>
        <v>189</v>
      </c>
      <c r="B197" s="49">
        <f t="shared" ref="B197:B202" si="14">A$191</f>
        <v>183</v>
      </c>
      <c r="C197" s="49">
        <v>11</v>
      </c>
      <c r="D197" s="50" t="s">
        <v>296</v>
      </c>
      <c r="E197" s="50"/>
      <c r="F197" s="50" t="s">
        <v>99</v>
      </c>
      <c r="G197" s="28" t="s">
        <v>203</v>
      </c>
      <c r="J197" t="str">
        <f t="shared" si="8"/>
        <v>datatable[188] = new Array("189","183","Oxidizer Tanks","11","Widget.png");</v>
      </c>
    </row>
    <row r="198" spans="1:10" ht="14.25" customHeight="1">
      <c r="A198" s="49">
        <f t="shared" si="10"/>
        <v>190</v>
      </c>
      <c r="B198" s="49">
        <f t="shared" si="14"/>
        <v>183</v>
      </c>
      <c r="C198" s="49">
        <v>11</v>
      </c>
      <c r="D198" s="50" t="s">
        <v>297</v>
      </c>
      <c r="E198" s="50"/>
      <c r="F198" s="50" t="s">
        <v>99</v>
      </c>
      <c r="G198" s="28" t="s">
        <v>203</v>
      </c>
      <c r="J198" t="str">
        <f t="shared" si="8"/>
        <v>datatable[189] = new Array("190","183","Fuel Tanks","11","Widget.png");</v>
      </c>
    </row>
    <row r="199" spans="1:10" ht="14.25" customHeight="1">
      <c r="A199" s="49">
        <f t="shared" si="10"/>
        <v>191</v>
      </c>
      <c r="B199" s="49">
        <f t="shared" si="14"/>
        <v>183</v>
      </c>
      <c r="C199" s="49">
        <v>11</v>
      </c>
      <c r="D199" s="50" t="s">
        <v>298</v>
      </c>
      <c r="E199" s="50"/>
      <c r="F199" s="50" t="s">
        <v>99</v>
      </c>
      <c r="G199" s="28" t="s">
        <v>203</v>
      </c>
      <c r="J199" t="str">
        <f t="shared" si="8"/>
        <v>datatable[190] = new Array("191","183","Propellant Tanks","11","Widget.png");</v>
      </c>
    </row>
    <row r="200" spans="1:10" ht="14.25" customHeight="1">
      <c r="A200" s="49">
        <f t="shared" si="10"/>
        <v>192</v>
      </c>
      <c r="B200" s="49">
        <f t="shared" si="14"/>
        <v>183</v>
      </c>
      <c r="C200" s="49">
        <v>11</v>
      </c>
      <c r="D200" s="50" t="s">
        <v>299</v>
      </c>
      <c r="E200" s="50"/>
      <c r="F200" s="50" t="s">
        <v>99</v>
      </c>
      <c r="G200" s="28" t="s">
        <v>203</v>
      </c>
      <c r="J200" t="str">
        <f t="shared" si="8"/>
        <v>datatable[191] = new Array("192","183","Pressurance Tanks","11","Widget.png");</v>
      </c>
    </row>
    <row r="201" spans="1:10" ht="14.25" customHeight="1">
      <c r="A201" s="49">
        <f t="shared" si="10"/>
        <v>193</v>
      </c>
      <c r="B201" s="49">
        <f t="shared" si="14"/>
        <v>183</v>
      </c>
      <c r="C201" s="49">
        <v>11</v>
      </c>
      <c r="D201" s="50" t="s">
        <v>300</v>
      </c>
      <c r="E201" s="50"/>
      <c r="F201" s="50" t="s">
        <v>99</v>
      </c>
      <c r="G201" s="28" t="s">
        <v>203</v>
      </c>
      <c r="J201" t="str">
        <f t="shared" ref="J201:J264" si="15">"datatable["&amp;A201-1&amp;"] = new Array(""" &amp; A201 &amp;""",""" &amp; B201 &amp;""",""" &amp; D201 &amp; """,""" &amp; C201&amp;""","""&amp;""&amp;G201&amp;""");"</f>
        <v>datatable[192] = new Array("193","183","Plumbing","11","Widget.png");</v>
      </c>
    </row>
    <row r="202" spans="1:10" ht="14.25" customHeight="1">
      <c r="A202" s="49">
        <f t="shared" si="10"/>
        <v>194</v>
      </c>
      <c r="B202" s="49">
        <f t="shared" si="14"/>
        <v>183</v>
      </c>
      <c r="C202" s="49">
        <v>11</v>
      </c>
      <c r="D202" s="50" t="s">
        <v>301</v>
      </c>
      <c r="E202" s="50"/>
      <c r="F202" s="50" t="s">
        <v>99</v>
      </c>
      <c r="G202" s="28" t="s">
        <v>203</v>
      </c>
      <c r="J202" t="str">
        <f t="shared" si="15"/>
        <v>datatable[193] = new Array("194","183","Other Tanks (Specify)","11","Widget.png");</v>
      </c>
    </row>
    <row r="203" spans="1:10" ht="14.25" customHeight="1">
      <c r="A203" s="49">
        <f t="shared" ref="A203:A266" si="16">A202+1</f>
        <v>195</v>
      </c>
      <c r="B203" s="49">
        <f>A$184</f>
        <v>176</v>
      </c>
      <c r="C203" s="49">
        <v>10</v>
      </c>
      <c r="D203" s="50" t="s">
        <v>302</v>
      </c>
      <c r="E203" s="50"/>
      <c r="F203" s="50" t="s">
        <v>97</v>
      </c>
      <c r="G203" s="28" t="s">
        <v>203</v>
      </c>
      <c r="J203" t="str">
        <f t="shared" si="15"/>
        <v>datatable[194] = new Array("195","176","Maneuvering Thrusters","10","Widget.png");</v>
      </c>
    </row>
    <row r="204" spans="1:10" ht="14.25" customHeight="1">
      <c r="A204" s="49">
        <f t="shared" si="16"/>
        <v>196</v>
      </c>
      <c r="B204" s="49">
        <f t="shared" ref="B204:B209" si="17">A$198</f>
        <v>190</v>
      </c>
      <c r="C204" s="49">
        <v>11</v>
      </c>
      <c r="D204" s="50" t="s">
        <v>303</v>
      </c>
      <c r="E204" s="50"/>
      <c r="F204" s="50" t="s">
        <v>99</v>
      </c>
      <c r="G204" s="28" t="s">
        <v>203</v>
      </c>
      <c r="J204" t="str">
        <f t="shared" si="15"/>
        <v>datatable[195] = new Array("196","190","Bipropellant","11","Widget.png");</v>
      </c>
    </row>
    <row r="205" spans="1:10" ht="14.25" customHeight="1">
      <c r="A205" s="49">
        <f t="shared" si="16"/>
        <v>197</v>
      </c>
      <c r="B205" s="49">
        <f t="shared" si="17"/>
        <v>190</v>
      </c>
      <c r="C205" s="49">
        <v>11</v>
      </c>
      <c r="D205" s="50" t="s">
        <v>304</v>
      </c>
      <c r="E205" s="50"/>
      <c r="F205" s="50" t="s">
        <v>99</v>
      </c>
      <c r="G205" s="28" t="s">
        <v>203</v>
      </c>
      <c r="J205" t="str">
        <f t="shared" si="15"/>
        <v>datatable[196] = new Array("197","190","Monopropellant","11","Widget.png");</v>
      </c>
    </row>
    <row r="206" spans="1:10" ht="14.25" customHeight="1">
      <c r="A206" s="49">
        <f t="shared" si="16"/>
        <v>198</v>
      </c>
      <c r="B206" s="49">
        <f t="shared" si="17"/>
        <v>190</v>
      </c>
      <c r="C206" s="49">
        <v>11</v>
      </c>
      <c r="D206" s="50" t="s">
        <v>305</v>
      </c>
      <c r="E206" s="50"/>
      <c r="F206" s="50" t="s">
        <v>99</v>
      </c>
      <c r="G206" s="28" t="s">
        <v>203</v>
      </c>
      <c r="J206" t="str">
        <f t="shared" si="15"/>
        <v>datatable[197] = new Array("198","190","Solar Electric","11","Widget.png");</v>
      </c>
    </row>
    <row r="207" spans="1:10" ht="14.25" customHeight="1">
      <c r="A207" s="49">
        <f t="shared" si="16"/>
        <v>199</v>
      </c>
      <c r="B207" s="49">
        <f t="shared" si="17"/>
        <v>190</v>
      </c>
      <c r="C207" s="49">
        <v>11</v>
      </c>
      <c r="D207" s="50" t="s">
        <v>306</v>
      </c>
      <c r="E207" s="50"/>
      <c r="F207" s="50" t="s">
        <v>99</v>
      </c>
      <c r="G207" s="28" t="s">
        <v>203</v>
      </c>
      <c r="J207" t="str">
        <f t="shared" si="15"/>
        <v>datatable[198] = new Array("199","190","Ion","11","Widget.png");</v>
      </c>
    </row>
    <row r="208" spans="1:10" ht="14.25" customHeight="1">
      <c r="A208" s="49">
        <f t="shared" si="16"/>
        <v>200</v>
      </c>
      <c r="B208" s="49">
        <f t="shared" si="17"/>
        <v>190</v>
      </c>
      <c r="C208" s="49">
        <v>11</v>
      </c>
      <c r="D208" s="50" t="s">
        <v>307</v>
      </c>
      <c r="E208" s="50"/>
      <c r="F208" s="50" t="s">
        <v>99</v>
      </c>
      <c r="G208" s="28" t="s">
        <v>203</v>
      </c>
      <c r="J208" t="str">
        <f t="shared" si="15"/>
        <v>datatable[199] = new Array("200","190","Cold Gas","11","Widget.png");</v>
      </c>
    </row>
    <row r="209" spans="1:10" ht="14.25" customHeight="1">
      <c r="A209" s="49">
        <f t="shared" si="16"/>
        <v>201</v>
      </c>
      <c r="B209" s="49">
        <f t="shared" si="17"/>
        <v>190</v>
      </c>
      <c r="C209" s="49">
        <v>11</v>
      </c>
      <c r="D209" s="50" t="s">
        <v>308</v>
      </c>
      <c r="E209" s="50"/>
      <c r="F209" s="50" t="s">
        <v>99</v>
      </c>
      <c r="G209" s="28" t="s">
        <v>203</v>
      </c>
      <c r="J209" t="str">
        <f t="shared" si="15"/>
        <v>datatable[200] = new Array("201","190","Other Maneuvering Thrusters (Specify)","11","Widget.png");</v>
      </c>
    </row>
    <row r="210" spans="1:10" ht="14.25" customHeight="1">
      <c r="A210" s="49">
        <f t="shared" si="16"/>
        <v>202</v>
      </c>
      <c r="B210" s="49">
        <f>A$184</f>
        <v>176</v>
      </c>
      <c r="C210" s="49">
        <v>10</v>
      </c>
      <c r="D210" s="50" t="s">
        <v>309</v>
      </c>
      <c r="E210" s="50"/>
      <c r="F210" s="50" t="s">
        <v>97</v>
      </c>
      <c r="G210" s="28" t="s">
        <v>203</v>
      </c>
      <c r="J210" t="str">
        <f t="shared" si="15"/>
        <v>datatable[201] = new Array("202","176","Translation Thrusters","10","Widget.png");</v>
      </c>
    </row>
    <row r="211" spans="1:10" ht="14.25" customHeight="1">
      <c r="A211" s="49">
        <f t="shared" si="16"/>
        <v>203</v>
      </c>
      <c r="B211" s="49">
        <f t="shared" ref="B211:B216" si="18">A$205</f>
        <v>197</v>
      </c>
      <c r="C211" s="49">
        <v>11</v>
      </c>
      <c r="D211" s="50" t="s">
        <v>303</v>
      </c>
      <c r="E211" s="50"/>
      <c r="F211" s="50" t="s">
        <v>99</v>
      </c>
      <c r="G211" s="28" t="s">
        <v>203</v>
      </c>
      <c r="J211" t="str">
        <f t="shared" si="15"/>
        <v>datatable[202] = new Array("203","197","Bipropellant","11","Widget.png");</v>
      </c>
    </row>
    <row r="212" spans="1:10" ht="14.25" customHeight="1">
      <c r="A212" s="49">
        <f t="shared" si="16"/>
        <v>204</v>
      </c>
      <c r="B212" s="49">
        <f t="shared" si="18"/>
        <v>197</v>
      </c>
      <c r="C212" s="49">
        <v>11</v>
      </c>
      <c r="D212" s="50" t="s">
        <v>304</v>
      </c>
      <c r="E212" s="50"/>
      <c r="F212" s="50" t="s">
        <v>99</v>
      </c>
      <c r="G212" s="28" t="s">
        <v>203</v>
      </c>
      <c r="J212" t="str">
        <f t="shared" si="15"/>
        <v>datatable[203] = new Array("204","197","Monopropellant","11","Widget.png");</v>
      </c>
    </row>
    <row r="213" spans="1:10" ht="14.25" customHeight="1">
      <c r="A213" s="49">
        <f t="shared" si="16"/>
        <v>205</v>
      </c>
      <c r="B213" s="49">
        <f t="shared" si="18"/>
        <v>197</v>
      </c>
      <c r="C213" s="49">
        <v>11</v>
      </c>
      <c r="D213" s="50" t="s">
        <v>305</v>
      </c>
      <c r="E213" s="50"/>
      <c r="F213" s="50" t="s">
        <v>99</v>
      </c>
      <c r="G213" s="28" t="s">
        <v>203</v>
      </c>
      <c r="J213" t="str">
        <f t="shared" si="15"/>
        <v>datatable[204] = new Array("205","197","Solar Electric","11","Widget.png");</v>
      </c>
    </row>
    <row r="214" spans="1:10" ht="14.25" customHeight="1">
      <c r="A214" s="49">
        <f t="shared" si="16"/>
        <v>206</v>
      </c>
      <c r="B214" s="49">
        <f t="shared" si="18"/>
        <v>197</v>
      </c>
      <c r="C214" s="49">
        <v>11</v>
      </c>
      <c r="D214" s="50" t="s">
        <v>306</v>
      </c>
      <c r="E214" s="50"/>
      <c r="F214" s="50" t="s">
        <v>99</v>
      </c>
      <c r="G214" s="28" t="s">
        <v>203</v>
      </c>
      <c r="J214" t="str">
        <f t="shared" si="15"/>
        <v>datatable[205] = new Array("206","197","Ion","11","Widget.png");</v>
      </c>
    </row>
    <row r="215" spans="1:10" ht="14.25" customHeight="1">
      <c r="A215" s="49">
        <f t="shared" si="16"/>
        <v>207</v>
      </c>
      <c r="B215" s="49">
        <f t="shared" si="18"/>
        <v>197</v>
      </c>
      <c r="C215" s="49">
        <v>11</v>
      </c>
      <c r="D215" s="50" t="s">
        <v>307</v>
      </c>
      <c r="E215" s="50"/>
      <c r="F215" s="50" t="s">
        <v>99</v>
      </c>
      <c r="G215" s="28" t="s">
        <v>203</v>
      </c>
      <c r="J215" t="str">
        <f t="shared" si="15"/>
        <v>datatable[206] = new Array("207","197","Cold Gas","11","Widget.png");</v>
      </c>
    </row>
    <row r="216" spans="1:10" ht="14.25" customHeight="1">
      <c r="A216" s="49">
        <f t="shared" si="16"/>
        <v>208</v>
      </c>
      <c r="B216" s="49">
        <f t="shared" si="18"/>
        <v>197</v>
      </c>
      <c r="C216" s="49">
        <v>11</v>
      </c>
      <c r="D216" s="50" t="s">
        <v>310</v>
      </c>
      <c r="E216" s="50"/>
      <c r="F216" s="50" t="s">
        <v>99</v>
      </c>
      <c r="G216" s="28" t="s">
        <v>203</v>
      </c>
      <c r="J216" t="str">
        <f t="shared" si="15"/>
        <v>datatable[207] = new Array("208","197","Other Translation Thrusters (Specify)","11","Widget.png");</v>
      </c>
    </row>
    <row r="217" spans="1:10" ht="14.25" customHeight="1">
      <c r="A217" s="49">
        <f t="shared" si="16"/>
        <v>209</v>
      </c>
      <c r="B217" s="49">
        <f>A$184</f>
        <v>176</v>
      </c>
      <c r="C217" s="49">
        <v>10</v>
      </c>
      <c r="D217" s="50" t="s">
        <v>311</v>
      </c>
      <c r="E217" s="50"/>
      <c r="F217" s="50" t="s">
        <v>97</v>
      </c>
      <c r="G217" s="28" t="s">
        <v>203</v>
      </c>
      <c r="J217" t="str">
        <f t="shared" si="15"/>
        <v>datatable[208] = new Array("209","176","Propellant","10","Widget.png");</v>
      </c>
    </row>
    <row r="218" spans="1:10" ht="14.25" customHeight="1">
      <c r="A218" s="49">
        <f t="shared" si="16"/>
        <v>210</v>
      </c>
      <c r="B218" s="49">
        <f>A$212</f>
        <v>204</v>
      </c>
      <c r="C218" s="49">
        <v>11</v>
      </c>
      <c r="D218" s="50" t="s">
        <v>312</v>
      </c>
      <c r="E218" s="50"/>
      <c r="F218" s="50" t="s">
        <v>99</v>
      </c>
      <c r="G218" s="28" t="s">
        <v>203</v>
      </c>
      <c r="J218" t="str">
        <f t="shared" si="15"/>
        <v>datatable[209] = new Array("210","204","Solid Propellant","11","Widget.png");</v>
      </c>
    </row>
    <row r="219" spans="1:10" ht="14.25" customHeight="1">
      <c r="A219" s="49">
        <f t="shared" si="16"/>
        <v>211</v>
      </c>
      <c r="B219" s="49">
        <f>A$212</f>
        <v>204</v>
      </c>
      <c r="C219" s="49">
        <v>11</v>
      </c>
      <c r="D219" s="50" t="s">
        <v>313</v>
      </c>
      <c r="E219" s="50"/>
      <c r="F219" s="50" t="s">
        <v>99</v>
      </c>
      <c r="G219" s="28" t="s">
        <v>203</v>
      </c>
      <c r="J219" t="str">
        <f t="shared" si="15"/>
        <v>datatable[210] = new Array("211","204","Liquid Propellant","11","Widget.png");</v>
      </c>
    </row>
    <row r="220" spans="1:10" ht="14.25" customHeight="1">
      <c r="A220" s="49">
        <f t="shared" si="16"/>
        <v>212</v>
      </c>
      <c r="B220" s="49">
        <f>A$212</f>
        <v>204</v>
      </c>
      <c r="C220" s="49">
        <v>11</v>
      </c>
      <c r="D220" s="50" t="s">
        <v>314</v>
      </c>
      <c r="E220" s="50"/>
      <c r="F220" s="50" t="s">
        <v>99</v>
      </c>
      <c r="G220" s="28" t="s">
        <v>203</v>
      </c>
      <c r="J220" t="str">
        <f t="shared" si="15"/>
        <v>datatable[211] = new Array("212","204","Prussurant Propellant","11","Widget.png");</v>
      </c>
    </row>
    <row r="221" spans="1:10" ht="14.25" customHeight="1">
      <c r="A221" s="49">
        <f t="shared" si="16"/>
        <v>213</v>
      </c>
      <c r="B221" s="49">
        <f>A$212</f>
        <v>204</v>
      </c>
      <c r="C221" s="49">
        <v>11</v>
      </c>
      <c r="D221" s="50" t="s">
        <v>315</v>
      </c>
      <c r="E221" s="50"/>
      <c r="F221" s="50" t="s">
        <v>99</v>
      </c>
      <c r="G221" s="28" t="s">
        <v>203</v>
      </c>
      <c r="J221" t="str">
        <f t="shared" si="15"/>
        <v>datatable[212] = new Array("213","204","Other Propellant (Specify)","11","Widget.png");</v>
      </c>
    </row>
    <row r="222" spans="1:10" ht="14.25" customHeight="1">
      <c r="A222" s="49">
        <f t="shared" si="16"/>
        <v>214</v>
      </c>
      <c r="B222" s="49">
        <f>A$184</f>
        <v>176</v>
      </c>
      <c r="C222" s="49">
        <v>11</v>
      </c>
      <c r="D222" s="50" t="s">
        <v>316</v>
      </c>
      <c r="E222" s="50"/>
      <c r="F222" s="50" t="s">
        <v>99</v>
      </c>
      <c r="G222" s="28" t="s">
        <v>203</v>
      </c>
      <c r="J222" t="str">
        <f t="shared" si="15"/>
        <v>datatable[213] = new Array("214","176","Solid Rocket Motors","11","Widget.png");</v>
      </c>
    </row>
    <row r="223" spans="1:10" ht="14.25" customHeight="1">
      <c r="A223" s="49">
        <f t="shared" si="16"/>
        <v>215</v>
      </c>
      <c r="B223" s="49">
        <f>A$184</f>
        <v>176</v>
      </c>
      <c r="C223" s="49">
        <v>11</v>
      </c>
      <c r="D223" s="50" t="s">
        <v>317</v>
      </c>
      <c r="E223" s="50"/>
      <c r="F223" s="50" t="s">
        <v>99</v>
      </c>
      <c r="G223" s="28" t="s">
        <v>203</v>
      </c>
      <c r="J223" t="str">
        <f t="shared" si="15"/>
        <v>datatable[214] = new Array("215","176","Power Electronics","11","Widget.png");</v>
      </c>
    </row>
    <row r="224" spans="1:10" ht="14.25" customHeight="1">
      <c r="A224" s="49">
        <f t="shared" si="16"/>
        <v>216</v>
      </c>
      <c r="B224" s="49">
        <f>A$184</f>
        <v>176</v>
      </c>
      <c r="C224" s="49">
        <v>11</v>
      </c>
      <c r="D224" s="50" t="s">
        <v>318</v>
      </c>
      <c r="E224" s="50"/>
      <c r="F224" s="50" t="s">
        <v>99</v>
      </c>
      <c r="G224" s="28" t="s">
        <v>203</v>
      </c>
      <c r="J224" t="str">
        <f t="shared" si="15"/>
        <v>datatable[215] = new Array("216","176","Propulsion Other (Specify)","11","Widget.png");</v>
      </c>
    </row>
    <row r="225" spans="1:10" ht="14.25" customHeight="1">
      <c r="A225" s="49">
        <f t="shared" si="16"/>
        <v>217</v>
      </c>
      <c r="B225" s="49">
        <f>A$69</f>
        <v>61</v>
      </c>
      <c r="C225" s="49">
        <v>9</v>
      </c>
      <c r="D225" s="50" t="s">
        <v>319</v>
      </c>
      <c r="E225" s="50"/>
      <c r="F225" s="50" t="s">
        <v>95</v>
      </c>
      <c r="G225" s="28" t="s">
        <v>203</v>
      </c>
      <c r="J225" t="str">
        <f t="shared" si="15"/>
        <v>datatable[216] = new Array("217","61","Telemetry, Tracking, and Command Subsystem (TT&amp;C)","9","Widget.png");</v>
      </c>
    </row>
    <row r="226" spans="1:10" ht="14.25" customHeight="1">
      <c r="A226" s="49">
        <f t="shared" si="16"/>
        <v>218</v>
      </c>
      <c r="B226" s="49">
        <f>A$220</f>
        <v>212</v>
      </c>
      <c r="C226" s="49">
        <v>10</v>
      </c>
      <c r="D226" s="50" t="s">
        <v>320</v>
      </c>
      <c r="E226" s="50"/>
      <c r="F226" s="50" t="s">
        <v>97</v>
      </c>
      <c r="G226" s="28" t="s">
        <v>194</v>
      </c>
      <c r="J226" t="str">
        <f t="shared" si="15"/>
        <v>datatable[217] = new Array("218","212","TT&amp;C Subsystem SEITPM","10","SEITPM.png");</v>
      </c>
    </row>
    <row r="227" spans="1:10" ht="14.25" customHeight="1">
      <c r="A227" s="49">
        <f t="shared" si="16"/>
        <v>219</v>
      </c>
      <c r="B227" s="49">
        <f>A$221</f>
        <v>213</v>
      </c>
      <c r="C227" s="49">
        <v>11</v>
      </c>
      <c r="D227" s="50" t="s">
        <v>195</v>
      </c>
      <c r="E227" s="50"/>
      <c r="F227" s="50" t="s">
        <v>99</v>
      </c>
      <c r="G227" s="28" t="s">
        <v>194</v>
      </c>
      <c r="J227" t="str">
        <f t="shared" si="15"/>
        <v>datatable[218] = new Array("219","213","Project Management","11","SEITPM.png");</v>
      </c>
    </row>
    <row r="228" spans="1:10" ht="14.25" customHeight="1">
      <c r="A228" s="49">
        <f t="shared" si="16"/>
        <v>220</v>
      </c>
      <c r="B228" s="49">
        <f>A$221</f>
        <v>213</v>
      </c>
      <c r="C228" s="49">
        <v>11</v>
      </c>
      <c r="D228" s="50" t="s">
        <v>196</v>
      </c>
      <c r="E228" s="50"/>
      <c r="F228" s="50" t="s">
        <v>99</v>
      </c>
      <c r="G228" s="28" t="s">
        <v>194</v>
      </c>
      <c r="J228" t="str">
        <f t="shared" si="15"/>
        <v>datatable[219] = new Array("220","213","Systems Engineering","11","SEITPM.png");</v>
      </c>
    </row>
    <row r="229" spans="1:10" ht="14.25" customHeight="1">
      <c r="A229" s="49">
        <f t="shared" si="16"/>
        <v>221</v>
      </c>
      <c r="B229" s="49">
        <f>A$221</f>
        <v>213</v>
      </c>
      <c r="C229" s="49">
        <v>11</v>
      </c>
      <c r="D229" s="50" t="s">
        <v>197</v>
      </c>
      <c r="E229" s="50"/>
      <c r="F229" s="50" t="s">
        <v>99</v>
      </c>
      <c r="G229" s="28" t="s">
        <v>194</v>
      </c>
      <c r="J229" t="str">
        <f t="shared" si="15"/>
        <v>datatable[220] = new Array("221","213","Mission Assurance","11","SEITPM.png");</v>
      </c>
    </row>
    <row r="230" spans="1:10" ht="14.25" customHeight="1">
      <c r="A230" s="49">
        <f t="shared" si="16"/>
        <v>222</v>
      </c>
      <c r="B230" s="49">
        <f>A$221</f>
        <v>213</v>
      </c>
      <c r="C230" s="49">
        <v>11</v>
      </c>
      <c r="D230" s="50" t="s">
        <v>198</v>
      </c>
      <c r="E230" s="50"/>
      <c r="F230" s="50" t="s">
        <v>99</v>
      </c>
      <c r="G230" s="28" t="s">
        <v>194</v>
      </c>
      <c r="J230" t="str">
        <f t="shared" si="15"/>
        <v>datatable[221] = new Array("222","213","Assembly, Integration and Testing","11","SEITPM.png");</v>
      </c>
    </row>
    <row r="231" spans="1:10" ht="14.25" customHeight="1">
      <c r="A231" s="49">
        <f t="shared" si="16"/>
        <v>223</v>
      </c>
      <c r="B231" s="49">
        <f>A$221</f>
        <v>213</v>
      </c>
      <c r="C231" s="49">
        <v>11</v>
      </c>
      <c r="D231" s="50" t="s">
        <v>199</v>
      </c>
      <c r="E231" s="50"/>
      <c r="F231" s="50" t="s">
        <v>99</v>
      </c>
      <c r="G231" s="28" t="s">
        <v>194</v>
      </c>
      <c r="J231" t="str">
        <f t="shared" si="15"/>
        <v>datatable[222] = new Array("223","213","Support Equipment","11","SEITPM.png");</v>
      </c>
    </row>
    <row r="232" spans="1:10" ht="14.25" customHeight="1">
      <c r="A232" s="49">
        <f t="shared" si="16"/>
        <v>224</v>
      </c>
      <c r="B232" s="49">
        <f>A$220</f>
        <v>212</v>
      </c>
      <c r="C232" s="49">
        <v>10</v>
      </c>
      <c r="D232" s="50" t="s">
        <v>321</v>
      </c>
      <c r="E232" s="50"/>
      <c r="F232" s="50" t="s">
        <v>97</v>
      </c>
      <c r="G232" s="28" t="s">
        <v>203</v>
      </c>
      <c r="J232" t="str">
        <f t="shared" si="15"/>
        <v>datatable[223] = new Array("224","212","Antennas","10","Widget.png");</v>
      </c>
    </row>
    <row r="233" spans="1:10" ht="14.25" customHeight="1">
      <c r="A233" s="49">
        <f t="shared" si="16"/>
        <v>225</v>
      </c>
      <c r="B233" s="49">
        <f t="shared" ref="B233:B239" si="19">A$227</f>
        <v>219</v>
      </c>
      <c r="C233" s="49">
        <v>11</v>
      </c>
      <c r="D233" s="50" t="s">
        <v>322</v>
      </c>
      <c r="E233" s="50"/>
      <c r="F233" s="50" t="s">
        <v>99</v>
      </c>
      <c r="G233" s="28" t="s">
        <v>203</v>
      </c>
      <c r="J233" t="str">
        <f t="shared" si="15"/>
        <v>datatable[224] = new Array("225","219","Omnidirectional","11","Widget.png");</v>
      </c>
    </row>
    <row r="234" spans="1:10" ht="14.25" customHeight="1">
      <c r="A234" s="49">
        <f t="shared" si="16"/>
        <v>226</v>
      </c>
      <c r="B234" s="49">
        <f t="shared" si="19"/>
        <v>219</v>
      </c>
      <c r="C234" s="49">
        <v>11</v>
      </c>
      <c r="D234" s="50" t="s">
        <v>323</v>
      </c>
      <c r="E234" s="50"/>
      <c r="F234" s="50" t="s">
        <v>99</v>
      </c>
      <c r="G234" s="28" t="s">
        <v>203</v>
      </c>
      <c r="J234" t="str">
        <f t="shared" si="15"/>
        <v>datatable[225] = new Array("226","219","Spiral","11","Widget.png");</v>
      </c>
    </row>
    <row r="235" spans="1:10" ht="14.25" customHeight="1">
      <c r="A235" s="49">
        <f t="shared" si="16"/>
        <v>227</v>
      </c>
      <c r="B235" s="49">
        <f t="shared" si="19"/>
        <v>219</v>
      </c>
      <c r="C235" s="49">
        <v>11</v>
      </c>
      <c r="D235" s="50" t="s">
        <v>324</v>
      </c>
      <c r="E235" s="50"/>
      <c r="F235" s="50" t="s">
        <v>99</v>
      </c>
      <c r="G235" s="28" t="s">
        <v>203</v>
      </c>
      <c r="J235" t="str">
        <f t="shared" si="15"/>
        <v>datatable[226] = new Array("227","219","Horn","11","Widget.png");</v>
      </c>
    </row>
    <row r="236" spans="1:10" ht="14.25" customHeight="1">
      <c r="A236" s="49">
        <f t="shared" si="16"/>
        <v>228</v>
      </c>
      <c r="B236" s="49">
        <f t="shared" si="19"/>
        <v>219</v>
      </c>
      <c r="C236" s="49">
        <v>11</v>
      </c>
      <c r="D236" s="50" t="s">
        <v>325</v>
      </c>
      <c r="E236" s="50"/>
      <c r="F236" s="50" t="s">
        <v>99</v>
      </c>
      <c r="G236" s="28" t="s">
        <v>203</v>
      </c>
      <c r="J236" t="str">
        <f t="shared" si="15"/>
        <v>datatable[227] = new Array("228","219","Patch","11","Widget.png");</v>
      </c>
    </row>
    <row r="237" spans="1:10" ht="14.25" customHeight="1">
      <c r="A237" s="49">
        <f t="shared" si="16"/>
        <v>229</v>
      </c>
      <c r="B237" s="49">
        <f t="shared" si="19"/>
        <v>219</v>
      </c>
      <c r="C237" s="49">
        <v>11</v>
      </c>
      <c r="D237" s="50" t="s">
        <v>326</v>
      </c>
      <c r="E237" s="50"/>
      <c r="F237" s="50" t="s">
        <v>99</v>
      </c>
      <c r="G237" s="28" t="s">
        <v>203</v>
      </c>
      <c r="J237" t="str">
        <f t="shared" si="15"/>
        <v>datatable[228] = new Array("229","219","Parabolic","11","Widget.png");</v>
      </c>
    </row>
    <row r="238" spans="1:10" ht="14.25" customHeight="1">
      <c r="A238" s="49">
        <f t="shared" si="16"/>
        <v>230</v>
      </c>
      <c r="B238" s="49">
        <f t="shared" si="19"/>
        <v>219</v>
      </c>
      <c r="C238" s="49">
        <v>11</v>
      </c>
      <c r="D238" s="50" t="s">
        <v>327</v>
      </c>
      <c r="E238" s="50"/>
      <c r="F238" s="50" t="s">
        <v>99</v>
      </c>
      <c r="G238" s="28" t="s">
        <v>203</v>
      </c>
      <c r="J238" t="str">
        <f t="shared" si="15"/>
        <v>datatable[229] = new Array("230","219","Phased Array","11","Widget.png");</v>
      </c>
    </row>
    <row r="239" spans="1:10" ht="14.25" customHeight="1">
      <c r="A239" s="49">
        <f t="shared" si="16"/>
        <v>231</v>
      </c>
      <c r="B239" s="49">
        <f t="shared" si="19"/>
        <v>219</v>
      </c>
      <c r="C239" s="49">
        <v>11</v>
      </c>
      <c r="D239" s="50" t="s">
        <v>328</v>
      </c>
      <c r="E239" s="50"/>
      <c r="F239" s="50" t="s">
        <v>99</v>
      </c>
      <c r="G239" s="28" t="s">
        <v>203</v>
      </c>
      <c r="J239" t="str">
        <f t="shared" si="15"/>
        <v>datatable[230] = new Array("231","219","Other Antennas (Specify)","11","Widget.png");</v>
      </c>
    </row>
    <row r="240" spans="1:10" ht="14.25" customHeight="1">
      <c r="A240" s="49">
        <f t="shared" si="16"/>
        <v>232</v>
      </c>
      <c r="B240" s="49">
        <f>A$220</f>
        <v>212</v>
      </c>
      <c r="C240" s="49">
        <v>10</v>
      </c>
      <c r="D240" s="50" t="s">
        <v>329</v>
      </c>
      <c r="E240" s="50"/>
      <c r="F240" s="50" t="s">
        <v>97</v>
      </c>
      <c r="G240" s="28" t="s">
        <v>203</v>
      </c>
      <c r="J240" t="str">
        <f t="shared" si="15"/>
        <v>datatable[231] = new Array("232","212","Waveguides/Routers","10","Widget.png");</v>
      </c>
    </row>
    <row r="241" spans="1:10" ht="14.25" customHeight="1">
      <c r="A241" s="49">
        <f t="shared" si="16"/>
        <v>233</v>
      </c>
      <c r="B241" s="49">
        <f t="shared" ref="B241:B249" si="20">A$235</f>
        <v>227</v>
      </c>
      <c r="C241" s="49">
        <v>11</v>
      </c>
      <c r="D241" s="50" t="s">
        <v>330</v>
      </c>
      <c r="E241" s="50"/>
      <c r="F241" s="50" t="s">
        <v>99</v>
      </c>
      <c r="G241" s="28" t="s">
        <v>203</v>
      </c>
      <c r="J241" t="str">
        <f t="shared" si="15"/>
        <v>datatable[232] = new Array("233","227","Diplexers","11","Widget.png");</v>
      </c>
    </row>
    <row r="242" spans="1:10" ht="14.25" customHeight="1">
      <c r="A242" s="49">
        <f t="shared" si="16"/>
        <v>234</v>
      </c>
      <c r="B242" s="49">
        <f t="shared" si="20"/>
        <v>227</v>
      </c>
      <c r="C242" s="49">
        <v>11</v>
      </c>
      <c r="D242" s="50" t="s">
        <v>331</v>
      </c>
      <c r="E242" s="50"/>
      <c r="F242" s="50" t="s">
        <v>99</v>
      </c>
      <c r="G242" s="28" t="s">
        <v>203</v>
      </c>
      <c r="J242" t="str">
        <f t="shared" si="15"/>
        <v>datatable[233] = new Array("234","227","Triplexers","11","Widget.png");</v>
      </c>
    </row>
    <row r="243" spans="1:10" ht="14.25" customHeight="1">
      <c r="A243" s="49">
        <f t="shared" si="16"/>
        <v>235</v>
      </c>
      <c r="B243" s="49">
        <f t="shared" si="20"/>
        <v>227</v>
      </c>
      <c r="C243" s="49">
        <v>11</v>
      </c>
      <c r="D243" s="50" t="s">
        <v>332</v>
      </c>
      <c r="E243" s="50"/>
      <c r="F243" s="50" t="s">
        <v>99</v>
      </c>
      <c r="G243" s="28" t="s">
        <v>203</v>
      </c>
      <c r="J243" t="str">
        <f t="shared" si="15"/>
        <v>datatable[234] = new Array("235","227","Multiplexers","11","Widget.png");</v>
      </c>
    </row>
    <row r="244" spans="1:10" ht="14.25" customHeight="1">
      <c r="A244" s="49">
        <f t="shared" si="16"/>
        <v>236</v>
      </c>
      <c r="B244" s="49">
        <f t="shared" si="20"/>
        <v>227</v>
      </c>
      <c r="C244" s="49">
        <v>11</v>
      </c>
      <c r="D244" s="50" t="s">
        <v>333</v>
      </c>
      <c r="E244" s="50"/>
      <c r="F244" s="50" t="s">
        <v>99</v>
      </c>
      <c r="G244" s="28" t="s">
        <v>203</v>
      </c>
      <c r="J244" t="str">
        <f t="shared" si="15"/>
        <v>datatable[235] = new Array("236","227","Multicouplers","11","Widget.png");</v>
      </c>
    </row>
    <row r="245" spans="1:10" ht="14.25" customHeight="1">
      <c r="A245" s="49">
        <f t="shared" si="16"/>
        <v>237</v>
      </c>
      <c r="B245" s="49">
        <f t="shared" si="20"/>
        <v>227</v>
      </c>
      <c r="C245" s="49">
        <v>11</v>
      </c>
      <c r="D245" s="50" t="s">
        <v>334</v>
      </c>
      <c r="E245" s="50"/>
      <c r="F245" s="50" t="s">
        <v>99</v>
      </c>
      <c r="G245" s="28" t="s">
        <v>203</v>
      </c>
      <c r="J245" t="str">
        <f t="shared" si="15"/>
        <v>datatable[236] = new Array("237","227","Coaxial Switches","11","Widget.png");</v>
      </c>
    </row>
    <row r="246" spans="1:10" ht="14.25" customHeight="1">
      <c r="A246" s="49">
        <f t="shared" si="16"/>
        <v>238</v>
      </c>
      <c r="B246" s="49">
        <f t="shared" si="20"/>
        <v>227</v>
      </c>
      <c r="C246" s="49">
        <v>11</v>
      </c>
      <c r="D246" s="50" t="s">
        <v>335</v>
      </c>
      <c r="E246" s="50"/>
      <c r="F246" s="50" t="s">
        <v>99</v>
      </c>
      <c r="G246" s="28" t="s">
        <v>203</v>
      </c>
      <c r="J246" t="str">
        <f t="shared" si="15"/>
        <v>datatable[237] = new Array("238","227","RF Switches","11","Widget.png");</v>
      </c>
    </row>
    <row r="247" spans="1:10" ht="14.25" customHeight="1">
      <c r="A247" s="49">
        <f t="shared" si="16"/>
        <v>239</v>
      </c>
      <c r="B247" s="49">
        <f t="shared" si="20"/>
        <v>227</v>
      </c>
      <c r="C247" s="49">
        <v>11</v>
      </c>
      <c r="D247" s="50" t="s">
        <v>336</v>
      </c>
      <c r="E247" s="50"/>
      <c r="F247" s="50" t="s">
        <v>99</v>
      </c>
      <c r="G247" s="28" t="s">
        <v>203</v>
      </c>
      <c r="J247" t="str">
        <f t="shared" si="15"/>
        <v>datatable[238] = new Array("239","227","Filters","11","Widget.png");</v>
      </c>
    </row>
    <row r="248" spans="1:10" ht="14.25" customHeight="1">
      <c r="A248" s="49">
        <f t="shared" si="16"/>
        <v>240</v>
      </c>
      <c r="B248" s="49">
        <f t="shared" si="20"/>
        <v>227</v>
      </c>
      <c r="C248" s="49">
        <v>11</v>
      </c>
      <c r="D248" s="50" t="s">
        <v>337</v>
      </c>
      <c r="E248" s="50"/>
      <c r="F248" s="50" t="s">
        <v>99</v>
      </c>
      <c r="G248" s="28" t="s">
        <v>203</v>
      </c>
      <c r="J248" t="str">
        <f t="shared" si="15"/>
        <v>datatable[239] = new Array("240","227","Waveguides","11","Widget.png");</v>
      </c>
    </row>
    <row r="249" spans="1:10" ht="14.25" customHeight="1">
      <c r="A249" s="49">
        <f t="shared" si="16"/>
        <v>241</v>
      </c>
      <c r="B249" s="49">
        <f t="shared" si="20"/>
        <v>227</v>
      </c>
      <c r="C249" s="49">
        <v>11</v>
      </c>
      <c r="D249" s="50" t="s">
        <v>338</v>
      </c>
      <c r="E249" s="50"/>
      <c r="F249" s="50" t="s">
        <v>99</v>
      </c>
      <c r="G249" s="28" t="s">
        <v>203</v>
      </c>
      <c r="J249" t="str">
        <f t="shared" si="15"/>
        <v>datatable[240] = new Array("241","227","Other Routers (Specify)","11","Widget.png");</v>
      </c>
    </row>
    <row r="250" spans="1:10" ht="14.25" customHeight="1">
      <c r="A250" s="49">
        <f t="shared" si="16"/>
        <v>242</v>
      </c>
      <c r="B250" s="49">
        <f>A$220</f>
        <v>212</v>
      </c>
      <c r="C250" s="49">
        <v>10</v>
      </c>
      <c r="D250" s="50" t="s">
        <v>339</v>
      </c>
      <c r="E250" s="50"/>
      <c r="F250" s="50" t="s">
        <v>97</v>
      </c>
      <c r="G250" s="28" t="s">
        <v>203</v>
      </c>
      <c r="J250" t="str">
        <f t="shared" si="15"/>
        <v>datatable[241] = new Array("242","212","Radio Frequency Equipment","10","Widget.png");</v>
      </c>
    </row>
    <row r="251" spans="1:10" ht="14.25" customHeight="1">
      <c r="A251" s="49">
        <f t="shared" si="16"/>
        <v>243</v>
      </c>
      <c r="B251" s="49">
        <f t="shared" ref="B251:B264" si="21">A$245</f>
        <v>237</v>
      </c>
      <c r="C251" s="49">
        <v>11</v>
      </c>
      <c r="D251" s="50" t="s">
        <v>340</v>
      </c>
      <c r="E251" s="50"/>
      <c r="F251" s="50" t="s">
        <v>99</v>
      </c>
      <c r="G251" s="28" t="s">
        <v>203</v>
      </c>
      <c r="J251" t="str">
        <f t="shared" si="15"/>
        <v>datatable[242] = new Array("243","237","Amplifiers","11","Widget.png");</v>
      </c>
    </row>
    <row r="252" spans="1:10" ht="14.25" customHeight="1">
      <c r="A252" s="49">
        <f t="shared" si="16"/>
        <v>244</v>
      </c>
      <c r="B252" s="49">
        <f t="shared" si="21"/>
        <v>237</v>
      </c>
      <c r="C252" s="49">
        <v>11</v>
      </c>
      <c r="D252" s="50" t="s">
        <v>341</v>
      </c>
      <c r="E252" s="50"/>
      <c r="F252" s="50" t="s">
        <v>99</v>
      </c>
      <c r="G252" s="28" t="s">
        <v>203</v>
      </c>
      <c r="J252" t="str">
        <f t="shared" si="15"/>
        <v>datatable[243] = new Array("244","237","Receivers","11","Widget.png");</v>
      </c>
    </row>
    <row r="253" spans="1:10" ht="14.25" customHeight="1">
      <c r="A253" s="49">
        <f t="shared" si="16"/>
        <v>245</v>
      </c>
      <c r="B253" s="49">
        <f t="shared" si="21"/>
        <v>237</v>
      </c>
      <c r="C253" s="49">
        <v>11</v>
      </c>
      <c r="D253" s="50" t="s">
        <v>342</v>
      </c>
      <c r="E253" s="50"/>
      <c r="F253" s="50" t="s">
        <v>99</v>
      </c>
      <c r="G253" s="28" t="s">
        <v>203</v>
      </c>
      <c r="J253" t="str">
        <f t="shared" si="15"/>
        <v>datatable[244] = new Array("245","237","Transmitters","11","Widget.png");</v>
      </c>
    </row>
    <row r="254" spans="1:10" ht="14.25" customHeight="1">
      <c r="A254" s="49">
        <f t="shared" si="16"/>
        <v>246</v>
      </c>
      <c r="B254" s="49">
        <f t="shared" si="21"/>
        <v>237</v>
      </c>
      <c r="C254" s="49">
        <v>11</v>
      </c>
      <c r="D254" s="50" t="s">
        <v>343</v>
      </c>
      <c r="E254" s="50"/>
      <c r="F254" s="50" t="s">
        <v>99</v>
      </c>
      <c r="G254" s="28" t="s">
        <v>203</v>
      </c>
      <c r="J254" t="str">
        <f t="shared" si="15"/>
        <v>datatable[245] = new Array("246","237","Transceivers","11","Widget.png");</v>
      </c>
    </row>
    <row r="255" spans="1:10" ht="14.25" customHeight="1">
      <c r="A255" s="49">
        <f t="shared" si="16"/>
        <v>247</v>
      </c>
      <c r="B255" s="49">
        <f t="shared" si="21"/>
        <v>237</v>
      </c>
      <c r="C255" s="49">
        <v>11</v>
      </c>
      <c r="D255" s="50" t="s">
        <v>344</v>
      </c>
      <c r="E255" s="50"/>
      <c r="F255" s="50" t="s">
        <v>99</v>
      </c>
      <c r="G255" s="28" t="s">
        <v>203</v>
      </c>
      <c r="J255" t="str">
        <f t="shared" si="15"/>
        <v>datatable[246] = new Array("247","237","Transponders","11","Widget.png");</v>
      </c>
    </row>
    <row r="256" spans="1:10" ht="14.25" customHeight="1">
      <c r="A256" s="49">
        <f t="shared" si="16"/>
        <v>248</v>
      </c>
      <c r="B256" s="49">
        <f t="shared" si="21"/>
        <v>237</v>
      </c>
      <c r="C256" s="49">
        <v>11</v>
      </c>
      <c r="D256" s="50" t="s">
        <v>345</v>
      </c>
      <c r="E256" s="50"/>
      <c r="F256" s="50" t="s">
        <v>99</v>
      </c>
      <c r="G256" s="28" t="s">
        <v>203</v>
      </c>
      <c r="J256" t="str">
        <f t="shared" si="15"/>
        <v>datatable[247] = new Array("248","237","Modulators","11","Widget.png");</v>
      </c>
    </row>
    <row r="257" spans="1:10" ht="14.25" customHeight="1">
      <c r="A257" s="49">
        <f t="shared" si="16"/>
        <v>249</v>
      </c>
      <c r="B257" s="49">
        <f t="shared" si="21"/>
        <v>237</v>
      </c>
      <c r="C257" s="49">
        <v>11</v>
      </c>
      <c r="D257" s="50" t="s">
        <v>346</v>
      </c>
      <c r="E257" s="50"/>
      <c r="F257" s="50" t="s">
        <v>99</v>
      </c>
      <c r="G257" s="28" t="s">
        <v>203</v>
      </c>
      <c r="J257" t="str">
        <f t="shared" si="15"/>
        <v>datatable[248] = new Array("249","237","Demodulators","11","Widget.png");</v>
      </c>
    </row>
    <row r="258" spans="1:10" ht="14.25" customHeight="1">
      <c r="A258" s="49">
        <f t="shared" si="16"/>
        <v>250</v>
      </c>
      <c r="B258" s="49">
        <f t="shared" si="21"/>
        <v>237</v>
      </c>
      <c r="C258" s="49">
        <v>11</v>
      </c>
      <c r="D258" s="50" t="s">
        <v>347</v>
      </c>
      <c r="E258" s="50"/>
      <c r="F258" s="50" t="s">
        <v>99</v>
      </c>
      <c r="G258" s="28" t="s">
        <v>203</v>
      </c>
      <c r="J258" t="str">
        <f t="shared" si="15"/>
        <v>datatable[249] = new Array("250","237","Modems","11","Widget.png");</v>
      </c>
    </row>
    <row r="259" spans="1:10" ht="14.25" customHeight="1">
      <c r="A259" s="49">
        <f t="shared" si="16"/>
        <v>251</v>
      </c>
      <c r="B259" s="49">
        <f t="shared" si="21"/>
        <v>237</v>
      </c>
      <c r="C259" s="49">
        <v>11</v>
      </c>
      <c r="D259" s="50" t="s">
        <v>348</v>
      </c>
      <c r="E259" s="50"/>
      <c r="F259" s="50" t="s">
        <v>99</v>
      </c>
      <c r="G259" s="28" t="s">
        <v>203</v>
      </c>
      <c r="J259" t="str">
        <f t="shared" si="15"/>
        <v>datatable[250] = new Array("251","237","Traveling Wave Tube Assemblies","11","Widget.png");</v>
      </c>
    </row>
    <row r="260" spans="1:10" ht="14.25" customHeight="1">
      <c r="A260" s="49">
        <f t="shared" si="16"/>
        <v>252</v>
      </c>
      <c r="B260" s="49">
        <f t="shared" si="21"/>
        <v>237</v>
      </c>
      <c r="C260" s="49">
        <v>11</v>
      </c>
      <c r="D260" s="50" t="s">
        <v>349</v>
      </c>
      <c r="E260" s="50"/>
      <c r="F260" s="50" t="s">
        <v>99</v>
      </c>
      <c r="G260" s="28" t="s">
        <v>203</v>
      </c>
      <c r="J260" t="str">
        <f t="shared" si="15"/>
        <v>datatable[251] = new Array("252","237","Solid State Power Amplifiers","11","Widget.png");</v>
      </c>
    </row>
    <row r="261" spans="1:10" ht="14.25" customHeight="1">
      <c r="A261" s="49">
        <f t="shared" si="16"/>
        <v>253</v>
      </c>
      <c r="B261" s="49">
        <f t="shared" si="21"/>
        <v>237</v>
      </c>
      <c r="C261" s="49">
        <v>11</v>
      </c>
      <c r="D261" s="50" t="s">
        <v>273</v>
      </c>
      <c r="E261" s="50"/>
      <c r="F261" s="50" t="s">
        <v>99</v>
      </c>
      <c r="G261" s="28" t="s">
        <v>203</v>
      </c>
      <c r="J261" t="str">
        <f t="shared" si="15"/>
        <v>datatable[252] = new Array("253","237","Global Positioning System (GPS) Receiver","11","Widget.png");</v>
      </c>
    </row>
    <row r="262" spans="1:10" ht="14.25" customHeight="1">
      <c r="A262" s="49">
        <f t="shared" si="16"/>
        <v>254</v>
      </c>
      <c r="B262" s="49">
        <f t="shared" si="21"/>
        <v>237</v>
      </c>
      <c r="C262" s="49">
        <v>11</v>
      </c>
      <c r="D262" s="50" t="s">
        <v>350</v>
      </c>
      <c r="E262" s="50"/>
      <c r="F262" s="50" t="s">
        <v>99</v>
      </c>
      <c r="G262" s="28" t="s">
        <v>203</v>
      </c>
      <c r="J262" t="str">
        <f t="shared" si="15"/>
        <v>datatable[253] = new Array("254","237","Downconverters","11","Widget.png");</v>
      </c>
    </row>
    <row r="263" spans="1:10" ht="14.25" customHeight="1">
      <c r="A263" s="49">
        <f t="shared" si="16"/>
        <v>255</v>
      </c>
      <c r="B263" s="49">
        <f t="shared" si="21"/>
        <v>237</v>
      </c>
      <c r="C263" s="49">
        <v>11</v>
      </c>
      <c r="D263" s="50" t="s">
        <v>351</v>
      </c>
      <c r="E263" s="50"/>
      <c r="F263" s="50" t="s">
        <v>99</v>
      </c>
      <c r="G263" s="28" t="s">
        <v>203</v>
      </c>
      <c r="J263" t="str">
        <f t="shared" si="15"/>
        <v>datatable[254] = new Array("255","237","Upconverters","11","Widget.png");</v>
      </c>
    </row>
    <row r="264" spans="1:10" ht="14.25" customHeight="1">
      <c r="A264" s="49">
        <f t="shared" si="16"/>
        <v>256</v>
      </c>
      <c r="B264" s="49">
        <f t="shared" si="21"/>
        <v>237</v>
      </c>
      <c r="C264" s="49">
        <v>11</v>
      </c>
      <c r="D264" s="50" t="s">
        <v>352</v>
      </c>
      <c r="E264" s="50"/>
      <c r="F264" s="50" t="s">
        <v>99</v>
      </c>
      <c r="G264" s="28" t="s">
        <v>203</v>
      </c>
      <c r="J264" t="str">
        <f t="shared" si="15"/>
        <v>datatable[255] = new Array("256","237","Other RF Equipment (Specify)","11","Widget.png");</v>
      </c>
    </row>
    <row r="265" spans="1:10" ht="14.25" customHeight="1">
      <c r="A265" s="49">
        <f t="shared" si="16"/>
        <v>257</v>
      </c>
      <c r="B265" s="49">
        <f>A$220</f>
        <v>212</v>
      </c>
      <c r="C265" s="49">
        <v>10</v>
      </c>
      <c r="D265" s="50" t="s">
        <v>353</v>
      </c>
      <c r="E265" s="50"/>
      <c r="F265" s="50" t="s">
        <v>97</v>
      </c>
      <c r="G265" s="28" t="s">
        <v>203</v>
      </c>
      <c r="J265" t="str">
        <f t="shared" ref="J265:J328" si="22">"datatable["&amp;A265-1&amp;"] = new Array(""" &amp; A265 &amp;""",""" &amp; B265 &amp;""",""" &amp; D265 &amp; """,""" &amp; C265&amp;""","""&amp;""&amp;G265&amp;""");"</f>
        <v>datatable[256] = new Array("257","212","Command and Data Handling (C&amp;DH)","10","Widget.png");</v>
      </c>
    </row>
    <row r="266" spans="1:10" ht="14.25" customHeight="1">
      <c r="A266" s="49">
        <f t="shared" si="16"/>
        <v>258</v>
      </c>
      <c r="B266" s="49">
        <f t="shared" ref="B266:B281" si="23">A$260</f>
        <v>252</v>
      </c>
      <c r="C266" s="49">
        <v>11</v>
      </c>
      <c r="D266" s="50" t="s">
        <v>354</v>
      </c>
      <c r="E266" s="50"/>
      <c r="F266" s="50" t="s">
        <v>99</v>
      </c>
      <c r="G266" s="28" t="s">
        <v>203</v>
      </c>
      <c r="J266" t="str">
        <f t="shared" si="22"/>
        <v>datatable[257] = new Array("258","252","Processors","11","Widget.png");</v>
      </c>
    </row>
    <row r="267" spans="1:10" ht="14.25" customHeight="1">
      <c r="A267" s="49">
        <f t="shared" ref="A267:A330" si="24">A266+1</f>
        <v>259</v>
      </c>
      <c r="B267" s="49">
        <f t="shared" si="23"/>
        <v>252</v>
      </c>
      <c r="C267" s="49">
        <v>11</v>
      </c>
      <c r="D267" s="50" t="s">
        <v>355</v>
      </c>
      <c r="E267" s="50"/>
      <c r="F267" s="50" t="s">
        <v>99</v>
      </c>
      <c r="G267" s="28" t="s">
        <v>203</v>
      </c>
      <c r="J267" t="str">
        <f t="shared" si="22"/>
        <v>datatable[258] = new Array("259","252","Solid State Memory","11","Widget.png");</v>
      </c>
    </row>
    <row r="268" spans="1:10" ht="14.25" customHeight="1">
      <c r="A268" s="49">
        <f t="shared" si="24"/>
        <v>260</v>
      </c>
      <c r="B268" s="49">
        <f t="shared" si="23"/>
        <v>252</v>
      </c>
      <c r="C268" s="49">
        <v>11</v>
      </c>
      <c r="D268" s="50" t="s">
        <v>356</v>
      </c>
      <c r="E268" s="50"/>
      <c r="F268" s="50" t="s">
        <v>99</v>
      </c>
      <c r="G268" s="28" t="s">
        <v>203</v>
      </c>
      <c r="J268" t="str">
        <f t="shared" si="22"/>
        <v>datatable[259] = new Array("260","252","Decoders","11","Widget.png");</v>
      </c>
    </row>
    <row r="269" spans="1:10" ht="14.25" customHeight="1">
      <c r="A269" s="49">
        <f t="shared" si="24"/>
        <v>261</v>
      </c>
      <c r="B269" s="49">
        <f t="shared" si="23"/>
        <v>252</v>
      </c>
      <c r="C269" s="49">
        <v>11</v>
      </c>
      <c r="D269" s="50" t="s">
        <v>357</v>
      </c>
      <c r="E269" s="50"/>
      <c r="F269" s="50" t="s">
        <v>99</v>
      </c>
      <c r="G269" s="28" t="s">
        <v>203</v>
      </c>
      <c r="J269" t="str">
        <f t="shared" si="22"/>
        <v>datatable[260] = new Array("261","252","Command Units","11","Widget.png");</v>
      </c>
    </row>
    <row r="270" spans="1:10" ht="14.25" customHeight="1">
      <c r="A270" s="49">
        <f t="shared" si="24"/>
        <v>262</v>
      </c>
      <c r="B270" s="49">
        <f t="shared" si="23"/>
        <v>252</v>
      </c>
      <c r="C270" s="49">
        <v>11</v>
      </c>
      <c r="D270" s="50" t="s">
        <v>358</v>
      </c>
      <c r="E270" s="50"/>
      <c r="F270" s="50" t="s">
        <v>99</v>
      </c>
      <c r="G270" s="28" t="s">
        <v>203</v>
      </c>
      <c r="J270" t="str">
        <f t="shared" si="22"/>
        <v>datatable[261] = new Array("262","252","Telemetry Units","11","Widget.png");</v>
      </c>
    </row>
    <row r="271" spans="1:10" ht="14.25" customHeight="1">
      <c r="A271" s="49">
        <f t="shared" si="24"/>
        <v>263</v>
      </c>
      <c r="B271" s="49">
        <f t="shared" si="23"/>
        <v>252</v>
      </c>
      <c r="C271" s="49">
        <v>11</v>
      </c>
      <c r="D271" s="50" t="s">
        <v>359</v>
      </c>
      <c r="E271" s="50"/>
      <c r="F271" s="50" t="s">
        <v>99</v>
      </c>
      <c r="G271" s="28" t="s">
        <v>203</v>
      </c>
      <c r="J271" t="str">
        <f t="shared" si="22"/>
        <v>datatable[262] = new Array("263","252","Command Sequencers","11","Widget.png");</v>
      </c>
    </row>
    <row r="272" spans="1:10" ht="14.25" customHeight="1">
      <c r="A272" s="49">
        <f t="shared" si="24"/>
        <v>264</v>
      </c>
      <c r="B272" s="49">
        <f t="shared" si="23"/>
        <v>252</v>
      </c>
      <c r="C272" s="49">
        <v>11</v>
      </c>
      <c r="D272" s="50" t="s">
        <v>360</v>
      </c>
      <c r="E272" s="50"/>
      <c r="F272" s="50" t="s">
        <v>99</v>
      </c>
      <c r="G272" s="28" t="s">
        <v>203</v>
      </c>
      <c r="J272" t="str">
        <f t="shared" si="22"/>
        <v>datatable[263] = new Array("264","252","Timing Units","11","Widget.png");</v>
      </c>
    </row>
    <row r="273" spans="1:10" ht="14.25" customHeight="1">
      <c r="A273" s="49">
        <f t="shared" si="24"/>
        <v>265</v>
      </c>
      <c r="B273" s="49">
        <f t="shared" si="23"/>
        <v>252</v>
      </c>
      <c r="C273" s="49">
        <v>11</v>
      </c>
      <c r="D273" s="50" t="s">
        <v>361</v>
      </c>
      <c r="E273" s="50"/>
      <c r="F273" s="50" t="s">
        <v>99</v>
      </c>
      <c r="G273" s="28" t="s">
        <v>203</v>
      </c>
      <c r="J273" t="str">
        <f t="shared" si="22"/>
        <v>datatable[264] = new Array("265","252","Frequency Generators","11","Widget.png");</v>
      </c>
    </row>
    <row r="274" spans="1:10" ht="14.25" customHeight="1">
      <c r="A274" s="49">
        <f t="shared" si="24"/>
        <v>266</v>
      </c>
      <c r="B274" s="49">
        <f t="shared" si="23"/>
        <v>252</v>
      </c>
      <c r="C274" s="49">
        <v>11</v>
      </c>
      <c r="D274" s="50" t="s">
        <v>362</v>
      </c>
      <c r="E274" s="50"/>
      <c r="F274" s="50" t="s">
        <v>99</v>
      </c>
      <c r="G274" s="28" t="s">
        <v>203</v>
      </c>
      <c r="J274" t="str">
        <f t="shared" si="22"/>
        <v>datatable[265] = new Array("266","252","Signal Conditioners","11","Widget.png");</v>
      </c>
    </row>
    <row r="275" spans="1:10" ht="14.25" customHeight="1">
      <c r="A275" s="49">
        <f t="shared" si="24"/>
        <v>267</v>
      </c>
      <c r="B275" s="49">
        <f t="shared" si="23"/>
        <v>252</v>
      </c>
      <c r="C275" s="49">
        <v>11</v>
      </c>
      <c r="D275" s="50" t="s">
        <v>363</v>
      </c>
      <c r="E275" s="50"/>
      <c r="F275" s="50" t="s">
        <v>99</v>
      </c>
      <c r="G275" s="28" t="s">
        <v>203</v>
      </c>
      <c r="J275" t="str">
        <f t="shared" si="22"/>
        <v>datatable[266] = new Array("267","252","Data Switches","11","Widget.png");</v>
      </c>
    </row>
    <row r="276" spans="1:10" ht="14.25" customHeight="1">
      <c r="A276" s="49">
        <f t="shared" si="24"/>
        <v>268</v>
      </c>
      <c r="B276" s="49">
        <f t="shared" si="23"/>
        <v>252</v>
      </c>
      <c r="C276" s="49">
        <v>11</v>
      </c>
      <c r="D276" s="50" t="s">
        <v>364</v>
      </c>
      <c r="E276" s="50"/>
      <c r="F276" s="50" t="s">
        <v>99</v>
      </c>
      <c r="G276" s="28" t="s">
        <v>203</v>
      </c>
      <c r="J276" t="str">
        <f t="shared" si="22"/>
        <v>datatable[267] = new Array("268","252","Communication Security","11","Widget.png");</v>
      </c>
    </row>
    <row r="277" spans="1:10" ht="14.25" customHeight="1">
      <c r="A277" s="49">
        <f t="shared" si="24"/>
        <v>269</v>
      </c>
      <c r="B277" s="49">
        <f t="shared" si="23"/>
        <v>252</v>
      </c>
      <c r="C277" s="49">
        <v>11</v>
      </c>
      <c r="D277" s="50" t="s">
        <v>365</v>
      </c>
      <c r="E277" s="50"/>
      <c r="F277" s="50" t="s">
        <v>99</v>
      </c>
      <c r="G277" s="28" t="s">
        <v>203</v>
      </c>
      <c r="J277" t="str">
        <f t="shared" si="22"/>
        <v>datatable[268] = new Array("269","252","Interface Units","11","Widget.png");</v>
      </c>
    </row>
    <row r="278" spans="1:10" ht="14.25" customHeight="1">
      <c r="A278" s="49">
        <f t="shared" si="24"/>
        <v>270</v>
      </c>
      <c r="B278" s="49">
        <f t="shared" si="23"/>
        <v>252</v>
      </c>
      <c r="C278" s="49">
        <v>11</v>
      </c>
      <c r="D278" s="50" t="s">
        <v>366</v>
      </c>
      <c r="E278" s="50"/>
      <c r="F278" s="50" t="s">
        <v>99</v>
      </c>
      <c r="G278" s="28" t="s">
        <v>203</v>
      </c>
      <c r="J278" t="str">
        <f t="shared" si="22"/>
        <v>datatable[269] = new Array("270","252","Tape Recorders","11","Widget.png");</v>
      </c>
    </row>
    <row r="279" spans="1:10" ht="14.25" customHeight="1">
      <c r="A279" s="49">
        <f t="shared" si="24"/>
        <v>271</v>
      </c>
      <c r="B279" s="49">
        <f t="shared" si="23"/>
        <v>252</v>
      </c>
      <c r="C279" s="49">
        <v>11</v>
      </c>
      <c r="D279" s="50" t="s">
        <v>367</v>
      </c>
      <c r="E279" s="50"/>
      <c r="F279" s="50" t="s">
        <v>99</v>
      </c>
      <c r="G279" s="28" t="s">
        <v>203</v>
      </c>
      <c r="J279" t="str">
        <f t="shared" si="22"/>
        <v>datatable[270] = new Array("271","252","Disk Recorders","11","Widget.png");</v>
      </c>
    </row>
    <row r="280" spans="1:10" ht="14.25" customHeight="1">
      <c r="A280" s="49">
        <f t="shared" si="24"/>
        <v>272</v>
      </c>
      <c r="B280" s="49">
        <f t="shared" si="23"/>
        <v>252</v>
      </c>
      <c r="C280" s="49">
        <v>11</v>
      </c>
      <c r="D280" s="50" t="s">
        <v>368</v>
      </c>
      <c r="E280" s="50"/>
      <c r="F280" s="50" t="s">
        <v>99</v>
      </c>
      <c r="G280" s="28" t="s">
        <v>203</v>
      </c>
      <c r="J280" t="str">
        <f t="shared" si="22"/>
        <v>datatable[271] = new Array("272","252","Command Sensor or Situational Awareness Sensors","11","Widget.png");</v>
      </c>
    </row>
    <row r="281" spans="1:10" ht="14.25" customHeight="1">
      <c r="A281" s="49">
        <f t="shared" si="24"/>
        <v>273</v>
      </c>
      <c r="B281" s="49">
        <f t="shared" si="23"/>
        <v>252</v>
      </c>
      <c r="C281" s="49">
        <v>11</v>
      </c>
      <c r="D281" s="50" t="s">
        <v>369</v>
      </c>
      <c r="E281" s="50"/>
      <c r="F281" s="50" t="s">
        <v>99</v>
      </c>
      <c r="G281" s="28" t="s">
        <v>203</v>
      </c>
      <c r="J281" t="str">
        <f t="shared" si="22"/>
        <v>datatable[272] = new Array("273","252","Other C&amp;DH (Specify)","11","Widget.png");</v>
      </c>
    </row>
    <row r="282" spans="1:10" ht="14.25" customHeight="1">
      <c r="A282" s="49">
        <f t="shared" si="24"/>
        <v>274</v>
      </c>
      <c r="B282" s="49">
        <f>A$220</f>
        <v>212</v>
      </c>
      <c r="C282" s="49">
        <v>10</v>
      </c>
      <c r="D282" s="50" t="s">
        <v>370</v>
      </c>
      <c r="E282" s="50"/>
      <c r="F282" s="50" t="s">
        <v>97</v>
      </c>
      <c r="G282" s="28" t="s">
        <v>203</v>
      </c>
      <c r="J282" t="str">
        <f t="shared" si="22"/>
        <v>datatable[273] = new Array("274","212","TT&amp;C Other (Specify)","10","Widget.png");</v>
      </c>
    </row>
    <row r="283" spans="1:10" ht="14.25" customHeight="1">
      <c r="A283" s="49">
        <f t="shared" si="24"/>
        <v>275</v>
      </c>
      <c r="B283" s="49">
        <f>A$69</f>
        <v>61</v>
      </c>
      <c r="C283" s="49">
        <v>9</v>
      </c>
      <c r="D283" s="50" t="s">
        <v>371</v>
      </c>
      <c r="E283" s="50"/>
      <c r="F283" s="50" t="s">
        <v>95</v>
      </c>
      <c r="G283" s="28" t="s">
        <v>203</v>
      </c>
      <c r="J283" t="str">
        <f t="shared" si="22"/>
        <v>datatable[274] = new Array("275","61","Bus Flight Software","9","Widget.png");</v>
      </c>
    </row>
    <row r="284" spans="1:10" ht="14.25" customHeight="1">
      <c r="A284" s="49">
        <f t="shared" si="24"/>
        <v>276</v>
      </c>
      <c r="B284" s="49">
        <f>A283</f>
        <v>275</v>
      </c>
      <c r="C284" s="49">
        <v>10</v>
      </c>
      <c r="D284" s="50" t="s">
        <v>372</v>
      </c>
      <c r="E284" s="50"/>
      <c r="F284" s="50" t="s">
        <v>97</v>
      </c>
      <c r="G284" s="28" t="s">
        <v>194</v>
      </c>
      <c r="J284" t="str">
        <f t="shared" si="22"/>
        <v>datatable[275] = new Array("276","275","Bus FSW Subsystem SEITPM","10","SEITPM.png");</v>
      </c>
    </row>
    <row r="285" spans="1:10" ht="14.25" customHeight="1">
      <c r="A285" s="49">
        <f t="shared" si="24"/>
        <v>277</v>
      </c>
      <c r="B285" s="49">
        <f>A$279</f>
        <v>271</v>
      </c>
      <c r="C285" s="49">
        <v>11</v>
      </c>
      <c r="D285" s="50" t="s">
        <v>195</v>
      </c>
      <c r="E285" s="50"/>
      <c r="F285" s="50" t="s">
        <v>99</v>
      </c>
      <c r="G285" s="28" t="s">
        <v>194</v>
      </c>
      <c r="J285" t="str">
        <f t="shared" si="22"/>
        <v>datatable[276] = new Array("277","271","Project Management","11","SEITPM.png");</v>
      </c>
    </row>
    <row r="286" spans="1:10" ht="14.25" customHeight="1">
      <c r="A286" s="49">
        <f t="shared" si="24"/>
        <v>278</v>
      </c>
      <c r="B286" s="49">
        <f>A$279</f>
        <v>271</v>
      </c>
      <c r="C286" s="49">
        <v>11</v>
      </c>
      <c r="D286" s="50" t="s">
        <v>196</v>
      </c>
      <c r="E286" s="50"/>
      <c r="F286" s="50" t="s">
        <v>99</v>
      </c>
      <c r="G286" s="28" t="s">
        <v>194</v>
      </c>
      <c r="J286" t="str">
        <f t="shared" si="22"/>
        <v>datatable[277] = new Array("278","271","Systems Engineering","11","SEITPM.png");</v>
      </c>
    </row>
    <row r="287" spans="1:10" ht="14.25" customHeight="1">
      <c r="A287" s="49">
        <f t="shared" si="24"/>
        <v>279</v>
      </c>
      <c r="B287" s="49">
        <f>A$279</f>
        <v>271</v>
      </c>
      <c r="C287" s="49">
        <v>11</v>
      </c>
      <c r="D287" s="50" t="s">
        <v>197</v>
      </c>
      <c r="E287" s="50"/>
      <c r="F287" s="50" t="s">
        <v>99</v>
      </c>
      <c r="G287" s="28" t="s">
        <v>194</v>
      </c>
      <c r="J287" t="str">
        <f t="shared" si="22"/>
        <v>datatable[278] = new Array("279","271","Mission Assurance","11","SEITPM.png");</v>
      </c>
    </row>
    <row r="288" spans="1:10" ht="14.25" customHeight="1">
      <c r="A288" s="49">
        <f t="shared" si="24"/>
        <v>280</v>
      </c>
      <c r="B288" s="49">
        <f>A$279</f>
        <v>271</v>
      </c>
      <c r="C288" s="49">
        <v>11</v>
      </c>
      <c r="D288" s="50" t="s">
        <v>198</v>
      </c>
      <c r="E288" s="50"/>
      <c r="F288" s="50" t="s">
        <v>99</v>
      </c>
      <c r="G288" s="28" t="s">
        <v>194</v>
      </c>
      <c r="J288" t="str">
        <f t="shared" si="22"/>
        <v>datatable[279] = new Array("280","271","Assembly, Integration and Testing","11","SEITPM.png");</v>
      </c>
    </row>
    <row r="289" spans="1:10" ht="14.25" customHeight="1">
      <c r="A289" s="49">
        <f t="shared" si="24"/>
        <v>281</v>
      </c>
      <c r="B289" s="49">
        <f>A$279</f>
        <v>271</v>
      </c>
      <c r="C289" s="49">
        <v>11</v>
      </c>
      <c r="D289" s="50" t="s">
        <v>199</v>
      </c>
      <c r="E289" s="50"/>
      <c r="F289" s="50" t="s">
        <v>99</v>
      </c>
      <c r="G289" s="28" t="s">
        <v>194</v>
      </c>
      <c r="J289" t="str">
        <f t="shared" si="22"/>
        <v>datatable[280] = new Array("281","271","Support Equipment","11","SEITPM.png");</v>
      </c>
    </row>
    <row r="290" spans="1:10" ht="14.25" customHeight="1">
      <c r="A290" s="49">
        <f t="shared" si="24"/>
        <v>282</v>
      </c>
      <c r="B290" s="49">
        <f>A$278</f>
        <v>270</v>
      </c>
      <c r="C290" s="49">
        <v>11</v>
      </c>
      <c r="D290" s="50" t="s">
        <v>373</v>
      </c>
      <c r="E290" s="50"/>
      <c r="F290" s="50" t="s">
        <v>99</v>
      </c>
      <c r="G290" s="28" t="s">
        <v>203</v>
      </c>
      <c r="J290" t="str">
        <f t="shared" si="22"/>
        <v>datatable[281] = new Array("282","270","Thermal Control Software","11","Widget.png");</v>
      </c>
    </row>
    <row r="291" spans="1:10" ht="14.25" customHeight="1">
      <c r="A291" s="49">
        <f t="shared" si="24"/>
        <v>283</v>
      </c>
      <c r="B291" s="49">
        <f>A$278</f>
        <v>270</v>
      </c>
      <c r="C291" s="49">
        <v>11</v>
      </c>
      <c r="D291" s="50" t="s">
        <v>374</v>
      </c>
      <c r="E291" s="50"/>
      <c r="F291" s="50" t="s">
        <v>99</v>
      </c>
      <c r="G291" s="28" t="s">
        <v>203</v>
      </c>
      <c r="J291" t="str">
        <f t="shared" si="22"/>
        <v>datatable[282] = new Array("283","270","Electrical Power Software","11","Widget.png");</v>
      </c>
    </row>
    <row r="292" spans="1:10" ht="14.25" customHeight="1">
      <c r="A292" s="49">
        <f t="shared" si="24"/>
        <v>284</v>
      </c>
      <c r="B292" s="49">
        <f>A$278</f>
        <v>270</v>
      </c>
      <c r="C292" s="49">
        <v>11</v>
      </c>
      <c r="D292" s="50" t="s">
        <v>375</v>
      </c>
      <c r="E292" s="50"/>
      <c r="F292" s="50" t="s">
        <v>99</v>
      </c>
      <c r="G292" s="28" t="s">
        <v>203</v>
      </c>
      <c r="J292" t="str">
        <f t="shared" si="22"/>
        <v>datatable[283] = new Array("284","270","Attitude Control Software","11","Widget.png");</v>
      </c>
    </row>
    <row r="293" spans="1:10" ht="14.25" customHeight="1">
      <c r="A293" s="49">
        <f t="shared" si="24"/>
        <v>285</v>
      </c>
      <c r="B293" s="49">
        <f>A$278</f>
        <v>270</v>
      </c>
      <c r="C293" s="49">
        <v>11</v>
      </c>
      <c r="D293" s="50" t="s">
        <v>376</v>
      </c>
      <c r="E293" s="50"/>
      <c r="F293" s="50" t="s">
        <v>99</v>
      </c>
      <c r="G293" s="28" t="s">
        <v>203</v>
      </c>
      <c r="J293" t="str">
        <f t="shared" si="22"/>
        <v>datatable[284] = new Array("285","270","Telemetry, Tracking, and Command Software","11","Widget.png");</v>
      </c>
    </row>
    <row r="294" spans="1:10" ht="14.25" customHeight="1">
      <c r="A294" s="49">
        <f t="shared" si="24"/>
        <v>286</v>
      </c>
      <c r="B294" s="49">
        <f>A$278</f>
        <v>270</v>
      </c>
      <c r="C294" s="49">
        <v>11</v>
      </c>
      <c r="D294" s="50" t="s">
        <v>377</v>
      </c>
      <c r="E294" s="50"/>
      <c r="F294" s="50" t="s">
        <v>99</v>
      </c>
      <c r="G294" s="28" t="s">
        <v>203</v>
      </c>
      <c r="J294" t="str">
        <f t="shared" si="22"/>
        <v>datatable[285] = new Array("286","270","Other Flight Software (Specify)","11","Widget.png");</v>
      </c>
    </row>
    <row r="295" spans="1:10" ht="14.25" customHeight="1">
      <c r="A295" s="51">
        <f t="shared" si="24"/>
        <v>287</v>
      </c>
      <c r="B295" s="51">
        <f>A67</f>
        <v>59</v>
      </c>
      <c r="C295" s="51">
        <v>8</v>
      </c>
      <c r="D295" s="52" t="s">
        <v>378</v>
      </c>
      <c r="E295" s="52"/>
      <c r="F295" s="52" t="s">
        <v>92</v>
      </c>
      <c r="G295" s="30" t="s">
        <v>194</v>
      </c>
      <c r="J295" t="str">
        <f t="shared" si="22"/>
        <v>datatable[286] = new Array("287","59","SEITPM and Support Equipment (If Applicable for Integration of Multiple Payloads)","8","SEITPM.png");</v>
      </c>
    </row>
    <row r="296" spans="1:10" ht="14.25" customHeight="1">
      <c r="A296" s="51">
        <f t="shared" si="24"/>
        <v>288</v>
      </c>
      <c r="B296" s="51">
        <f>A$290</f>
        <v>282</v>
      </c>
      <c r="C296" s="51">
        <v>9</v>
      </c>
      <c r="D296" s="52" t="s">
        <v>195</v>
      </c>
      <c r="E296" s="52"/>
      <c r="F296" s="53" t="s">
        <v>95</v>
      </c>
      <c r="G296" s="28" t="s">
        <v>194</v>
      </c>
      <c r="J296" t="str">
        <f t="shared" si="22"/>
        <v>datatable[287] = new Array("288","282","Project Management","9","SEITPM.png");</v>
      </c>
    </row>
    <row r="297" spans="1:10" ht="14.25" customHeight="1">
      <c r="A297" s="51">
        <f t="shared" si="24"/>
        <v>289</v>
      </c>
      <c r="B297" s="51">
        <f>A$290</f>
        <v>282</v>
      </c>
      <c r="C297" s="51">
        <v>9</v>
      </c>
      <c r="D297" s="52" t="s">
        <v>196</v>
      </c>
      <c r="E297" s="52"/>
      <c r="F297" s="53" t="s">
        <v>95</v>
      </c>
      <c r="G297" s="28" t="s">
        <v>194</v>
      </c>
      <c r="J297" t="str">
        <f t="shared" si="22"/>
        <v>datatable[288] = new Array("289","282","Systems Engineering","9","SEITPM.png");</v>
      </c>
    </row>
    <row r="298" spans="1:10" ht="14.25" customHeight="1">
      <c r="A298" s="51">
        <f t="shared" si="24"/>
        <v>290</v>
      </c>
      <c r="B298" s="51">
        <f>A$290</f>
        <v>282</v>
      </c>
      <c r="C298" s="51">
        <v>9</v>
      </c>
      <c r="D298" s="52" t="s">
        <v>197</v>
      </c>
      <c r="E298" s="52"/>
      <c r="F298" s="53" t="s">
        <v>95</v>
      </c>
      <c r="G298" s="28" t="s">
        <v>194</v>
      </c>
      <c r="J298" t="str">
        <f t="shared" si="22"/>
        <v>datatable[289] = new Array("290","282","Mission Assurance","9","SEITPM.png");</v>
      </c>
    </row>
    <row r="299" spans="1:10" ht="14.25" customHeight="1">
      <c r="A299" s="54">
        <f t="shared" si="24"/>
        <v>291</v>
      </c>
      <c r="B299" s="54">
        <f>A$290</f>
        <v>282</v>
      </c>
      <c r="C299" s="54">
        <v>9</v>
      </c>
      <c r="D299" s="55" t="s">
        <v>198</v>
      </c>
      <c r="E299" s="55"/>
      <c r="F299" s="56" t="s">
        <v>95</v>
      </c>
      <c r="G299" s="57" t="s">
        <v>194</v>
      </c>
      <c r="J299" t="str">
        <f t="shared" si="22"/>
        <v>datatable[290] = new Array("291","282","Assembly, Integration and Testing","9","SEITPM.png");</v>
      </c>
    </row>
    <row r="300" spans="1:10" ht="14.25" customHeight="1">
      <c r="A300" s="51">
        <f t="shared" si="24"/>
        <v>292</v>
      </c>
      <c r="B300" s="51">
        <f>A$290</f>
        <v>282</v>
      </c>
      <c r="C300" s="51">
        <v>9</v>
      </c>
      <c r="D300" s="52" t="s">
        <v>199</v>
      </c>
      <c r="E300" s="52"/>
      <c r="F300" s="53" t="s">
        <v>95</v>
      </c>
      <c r="G300" s="28" t="s">
        <v>194</v>
      </c>
      <c r="J300" t="str">
        <f t="shared" si="22"/>
        <v>datatable[291] = new Array("292","282","Support Equipment","9","SEITPM.png");</v>
      </c>
    </row>
    <row r="301" spans="1:10" ht="14.25" customHeight="1">
      <c r="A301" s="58">
        <f t="shared" si="24"/>
        <v>293</v>
      </c>
      <c r="B301" s="58">
        <f>A67</f>
        <v>59</v>
      </c>
      <c r="C301" s="58">
        <v>8</v>
      </c>
      <c r="D301" s="59" t="s">
        <v>379</v>
      </c>
      <c r="E301" s="59"/>
      <c r="F301" s="59" t="s">
        <v>92</v>
      </c>
      <c r="G301" s="28" t="s">
        <v>203</v>
      </c>
      <c r="J301" t="str">
        <f t="shared" si="22"/>
        <v>datatable[292] = new Array("293","59","Payload 1 … n (Specify)","8","Widget.png");</v>
      </c>
    </row>
    <row r="302" spans="1:10" ht="14.25" customHeight="1">
      <c r="A302" s="51">
        <f t="shared" si="24"/>
        <v>294</v>
      </c>
      <c r="B302" s="51">
        <f>A301</f>
        <v>293</v>
      </c>
      <c r="C302" s="51">
        <v>9</v>
      </c>
      <c r="D302" s="52" t="s">
        <v>380</v>
      </c>
      <c r="E302" s="52"/>
      <c r="F302" s="53" t="s">
        <v>95</v>
      </c>
      <c r="G302" s="28" t="s">
        <v>194</v>
      </c>
      <c r="J302" t="str">
        <f t="shared" si="22"/>
        <v>datatable[293] = new Array("294","293","Payload 1 SEITPM and Support Equipment","9","SEITPM.png");</v>
      </c>
    </row>
    <row r="303" spans="1:10" ht="14.25" customHeight="1">
      <c r="A303" s="60">
        <f t="shared" si="24"/>
        <v>295</v>
      </c>
      <c r="B303" s="60">
        <f>A$297</f>
        <v>289</v>
      </c>
      <c r="C303" s="60">
        <v>10</v>
      </c>
      <c r="D303" s="61" t="s">
        <v>195</v>
      </c>
      <c r="E303" s="62"/>
      <c r="F303" s="62" t="s">
        <v>97</v>
      </c>
      <c r="G303" s="63" t="s">
        <v>194</v>
      </c>
      <c r="J303" t="str">
        <f t="shared" si="22"/>
        <v>datatable[294] = new Array("295","289","Project Management","10","SEITPM.png");</v>
      </c>
    </row>
    <row r="304" spans="1:10" ht="14.25" customHeight="1">
      <c r="A304" s="51">
        <f t="shared" si="24"/>
        <v>296</v>
      </c>
      <c r="B304" s="51">
        <f>A$297</f>
        <v>289</v>
      </c>
      <c r="C304" s="51">
        <v>10</v>
      </c>
      <c r="D304" s="52" t="s">
        <v>196</v>
      </c>
      <c r="E304" s="53"/>
      <c r="F304" s="53" t="s">
        <v>97</v>
      </c>
      <c r="G304" s="28" t="s">
        <v>194</v>
      </c>
      <c r="J304" t="str">
        <f t="shared" si="22"/>
        <v>datatable[295] = new Array("296","289","Systems Engineering","10","SEITPM.png");</v>
      </c>
    </row>
    <row r="305" spans="1:10" ht="14.25" customHeight="1">
      <c r="A305" s="51">
        <f t="shared" si="24"/>
        <v>297</v>
      </c>
      <c r="B305" s="51">
        <f>A$297</f>
        <v>289</v>
      </c>
      <c r="C305" s="51">
        <v>10</v>
      </c>
      <c r="D305" s="52" t="s">
        <v>197</v>
      </c>
      <c r="E305" s="53"/>
      <c r="F305" s="53" t="s">
        <v>97</v>
      </c>
      <c r="G305" s="28" t="s">
        <v>194</v>
      </c>
      <c r="J305" t="str">
        <f t="shared" si="22"/>
        <v>datatable[296] = new Array("297","289","Mission Assurance","10","SEITPM.png");</v>
      </c>
    </row>
    <row r="306" spans="1:10" ht="14.25" customHeight="1">
      <c r="A306" s="51">
        <f t="shared" si="24"/>
        <v>298</v>
      </c>
      <c r="B306" s="51">
        <f>A$297</f>
        <v>289</v>
      </c>
      <c r="C306" s="51">
        <v>10</v>
      </c>
      <c r="D306" s="52" t="s">
        <v>198</v>
      </c>
      <c r="E306" s="53"/>
      <c r="F306" s="53" t="s">
        <v>97</v>
      </c>
      <c r="G306" s="28" t="s">
        <v>194</v>
      </c>
      <c r="J306" t="str">
        <f t="shared" si="22"/>
        <v>datatable[297] = new Array("298","289","Assembly, Integration and Testing","10","SEITPM.png");</v>
      </c>
    </row>
    <row r="307" spans="1:10" ht="14.25" customHeight="1">
      <c r="A307" s="54">
        <f t="shared" si="24"/>
        <v>299</v>
      </c>
      <c r="B307" s="54">
        <f>A$297</f>
        <v>289</v>
      </c>
      <c r="C307" s="54">
        <v>10</v>
      </c>
      <c r="D307" s="55" t="s">
        <v>199</v>
      </c>
      <c r="E307" s="56"/>
      <c r="F307" s="56" t="s">
        <v>97</v>
      </c>
      <c r="G307" s="57" t="s">
        <v>194</v>
      </c>
      <c r="J307" t="str">
        <f t="shared" si="22"/>
        <v>datatable[298] = new Array("299","289","Support Equipment","10","SEITPM.png");</v>
      </c>
    </row>
    <row r="308" spans="1:10" ht="14.25" customHeight="1">
      <c r="A308" s="51">
        <f t="shared" si="24"/>
        <v>300</v>
      </c>
      <c r="B308" s="51">
        <f>A$296</f>
        <v>288</v>
      </c>
      <c r="C308" s="51">
        <v>9</v>
      </c>
      <c r="D308" s="52" t="s">
        <v>381</v>
      </c>
      <c r="E308" s="53"/>
      <c r="F308" s="52" t="s">
        <v>95</v>
      </c>
      <c r="G308" s="28" t="s">
        <v>203</v>
      </c>
      <c r="J308" t="str">
        <f t="shared" si="22"/>
        <v>datatable[299] = new Array("300","288","Payload 1 Structures and Mechanisms Subsystem","9","Widget.png");</v>
      </c>
    </row>
    <row r="309" spans="1:10" ht="14.25" customHeight="1">
      <c r="A309" s="60">
        <f t="shared" si="24"/>
        <v>301</v>
      </c>
      <c r="B309" s="60">
        <f>A$303</f>
        <v>295</v>
      </c>
      <c r="C309" s="60">
        <v>10</v>
      </c>
      <c r="D309" s="62" t="s">
        <v>382</v>
      </c>
      <c r="E309" s="62"/>
      <c r="F309" s="62" t="s">
        <v>97</v>
      </c>
      <c r="G309" s="63" t="s">
        <v>194</v>
      </c>
      <c r="J309" t="str">
        <f t="shared" si="22"/>
        <v>datatable[300] = new Array("301","295","Structures and Mechanims Subsystem SEITPM","10","SEITPM.png");</v>
      </c>
    </row>
    <row r="310" spans="1:10" ht="14.25" customHeight="1">
      <c r="A310" s="51">
        <f t="shared" si="24"/>
        <v>302</v>
      </c>
      <c r="B310" s="51">
        <f>A$304</f>
        <v>296</v>
      </c>
      <c r="C310" s="51">
        <v>11</v>
      </c>
      <c r="D310" s="53" t="s">
        <v>195</v>
      </c>
      <c r="E310" s="53"/>
      <c r="F310" s="53" t="s">
        <v>99</v>
      </c>
      <c r="G310" s="28" t="s">
        <v>194</v>
      </c>
      <c r="J310" t="str">
        <f t="shared" si="22"/>
        <v>datatable[301] = new Array("302","296","Project Management","11","SEITPM.png");</v>
      </c>
    </row>
    <row r="311" spans="1:10" ht="14.25" customHeight="1">
      <c r="A311" s="51">
        <f t="shared" si="24"/>
        <v>303</v>
      </c>
      <c r="B311" s="51">
        <f>A$304</f>
        <v>296</v>
      </c>
      <c r="C311" s="51">
        <v>11</v>
      </c>
      <c r="D311" s="53" t="s">
        <v>196</v>
      </c>
      <c r="E311" s="53"/>
      <c r="F311" s="53" t="s">
        <v>99</v>
      </c>
      <c r="G311" s="28" t="s">
        <v>194</v>
      </c>
      <c r="J311" t="str">
        <f t="shared" si="22"/>
        <v>datatable[302] = new Array("303","296","Systems Engineering","11","SEITPM.png");</v>
      </c>
    </row>
    <row r="312" spans="1:10" ht="14.25" customHeight="1">
      <c r="A312" s="51">
        <f t="shared" si="24"/>
        <v>304</v>
      </c>
      <c r="B312" s="51">
        <f>A$304</f>
        <v>296</v>
      </c>
      <c r="C312" s="51">
        <v>11</v>
      </c>
      <c r="D312" s="53" t="s">
        <v>197</v>
      </c>
      <c r="E312" s="53"/>
      <c r="F312" s="53" t="s">
        <v>99</v>
      </c>
      <c r="G312" s="28" t="s">
        <v>194</v>
      </c>
      <c r="J312" t="str">
        <f t="shared" si="22"/>
        <v>datatable[303] = new Array("304","296","Mission Assurance","11","SEITPM.png");</v>
      </c>
    </row>
    <row r="313" spans="1:10" ht="14.25" customHeight="1">
      <c r="A313" s="51">
        <f t="shared" si="24"/>
        <v>305</v>
      </c>
      <c r="B313" s="51">
        <f>A$304</f>
        <v>296</v>
      </c>
      <c r="C313" s="51">
        <v>11</v>
      </c>
      <c r="D313" s="53" t="s">
        <v>198</v>
      </c>
      <c r="E313" s="53"/>
      <c r="F313" s="53" t="s">
        <v>99</v>
      </c>
      <c r="G313" s="28" t="s">
        <v>194</v>
      </c>
      <c r="J313" t="str">
        <f t="shared" si="22"/>
        <v>datatable[304] = new Array("305","296","Assembly, Integration and Testing","11","SEITPM.png");</v>
      </c>
    </row>
    <row r="314" spans="1:10" ht="14.25" customHeight="1">
      <c r="A314" s="51">
        <f t="shared" si="24"/>
        <v>306</v>
      </c>
      <c r="B314" s="51">
        <f>A$304</f>
        <v>296</v>
      </c>
      <c r="C314" s="51">
        <v>11</v>
      </c>
      <c r="D314" s="53" t="s">
        <v>199</v>
      </c>
      <c r="E314" s="53"/>
      <c r="F314" s="53" t="s">
        <v>99</v>
      </c>
      <c r="G314" s="28" t="s">
        <v>194</v>
      </c>
      <c r="J314" t="str">
        <f t="shared" si="22"/>
        <v>datatable[305] = new Array("306","296","Support Equipment","11","SEITPM.png");</v>
      </c>
    </row>
    <row r="315" spans="1:10" ht="14.25" customHeight="1">
      <c r="A315" s="51">
        <f t="shared" si="24"/>
        <v>307</v>
      </c>
      <c r="B315" s="51">
        <f>A$303</f>
        <v>295</v>
      </c>
      <c r="C315" s="51">
        <v>10</v>
      </c>
      <c r="D315" s="52" t="s">
        <v>383</v>
      </c>
      <c r="E315" s="53"/>
      <c r="F315" s="53" t="s">
        <v>97</v>
      </c>
      <c r="G315" s="28" t="s">
        <v>203</v>
      </c>
      <c r="J315" t="str">
        <f t="shared" si="22"/>
        <v>datatable[306] = new Array("307","295","Structures","10","Widget.png");</v>
      </c>
    </row>
    <row r="316" spans="1:10" ht="14.25" customHeight="1">
      <c r="A316" s="51">
        <f t="shared" si="24"/>
        <v>308</v>
      </c>
      <c r="B316" s="51">
        <f>A$303</f>
        <v>295</v>
      </c>
      <c r="C316" s="51">
        <v>10</v>
      </c>
      <c r="D316" s="52" t="s">
        <v>217</v>
      </c>
      <c r="E316" s="53"/>
      <c r="F316" s="53" t="s">
        <v>97</v>
      </c>
      <c r="G316" s="28" t="s">
        <v>203</v>
      </c>
      <c r="J316" t="str">
        <f t="shared" si="22"/>
        <v>datatable[307] = new Array("308","295","Mechanisms and Pyrotechnics","10","Widget.png");</v>
      </c>
    </row>
    <row r="317" spans="1:10" ht="14.25" customHeight="1">
      <c r="A317" s="54">
        <f t="shared" si="24"/>
        <v>309</v>
      </c>
      <c r="B317" s="54">
        <f>A$303</f>
        <v>295</v>
      </c>
      <c r="C317" s="54">
        <v>10</v>
      </c>
      <c r="D317" s="55" t="s">
        <v>384</v>
      </c>
      <c r="E317" s="56"/>
      <c r="F317" s="56" t="s">
        <v>97</v>
      </c>
      <c r="G317" s="28" t="s">
        <v>203</v>
      </c>
      <c r="J317" t="str">
        <f t="shared" si="22"/>
        <v>datatable[308] = new Array("309","295","Structures and Mechanisms Other (Specify)","10","Widget.png");</v>
      </c>
    </row>
    <row r="318" spans="1:10" ht="14.25" customHeight="1">
      <c r="A318" s="51">
        <f t="shared" si="24"/>
        <v>310</v>
      </c>
      <c r="B318" s="51">
        <f>A$296</f>
        <v>288</v>
      </c>
      <c r="C318" s="51">
        <v>9</v>
      </c>
      <c r="D318" s="52" t="s">
        <v>385</v>
      </c>
      <c r="E318" s="53"/>
      <c r="F318" s="52" t="s">
        <v>95</v>
      </c>
      <c r="G318" s="28" t="s">
        <v>203</v>
      </c>
      <c r="J318" t="str">
        <f t="shared" si="22"/>
        <v>datatable[309] = new Array("310","288","Payload 1 Thermal Control  Subsystem","9","Widget.png");</v>
      </c>
    </row>
    <row r="319" spans="1:10" ht="14.25" customHeight="1">
      <c r="A319" s="60">
        <f t="shared" si="24"/>
        <v>311</v>
      </c>
      <c r="B319" s="60">
        <f>A318</f>
        <v>310</v>
      </c>
      <c r="C319" s="60">
        <v>10</v>
      </c>
      <c r="D319" s="62" t="s">
        <v>386</v>
      </c>
      <c r="E319" s="62"/>
      <c r="F319" s="62" t="s">
        <v>97</v>
      </c>
      <c r="G319" s="63" t="s">
        <v>194</v>
      </c>
      <c r="J319" t="str">
        <f t="shared" si="22"/>
        <v>datatable[310] = new Array("311","310","Thermal Control  Subsystem SEITPM","10","SEITPM.png");</v>
      </c>
    </row>
    <row r="320" spans="1:10" ht="14.25" customHeight="1">
      <c r="A320" s="51">
        <f t="shared" si="24"/>
        <v>312</v>
      </c>
      <c r="B320" s="51">
        <f>A$314</f>
        <v>306</v>
      </c>
      <c r="C320" s="51">
        <v>11</v>
      </c>
      <c r="D320" s="53" t="s">
        <v>195</v>
      </c>
      <c r="E320" s="53"/>
      <c r="F320" s="53" t="s">
        <v>99</v>
      </c>
      <c r="G320" s="28" t="s">
        <v>194</v>
      </c>
      <c r="J320" t="str">
        <f t="shared" si="22"/>
        <v>datatable[311] = new Array("312","306","Project Management","11","SEITPM.png");</v>
      </c>
    </row>
    <row r="321" spans="1:10" ht="14.25" customHeight="1">
      <c r="A321" s="51">
        <f t="shared" si="24"/>
        <v>313</v>
      </c>
      <c r="B321" s="51">
        <f>A$314</f>
        <v>306</v>
      </c>
      <c r="C321" s="51">
        <v>11</v>
      </c>
      <c r="D321" s="53" t="s">
        <v>196</v>
      </c>
      <c r="E321" s="53"/>
      <c r="F321" s="53" t="s">
        <v>99</v>
      </c>
      <c r="G321" s="28" t="s">
        <v>194</v>
      </c>
      <c r="J321" t="str">
        <f t="shared" si="22"/>
        <v>datatable[312] = new Array("313","306","Systems Engineering","11","SEITPM.png");</v>
      </c>
    </row>
    <row r="322" spans="1:10" ht="14.25" customHeight="1">
      <c r="A322" s="51">
        <f t="shared" si="24"/>
        <v>314</v>
      </c>
      <c r="B322" s="51">
        <f>A$314</f>
        <v>306</v>
      </c>
      <c r="C322" s="51">
        <v>11</v>
      </c>
      <c r="D322" s="53" t="s">
        <v>197</v>
      </c>
      <c r="E322" s="53"/>
      <c r="F322" s="53" t="s">
        <v>99</v>
      </c>
      <c r="G322" s="28" t="s">
        <v>194</v>
      </c>
      <c r="J322" t="str">
        <f t="shared" si="22"/>
        <v>datatable[313] = new Array("314","306","Mission Assurance","11","SEITPM.png");</v>
      </c>
    </row>
    <row r="323" spans="1:10" ht="14.25" customHeight="1">
      <c r="A323" s="51">
        <f t="shared" si="24"/>
        <v>315</v>
      </c>
      <c r="B323" s="51">
        <f>A$314</f>
        <v>306</v>
      </c>
      <c r="C323" s="51">
        <v>11</v>
      </c>
      <c r="D323" s="53" t="s">
        <v>198</v>
      </c>
      <c r="E323" s="53"/>
      <c r="F323" s="53" t="s">
        <v>99</v>
      </c>
      <c r="G323" s="28" t="s">
        <v>194</v>
      </c>
      <c r="J323" t="str">
        <f t="shared" si="22"/>
        <v>datatable[314] = new Array("315","306","Assembly, Integration and Testing","11","SEITPM.png");</v>
      </c>
    </row>
    <row r="324" spans="1:10" ht="14.25" customHeight="1">
      <c r="A324" s="51">
        <f t="shared" si="24"/>
        <v>316</v>
      </c>
      <c r="B324" s="51">
        <f>A$314</f>
        <v>306</v>
      </c>
      <c r="C324" s="51">
        <v>11</v>
      </c>
      <c r="D324" s="53" t="s">
        <v>199</v>
      </c>
      <c r="E324" s="53"/>
      <c r="F324" s="53" t="s">
        <v>99</v>
      </c>
      <c r="G324" s="28" t="s">
        <v>194</v>
      </c>
      <c r="J324" t="str">
        <f t="shared" si="22"/>
        <v>datatable[315] = new Array("316","306","Support Equipment","11","SEITPM.png");</v>
      </c>
    </row>
    <row r="325" spans="1:10" ht="14.25" customHeight="1">
      <c r="A325" s="51">
        <f t="shared" si="24"/>
        <v>317</v>
      </c>
      <c r="B325" s="51">
        <f t="shared" ref="B325:B331" si="25">A324</f>
        <v>316</v>
      </c>
      <c r="C325" s="51">
        <v>10</v>
      </c>
      <c r="D325" s="52" t="s">
        <v>227</v>
      </c>
      <c r="E325" s="53"/>
      <c r="F325" s="53" t="s">
        <v>97</v>
      </c>
      <c r="G325" s="28" t="s">
        <v>203</v>
      </c>
      <c r="J325" t="str">
        <f t="shared" si="22"/>
        <v>datatable[316] = new Array("317","316","Cryogenic Devices","10","Widget.png");</v>
      </c>
    </row>
    <row r="326" spans="1:10" ht="14.25" customHeight="1">
      <c r="A326" s="51">
        <f t="shared" si="24"/>
        <v>318</v>
      </c>
      <c r="B326" s="51">
        <f t="shared" si="25"/>
        <v>317</v>
      </c>
      <c r="C326" s="51">
        <v>10</v>
      </c>
      <c r="D326" s="52" t="s">
        <v>228</v>
      </c>
      <c r="E326" s="53"/>
      <c r="F326" s="53" t="s">
        <v>97</v>
      </c>
      <c r="G326" s="28" t="s">
        <v>203</v>
      </c>
      <c r="J326" t="str">
        <f t="shared" si="22"/>
        <v>datatable[317] = new Array("318","317","Liquid Loops","10","Widget.png");</v>
      </c>
    </row>
    <row r="327" spans="1:10" ht="14.25" customHeight="1">
      <c r="A327" s="51">
        <f t="shared" si="24"/>
        <v>319</v>
      </c>
      <c r="B327" s="51">
        <f t="shared" si="25"/>
        <v>318</v>
      </c>
      <c r="C327" s="51">
        <v>10</v>
      </c>
      <c r="D327" s="52" t="s">
        <v>229</v>
      </c>
      <c r="E327" s="53"/>
      <c r="F327" s="53" t="s">
        <v>97</v>
      </c>
      <c r="G327" s="28" t="s">
        <v>203</v>
      </c>
      <c r="J327" t="str">
        <f t="shared" si="22"/>
        <v>datatable[318] = new Array("319","318","Electric Coolers","10","Widget.png");</v>
      </c>
    </row>
    <row r="328" spans="1:10" ht="14.25" customHeight="1">
      <c r="A328" s="51">
        <f t="shared" si="24"/>
        <v>320</v>
      </c>
      <c r="B328" s="51">
        <f t="shared" si="25"/>
        <v>319</v>
      </c>
      <c r="C328" s="51">
        <v>10</v>
      </c>
      <c r="D328" s="52" t="s">
        <v>387</v>
      </c>
      <c r="E328" s="53"/>
      <c r="F328" s="53" t="s">
        <v>97</v>
      </c>
      <c r="G328" s="28" t="s">
        <v>203</v>
      </c>
      <c r="J328" t="str">
        <f t="shared" si="22"/>
        <v>datatable[319] = new Array("320","319","Electric heaters, Thermisters, and Thermostats","10","Widget.png");</v>
      </c>
    </row>
    <row r="329" spans="1:10" ht="14.25" customHeight="1">
      <c r="A329" s="51">
        <f t="shared" si="24"/>
        <v>321</v>
      </c>
      <c r="B329" s="51">
        <f t="shared" si="25"/>
        <v>320</v>
      </c>
      <c r="C329" s="51">
        <v>10</v>
      </c>
      <c r="D329" s="52" t="s">
        <v>232</v>
      </c>
      <c r="E329" s="53"/>
      <c r="F329" s="53" t="s">
        <v>97</v>
      </c>
      <c r="G329" s="28" t="s">
        <v>203</v>
      </c>
      <c r="J329" t="str">
        <f t="shared" ref="J329:J392" si="26">"datatable["&amp;A329-1&amp;"] = new Array(""" &amp; A329 &amp;""",""" &amp; B329 &amp;""",""" &amp; D329 &amp; """,""" &amp; C329&amp;""","""&amp;""&amp;G329&amp;""");"</f>
        <v>datatable[320] = new Array("321","320","Passive Devices","10","Widget.png");</v>
      </c>
    </row>
    <row r="330" spans="1:10" ht="14.25" customHeight="1">
      <c r="A330" s="51">
        <f t="shared" si="24"/>
        <v>322</v>
      </c>
      <c r="B330" s="51">
        <f t="shared" si="25"/>
        <v>321</v>
      </c>
      <c r="C330" s="51">
        <v>10</v>
      </c>
      <c r="D330" s="52" t="s">
        <v>239</v>
      </c>
      <c r="E330" s="53"/>
      <c r="F330" s="53" t="s">
        <v>97</v>
      </c>
      <c r="G330" s="28" t="s">
        <v>203</v>
      </c>
      <c r="J330" t="str">
        <f t="shared" si="26"/>
        <v>datatable[321] = new Array("322","321","Sun Shields","10","Widget.png");</v>
      </c>
    </row>
    <row r="331" spans="1:10" ht="14.25" customHeight="1">
      <c r="A331" s="54">
        <f t="shared" ref="A331:A388" si="27">A330+1</f>
        <v>323</v>
      </c>
      <c r="B331" s="54">
        <f t="shared" si="25"/>
        <v>322</v>
      </c>
      <c r="C331" s="54">
        <v>10</v>
      </c>
      <c r="D331" s="55" t="s">
        <v>388</v>
      </c>
      <c r="E331" s="56"/>
      <c r="F331" s="56" t="s">
        <v>97</v>
      </c>
      <c r="G331" s="28" t="s">
        <v>203</v>
      </c>
      <c r="J331" t="str">
        <f t="shared" si="26"/>
        <v>datatable[322] = new Array("323","322","Thermal Control Other (Specify)","10","Widget.png");</v>
      </c>
    </row>
    <row r="332" spans="1:10" ht="14.25" customHeight="1">
      <c r="A332" s="51">
        <f t="shared" si="27"/>
        <v>324</v>
      </c>
      <c r="B332" s="51">
        <f>A$296</f>
        <v>288</v>
      </c>
      <c r="C332" s="51">
        <v>9</v>
      </c>
      <c r="D332" s="52" t="s">
        <v>389</v>
      </c>
      <c r="E332" s="53"/>
      <c r="F332" s="52" t="s">
        <v>95</v>
      </c>
      <c r="G332" s="28" t="s">
        <v>203</v>
      </c>
      <c r="J332" t="str">
        <f t="shared" si="26"/>
        <v>datatable[323] = new Array("324","288","Payload 1 Electrical Power Subsystem","9","Widget.png");</v>
      </c>
    </row>
    <row r="333" spans="1:10" ht="14.25" customHeight="1">
      <c r="A333" s="60">
        <f t="shared" si="27"/>
        <v>325</v>
      </c>
      <c r="B333" s="60">
        <f>A$327</f>
        <v>319</v>
      </c>
      <c r="C333" s="60">
        <v>10</v>
      </c>
      <c r="D333" s="62" t="s">
        <v>390</v>
      </c>
      <c r="E333" s="62"/>
      <c r="F333" s="62" t="s">
        <v>97</v>
      </c>
      <c r="G333" s="63" t="s">
        <v>194</v>
      </c>
      <c r="J333" t="str">
        <f t="shared" si="26"/>
        <v>datatable[324] = new Array("325","319","Electrical Power Subsystem SEITPM","10","SEITPM.png");</v>
      </c>
    </row>
    <row r="334" spans="1:10" ht="14.25" customHeight="1">
      <c r="A334" s="60">
        <f t="shared" si="27"/>
        <v>326</v>
      </c>
      <c r="B334" s="51">
        <f>A$328</f>
        <v>320</v>
      </c>
      <c r="C334" s="51">
        <v>11</v>
      </c>
      <c r="D334" s="53" t="s">
        <v>195</v>
      </c>
      <c r="E334" s="53"/>
      <c r="F334" s="53" t="s">
        <v>99</v>
      </c>
      <c r="G334" s="28" t="s">
        <v>194</v>
      </c>
      <c r="J334" t="str">
        <f t="shared" si="26"/>
        <v>datatable[325] = new Array("326","320","Project Management","11","SEITPM.png");</v>
      </c>
    </row>
    <row r="335" spans="1:10" ht="14.25" customHeight="1">
      <c r="A335" s="60">
        <f t="shared" si="27"/>
        <v>327</v>
      </c>
      <c r="B335" s="51">
        <f>A$328</f>
        <v>320</v>
      </c>
      <c r="C335" s="51">
        <v>11</v>
      </c>
      <c r="D335" s="53" t="s">
        <v>196</v>
      </c>
      <c r="E335" s="53"/>
      <c r="F335" s="53" t="s">
        <v>99</v>
      </c>
      <c r="G335" s="28" t="s">
        <v>194</v>
      </c>
      <c r="J335" t="str">
        <f t="shared" si="26"/>
        <v>datatable[326] = new Array("327","320","Systems Engineering","11","SEITPM.png");</v>
      </c>
    </row>
    <row r="336" spans="1:10" ht="14.25" customHeight="1">
      <c r="A336" s="60">
        <f t="shared" si="27"/>
        <v>328</v>
      </c>
      <c r="B336" s="51">
        <f>A$328</f>
        <v>320</v>
      </c>
      <c r="C336" s="51">
        <v>11</v>
      </c>
      <c r="D336" s="53" t="s">
        <v>197</v>
      </c>
      <c r="E336" s="53"/>
      <c r="F336" s="53" t="s">
        <v>99</v>
      </c>
      <c r="G336" s="28" t="s">
        <v>194</v>
      </c>
      <c r="J336" t="str">
        <f t="shared" si="26"/>
        <v>datatable[327] = new Array("328","320","Mission Assurance","11","SEITPM.png");</v>
      </c>
    </row>
    <row r="337" spans="1:10" ht="14.25" customHeight="1">
      <c r="A337" s="60">
        <f t="shared" si="27"/>
        <v>329</v>
      </c>
      <c r="B337" s="51">
        <f>A$328</f>
        <v>320</v>
      </c>
      <c r="C337" s="51">
        <v>11</v>
      </c>
      <c r="D337" s="53" t="s">
        <v>198</v>
      </c>
      <c r="E337" s="53"/>
      <c r="F337" s="53" t="s">
        <v>99</v>
      </c>
      <c r="G337" s="28" t="s">
        <v>194</v>
      </c>
      <c r="J337" t="str">
        <f t="shared" si="26"/>
        <v>datatable[328] = new Array("329","320","Assembly, Integration and Testing","11","SEITPM.png");</v>
      </c>
    </row>
    <row r="338" spans="1:10" ht="14.25" customHeight="1">
      <c r="A338" s="60">
        <f t="shared" si="27"/>
        <v>330</v>
      </c>
      <c r="B338" s="51">
        <f>A$328</f>
        <v>320</v>
      </c>
      <c r="C338" s="51">
        <v>11</v>
      </c>
      <c r="D338" s="53" t="s">
        <v>199</v>
      </c>
      <c r="E338" s="53"/>
      <c r="F338" s="53" t="s">
        <v>99</v>
      </c>
      <c r="G338" s="28" t="s">
        <v>194</v>
      </c>
      <c r="J338" t="str">
        <f t="shared" si="26"/>
        <v>datatable[329] = new Array("330","320","Support Equipment","11","SEITPM.png");</v>
      </c>
    </row>
    <row r="339" spans="1:10" ht="14.25" customHeight="1">
      <c r="A339" s="60">
        <f t="shared" si="27"/>
        <v>331</v>
      </c>
      <c r="B339" s="51">
        <f>A$327</f>
        <v>319</v>
      </c>
      <c r="C339" s="51">
        <v>10</v>
      </c>
      <c r="D339" s="52" t="s">
        <v>391</v>
      </c>
      <c r="E339" s="53"/>
      <c r="F339" s="53" t="s">
        <v>97</v>
      </c>
      <c r="G339" s="28" t="s">
        <v>203</v>
      </c>
      <c r="J339" t="str">
        <f t="shared" si="26"/>
        <v>datatable[330] = new Array("331","319","Power Sources","10","Widget.png");</v>
      </c>
    </row>
    <row r="340" spans="1:10" ht="14.25" customHeight="1">
      <c r="A340" s="60">
        <f t="shared" si="27"/>
        <v>332</v>
      </c>
      <c r="B340" s="51">
        <f>A$327</f>
        <v>319</v>
      </c>
      <c r="C340" s="51">
        <v>10</v>
      </c>
      <c r="D340" s="52" t="s">
        <v>392</v>
      </c>
      <c r="E340" s="53"/>
      <c r="F340" s="53" t="s">
        <v>97</v>
      </c>
      <c r="G340" s="28" t="s">
        <v>203</v>
      </c>
      <c r="J340" t="str">
        <f t="shared" si="26"/>
        <v>datatable[331] = new Array("332","319","Power Control, Switching, and Distribution Electronics","10","Widget.png");</v>
      </c>
    </row>
    <row r="341" spans="1:10" ht="14.25" customHeight="1">
      <c r="A341" s="51">
        <f t="shared" si="27"/>
        <v>333</v>
      </c>
      <c r="B341" s="51">
        <f>A$327</f>
        <v>319</v>
      </c>
      <c r="C341" s="51">
        <v>10</v>
      </c>
      <c r="D341" s="52" t="s">
        <v>393</v>
      </c>
      <c r="E341" s="53"/>
      <c r="F341" s="53" t="s">
        <v>97</v>
      </c>
      <c r="G341" s="28" t="s">
        <v>203</v>
      </c>
      <c r="J341" t="str">
        <f t="shared" si="26"/>
        <v>datatable[332] = new Array("333","319","Power Conditioning, Conversion, and Regulation","10","Widget.png");</v>
      </c>
    </row>
    <row r="342" spans="1:10" ht="14.25" customHeight="1">
      <c r="A342" s="51">
        <f t="shared" si="27"/>
        <v>334</v>
      </c>
      <c r="B342" s="51">
        <f>A$327</f>
        <v>319</v>
      </c>
      <c r="C342" s="51">
        <v>10</v>
      </c>
      <c r="D342" s="52" t="s">
        <v>265</v>
      </c>
      <c r="E342" s="53"/>
      <c r="F342" s="53" t="s">
        <v>97</v>
      </c>
      <c r="G342" s="28" t="s">
        <v>203</v>
      </c>
      <c r="J342" t="str">
        <f t="shared" si="26"/>
        <v>datatable[333] = new Array("334","319","Harnesses and Cables","10","Widget.png");</v>
      </c>
    </row>
    <row r="343" spans="1:10" ht="14.25" customHeight="1">
      <c r="A343" s="51">
        <f t="shared" si="27"/>
        <v>335</v>
      </c>
      <c r="B343" s="51">
        <f>A$327</f>
        <v>319</v>
      </c>
      <c r="C343" s="51">
        <v>10</v>
      </c>
      <c r="D343" s="52" t="s">
        <v>394</v>
      </c>
      <c r="E343" s="53"/>
      <c r="F343" s="53" t="s">
        <v>97</v>
      </c>
      <c r="G343" s="28" t="s">
        <v>203</v>
      </c>
      <c r="J343" t="str">
        <f t="shared" si="26"/>
        <v>datatable[334] = new Array("335","319","Electrical Power Other (Specify)","10","Widget.png");</v>
      </c>
    </row>
    <row r="344" spans="1:10" ht="14.25" customHeight="1">
      <c r="A344" s="51">
        <f t="shared" si="27"/>
        <v>336</v>
      </c>
      <c r="B344" s="51">
        <f>A$296</f>
        <v>288</v>
      </c>
      <c r="C344" s="51">
        <v>9</v>
      </c>
      <c r="D344" s="52" t="s">
        <v>395</v>
      </c>
      <c r="E344" s="53"/>
      <c r="F344" s="52" t="s">
        <v>95</v>
      </c>
      <c r="G344" s="28" t="s">
        <v>203</v>
      </c>
      <c r="J344" t="str">
        <f t="shared" si="26"/>
        <v>datatable[335] = new Array("336","288","Payload 1 Pointing, Command, and Control Interface","9","Widget.png");</v>
      </c>
    </row>
    <row r="345" spans="1:10" ht="14.25" customHeight="1">
      <c r="A345" s="51">
        <f t="shared" si="27"/>
        <v>337</v>
      </c>
      <c r="B345" s="51">
        <f>A344</f>
        <v>336</v>
      </c>
      <c r="C345" s="51">
        <v>10</v>
      </c>
      <c r="D345" s="53" t="s">
        <v>396</v>
      </c>
      <c r="E345" s="53"/>
      <c r="F345" s="53" t="s">
        <v>97</v>
      </c>
      <c r="G345" s="28" t="s">
        <v>194</v>
      </c>
      <c r="J345" t="str">
        <f t="shared" si="26"/>
        <v>datatable[336] = new Array("337","336","Subsystem SEITPM","10","SEITPM.png");</v>
      </c>
    </row>
    <row r="346" spans="1:10" ht="14.25" customHeight="1">
      <c r="A346" s="51">
        <f t="shared" si="27"/>
        <v>338</v>
      </c>
      <c r="B346" s="51">
        <f>A$340</f>
        <v>332</v>
      </c>
      <c r="C346" s="51">
        <v>11</v>
      </c>
      <c r="D346" s="53" t="s">
        <v>195</v>
      </c>
      <c r="E346" s="53"/>
      <c r="F346" s="53" t="s">
        <v>99</v>
      </c>
      <c r="G346" s="28" t="s">
        <v>194</v>
      </c>
      <c r="J346" t="str">
        <f t="shared" si="26"/>
        <v>datatable[337] = new Array("338","332","Project Management","11","SEITPM.png");</v>
      </c>
    </row>
    <row r="347" spans="1:10" ht="14.25" customHeight="1">
      <c r="A347" s="51">
        <f t="shared" si="27"/>
        <v>339</v>
      </c>
      <c r="B347" s="51">
        <f>A$340</f>
        <v>332</v>
      </c>
      <c r="C347" s="51">
        <v>11</v>
      </c>
      <c r="D347" s="53" t="s">
        <v>196</v>
      </c>
      <c r="E347" s="53"/>
      <c r="F347" s="53" t="s">
        <v>99</v>
      </c>
      <c r="G347" s="28" t="s">
        <v>194</v>
      </c>
      <c r="J347" t="str">
        <f t="shared" si="26"/>
        <v>datatable[338] = new Array("339","332","Systems Engineering","11","SEITPM.png");</v>
      </c>
    </row>
    <row r="348" spans="1:10" ht="14.25" customHeight="1">
      <c r="A348" s="51">
        <f t="shared" si="27"/>
        <v>340</v>
      </c>
      <c r="B348" s="51">
        <f>A$340</f>
        <v>332</v>
      </c>
      <c r="C348" s="51">
        <v>11</v>
      </c>
      <c r="D348" s="53" t="s">
        <v>197</v>
      </c>
      <c r="E348" s="53"/>
      <c r="F348" s="53" t="s">
        <v>99</v>
      </c>
      <c r="G348" s="28" t="s">
        <v>194</v>
      </c>
      <c r="J348" t="str">
        <f t="shared" si="26"/>
        <v>datatable[339] = new Array("340","332","Mission Assurance","11","SEITPM.png");</v>
      </c>
    </row>
    <row r="349" spans="1:10" ht="14.25" customHeight="1">
      <c r="A349" s="51">
        <f t="shared" si="27"/>
        <v>341</v>
      </c>
      <c r="B349" s="51">
        <f>A$340</f>
        <v>332</v>
      </c>
      <c r="C349" s="51">
        <v>11</v>
      </c>
      <c r="D349" s="53" t="s">
        <v>198</v>
      </c>
      <c r="E349" s="53"/>
      <c r="F349" s="53" t="s">
        <v>99</v>
      </c>
      <c r="G349" s="28" t="s">
        <v>194</v>
      </c>
      <c r="J349" t="str">
        <f t="shared" si="26"/>
        <v>datatable[340] = new Array("341","332","Assembly, Integration and Testing","11","SEITPM.png");</v>
      </c>
    </row>
    <row r="350" spans="1:10" ht="14.25" customHeight="1">
      <c r="A350" s="51">
        <f t="shared" si="27"/>
        <v>342</v>
      </c>
      <c r="B350" s="51">
        <f>A$340</f>
        <v>332</v>
      </c>
      <c r="C350" s="51">
        <v>11</v>
      </c>
      <c r="D350" s="53" t="s">
        <v>199</v>
      </c>
      <c r="E350" s="53"/>
      <c r="F350" s="53" t="s">
        <v>99</v>
      </c>
      <c r="G350" s="28" t="s">
        <v>194</v>
      </c>
      <c r="J350" t="str">
        <f t="shared" si="26"/>
        <v>datatable[341] = new Array("342","332","Support Equipment","11","SEITPM.png");</v>
      </c>
    </row>
    <row r="351" spans="1:10" ht="14.25" customHeight="1">
      <c r="A351" s="51">
        <f t="shared" si="27"/>
        <v>343</v>
      </c>
      <c r="B351" s="51">
        <f t="shared" ref="B351:B359" si="28">A$339</f>
        <v>331</v>
      </c>
      <c r="C351" s="51">
        <v>10</v>
      </c>
      <c r="D351" s="52" t="s">
        <v>397</v>
      </c>
      <c r="E351" s="53"/>
      <c r="F351" s="53" t="s">
        <v>97</v>
      </c>
      <c r="G351" s="28" t="s">
        <v>203</v>
      </c>
      <c r="J351" t="str">
        <f t="shared" si="26"/>
        <v>datatable[342] = new Array("343","331","Computers and Processors","10","Widget.png");</v>
      </c>
    </row>
    <row r="352" spans="1:10" ht="14.25" customHeight="1">
      <c r="A352" s="51">
        <f t="shared" si="27"/>
        <v>344</v>
      </c>
      <c r="B352" s="51">
        <f t="shared" si="28"/>
        <v>331</v>
      </c>
      <c r="C352" s="51">
        <v>10</v>
      </c>
      <c r="D352" s="52" t="s">
        <v>398</v>
      </c>
      <c r="E352" s="53"/>
      <c r="F352" s="53" t="s">
        <v>97</v>
      </c>
      <c r="G352" s="28" t="s">
        <v>203</v>
      </c>
      <c r="J352" t="str">
        <f t="shared" si="26"/>
        <v>datatable[343] = new Array("344","331","Command/Telemetric Units","10","Widget.png");</v>
      </c>
    </row>
    <row r="353" spans="1:10" ht="14.25" customHeight="1">
      <c r="A353" s="51">
        <f t="shared" si="27"/>
        <v>345</v>
      </c>
      <c r="B353" s="51">
        <f t="shared" si="28"/>
        <v>331</v>
      </c>
      <c r="C353" s="51">
        <v>10</v>
      </c>
      <c r="D353" s="52" t="s">
        <v>290</v>
      </c>
      <c r="E353" s="53"/>
      <c r="F353" s="53" t="s">
        <v>97</v>
      </c>
      <c r="G353" s="28" t="s">
        <v>203</v>
      </c>
      <c r="J353" t="str">
        <f t="shared" si="26"/>
        <v>datatable[344] = new Array("345","331","Control Electronics","10","Widget.png");</v>
      </c>
    </row>
    <row r="354" spans="1:10" ht="14.25" customHeight="1">
      <c r="A354" s="51">
        <f t="shared" si="27"/>
        <v>346</v>
      </c>
      <c r="B354" s="51">
        <f t="shared" si="28"/>
        <v>331</v>
      </c>
      <c r="C354" s="51">
        <v>10</v>
      </c>
      <c r="D354" s="52" t="s">
        <v>399</v>
      </c>
      <c r="E354" s="53"/>
      <c r="F354" s="53" t="s">
        <v>97</v>
      </c>
      <c r="G354" s="28" t="s">
        <v>203</v>
      </c>
      <c r="J354" t="str">
        <f t="shared" si="26"/>
        <v>datatable[345] = new Array("346","331","Pointing Sensors","10","Widget.png");</v>
      </c>
    </row>
    <row r="355" spans="1:10" ht="14.25" customHeight="1">
      <c r="A355" s="51">
        <f t="shared" si="27"/>
        <v>347</v>
      </c>
      <c r="B355" s="51">
        <f t="shared" si="28"/>
        <v>331</v>
      </c>
      <c r="C355" s="51">
        <v>10</v>
      </c>
      <c r="D355" s="52" t="s">
        <v>400</v>
      </c>
      <c r="E355" s="53"/>
      <c r="F355" s="53" t="s">
        <v>97</v>
      </c>
      <c r="G355" s="28" t="s">
        <v>203</v>
      </c>
      <c r="J355" t="str">
        <f t="shared" si="26"/>
        <v>datatable[346] = new Array("347","331","Payload Positioners","10","Widget.png");</v>
      </c>
    </row>
    <row r="356" spans="1:10" ht="14.25" customHeight="1">
      <c r="A356" s="51">
        <f t="shared" si="27"/>
        <v>348</v>
      </c>
      <c r="B356" s="51">
        <f t="shared" si="28"/>
        <v>331</v>
      </c>
      <c r="C356" s="51">
        <v>10</v>
      </c>
      <c r="D356" s="52" t="s">
        <v>401</v>
      </c>
      <c r="E356" s="53"/>
      <c r="F356" s="53" t="s">
        <v>97</v>
      </c>
      <c r="G356" s="28" t="s">
        <v>203</v>
      </c>
      <c r="J356" t="str">
        <f t="shared" si="26"/>
        <v>datatable[347] = new Array("348","331","Security, Encryption, and Decryption Devices","10","Widget.png");</v>
      </c>
    </row>
    <row r="357" spans="1:10" ht="14.25" customHeight="1">
      <c r="A357" s="51">
        <f t="shared" si="27"/>
        <v>349</v>
      </c>
      <c r="B357" s="51">
        <f t="shared" si="28"/>
        <v>331</v>
      </c>
      <c r="C357" s="51">
        <v>10</v>
      </c>
      <c r="D357" s="52" t="s">
        <v>402</v>
      </c>
      <c r="E357" s="53"/>
      <c r="F357" s="53" t="s">
        <v>97</v>
      </c>
      <c r="G357" s="28" t="s">
        <v>203</v>
      </c>
      <c r="J357" t="str">
        <f t="shared" si="26"/>
        <v>datatable[348] = new Array("349","331","Data Storage, handling, and Interface","10","Widget.png");</v>
      </c>
    </row>
    <row r="358" spans="1:10" ht="14.25" customHeight="1">
      <c r="A358" s="51">
        <f t="shared" si="27"/>
        <v>350</v>
      </c>
      <c r="B358" s="51">
        <f t="shared" si="28"/>
        <v>331</v>
      </c>
      <c r="C358" s="51">
        <v>10</v>
      </c>
      <c r="D358" s="52" t="s">
        <v>403</v>
      </c>
      <c r="E358" s="53"/>
      <c r="F358" s="53" t="s">
        <v>97</v>
      </c>
      <c r="G358" s="28" t="s">
        <v>203</v>
      </c>
      <c r="J358" t="str">
        <f t="shared" si="26"/>
        <v>datatable[349] = new Array("350","331","Multifunctional Digital Electronic Boxes","10","Widget.png");</v>
      </c>
    </row>
    <row r="359" spans="1:10" ht="14.25" customHeight="1">
      <c r="A359" s="51">
        <f t="shared" si="27"/>
        <v>351</v>
      </c>
      <c r="B359" s="51">
        <f t="shared" si="28"/>
        <v>331</v>
      </c>
      <c r="C359" s="51">
        <v>10</v>
      </c>
      <c r="D359" s="52" t="s">
        <v>404</v>
      </c>
      <c r="E359" s="53"/>
      <c r="F359" s="53" t="s">
        <v>97</v>
      </c>
      <c r="G359" s="28" t="s">
        <v>203</v>
      </c>
      <c r="J359" t="str">
        <f t="shared" si="26"/>
        <v>datatable[350] = new Array("351","331","Pointing, Command, and Control Interface Other (Specify)","10","Widget.png");</v>
      </c>
    </row>
    <row r="360" spans="1:10" ht="14.25" customHeight="1">
      <c r="A360" s="51">
        <f t="shared" si="27"/>
        <v>352</v>
      </c>
      <c r="B360" s="51">
        <f>A$296</f>
        <v>288</v>
      </c>
      <c r="C360" s="51">
        <v>9</v>
      </c>
      <c r="D360" s="52" t="s">
        <v>405</v>
      </c>
      <c r="E360" s="53"/>
      <c r="F360" s="52" t="s">
        <v>95</v>
      </c>
      <c r="G360" s="28" t="s">
        <v>203</v>
      </c>
      <c r="J360" t="str">
        <f t="shared" si="26"/>
        <v>datatable[351] = new Array("352","288","Payload Signal Electronics","9","Widget.png");</v>
      </c>
    </row>
    <row r="361" spans="1:10" ht="14.25" customHeight="1">
      <c r="A361" s="51">
        <f t="shared" si="27"/>
        <v>353</v>
      </c>
      <c r="B361" s="51">
        <f>A$355</f>
        <v>347</v>
      </c>
      <c r="C361" s="51">
        <v>10</v>
      </c>
      <c r="D361" s="53" t="s">
        <v>396</v>
      </c>
      <c r="E361" s="53"/>
      <c r="F361" s="53" t="s">
        <v>97</v>
      </c>
      <c r="G361" s="28" t="s">
        <v>194</v>
      </c>
      <c r="J361" t="str">
        <f t="shared" si="26"/>
        <v>datatable[352] = new Array("353","347","Subsystem SEITPM","10","SEITPM.png");</v>
      </c>
    </row>
    <row r="362" spans="1:10" ht="14.25" customHeight="1">
      <c r="A362" s="51">
        <f t="shared" si="27"/>
        <v>354</v>
      </c>
      <c r="B362" s="51">
        <f>A$356</f>
        <v>348</v>
      </c>
      <c r="C362" s="51">
        <v>11</v>
      </c>
      <c r="D362" s="53" t="s">
        <v>195</v>
      </c>
      <c r="E362" s="53"/>
      <c r="F362" s="53" t="s">
        <v>99</v>
      </c>
      <c r="G362" s="28" t="s">
        <v>194</v>
      </c>
      <c r="J362" t="str">
        <f t="shared" si="26"/>
        <v>datatable[353] = new Array("354","348","Project Management","11","SEITPM.png");</v>
      </c>
    </row>
    <row r="363" spans="1:10" ht="14.25" customHeight="1">
      <c r="A363" s="51">
        <f t="shared" si="27"/>
        <v>355</v>
      </c>
      <c r="B363" s="51">
        <f>A$356</f>
        <v>348</v>
      </c>
      <c r="C363" s="51">
        <v>11</v>
      </c>
      <c r="D363" s="53" t="s">
        <v>196</v>
      </c>
      <c r="E363" s="53"/>
      <c r="F363" s="53" t="s">
        <v>99</v>
      </c>
      <c r="G363" s="28" t="s">
        <v>194</v>
      </c>
      <c r="J363" t="str">
        <f t="shared" si="26"/>
        <v>datatable[354] = new Array("355","348","Systems Engineering","11","SEITPM.png");</v>
      </c>
    </row>
    <row r="364" spans="1:10" ht="14.25" customHeight="1">
      <c r="A364" s="51">
        <f t="shared" si="27"/>
        <v>356</v>
      </c>
      <c r="B364" s="51">
        <f>A$356</f>
        <v>348</v>
      </c>
      <c r="C364" s="51">
        <v>11</v>
      </c>
      <c r="D364" s="53" t="s">
        <v>197</v>
      </c>
      <c r="E364" s="53"/>
      <c r="F364" s="53" t="s">
        <v>99</v>
      </c>
      <c r="G364" s="28" t="s">
        <v>194</v>
      </c>
      <c r="J364" t="str">
        <f t="shared" si="26"/>
        <v>datatable[355] = new Array("356","348","Mission Assurance","11","SEITPM.png");</v>
      </c>
    </row>
    <row r="365" spans="1:10" ht="14.25" customHeight="1">
      <c r="A365" s="51">
        <f t="shared" si="27"/>
        <v>357</v>
      </c>
      <c r="B365" s="51">
        <f>A$356</f>
        <v>348</v>
      </c>
      <c r="C365" s="51">
        <v>11</v>
      </c>
      <c r="D365" s="53" t="s">
        <v>198</v>
      </c>
      <c r="E365" s="53"/>
      <c r="F365" s="53" t="s">
        <v>99</v>
      </c>
      <c r="G365" s="28" t="s">
        <v>194</v>
      </c>
      <c r="J365" t="str">
        <f t="shared" si="26"/>
        <v>datatable[356] = new Array("357","348","Assembly, Integration and Testing","11","SEITPM.png");</v>
      </c>
    </row>
    <row r="366" spans="1:10" ht="14.25" customHeight="1">
      <c r="A366" s="51">
        <f t="shared" si="27"/>
        <v>358</v>
      </c>
      <c r="B366" s="51">
        <f>A$356</f>
        <v>348</v>
      </c>
      <c r="C366" s="51">
        <v>11</v>
      </c>
      <c r="D366" s="53" t="s">
        <v>199</v>
      </c>
      <c r="E366" s="53"/>
      <c r="F366" s="53" t="s">
        <v>99</v>
      </c>
      <c r="G366" s="28" t="s">
        <v>194</v>
      </c>
      <c r="J366" t="str">
        <f t="shared" si="26"/>
        <v>datatable[357] = new Array("358","348","Support Equipment","11","SEITPM.png");</v>
      </c>
    </row>
    <row r="367" spans="1:10" ht="14.25" customHeight="1">
      <c r="A367" s="51">
        <f t="shared" si="27"/>
        <v>359</v>
      </c>
      <c r="B367" s="51">
        <f t="shared" ref="B367:B376" si="29">A$355</f>
        <v>347</v>
      </c>
      <c r="C367" s="51">
        <v>10</v>
      </c>
      <c r="D367" s="52" t="s">
        <v>406</v>
      </c>
      <c r="E367" s="53"/>
      <c r="F367" s="53" t="s">
        <v>97</v>
      </c>
      <c r="G367" s="28" t="s">
        <v>203</v>
      </c>
      <c r="J367" t="str">
        <f t="shared" si="26"/>
        <v>datatable[358] = new Array("359","347","Passive Signal Flow Control","10","Widget.png");</v>
      </c>
    </row>
    <row r="368" spans="1:10" ht="14.25" customHeight="1">
      <c r="A368" s="51">
        <f t="shared" si="27"/>
        <v>360</v>
      </c>
      <c r="B368" s="51">
        <f t="shared" si="29"/>
        <v>347</v>
      </c>
      <c r="C368" s="51">
        <v>10</v>
      </c>
      <c r="D368" s="52" t="s">
        <v>407</v>
      </c>
      <c r="E368" s="53"/>
      <c r="F368" s="53" t="s">
        <v>97</v>
      </c>
      <c r="G368" s="28" t="s">
        <v>203</v>
      </c>
      <c r="J368" t="str">
        <f t="shared" si="26"/>
        <v>datatable[359] = new Array("360","347","Transmitter/Receiver/Transceiver/Transponder","10","Widget.png");</v>
      </c>
    </row>
    <row r="369" spans="1:10" ht="14.25" customHeight="1">
      <c r="A369" s="51">
        <f t="shared" si="27"/>
        <v>361</v>
      </c>
      <c r="B369" s="51">
        <f t="shared" si="29"/>
        <v>347</v>
      </c>
      <c r="C369" s="51">
        <v>10</v>
      </c>
      <c r="D369" s="52" t="s">
        <v>408</v>
      </c>
      <c r="E369" s="53"/>
      <c r="F369" s="53" t="s">
        <v>97</v>
      </c>
      <c r="G369" s="28" t="s">
        <v>203</v>
      </c>
      <c r="J369" t="str">
        <f t="shared" si="26"/>
        <v>datatable[360] = new Array("361","347","Modulators/Demodulators/Modems","10","Widget.png");</v>
      </c>
    </row>
    <row r="370" spans="1:10" ht="14.25" customHeight="1">
      <c r="A370" s="51">
        <f t="shared" si="27"/>
        <v>362</v>
      </c>
      <c r="B370" s="51">
        <f t="shared" si="29"/>
        <v>347</v>
      </c>
      <c r="C370" s="51">
        <v>10</v>
      </c>
      <c r="D370" s="52" t="s">
        <v>409</v>
      </c>
      <c r="E370" s="53"/>
      <c r="F370" s="53" t="s">
        <v>97</v>
      </c>
      <c r="G370" s="28" t="s">
        <v>203</v>
      </c>
      <c r="J370" t="str">
        <f t="shared" si="26"/>
        <v>datatable[361] = new Array("362","347","Multiplexers/Demultiplexers","10","Widget.png");</v>
      </c>
    </row>
    <row r="371" spans="1:10" ht="14.25" customHeight="1">
      <c r="A371" s="51">
        <f t="shared" si="27"/>
        <v>363</v>
      </c>
      <c r="B371" s="51">
        <f t="shared" si="29"/>
        <v>347</v>
      </c>
      <c r="C371" s="51">
        <v>10</v>
      </c>
      <c r="D371" s="52" t="s">
        <v>340</v>
      </c>
      <c r="E371" s="53"/>
      <c r="F371" s="53" t="s">
        <v>97</v>
      </c>
      <c r="G371" s="28" t="s">
        <v>203</v>
      </c>
      <c r="J371" t="str">
        <f t="shared" si="26"/>
        <v>datatable[362] = new Array("363","347","Amplifiers","10","Widget.png");</v>
      </c>
    </row>
    <row r="372" spans="1:10" ht="14.25" customHeight="1">
      <c r="A372" s="51">
        <f t="shared" si="27"/>
        <v>364</v>
      </c>
      <c r="B372" s="51">
        <f t="shared" si="29"/>
        <v>347</v>
      </c>
      <c r="C372" s="51">
        <v>10</v>
      </c>
      <c r="D372" s="52" t="s">
        <v>410</v>
      </c>
      <c r="E372" s="53"/>
      <c r="F372" s="53" t="s">
        <v>97</v>
      </c>
      <c r="G372" s="28" t="s">
        <v>203</v>
      </c>
      <c r="J372" t="str">
        <f t="shared" si="26"/>
        <v>datatable[363] = new Array("364","347","Frequency Upconverters/Downconverters","10","Widget.png");</v>
      </c>
    </row>
    <row r="373" spans="1:10" ht="14.25" customHeight="1">
      <c r="A373" s="51">
        <f t="shared" si="27"/>
        <v>365</v>
      </c>
      <c r="B373" s="51">
        <f t="shared" si="29"/>
        <v>347</v>
      </c>
      <c r="C373" s="51">
        <v>10</v>
      </c>
      <c r="D373" s="52" t="s">
        <v>411</v>
      </c>
      <c r="E373" s="53"/>
      <c r="F373" s="53" t="s">
        <v>97</v>
      </c>
      <c r="G373" s="28" t="s">
        <v>203</v>
      </c>
      <c r="J373" t="str">
        <f t="shared" si="26"/>
        <v>datatable[364] = new Array("365","347","Frequency and Timing","10","Widget.png");</v>
      </c>
    </row>
    <row r="374" spans="1:10" ht="14.25" customHeight="1">
      <c r="A374" s="51">
        <f t="shared" si="27"/>
        <v>366</v>
      </c>
      <c r="B374" s="51">
        <f t="shared" si="29"/>
        <v>347</v>
      </c>
      <c r="C374" s="51">
        <v>10</v>
      </c>
      <c r="D374" s="52" t="s">
        <v>362</v>
      </c>
      <c r="E374" s="53"/>
      <c r="F374" s="53" t="s">
        <v>97</v>
      </c>
      <c r="G374" s="28" t="s">
        <v>203</v>
      </c>
      <c r="J374" t="str">
        <f t="shared" si="26"/>
        <v>datatable[365] = new Array("366","347","Signal Conditioners","10","Widget.png");</v>
      </c>
    </row>
    <row r="375" spans="1:10" ht="14.25" customHeight="1">
      <c r="A375" s="51">
        <f t="shared" si="27"/>
        <v>367</v>
      </c>
      <c r="B375" s="51">
        <f t="shared" si="29"/>
        <v>347</v>
      </c>
      <c r="C375" s="51">
        <v>10</v>
      </c>
      <c r="D375" s="52" t="s">
        <v>403</v>
      </c>
      <c r="E375" s="53"/>
      <c r="F375" s="53" t="s">
        <v>97</v>
      </c>
      <c r="G375" s="28" t="s">
        <v>203</v>
      </c>
      <c r="J375" t="str">
        <f t="shared" si="26"/>
        <v>datatable[366] = new Array("367","347","Multifunctional Digital Electronic Boxes","10","Widget.png");</v>
      </c>
    </row>
    <row r="376" spans="1:10" ht="14.25" customHeight="1">
      <c r="A376" s="51">
        <f t="shared" si="27"/>
        <v>368</v>
      </c>
      <c r="B376" s="51">
        <f t="shared" si="29"/>
        <v>347</v>
      </c>
      <c r="C376" s="51">
        <v>10</v>
      </c>
      <c r="D376" s="52" t="s">
        <v>412</v>
      </c>
      <c r="E376" s="53"/>
      <c r="F376" s="53" t="s">
        <v>97</v>
      </c>
      <c r="G376" s="28" t="s">
        <v>203</v>
      </c>
      <c r="J376" t="str">
        <f t="shared" si="26"/>
        <v>datatable[367] = new Array("368","347","Signal Electronics Other (Specify)","10","Widget.png");</v>
      </c>
    </row>
    <row r="377" spans="1:10" ht="14.25" customHeight="1">
      <c r="A377" s="51">
        <f t="shared" si="27"/>
        <v>369</v>
      </c>
      <c r="B377" s="51">
        <f>A$296</f>
        <v>288</v>
      </c>
      <c r="C377" s="51">
        <v>9</v>
      </c>
      <c r="D377" s="52" t="s">
        <v>413</v>
      </c>
      <c r="E377" s="53"/>
      <c r="F377" s="52" t="s">
        <v>95</v>
      </c>
      <c r="G377" s="28" t="s">
        <v>203</v>
      </c>
      <c r="J377" t="str">
        <f t="shared" si="26"/>
        <v>datatable[368] = new Array("369","288","Payload 1 Optical Assembly","9","Widget.png");</v>
      </c>
    </row>
    <row r="378" spans="1:10" ht="14.25" customHeight="1">
      <c r="A378" s="51">
        <f t="shared" si="27"/>
        <v>370</v>
      </c>
      <c r="B378" s="51">
        <f>A$372</f>
        <v>364</v>
      </c>
      <c r="C378" s="51">
        <v>10</v>
      </c>
      <c r="D378" s="53" t="s">
        <v>396</v>
      </c>
      <c r="E378" s="53"/>
      <c r="F378" s="53" t="s">
        <v>97</v>
      </c>
      <c r="G378" s="28" t="s">
        <v>194</v>
      </c>
      <c r="J378" t="str">
        <f t="shared" si="26"/>
        <v>datatable[369] = new Array("370","364","Subsystem SEITPM","10","SEITPM.png");</v>
      </c>
    </row>
    <row r="379" spans="1:10" ht="14.25" customHeight="1">
      <c r="A379" s="51">
        <f t="shared" si="27"/>
        <v>371</v>
      </c>
      <c r="B379" s="51">
        <f>A$373</f>
        <v>365</v>
      </c>
      <c r="C379" s="51">
        <v>11</v>
      </c>
      <c r="D379" s="53" t="s">
        <v>195</v>
      </c>
      <c r="E379" s="53"/>
      <c r="F379" s="53" t="s">
        <v>99</v>
      </c>
      <c r="G379" s="28" t="s">
        <v>194</v>
      </c>
      <c r="J379" t="str">
        <f t="shared" si="26"/>
        <v>datatable[370] = new Array("371","365","Project Management","11","SEITPM.png");</v>
      </c>
    </row>
    <row r="380" spans="1:10" ht="14.25" customHeight="1">
      <c r="A380" s="51">
        <f t="shared" si="27"/>
        <v>372</v>
      </c>
      <c r="B380" s="51">
        <f>A$373</f>
        <v>365</v>
      </c>
      <c r="C380" s="51">
        <v>11</v>
      </c>
      <c r="D380" s="53" t="s">
        <v>196</v>
      </c>
      <c r="E380" s="53"/>
      <c r="F380" s="53" t="s">
        <v>99</v>
      </c>
      <c r="G380" s="28" t="s">
        <v>194</v>
      </c>
      <c r="J380" t="str">
        <f t="shared" si="26"/>
        <v>datatable[371] = new Array("372","365","Systems Engineering","11","SEITPM.png");</v>
      </c>
    </row>
    <row r="381" spans="1:10" ht="14.25" customHeight="1">
      <c r="A381" s="51">
        <f t="shared" si="27"/>
        <v>373</v>
      </c>
      <c r="B381" s="51">
        <f>A$373</f>
        <v>365</v>
      </c>
      <c r="C381" s="51">
        <v>11</v>
      </c>
      <c r="D381" s="53" t="s">
        <v>197</v>
      </c>
      <c r="E381" s="53"/>
      <c r="F381" s="53" t="s">
        <v>99</v>
      </c>
      <c r="G381" s="28" t="s">
        <v>194</v>
      </c>
      <c r="J381" t="str">
        <f t="shared" si="26"/>
        <v>datatable[372] = new Array("373","365","Mission Assurance","11","SEITPM.png");</v>
      </c>
    </row>
    <row r="382" spans="1:10" ht="14.25" customHeight="1">
      <c r="A382" s="51">
        <f t="shared" si="27"/>
        <v>374</v>
      </c>
      <c r="B382" s="51">
        <f>A$373</f>
        <v>365</v>
      </c>
      <c r="C382" s="51">
        <v>11</v>
      </c>
      <c r="D382" s="53" t="s">
        <v>198</v>
      </c>
      <c r="E382" s="53"/>
      <c r="F382" s="53" t="s">
        <v>99</v>
      </c>
      <c r="G382" s="28" t="s">
        <v>194</v>
      </c>
      <c r="J382" t="str">
        <f t="shared" si="26"/>
        <v>datatable[373] = new Array("374","365","Assembly, Integration and Testing","11","SEITPM.png");</v>
      </c>
    </row>
    <row r="383" spans="1:10" ht="14.25" customHeight="1">
      <c r="A383" s="51">
        <f t="shared" si="27"/>
        <v>375</v>
      </c>
      <c r="B383" s="51">
        <f>A$373</f>
        <v>365</v>
      </c>
      <c r="C383" s="51">
        <v>11</v>
      </c>
      <c r="D383" s="53" t="s">
        <v>199</v>
      </c>
      <c r="E383" s="53"/>
      <c r="F383" s="53" t="s">
        <v>99</v>
      </c>
      <c r="G383" s="28" t="s">
        <v>194</v>
      </c>
      <c r="J383" t="str">
        <f t="shared" si="26"/>
        <v>datatable[374] = new Array("375","365","Support Equipment","11","SEITPM.png");</v>
      </c>
    </row>
    <row r="384" spans="1:10" ht="14.25" customHeight="1">
      <c r="A384" s="51">
        <f t="shared" si="27"/>
        <v>376</v>
      </c>
      <c r="B384" s="51">
        <f t="shared" ref="B384:B390" si="30">A$372</f>
        <v>364</v>
      </c>
      <c r="C384" s="51">
        <v>10</v>
      </c>
      <c r="D384" s="52" t="s">
        <v>414</v>
      </c>
      <c r="E384" s="53"/>
      <c r="F384" s="53" t="s">
        <v>97</v>
      </c>
      <c r="G384" s="28" t="s">
        <v>203</v>
      </c>
      <c r="J384" t="str">
        <f t="shared" si="26"/>
        <v>datatable[375] = new Array("376","364","Structure/Outerbarrel/Cover","10","Widget.png");</v>
      </c>
    </row>
    <row r="385" spans="1:10" ht="14.25" customHeight="1">
      <c r="A385" s="51">
        <f t="shared" si="27"/>
        <v>377</v>
      </c>
      <c r="B385" s="51">
        <f t="shared" si="30"/>
        <v>364</v>
      </c>
      <c r="C385" s="51">
        <v>10</v>
      </c>
      <c r="D385" s="52" t="s">
        <v>415</v>
      </c>
      <c r="E385" s="53"/>
      <c r="F385" s="53" t="s">
        <v>97</v>
      </c>
      <c r="G385" s="28" t="s">
        <v>203</v>
      </c>
      <c r="J385" t="str">
        <f t="shared" si="26"/>
        <v>datatable[376] = new Array("377","364","Mirrors/Optics","10","Widget.png");</v>
      </c>
    </row>
    <row r="386" spans="1:10" ht="14.25" customHeight="1">
      <c r="A386" s="51">
        <f t="shared" si="27"/>
        <v>378</v>
      </c>
      <c r="B386" s="51">
        <f t="shared" si="30"/>
        <v>364</v>
      </c>
      <c r="C386" s="51">
        <v>10</v>
      </c>
      <c r="D386" s="52" t="s">
        <v>416</v>
      </c>
      <c r="E386" s="53"/>
      <c r="F386" s="53" t="s">
        <v>97</v>
      </c>
      <c r="G386" s="28" t="s">
        <v>203</v>
      </c>
      <c r="J386" t="str">
        <f t="shared" si="26"/>
        <v>datatable[377] = new Array("378","364","Aft Optics Assembly","10","Widget.png");</v>
      </c>
    </row>
    <row r="387" spans="1:10" ht="14.25" customHeight="1">
      <c r="A387" s="51">
        <f t="shared" si="27"/>
        <v>379</v>
      </c>
      <c r="B387" s="51">
        <f t="shared" si="30"/>
        <v>364</v>
      </c>
      <c r="C387" s="51">
        <v>10</v>
      </c>
      <c r="D387" s="52" t="s">
        <v>417</v>
      </c>
      <c r="E387" s="53"/>
      <c r="F387" s="53" t="s">
        <v>97</v>
      </c>
      <c r="G387" s="28" t="s">
        <v>203</v>
      </c>
      <c r="J387" t="str">
        <f t="shared" si="26"/>
        <v>datatable[378] = new Array("379","364","Alignment and Calibration","10","Widget.png");</v>
      </c>
    </row>
    <row r="388" spans="1:10" ht="14.25" customHeight="1">
      <c r="A388" s="51">
        <f t="shared" si="27"/>
        <v>380</v>
      </c>
      <c r="B388" s="51">
        <f t="shared" si="30"/>
        <v>364</v>
      </c>
      <c r="C388" s="51">
        <v>10</v>
      </c>
      <c r="D388" s="52" t="s">
        <v>418</v>
      </c>
      <c r="E388" s="53"/>
      <c r="F388" s="53" t="s">
        <v>97</v>
      </c>
      <c r="G388" s="28" t="s">
        <v>203</v>
      </c>
      <c r="J388" t="str">
        <f t="shared" si="26"/>
        <v>datatable[379] = new Array("380","364","Thermal","10","Widget.png");</v>
      </c>
    </row>
    <row r="389" spans="1:10" ht="14.25" customHeight="1">
      <c r="A389" s="51">
        <f>A381+1</f>
        <v>374</v>
      </c>
      <c r="B389" s="51">
        <f t="shared" si="30"/>
        <v>364</v>
      </c>
      <c r="C389" s="51">
        <v>10</v>
      </c>
      <c r="D389" s="52" t="s">
        <v>290</v>
      </c>
      <c r="E389" s="53"/>
      <c r="F389" s="53" t="s">
        <v>97</v>
      </c>
      <c r="G389" s="28" t="s">
        <v>203</v>
      </c>
      <c r="J389" t="str">
        <f t="shared" si="26"/>
        <v>datatable[373] = new Array("374","364","Control Electronics","10","Widget.png");</v>
      </c>
    </row>
    <row r="390" spans="1:10" ht="14.25" customHeight="1">
      <c r="A390" s="51">
        <f t="shared" ref="A390:A421" si="31">A389+1</f>
        <v>375</v>
      </c>
      <c r="B390" s="51">
        <f t="shared" si="30"/>
        <v>364</v>
      </c>
      <c r="C390" s="51">
        <v>10</v>
      </c>
      <c r="D390" s="52" t="s">
        <v>419</v>
      </c>
      <c r="E390" s="53"/>
      <c r="F390" s="53" t="s">
        <v>97</v>
      </c>
      <c r="G390" s="28" t="s">
        <v>203</v>
      </c>
      <c r="J390" t="str">
        <f t="shared" si="26"/>
        <v>datatable[374] = new Array("375","364","Optical Assembly Other","10","Widget.png");</v>
      </c>
    </row>
    <row r="391" spans="1:10" ht="14.25" customHeight="1">
      <c r="A391" s="51">
        <f t="shared" si="31"/>
        <v>376</v>
      </c>
      <c r="B391" s="51">
        <f>A$296</f>
        <v>288</v>
      </c>
      <c r="C391" s="51">
        <v>9</v>
      </c>
      <c r="D391" s="52" t="s">
        <v>420</v>
      </c>
      <c r="E391" s="53"/>
      <c r="F391" s="52" t="s">
        <v>95</v>
      </c>
      <c r="G391" s="28" t="s">
        <v>203</v>
      </c>
      <c r="J391" t="str">
        <f t="shared" si="26"/>
        <v>datatable[375] = new Array("376","288","Payload 1 Sensor","9","Widget.png");</v>
      </c>
    </row>
    <row r="392" spans="1:10" ht="14.25" customHeight="1">
      <c r="A392" s="51">
        <f t="shared" si="31"/>
        <v>377</v>
      </c>
      <c r="B392" s="51">
        <f>A$386</f>
        <v>378</v>
      </c>
      <c r="C392" s="51">
        <v>10</v>
      </c>
      <c r="D392" s="53" t="s">
        <v>421</v>
      </c>
      <c r="E392" s="53"/>
      <c r="F392" s="53" t="s">
        <v>97</v>
      </c>
      <c r="G392" s="28" t="s">
        <v>194</v>
      </c>
      <c r="J392" t="str">
        <f t="shared" si="26"/>
        <v>datatable[376] = new Array("377","378","Sensor SEITPM","10","SEITPM.png");</v>
      </c>
    </row>
    <row r="393" spans="1:10" ht="14.25" customHeight="1">
      <c r="A393" s="51">
        <f t="shared" si="31"/>
        <v>378</v>
      </c>
      <c r="B393" s="51">
        <f>A$387</f>
        <v>379</v>
      </c>
      <c r="C393" s="51">
        <v>11</v>
      </c>
      <c r="D393" s="53" t="s">
        <v>195</v>
      </c>
      <c r="E393" s="53"/>
      <c r="F393" s="53" t="s">
        <v>99</v>
      </c>
      <c r="G393" s="28" t="s">
        <v>194</v>
      </c>
      <c r="J393" t="str">
        <f t="shared" ref="J393:J456" si="32">"datatable["&amp;A393-1&amp;"] = new Array(""" &amp; A393 &amp;""",""" &amp; B393 &amp;""",""" &amp; D393 &amp; """,""" &amp; C393&amp;""","""&amp;""&amp;G393&amp;""");"</f>
        <v>datatable[377] = new Array("378","379","Project Management","11","SEITPM.png");</v>
      </c>
    </row>
    <row r="394" spans="1:10" ht="14.25" customHeight="1">
      <c r="A394" s="51">
        <f t="shared" si="31"/>
        <v>379</v>
      </c>
      <c r="B394" s="51">
        <f>A$387</f>
        <v>379</v>
      </c>
      <c r="C394" s="51">
        <v>11</v>
      </c>
      <c r="D394" s="53" t="s">
        <v>196</v>
      </c>
      <c r="E394" s="53"/>
      <c r="F394" s="53" t="s">
        <v>99</v>
      </c>
      <c r="G394" s="28" t="s">
        <v>194</v>
      </c>
      <c r="J394" t="str">
        <f t="shared" si="32"/>
        <v>datatable[378] = new Array("379","379","Systems Engineering","11","SEITPM.png");</v>
      </c>
    </row>
    <row r="395" spans="1:10" ht="14.25" customHeight="1">
      <c r="A395" s="51">
        <f t="shared" si="31"/>
        <v>380</v>
      </c>
      <c r="B395" s="51">
        <f>A$387</f>
        <v>379</v>
      </c>
      <c r="C395" s="51">
        <v>11</v>
      </c>
      <c r="D395" s="53" t="s">
        <v>197</v>
      </c>
      <c r="E395" s="53"/>
      <c r="F395" s="53" t="s">
        <v>99</v>
      </c>
      <c r="G395" s="28" t="s">
        <v>194</v>
      </c>
      <c r="J395" t="str">
        <f t="shared" si="32"/>
        <v>datatable[379] = new Array("380","379","Mission Assurance","11","SEITPM.png");</v>
      </c>
    </row>
    <row r="396" spans="1:10" ht="14.25" customHeight="1">
      <c r="A396" s="51">
        <f t="shared" si="31"/>
        <v>381</v>
      </c>
      <c r="B396" s="51">
        <f>A$387</f>
        <v>379</v>
      </c>
      <c r="C396" s="51">
        <v>11</v>
      </c>
      <c r="D396" s="53" t="s">
        <v>198</v>
      </c>
      <c r="E396" s="53"/>
      <c r="F396" s="53" t="s">
        <v>99</v>
      </c>
      <c r="G396" s="28" t="s">
        <v>194</v>
      </c>
      <c r="J396" t="str">
        <f t="shared" si="32"/>
        <v>datatable[380] = new Array("381","379","Assembly, Integration and Testing","11","SEITPM.png");</v>
      </c>
    </row>
    <row r="397" spans="1:10" ht="14.25" customHeight="1">
      <c r="A397" s="51">
        <f t="shared" si="31"/>
        <v>382</v>
      </c>
      <c r="B397" s="51">
        <f>A$387</f>
        <v>379</v>
      </c>
      <c r="C397" s="51">
        <v>11</v>
      </c>
      <c r="D397" s="53" t="s">
        <v>199</v>
      </c>
      <c r="E397" s="53"/>
      <c r="F397" s="53" t="s">
        <v>99</v>
      </c>
      <c r="G397" s="28" t="s">
        <v>194</v>
      </c>
      <c r="J397" t="str">
        <f t="shared" si="32"/>
        <v>datatable[381] = new Array("382","379","Support Equipment","11","SEITPM.png");</v>
      </c>
    </row>
    <row r="398" spans="1:10" ht="14.25" customHeight="1">
      <c r="A398" s="51">
        <f t="shared" si="31"/>
        <v>383</v>
      </c>
      <c r="B398" s="51">
        <f t="shared" ref="B398:B410" si="33">A$386</f>
        <v>378</v>
      </c>
      <c r="C398" s="51">
        <v>10</v>
      </c>
      <c r="D398" s="52" t="s">
        <v>422</v>
      </c>
      <c r="E398" s="53"/>
      <c r="F398" s="53" t="s">
        <v>97</v>
      </c>
      <c r="G398" s="28" t="s">
        <v>203</v>
      </c>
      <c r="J398" t="str">
        <f t="shared" si="32"/>
        <v>datatable[382] = new Array("383","378","Payload Structure","10","Widget.png");</v>
      </c>
    </row>
    <row r="399" spans="1:10" ht="14.25" customHeight="1">
      <c r="A399" s="51">
        <f t="shared" si="31"/>
        <v>384</v>
      </c>
      <c r="B399" s="51">
        <f t="shared" si="33"/>
        <v>378</v>
      </c>
      <c r="C399" s="51">
        <v>10</v>
      </c>
      <c r="D399" s="52" t="s">
        <v>423</v>
      </c>
      <c r="E399" s="53"/>
      <c r="F399" s="53" t="s">
        <v>97</v>
      </c>
      <c r="G399" s="28" t="s">
        <v>203</v>
      </c>
      <c r="J399" t="str">
        <f t="shared" si="32"/>
        <v>datatable[383] = new Array("384","378","Focal Plan Array","10","Widget.png");</v>
      </c>
    </row>
    <row r="400" spans="1:10" ht="14.25" customHeight="1">
      <c r="A400" s="51">
        <f t="shared" si="31"/>
        <v>385</v>
      </c>
      <c r="B400" s="51">
        <f t="shared" si="33"/>
        <v>378</v>
      </c>
      <c r="C400" s="51">
        <v>10</v>
      </c>
      <c r="D400" s="52" t="s">
        <v>424</v>
      </c>
      <c r="E400" s="53"/>
      <c r="F400" s="53" t="s">
        <v>97</v>
      </c>
      <c r="G400" s="28" t="s">
        <v>203</v>
      </c>
      <c r="J400" t="str">
        <f t="shared" si="32"/>
        <v>datatable[384] = new Array("385","378","Sensor Positioners","10","Widget.png");</v>
      </c>
    </row>
    <row r="401" spans="1:10" ht="14.25" customHeight="1">
      <c r="A401" s="51">
        <f t="shared" si="31"/>
        <v>386</v>
      </c>
      <c r="B401" s="51">
        <f t="shared" si="33"/>
        <v>378</v>
      </c>
      <c r="C401" s="51">
        <v>10</v>
      </c>
      <c r="D401" s="52" t="s">
        <v>425</v>
      </c>
      <c r="E401" s="53"/>
      <c r="F401" s="53" t="s">
        <v>97</v>
      </c>
      <c r="G401" s="28" t="s">
        <v>203</v>
      </c>
      <c r="J401" t="str">
        <f t="shared" si="32"/>
        <v>datatable[385] = new Array("386","378","Sensor Electronics","10","Widget.png");</v>
      </c>
    </row>
    <row r="402" spans="1:10" ht="14.25" customHeight="1">
      <c r="A402" s="51">
        <f t="shared" si="31"/>
        <v>387</v>
      </c>
      <c r="B402" s="51">
        <f t="shared" si="33"/>
        <v>378</v>
      </c>
      <c r="C402" s="51">
        <v>10</v>
      </c>
      <c r="D402" s="52" t="s">
        <v>417</v>
      </c>
      <c r="E402" s="53"/>
      <c r="F402" s="53" t="s">
        <v>97</v>
      </c>
      <c r="G402" s="28" t="s">
        <v>203</v>
      </c>
      <c r="J402" t="str">
        <f t="shared" si="32"/>
        <v>datatable[386] = new Array("387","378","Alignment and Calibration","10","Widget.png");</v>
      </c>
    </row>
    <row r="403" spans="1:10" ht="14.25" customHeight="1">
      <c r="A403" s="51">
        <f t="shared" si="31"/>
        <v>388</v>
      </c>
      <c r="B403" s="51">
        <f t="shared" si="33"/>
        <v>378</v>
      </c>
      <c r="C403" s="51">
        <v>10</v>
      </c>
      <c r="D403" s="52" t="s">
        <v>426</v>
      </c>
      <c r="E403" s="53"/>
      <c r="F403" s="53" t="s">
        <v>97</v>
      </c>
      <c r="G403" s="28" t="s">
        <v>203</v>
      </c>
      <c r="J403" t="str">
        <f t="shared" si="32"/>
        <v>datatable[387] = new Array("388","378","Magnetometer","10","Widget.png");</v>
      </c>
    </row>
    <row r="404" spans="1:10" ht="14.25" customHeight="1">
      <c r="A404" s="51">
        <f t="shared" si="31"/>
        <v>389</v>
      </c>
      <c r="B404" s="51">
        <f t="shared" si="33"/>
        <v>378</v>
      </c>
      <c r="C404" s="51">
        <v>10</v>
      </c>
      <c r="D404" s="52" t="s">
        <v>427</v>
      </c>
      <c r="E404" s="53"/>
      <c r="F404" s="53" t="s">
        <v>97</v>
      </c>
      <c r="G404" s="28" t="s">
        <v>203</v>
      </c>
      <c r="J404" t="str">
        <f t="shared" si="32"/>
        <v>datatable[388] = new Array("389","378","Spectrometer","10","Widget.png");</v>
      </c>
    </row>
    <row r="405" spans="1:10" ht="14.25" customHeight="1">
      <c r="A405" s="51">
        <f t="shared" si="31"/>
        <v>390</v>
      </c>
      <c r="B405" s="51">
        <f t="shared" si="33"/>
        <v>378</v>
      </c>
      <c r="C405" s="51">
        <v>10</v>
      </c>
      <c r="D405" s="52" t="s">
        <v>428</v>
      </c>
      <c r="E405" s="53"/>
      <c r="F405" s="53" t="s">
        <v>97</v>
      </c>
      <c r="G405" s="28" t="s">
        <v>203</v>
      </c>
      <c r="J405" t="str">
        <f t="shared" si="32"/>
        <v>datatable[389] = new Array("390","378","Radiometer","10","Widget.png");</v>
      </c>
    </row>
    <row r="406" spans="1:10" ht="14.25" customHeight="1">
      <c r="A406" s="51">
        <f t="shared" si="31"/>
        <v>391</v>
      </c>
      <c r="B406" s="51">
        <f t="shared" si="33"/>
        <v>378</v>
      </c>
      <c r="C406" s="51">
        <v>10</v>
      </c>
      <c r="D406" s="52" t="s">
        <v>429</v>
      </c>
      <c r="E406" s="53"/>
      <c r="F406" s="53" t="s">
        <v>97</v>
      </c>
      <c r="G406" s="28" t="s">
        <v>203</v>
      </c>
      <c r="J406" t="str">
        <f t="shared" si="32"/>
        <v>datatable[390] = new Array("391","378","Camera","10","Widget.png");</v>
      </c>
    </row>
    <row r="407" spans="1:10" ht="14.25" customHeight="1">
      <c r="A407" s="51">
        <f t="shared" si="31"/>
        <v>392</v>
      </c>
      <c r="B407" s="51">
        <f t="shared" si="33"/>
        <v>378</v>
      </c>
      <c r="C407" s="51">
        <v>10</v>
      </c>
      <c r="D407" s="52" t="s">
        <v>430</v>
      </c>
      <c r="E407" s="53"/>
      <c r="F407" s="53" t="s">
        <v>97</v>
      </c>
      <c r="G407" s="28" t="s">
        <v>203</v>
      </c>
      <c r="J407" t="str">
        <f t="shared" si="32"/>
        <v>datatable[391] = new Array("392","378","Sounder","10","Widget.png");</v>
      </c>
    </row>
    <row r="408" spans="1:10" ht="14.25" customHeight="1">
      <c r="A408" s="51">
        <f t="shared" si="31"/>
        <v>393</v>
      </c>
      <c r="B408" s="51">
        <f t="shared" si="33"/>
        <v>378</v>
      </c>
      <c r="C408" s="51">
        <v>10</v>
      </c>
      <c r="D408" s="52" t="s">
        <v>431</v>
      </c>
      <c r="E408" s="53"/>
      <c r="F408" s="53" t="s">
        <v>97</v>
      </c>
      <c r="G408" s="28" t="s">
        <v>203</v>
      </c>
      <c r="J408" t="str">
        <f t="shared" si="32"/>
        <v>datatable[392] = new Array("393","378","Flight Sensor Software","10","Widget.png");</v>
      </c>
    </row>
    <row r="409" spans="1:10" ht="14.25" customHeight="1">
      <c r="A409" s="51">
        <f t="shared" si="31"/>
        <v>394</v>
      </c>
      <c r="B409" s="51">
        <f t="shared" si="33"/>
        <v>378</v>
      </c>
      <c r="C409" s="51">
        <v>10</v>
      </c>
      <c r="D409" s="52" t="s">
        <v>432</v>
      </c>
      <c r="E409" s="53"/>
      <c r="F409" s="53" t="s">
        <v>97</v>
      </c>
      <c r="G409" s="28" t="s">
        <v>203</v>
      </c>
      <c r="J409" t="str">
        <f t="shared" si="32"/>
        <v>datatable[393] = new Array("394","378","Other Sensor Types (Specify)","10","Widget.png");</v>
      </c>
    </row>
    <row r="410" spans="1:10" ht="14.25" customHeight="1">
      <c r="A410" s="51">
        <f t="shared" si="31"/>
        <v>395</v>
      </c>
      <c r="B410" s="51">
        <f t="shared" si="33"/>
        <v>378</v>
      </c>
      <c r="C410" s="51">
        <v>10</v>
      </c>
      <c r="D410" s="52" t="s">
        <v>433</v>
      </c>
      <c r="E410" s="53"/>
      <c r="F410" s="53" t="s">
        <v>97</v>
      </c>
      <c r="G410" s="28" t="s">
        <v>203</v>
      </c>
      <c r="J410" t="str">
        <f t="shared" si="32"/>
        <v>datatable[394] = new Array("395","378","Mission Sensor Other (Specify)","10","Widget.png");</v>
      </c>
    </row>
    <row r="411" spans="1:10" ht="14.25" customHeight="1">
      <c r="A411" s="51">
        <f t="shared" si="31"/>
        <v>396</v>
      </c>
      <c r="B411" s="51">
        <f>A$296</f>
        <v>288</v>
      </c>
      <c r="C411" s="51">
        <v>9</v>
      </c>
      <c r="D411" s="52" t="s">
        <v>434</v>
      </c>
      <c r="E411" s="53"/>
      <c r="F411" s="52" t="s">
        <v>95</v>
      </c>
      <c r="G411" s="28" t="s">
        <v>203</v>
      </c>
      <c r="J411" t="str">
        <f t="shared" si="32"/>
        <v>datatable[395] = new Array("396","288","Payload Flight Software","9","Widget.png");</v>
      </c>
    </row>
    <row r="412" spans="1:10" ht="14.25" customHeight="1">
      <c r="A412" s="51">
        <f t="shared" si="31"/>
        <v>397</v>
      </c>
      <c r="B412" s="51">
        <f>A411</f>
        <v>396</v>
      </c>
      <c r="C412" s="51">
        <v>10</v>
      </c>
      <c r="D412" s="53" t="s">
        <v>435</v>
      </c>
      <c r="E412" s="53"/>
      <c r="F412" s="53" t="s">
        <v>97</v>
      </c>
      <c r="G412" s="28" t="s">
        <v>194</v>
      </c>
      <c r="J412" t="str">
        <f t="shared" si="32"/>
        <v>datatable[396] = new Array("397","396","Payload 1 FSW SEITPM","10","SEITPM.png");</v>
      </c>
    </row>
    <row r="413" spans="1:10" ht="14.25" customHeight="1">
      <c r="A413" s="51">
        <f t="shared" si="31"/>
        <v>398</v>
      </c>
      <c r="B413" s="51">
        <f>A$407</f>
        <v>392</v>
      </c>
      <c r="C413" s="51">
        <v>11</v>
      </c>
      <c r="D413" s="53" t="s">
        <v>195</v>
      </c>
      <c r="E413" s="53"/>
      <c r="F413" s="53" t="s">
        <v>99</v>
      </c>
      <c r="G413" s="28" t="s">
        <v>194</v>
      </c>
      <c r="J413" t="str">
        <f t="shared" si="32"/>
        <v>datatable[397] = new Array("398","392","Project Management","11","SEITPM.png");</v>
      </c>
    </row>
    <row r="414" spans="1:10" ht="14.25" customHeight="1">
      <c r="A414" s="51">
        <f t="shared" si="31"/>
        <v>399</v>
      </c>
      <c r="B414" s="51">
        <f>A$407</f>
        <v>392</v>
      </c>
      <c r="C414" s="51">
        <v>11</v>
      </c>
      <c r="D414" s="53" t="s">
        <v>196</v>
      </c>
      <c r="E414" s="53"/>
      <c r="F414" s="53" t="s">
        <v>99</v>
      </c>
      <c r="G414" s="28" t="s">
        <v>194</v>
      </c>
      <c r="J414" t="str">
        <f t="shared" si="32"/>
        <v>datatable[398] = new Array("399","392","Systems Engineering","11","SEITPM.png");</v>
      </c>
    </row>
    <row r="415" spans="1:10" ht="14.25" customHeight="1">
      <c r="A415" s="51">
        <f t="shared" si="31"/>
        <v>400</v>
      </c>
      <c r="B415" s="51">
        <f>A$407</f>
        <v>392</v>
      </c>
      <c r="C415" s="51">
        <v>11</v>
      </c>
      <c r="D415" s="53" t="s">
        <v>197</v>
      </c>
      <c r="E415" s="53"/>
      <c r="F415" s="53" t="s">
        <v>99</v>
      </c>
      <c r="G415" s="28" t="s">
        <v>194</v>
      </c>
      <c r="J415" t="str">
        <f t="shared" si="32"/>
        <v>datatable[399] = new Array("400","392","Mission Assurance","11","SEITPM.png");</v>
      </c>
    </row>
    <row r="416" spans="1:10" ht="14.25" customHeight="1">
      <c r="A416" s="51">
        <f t="shared" si="31"/>
        <v>401</v>
      </c>
      <c r="B416" s="51">
        <f>A$407</f>
        <v>392</v>
      </c>
      <c r="C416" s="51">
        <v>11</v>
      </c>
      <c r="D416" s="53" t="s">
        <v>198</v>
      </c>
      <c r="E416" s="53"/>
      <c r="F416" s="53" t="s">
        <v>99</v>
      </c>
      <c r="G416" s="28" t="s">
        <v>194</v>
      </c>
      <c r="J416" t="str">
        <f t="shared" si="32"/>
        <v>datatable[400] = new Array("401","392","Assembly, Integration and Testing","11","SEITPM.png");</v>
      </c>
    </row>
    <row r="417" spans="1:10" ht="14.25" customHeight="1">
      <c r="A417" s="51">
        <f t="shared" si="31"/>
        <v>402</v>
      </c>
      <c r="B417" s="51">
        <f>A$407</f>
        <v>392</v>
      </c>
      <c r="C417" s="51">
        <v>11</v>
      </c>
      <c r="D417" s="53" t="s">
        <v>199</v>
      </c>
      <c r="E417" s="53"/>
      <c r="F417" s="53" t="s">
        <v>99</v>
      </c>
      <c r="G417" s="28" t="s">
        <v>194</v>
      </c>
      <c r="J417" t="str">
        <f t="shared" si="32"/>
        <v>datatable[401] = new Array("402","392","Support Equipment","11","SEITPM.png");</v>
      </c>
    </row>
    <row r="418" spans="1:10" ht="14.25" customHeight="1">
      <c r="A418" s="51">
        <f t="shared" si="31"/>
        <v>403</v>
      </c>
      <c r="B418" s="51">
        <f>A411</f>
        <v>396</v>
      </c>
      <c r="C418" s="51">
        <v>10</v>
      </c>
      <c r="D418" s="52" t="s">
        <v>436</v>
      </c>
      <c r="E418" s="53"/>
      <c r="F418" s="53" t="s">
        <v>97</v>
      </c>
      <c r="G418" s="28" t="s">
        <v>203</v>
      </c>
      <c r="J418" t="str">
        <f t="shared" si="32"/>
        <v>datatable[402] = new Array("403","396","CSCI (Specify)","10","Widget.png");</v>
      </c>
    </row>
    <row r="419" spans="1:10" ht="14.25" customHeight="1">
      <c r="A419" s="51">
        <f t="shared" si="31"/>
        <v>404</v>
      </c>
      <c r="B419" s="51">
        <f>A$296</f>
        <v>288</v>
      </c>
      <c r="C419" s="51">
        <v>9</v>
      </c>
      <c r="D419" s="52" t="s">
        <v>437</v>
      </c>
      <c r="E419" s="53"/>
      <c r="F419" s="52" t="s">
        <v>95</v>
      </c>
      <c r="G419" s="28" t="s">
        <v>203</v>
      </c>
      <c r="J419" t="str">
        <f t="shared" si="32"/>
        <v>datatable[403] = new Array("404","288","Payload Antenna 1 … n (Specify)","9","Widget.png");</v>
      </c>
    </row>
    <row r="420" spans="1:10" ht="14.25" customHeight="1">
      <c r="A420" s="51">
        <f t="shared" si="31"/>
        <v>405</v>
      </c>
      <c r="B420" s="51">
        <f>A$414</f>
        <v>399</v>
      </c>
      <c r="C420" s="51">
        <v>10</v>
      </c>
      <c r="D420" s="53" t="s">
        <v>438</v>
      </c>
      <c r="E420" s="53"/>
      <c r="F420" s="53" t="s">
        <v>97</v>
      </c>
      <c r="G420" s="28" t="s">
        <v>194</v>
      </c>
      <c r="J420" t="str">
        <f t="shared" si="32"/>
        <v>datatable[404] = new Array("405","399","Payload 1 Antenna SEITPM","10","SEITPM.png");</v>
      </c>
    </row>
    <row r="421" spans="1:10" ht="14.25" customHeight="1">
      <c r="A421" s="51">
        <f t="shared" si="31"/>
        <v>406</v>
      </c>
      <c r="B421" s="51">
        <f>A$415</f>
        <v>400</v>
      </c>
      <c r="C421" s="51">
        <v>11</v>
      </c>
      <c r="D421" s="53" t="s">
        <v>195</v>
      </c>
      <c r="E421" s="53"/>
      <c r="F421" s="53" t="s">
        <v>99</v>
      </c>
      <c r="G421" s="28" t="s">
        <v>194</v>
      </c>
      <c r="J421" t="str">
        <f t="shared" si="32"/>
        <v>datatable[405] = new Array("406","400","Project Management","11","SEITPM.png");</v>
      </c>
    </row>
    <row r="422" spans="1:10" ht="14.25" customHeight="1">
      <c r="A422" s="51">
        <f t="shared" ref="A422:A453" si="34">A421+1</f>
        <v>407</v>
      </c>
      <c r="B422" s="51">
        <f>A$415</f>
        <v>400</v>
      </c>
      <c r="C422" s="51">
        <v>11</v>
      </c>
      <c r="D422" s="53" t="s">
        <v>196</v>
      </c>
      <c r="E422" s="53"/>
      <c r="F422" s="53" t="s">
        <v>99</v>
      </c>
      <c r="G422" s="28" t="s">
        <v>194</v>
      </c>
      <c r="J422" t="str">
        <f t="shared" si="32"/>
        <v>datatable[406] = new Array("407","400","Systems Engineering","11","SEITPM.png");</v>
      </c>
    </row>
    <row r="423" spans="1:10" ht="14.25" customHeight="1">
      <c r="A423" s="51">
        <f t="shared" si="34"/>
        <v>408</v>
      </c>
      <c r="B423" s="51">
        <f>A$415</f>
        <v>400</v>
      </c>
      <c r="C423" s="51">
        <v>11</v>
      </c>
      <c r="D423" s="53" t="s">
        <v>197</v>
      </c>
      <c r="E423" s="53"/>
      <c r="F423" s="53" t="s">
        <v>99</v>
      </c>
      <c r="G423" s="28" t="s">
        <v>194</v>
      </c>
      <c r="J423" t="str">
        <f t="shared" si="32"/>
        <v>datatable[407] = new Array("408","400","Mission Assurance","11","SEITPM.png");</v>
      </c>
    </row>
    <row r="424" spans="1:10" ht="14.25" customHeight="1">
      <c r="A424" s="51">
        <f t="shared" si="34"/>
        <v>409</v>
      </c>
      <c r="B424" s="51">
        <f>A$415</f>
        <v>400</v>
      </c>
      <c r="C424" s="51">
        <v>11</v>
      </c>
      <c r="D424" s="53" t="s">
        <v>198</v>
      </c>
      <c r="E424" s="53"/>
      <c r="F424" s="53" t="s">
        <v>99</v>
      </c>
      <c r="G424" s="28" t="s">
        <v>194</v>
      </c>
      <c r="J424" t="str">
        <f t="shared" si="32"/>
        <v>datatable[408] = new Array("409","400","Assembly, Integration and Testing","11","SEITPM.png");</v>
      </c>
    </row>
    <row r="425" spans="1:10" ht="14.25" customHeight="1">
      <c r="A425" s="51">
        <f t="shared" si="34"/>
        <v>410</v>
      </c>
      <c r="B425" s="51">
        <f>A$415</f>
        <v>400</v>
      </c>
      <c r="C425" s="51">
        <v>11</v>
      </c>
      <c r="D425" s="53" t="s">
        <v>199</v>
      </c>
      <c r="E425" s="53"/>
      <c r="F425" s="53" t="s">
        <v>99</v>
      </c>
      <c r="G425" s="28" t="s">
        <v>194</v>
      </c>
      <c r="J425" t="str">
        <f t="shared" si="32"/>
        <v>datatable[409] = new Array("410","400","Support Equipment","11","SEITPM.png");</v>
      </c>
    </row>
    <row r="426" spans="1:10" ht="14.25" customHeight="1">
      <c r="A426" s="51">
        <f t="shared" si="34"/>
        <v>411</v>
      </c>
      <c r="B426" s="51">
        <f t="shared" ref="B426:B432" si="35">A$414</f>
        <v>399</v>
      </c>
      <c r="C426" s="51">
        <v>10</v>
      </c>
      <c r="D426" s="52" t="s">
        <v>439</v>
      </c>
      <c r="E426" s="53"/>
      <c r="F426" s="53" t="s">
        <v>97</v>
      </c>
      <c r="G426" s="28" t="s">
        <v>203</v>
      </c>
      <c r="J426" t="str">
        <f t="shared" si="32"/>
        <v>datatable[410] = new Array("411","399","Structures and Mechanisms","10","Widget.png");</v>
      </c>
    </row>
    <row r="427" spans="1:10" ht="14.25" customHeight="1">
      <c r="A427" s="51">
        <f t="shared" si="34"/>
        <v>412</v>
      </c>
      <c r="B427" s="51">
        <f t="shared" si="35"/>
        <v>399</v>
      </c>
      <c r="C427" s="51">
        <v>10</v>
      </c>
      <c r="D427" s="52" t="s">
        <v>440</v>
      </c>
      <c r="E427" s="53"/>
      <c r="F427" s="53" t="s">
        <v>97</v>
      </c>
      <c r="G427" s="28" t="s">
        <v>203</v>
      </c>
      <c r="J427" t="str">
        <f t="shared" si="32"/>
        <v>datatable[411] = new Array("412","399","Antenna Positioners","10","Widget.png");</v>
      </c>
    </row>
    <row r="428" spans="1:10" ht="14.25" customHeight="1">
      <c r="A428" s="51">
        <f t="shared" si="34"/>
        <v>413</v>
      </c>
      <c r="B428" s="51">
        <f t="shared" si="35"/>
        <v>399</v>
      </c>
      <c r="C428" s="51">
        <v>10</v>
      </c>
      <c r="D428" s="52" t="s">
        <v>441</v>
      </c>
      <c r="E428" s="53"/>
      <c r="F428" s="53" t="s">
        <v>97</v>
      </c>
      <c r="G428" s="28" t="s">
        <v>203</v>
      </c>
      <c r="J428" t="str">
        <f t="shared" si="32"/>
        <v>datatable[412] = new Array("413","399","Reflector/Horn","10","Widget.png");</v>
      </c>
    </row>
    <row r="429" spans="1:10" ht="14.25" customHeight="1">
      <c r="A429" s="51">
        <f t="shared" si="34"/>
        <v>414</v>
      </c>
      <c r="B429" s="51">
        <f t="shared" si="35"/>
        <v>399</v>
      </c>
      <c r="C429" s="51">
        <v>10</v>
      </c>
      <c r="D429" s="52" t="s">
        <v>442</v>
      </c>
      <c r="E429" s="53"/>
      <c r="F429" s="53" t="s">
        <v>97</v>
      </c>
      <c r="G429" s="28" t="s">
        <v>203</v>
      </c>
      <c r="J429" t="str">
        <f t="shared" si="32"/>
        <v>datatable[413] = new Array("414","399","Feed","10","Widget.png");</v>
      </c>
    </row>
    <row r="430" spans="1:10" ht="14.25" customHeight="1">
      <c r="A430" s="51">
        <f t="shared" si="34"/>
        <v>415</v>
      </c>
      <c r="B430" s="51">
        <f t="shared" si="35"/>
        <v>399</v>
      </c>
      <c r="C430" s="51">
        <v>10</v>
      </c>
      <c r="D430" s="52" t="s">
        <v>443</v>
      </c>
      <c r="E430" s="53"/>
      <c r="F430" s="53" t="s">
        <v>97</v>
      </c>
      <c r="G430" s="28" t="s">
        <v>203</v>
      </c>
      <c r="J430" t="str">
        <f t="shared" si="32"/>
        <v>datatable[414] = new Array("415","399","Waveguide/Coad/Cabling","10","Widget.png");</v>
      </c>
    </row>
    <row r="431" spans="1:10" ht="14.25" customHeight="1">
      <c r="A431" s="51">
        <f t="shared" si="34"/>
        <v>416</v>
      </c>
      <c r="B431" s="51">
        <f t="shared" si="35"/>
        <v>399</v>
      </c>
      <c r="C431" s="51">
        <v>10</v>
      </c>
      <c r="D431" s="52" t="s">
        <v>444</v>
      </c>
      <c r="E431" s="53"/>
      <c r="F431" s="53" t="s">
        <v>97</v>
      </c>
      <c r="G431" s="28" t="s">
        <v>203</v>
      </c>
      <c r="J431" t="str">
        <f t="shared" si="32"/>
        <v>datatable[415] = new Array("416","399","Transmit/Receive Modules","10","Widget.png");</v>
      </c>
    </row>
    <row r="432" spans="1:10" ht="14.25" customHeight="1">
      <c r="A432" s="51">
        <f t="shared" si="34"/>
        <v>417</v>
      </c>
      <c r="B432" s="51">
        <f t="shared" si="35"/>
        <v>399</v>
      </c>
      <c r="C432" s="51">
        <v>10</v>
      </c>
      <c r="D432" s="52" t="s">
        <v>445</v>
      </c>
      <c r="E432" s="53"/>
      <c r="F432" s="53" t="s">
        <v>97</v>
      </c>
      <c r="G432" s="28" t="s">
        <v>203</v>
      </c>
      <c r="J432" t="str">
        <f t="shared" si="32"/>
        <v>datatable[416] = new Array("417","399","Antenna Other (Specify)","10","Widget.png");</v>
      </c>
    </row>
    <row r="433" spans="1:10" ht="14.25" customHeight="1">
      <c r="A433" s="51">
        <f t="shared" si="34"/>
        <v>418</v>
      </c>
      <c r="B433" s="51">
        <f>A$296</f>
        <v>288</v>
      </c>
      <c r="C433" s="51">
        <v>9</v>
      </c>
      <c r="D433" s="52" t="s">
        <v>446</v>
      </c>
      <c r="E433" s="53"/>
      <c r="F433" s="52" t="s">
        <v>95</v>
      </c>
      <c r="G433" s="28" t="s">
        <v>203</v>
      </c>
      <c r="J433" t="str">
        <f t="shared" si="32"/>
        <v>datatable[417] = new Array("418","288","Payload Other (Specify)","9","Widget.png");</v>
      </c>
    </row>
    <row r="434" spans="1:10" ht="14.25" customHeight="1">
      <c r="A434" s="51">
        <f t="shared" si="34"/>
        <v>419</v>
      </c>
      <c r="B434" s="51">
        <f>A433</f>
        <v>418</v>
      </c>
      <c r="C434" s="51">
        <v>10</v>
      </c>
      <c r="D434" s="52" t="s">
        <v>447</v>
      </c>
      <c r="E434" s="52"/>
      <c r="F434" s="53" t="s">
        <v>97</v>
      </c>
      <c r="G434" s="28" t="s">
        <v>203</v>
      </c>
      <c r="J434" t="str">
        <f t="shared" si="32"/>
        <v>datatable[418] = new Array("419","418","Booster Adapter","10","Widget.png");</v>
      </c>
    </row>
    <row r="435" spans="1:10" ht="14.25" customHeight="1">
      <c r="A435" s="51">
        <f t="shared" si="34"/>
        <v>420</v>
      </c>
      <c r="B435" s="51">
        <f>A433</f>
        <v>418</v>
      </c>
      <c r="C435" s="51">
        <v>10</v>
      </c>
      <c r="D435" s="52" t="s">
        <v>448</v>
      </c>
      <c r="E435" s="52"/>
      <c r="F435" s="53" t="s">
        <v>97</v>
      </c>
      <c r="G435" s="28" t="s">
        <v>203</v>
      </c>
      <c r="J435" t="str">
        <f t="shared" si="32"/>
        <v>datatable[419] = new Array("420","418","Space Vehicle Storage","10","Widget.png");</v>
      </c>
    </row>
    <row r="436" spans="1:10" ht="14.25" customHeight="1">
      <c r="A436" s="51">
        <f t="shared" si="34"/>
        <v>421</v>
      </c>
      <c r="B436" s="51">
        <f>A433</f>
        <v>418</v>
      </c>
      <c r="C436" s="51">
        <v>10</v>
      </c>
      <c r="D436" s="52" t="s">
        <v>449</v>
      </c>
      <c r="E436" s="52"/>
      <c r="F436" s="53" t="s">
        <v>97</v>
      </c>
      <c r="G436" s="28" t="s">
        <v>203</v>
      </c>
      <c r="J436" t="str">
        <f t="shared" si="32"/>
        <v>datatable[420] = new Array("421","418","Space Vehicle Other (Specify)","10","Widget.png");</v>
      </c>
    </row>
    <row r="437" spans="1:10" ht="14.25" customHeight="1">
      <c r="A437" s="49">
        <f t="shared" si="34"/>
        <v>422</v>
      </c>
      <c r="B437" s="49">
        <f>A$20</f>
        <v>12</v>
      </c>
      <c r="C437" s="49">
        <v>7</v>
      </c>
      <c r="D437" s="64" t="s">
        <v>450</v>
      </c>
      <c r="E437" s="64"/>
      <c r="F437" s="50"/>
      <c r="G437" s="28" t="s">
        <v>109</v>
      </c>
      <c r="J437" t="str">
        <f t="shared" si="32"/>
        <v>datatable[421] = new Array("422","12","Launch Systems Integration (LSI)","7","Rocket.png");</v>
      </c>
    </row>
    <row r="438" spans="1:10" ht="14.25" customHeight="1">
      <c r="A438" s="49">
        <f t="shared" si="34"/>
        <v>423</v>
      </c>
      <c r="B438" s="49">
        <f>A$20</f>
        <v>12</v>
      </c>
      <c r="C438" s="49">
        <v>7</v>
      </c>
      <c r="D438" s="64" t="s">
        <v>451</v>
      </c>
      <c r="E438" s="50"/>
      <c r="F438" s="50"/>
      <c r="G438" s="28" t="s">
        <v>109</v>
      </c>
      <c r="J438" t="str">
        <f t="shared" si="32"/>
        <v>datatable[422] = new Array("423","12","Launch Operations","7","Rocket.png");</v>
      </c>
    </row>
    <row r="439" spans="1:10" ht="14.25" customHeight="1">
      <c r="A439" s="49">
        <f t="shared" si="34"/>
        <v>424</v>
      </c>
      <c r="B439" s="49">
        <f>A$20</f>
        <v>12</v>
      </c>
      <c r="C439" s="49">
        <v>7</v>
      </c>
      <c r="D439" s="64" t="s">
        <v>452</v>
      </c>
      <c r="E439" s="50"/>
      <c r="F439" s="50"/>
      <c r="G439" s="28" t="s">
        <v>109</v>
      </c>
      <c r="J439" t="str">
        <f t="shared" si="32"/>
        <v>datatable[423] = new Array("424","12","Launch Operations Support","7","Rocket.png");</v>
      </c>
    </row>
    <row r="440" spans="1:10" ht="14.25" customHeight="1">
      <c r="A440" s="49">
        <f t="shared" si="34"/>
        <v>425</v>
      </c>
      <c r="B440" s="49">
        <f>A$20</f>
        <v>12</v>
      </c>
      <c r="C440" s="49">
        <v>7</v>
      </c>
      <c r="D440" s="64" t="s">
        <v>453</v>
      </c>
      <c r="E440" s="50"/>
      <c r="F440" s="50"/>
      <c r="G440" s="28" t="s">
        <v>109</v>
      </c>
      <c r="J440" t="str">
        <f t="shared" si="32"/>
        <v>datatable[424] = new Array("425","12","Launch Vehicle Services","7","Rocket.png");</v>
      </c>
    </row>
    <row r="441" spans="1:10" ht="14.25" customHeight="1">
      <c r="A441" s="49">
        <f t="shared" si="34"/>
        <v>426</v>
      </c>
      <c r="B441" s="49">
        <f>A$20</f>
        <v>12</v>
      </c>
      <c r="C441" s="49">
        <v>7</v>
      </c>
      <c r="D441" s="64" t="s">
        <v>454</v>
      </c>
      <c r="E441" s="50"/>
      <c r="F441" s="50"/>
      <c r="G441" s="28" t="s">
        <v>109</v>
      </c>
      <c r="J441" t="str">
        <f t="shared" si="32"/>
        <v>datatable[425] = new Array("426","12","Launch Insurance","7","Rocket.png");</v>
      </c>
    </row>
    <row r="442" spans="1:10" ht="14.25" customHeight="1">
      <c r="A442" s="65">
        <f t="shared" si="34"/>
        <v>427</v>
      </c>
      <c r="B442" s="65">
        <f>A$21</f>
        <v>13</v>
      </c>
      <c r="C442" s="65">
        <v>7</v>
      </c>
      <c r="D442" s="66" t="s">
        <v>455</v>
      </c>
      <c r="E442" s="66"/>
      <c r="F442" s="66" t="s">
        <v>97</v>
      </c>
      <c r="G442" s="28" t="s">
        <v>194</v>
      </c>
      <c r="J442" t="str">
        <f t="shared" si="32"/>
        <v>datatable[426] = new Array("427","13","Ground Segment SEITPM","7","SEITPM.png");</v>
      </c>
    </row>
    <row r="443" spans="1:10" ht="14.25" customHeight="1">
      <c r="A443" s="65">
        <f t="shared" si="34"/>
        <v>428</v>
      </c>
      <c r="B443" s="65">
        <f>A$437</f>
        <v>422</v>
      </c>
      <c r="C443" s="65">
        <v>8</v>
      </c>
      <c r="D443" s="66" t="s">
        <v>195</v>
      </c>
      <c r="E443" s="66"/>
      <c r="F443" s="66" t="s">
        <v>99</v>
      </c>
      <c r="G443" s="28" t="s">
        <v>194</v>
      </c>
      <c r="J443" t="str">
        <f t="shared" si="32"/>
        <v>datatable[427] = new Array("428","422","Project Management","8","SEITPM.png");</v>
      </c>
    </row>
    <row r="444" spans="1:10" ht="14.25" customHeight="1">
      <c r="A444" s="65">
        <f t="shared" si="34"/>
        <v>429</v>
      </c>
      <c r="B444" s="65">
        <f>A$437</f>
        <v>422</v>
      </c>
      <c r="C444" s="65">
        <v>8</v>
      </c>
      <c r="D444" s="66" t="s">
        <v>196</v>
      </c>
      <c r="E444" s="66"/>
      <c r="F444" s="66" t="s">
        <v>99</v>
      </c>
      <c r="G444" s="28" t="s">
        <v>194</v>
      </c>
      <c r="J444" t="str">
        <f t="shared" si="32"/>
        <v>datatable[428] = new Array("429","422","Systems Engineering","8","SEITPM.png");</v>
      </c>
    </row>
    <row r="445" spans="1:10" ht="14.25" customHeight="1">
      <c r="A445" s="65">
        <f t="shared" si="34"/>
        <v>430</v>
      </c>
      <c r="B445" s="65">
        <f>A$437</f>
        <v>422</v>
      </c>
      <c r="C445" s="65">
        <v>8</v>
      </c>
      <c r="D445" s="66" t="s">
        <v>197</v>
      </c>
      <c r="E445" s="66"/>
      <c r="F445" s="66" t="s">
        <v>99</v>
      </c>
      <c r="G445" s="28" t="s">
        <v>194</v>
      </c>
      <c r="J445" t="str">
        <f t="shared" si="32"/>
        <v>datatable[429] = new Array("430","422","Mission Assurance","8","SEITPM.png");</v>
      </c>
    </row>
    <row r="446" spans="1:10" ht="14.25" customHeight="1">
      <c r="A446" s="65">
        <f t="shared" si="34"/>
        <v>431</v>
      </c>
      <c r="B446" s="65">
        <f>A$437</f>
        <v>422</v>
      </c>
      <c r="C446" s="65">
        <v>8</v>
      </c>
      <c r="D446" s="66" t="s">
        <v>198</v>
      </c>
      <c r="E446" s="66"/>
      <c r="F446" s="66" t="s">
        <v>99</v>
      </c>
      <c r="G446" s="28" t="s">
        <v>194</v>
      </c>
      <c r="J446" t="str">
        <f t="shared" si="32"/>
        <v>datatable[430] = new Array("431","422","Assembly, Integration and Testing","8","SEITPM.png");</v>
      </c>
    </row>
    <row r="447" spans="1:10" ht="14.25" customHeight="1">
      <c r="A447" s="65">
        <f t="shared" si="34"/>
        <v>432</v>
      </c>
      <c r="B447" s="65">
        <f>A$437</f>
        <v>422</v>
      </c>
      <c r="C447" s="65">
        <v>8</v>
      </c>
      <c r="D447" s="66" t="s">
        <v>199</v>
      </c>
      <c r="E447" s="66"/>
      <c r="F447" s="66" t="s">
        <v>99</v>
      </c>
      <c r="G447" s="28" t="s">
        <v>194</v>
      </c>
      <c r="J447" t="str">
        <f t="shared" si="32"/>
        <v>datatable[431] = new Array("432","422","Support Equipment","8","SEITPM.png");</v>
      </c>
    </row>
    <row r="448" spans="1:10" ht="14.25" customHeight="1">
      <c r="A448" s="65">
        <f t="shared" si="34"/>
        <v>433</v>
      </c>
      <c r="B448" s="65">
        <f>A$21</f>
        <v>13</v>
      </c>
      <c r="C448" s="65">
        <v>7</v>
      </c>
      <c r="D448" s="67" t="s">
        <v>456</v>
      </c>
      <c r="E448" s="66"/>
      <c r="F448" s="66"/>
      <c r="G448" s="28" t="s">
        <v>112</v>
      </c>
      <c r="J448" t="str">
        <f t="shared" si="32"/>
        <v>datatable[432] = new Array("433","13","Mission Control Centers","7","Facility.png");</v>
      </c>
    </row>
    <row r="449" spans="1:10" ht="14.25" customHeight="1">
      <c r="A449" s="65">
        <f t="shared" si="34"/>
        <v>434</v>
      </c>
      <c r="B449" s="65">
        <f>A$21</f>
        <v>13</v>
      </c>
      <c r="C449" s="65">
        <v>7</v>
      </c>
      <c r="D449" s="67" t="s">
        <v>457</v>
      </c>
      <c r="E449" s="66"/>
      <c r="F449" s="66"/>
      <c r="G449" s="28" t="s">
        <v>112</v>
      </c>
      <c r="J449" t="str">
        <f t="shared" si="32"/>
        <v>datatable[433] = new Array("434","13","Science / Data Ops Centers","7","Facility.png");</v>
      </c>
    </row>
    <row r="450" spans="1:10" ht="14.25" customHeight="1">
      <c r="A450" s="65">
        <f t="shared" si="34"/>
        <v>435</v>
      </c>
      <c r="B450" s="65">
        <f>A$21</f>
        <v>13</v>
      </c>
      <c r="C450" s="65">
        <v>7</v>
      </c>
      <c r="D450" s="67" t="s">
        <v>458</v>
      </c>
      <c r="E450" s="66"/>
      <c r="F450" s="66"/>
      <c r="G450" s="28" t="s">
        <v>112</v>
      </c>
      <c r="J450" t="str">
        <f t="shared" si="32"/>
        <v>datatable[434] = new Array("435","13","Terminals and Data Networks – incl Antennas ","7","Facility.png");</v>
      </c>
    </row>
    <row r="451" spans="1:10" ht="14.25" customHeight="1">
      <c r="A451" s="65">
        <f t="shared" si="34"/>
        <v>436</v>
      </c>
      <c r="B451" s="65">
        <f>A$21</f>
        <v>13</v>
      </c>
      <c r="C451" s="65">
        <v>7</v>
      </c>
      <c r="D451" s="67" t="s">
        <v>459</v>
      </c>
      <c r="E451" s="66"/>
      <c r="F451" s="66"/>
      <c r="G451" s="28" t="s">
        <v>112</v>
      </c>
      <c r="J451" t="str">
        <f t="shared" si="32"/>
        <v>datatable[435] = new Array("436","13","Data Distribution &amp; Archival ","7","Facility.png");</v>
      </c>
    </row>
    <row r="452" spans="1:10" ht="14.25" customHeight="1">
      <c r="A452" s="65">
        <f t="shared" si="34"/>
        <v>437</v>
      </c>
      <c r="B452" s="65">
        <f>A$21</f>
        <v>13</v>
      </c>
      <c r="C452" s="65">
        <v>7</v>
      </c>
      <c r="D452" s="67" t="s">
        <v>460</v>
      </c>
      <c r="E452" s="66"/>
      <c r="F452" s="66"/>
      <c r="G452" s="28" t="s">
        <v>112</v>
      </c>
      <c r="J452" t="str">
        <f t="shared" si="32"/>
        <v>datatable[436] = new Array("437","13","Training Facilities ","7","Facility.png");</v>
      </c>
    </row>
    <row r="453" spans="1:10" ht="14.25" customHeight="1">
      <c r="A453" s="65">
        <f t="shared" si="34"/>
        <v>438</v>
      </c>
      <c r="B453" s="65">
        <f>A448</f>
        <v>433</v>
      </c>
      <c r="C453" s="65">
        <v>8</v>
      </c>
      <c r="D453" s="67" t="s">
        <v>461</v>
      </c>
      <c r="E453" s="66"/>
      <c r="F453" s="66"/>
      <c r="G453" s="28" t="s">
        <v>112</v>
      </c>
      <c r="J453" t="str">
        <f t="shared" si="32"/>
        <v>datatable[437] = new Array("438","433","CSA Mission Control","8","Facility.png");</v>
      </c>
    </row>
    <row r="454" spans="1:10" ht="14.25" customHeight="1">
      <c r="A454" s="65">
        <f t="shared" ref="A454:A485" si="36">A453+1</f>
        <v>439</v>
      </c>
      <c r="B454" s="65">
        <f>A453</f>
        <v>438</v>
      </c>
      <c r="C454" s="65">
        <v>9</v>
      </c>
      <c r="D454" s="67" t="s">
        <v>462</v>
      </c>
      <c r="E454" s="66"/>
      <c r="F454" s="66"/>
      <c r="G454" s="28" t="s">
        <v>112</v>
      </c>
      <c r="J454" t="str">
        <f t="shared" si="32"/>
        <v>datatable[438] = new Array("439","438","SatOps Mission Control Complex at JHCSC ","9","Facility.png");</v>
      </c>
    </row>
    <row r="455" spans="1:10" ht="14.25" customHeight="1">
      <c r="A455" s="65">
        <f t="shared" si="36"/>
        <v>440</v>
      </c>
      <c r="B455" s="65">
        <f>A453</f>
        <v>438</v>
      </c>
      <c r="C455" s="65">
        <v>9</v>
      </c>
      <c r="D455" s="67" t="s">
        <v>463</v>
      </c>
      <c r="E455" s="66"/>
      <c r="F455" s="66"/>
      <c r="G455" s="28" t="s">
        <v>112</v>
      </c>
      <c r="J455" t="str">
        <f t="shared" si="32"/>
        <v>datatable[439] = new Array("440","438","ISS Mission Operations Complex","9","Facility.png");</v>
      </c>
    </row>
    <row r="456" spans="1:10" ht="14.25" customHeight="1">
      <c r="A456" s="65">
        <f t="shared" si="36"/>
        <v>441</v>
      </c>
      <c r="B456" s="65">
        <f>A448</f>
        <v>433</v>
      </c>
      <c r="C456" s="65">
        <v>8</v>
      </c>
      <c r="D456" s="67" t="s">
        <v>464</v>
      </c>
      <c r="E456" s="66"/>
      <c r="F456" s="66"/>
      <c r="G456" s="28" t="s">
        <v>112</v>
      </c>
      <c r="J456" t="str">
        <f t="shared" si="32"/>
        <v>datatable[440] = new Array("441","433","NASA Mission Operations Complex","8","Facility.png");</v>
      </c>
    </row>
    <row r="457" spans="1:10" ht="14.25" customHeight="1">
      <c r="A457" s="65">
        <f t="shared" si="36"/>
        <v>442</v>
      </c>
      <c r="B457" s="65">
        <f>A$450</f>
        <v>435</v>
      </c>
      <c r="C457" s="65">
        <v>10</v>
      </c>
      <c r="D457" s="67" t="s">
        <v>465</v>
      </c>
      <c r="E457" s="66"/>
      <c r="F457" s="66"/>
      <c r="G457" s="28" t="s">
        <v>112</v>
      </c>
      <c r="J457" t="str">
        <f t="shared" ref="J457:J506" si="37">"datatable["&amp;A457-1&amp;"] = new Array(""" &amp; A457 &amp;""",""" &amp; B457 &amp;""",""" &amp; D457 &amp; """,""" &amp; C457&amp;""","""&amp;""&amp;G457&amp;""");"</f>
        <v>datatable[441] = new Array("442","435","RMPSR","10","Facility.png");</v>
      </c>
    </row>
    <row r="458" spans="1:10" ht="14.25" customHeight="1">
      <c r="A458" s="65">
        <f t="shared" si="36"/>
        <v>443</v>
      </c>
      <c r="B458" s="65">
        <f>A$450</f>
        <v>435</v>
      </c>
      <c r="C458" s="65">
        <v>10</v>
      </c>
      <c r="D458" s="67" t="s">
        <v>466</v>
      </c>
      <c r="E458" s="66"/>
      <c r="F458" s="66"/>
      <c r="G458" s="28" t="s">
        <v>112</v>
      </c>
      <c r="J458" t="str">
        <f t="shared" si="37"/>
        <v>datatable[442] = new Array("443","435","OEC","10","Facility.png");</v>
      </c>
    </row>
    <row r="459" spans="1:10" ht="14.25" customHeight="1">
      <c r="A459" s="65">
        <f t="shared" si="36"/>
        <v>444</v>
      </c>
      <c r="B459" s="65">
        <f>A$450</f>
        <v>435</v>
      </c>
      <c r="C459" s="65">
        <v>10</v>
      </c>
      <c r="D459" s="67" t="s">
        <v>467</v>
      </c>
      <c r="E459" s="66"/>
      <c r="F459" s="66"/>
      <c r="G459" s="28" t="s">
        <v>112</v>
      </c>
      <c r="J459" t="str">
        <f t="shared" si="37"/>
        <v>datatable[443] = new Array("444","435","PTOC","10","Facility.png");</v>
      </c>
    </row>
    <row r="460" spans="1:10" ht="14.25" customHeight="1">
      <c r="A460" s="65">
        <f t="shared" si="36"/>
        <v>445</v>
      </c>
      <c r="B460" s="65">
        <f>A454</f>
        <v>439</v>
      </c>
      <c r="C460" s="65">
        <v>10</v>
      </c>
      <c r="D460" s="66" t="s">
        <v>468</v>
      </c>
      <c r="E460" s="66"/>
      <c r="F460" s="66" t="s">
        <v>97</v>
      </c>
      <c r="G460" s="28" t="s">
        <v>194</v>
      </c>
      <c r="J460" t="str">
        <f t="shared" si="37"/>
        <v>datatable[444] = new Array("445","439","SatOps Mission control SEITPM","10","SEITPM.png");</v>
      </c>
    </row>
    <row r="461" spans="1:10" ht="14.25" customHeight="1">
      <c r="A461" s="65">
        <f t="shared" si="36"/>
        <v>446</v>
      </c>
      <c r="B461" s="65">
        <f>A$455</f>
        <v>440</v>
      </c>
      <c r="C461" s="65">
        <v>11</v>
      </c>
      <c r="D461" s="66" t="s">
        <v>195</v>
      </c>
      <c r="E461" s="66"/>
      <c r="F461" s="66" t="s">
        <v>99</v>
      </c>
      <c r="G461" s="28" t="s">
        <v>194</v>
      </c>
      <c r="J461" t="str">
        <f t="shared" si="37"/>
        <v>datatable[445] = new Array("446","440","Project Management","11","SEITPM.png");</v>
      </c>
    </row>
    <row r="462" spans="1:10" ht="14.25" customHeight="1">
      <c r="A462" s="65">
        <f t="shared" si="36"/>
        <v>447</v>
      </c>
      <c r="B462" s="65">
        <f>A$455</f>
        <v>440</v>
      </c>
      <c r="C462" s="65">
        <v>11</v>
      </c>
      <c r="D462" s="66" t="s">
        <v>196</v>
      </c>
      <c r="E462" s="66"/>
      <c r="F462" s="66" t="s">
        <v>99</v>
      </c>
      <c r="G462" s="28" t="s">
        <v>194</v>
      </c>
      <c r="J462" t="str">
        <f t="shared" si="37"/>
        <v>datatable[446] = new Array("447","440","Systems Engineering","11","SEITPM.png");</v>
      </c>
    </row>
    <row r="463" spans="1:10" ht="14.25" customHeight="1">
      <c r="A463" s="65">
        <f t="shared" si="36"/>
        <v>448</v>
      </c>
      <c r="B463" s="65">
        <f>A$455</f>
        <v>440</v>
      </c>
      <c r="C463" s="65">
        <v>11</v>
      </c>
      <c r="D463" s="66" t="s">
        <v>197</v>
      </c>
      <c r="E463" s="66"/>
      <c r="F463" s="66" t="s">
        <v>99</v>
      </c>
      <c r="G463" s="28" t="s">
        <v>194</v>
      </c>
      <c r="J463" t="str">
        <f t="shared" si="37"/>
        <v>datatable[447] = new Array("448","440","Mission Assurance","11","SEITPM.png");</v>
      </c>
    </row>
    <row r="464" spans="1:10" ht="14.25" customHeight="1">
      <c r="A464" s="65">
        <f t="shared" si="36"/>
        <v>449</v>
      </c>
      <c r="B464" s="65">
        <f>A$455</f>
        <v>440</v>
      </c>
      <c r="C464" s="65">
        <v>11</v>
      </c>
      <c r="D464" s="66" t="s">
        <v>198</v>
      </c>
      <c r="E464" s="66"/>
      <c r="F464" s="66" t="s">
        <v>99</v>
      </c>
      <c r="G464" s="28" t="s">
        <v>194</v>
      </c>
      <c r="J464" t="str">
        <f t="shared" si="37"/>
        <v>datatable[448] = new Array("449","440","Assembly, Integration and Testing","11","SEITPM.png");</v>
      </c>
    </row>
    <row r="465" spans="1:10" ht="14.25" customHeight="1">
      <c r="A465" s="65">
        <f t="shared" si="36"/>
        <v>450</v>
      </c>
      <c r="B465" s="65">
        <f>A$455</f>
        <v>440</v>
      </c>
      <c r="C465" s="65">
        <v>11</v>
      </c>
      <c r="D465" s="66" t="s">
        <v>199</v>
      </c>
      <c r="E465" s="66"/>
      <c r="F465" s="66" t="s">
        <v>99</v>
      </c>
      <c r="G465" s="28" t="s">
        <v>194</v>
      </c>
      <c r="J465" t="str">
        <f t="shared" si="37"/>
        <v>datatable[449] = new Array("450","440","Support Equipment","11","SEITPM.png");</v>
      </c>
    </row>
    <row r="466" spans="1:10" ht="14.25" customHeight="1">
      <c r="A466" s="65">
        <f t="shared" si="36"/>
        <v>451</v>
      </c>
      <c r="B466" s="65">
        <f>A$449</f>
        <v>434</v>
      </c>
      <c r="C466" s="65">
        <v>10</v>
      </c>
      <c r="D466" s="66" t="s">
        <v>469</v>
      </c>
      <c r="E466" s="66"/>
      <c r="F466" s="66"/>
      <c r="G466" s="28" t="s">
        <v>112</v>
      </c>
      <c r="J466" t="str">
        <f t="shared" si="37"/>
        <v>datatable[450] = new Array("451","434","Hardware Components","10","Facility.png");</v>
      </c>
    </row>
    <row r="467" spans="1:10" ht="14.25" customHeight="1">
      <c r="A467" s="65">
        <f t="shared" si="36"/>
        <v>452</v>
      </c>
      <c r="B467" s="65">
        <f t="shared" ref="B467:B476" si="38">A$461</f>
        <v>446</v>
      </c>
      <c r="C467" s="65">
        <v>11</v>
      </c>
      <c r="D467" s="68" t="s">
        <v>470</v>
      </c>
      <c r="E467" s="66"/>
      <c r="F467" s="66"/>
      <c r="G467" s="28" t="s">
        <v>112</v>
      </c>
      <c r="J467" t="str">
        <f t="shared" si="37"/>
        <v>datatable[451] = new Array("452","446","Workstations","11","Facility.png");</v>
      </c>
    </row>
    <row r="468" spans="1:10" ht="14.25" customHeight="1">
      <c r="A468" s="65">
        <f t="shared" si="36"/>
        <v>453</v>
      </c>
      <c r="B468" s="65">
        <f t="shared" si="38"/>
        <v>446</v>
      </c>
      <c r="C468" s="65">
        <v>11</v>
      </c>
      <c r="D468" s="68" t="s">
        <v>471</v>
      </c>
      <c r="E468" s="66"/>
      <c r="F468" s="66"/>
      <c r="G468" s="28" t="s">
        <v>112</v>
      </c>
      <c r="J468" t="str">
        <f t="shared" si="37"/>
        <v>datatable[452] = new Array("453","446","Servers","11","Facility.png");</v>
      </c>
    </row>
    <row r="469" spans="1:10" ht="14.25" customHeight="1">
      <c r="A469" s="65">
        <f t="shared" si="36"/>
        <v>454</v>
      </c>
      <c r="B469" s="65">
        <f t="shared" si="38"/>
        <v>446</v>
      </c>
      <c r="C469" s="65">
        <v>11</v>
      </c>
      <c r="D469" s="68" t="s">
        <v>472</v>
      </c>
      <c r="E469" s="66"/>
      <c r="F469" s="66"/>
      <c r="G469" s="28" t="s">
        <v>112</v>
      </c>
      <c r="J469" t="str">
        <f t="shared" si="37"/>
        <v>datatable[453] = new Array("454","446","Storage and Archive","11","Facility.png");</v>
      </c>
    </row>
    <row r="470" spans="1:10" ht="14.25" customHeight="1">
      <c r="A470" s="65">
        <f t="shared" si="36"/>
        <v>455</v>
      </c>
      <c r="B470" s="65">
        <f t="shared" si="38"/>
        <v>446</v>
      </c>
      <c r="C470" s="65">
        <v>11</v>
      </c>
      <c r="D470" s="68" t="s">
        <v>473</v>
      </c>
      <c r="E470" s="66"/>
      <c r="F470" s="66"/>
      <c r="G470" s="28" t="s">
        <v>112</v>
      </c>
      <c r="J470" t="str">
        <f t="shared" si="37"/>
        <v>datatable[454] = new Array("455","446","Network Equipment","11","Facility.png");</v>
      </c>
    </row>
    <row r="471" spans="1:10" ht="14.25" customHeight="1">
      <c r="A471" s="65">
        <f t="shared" si="36"/>
        <v>456</v>
      </c>
      <c r="B471" s="65">
        <f t="shared" si="38"/>
        <v>446</v>
      </c>
      <c r="C471" s="65">
        <v>11</v>
      </c>
      <c r="D471" s="68" t="s">
        <v>474</v>
      </c>
      <c r="E471" s="66"/>
      <c r="F471" s="66"/>
      <c r="G471" s="28" t="s">
        <v>112</v>
      </c>
      <c r="J471" t="str">
        <f t="shared" si="37"/>
        <v>datatable[455] = new Array("456","446","Interface Equipment","11","Facility.png");</v>
      </c>
    </row>
    <row r="472" spans="1:10" ht="14.25" customHeight="1">
      <c r="A472" s="65">
        <f t="shared" si="36"/>
        <v>457</v>
      </c>
      <c r="B472" s="65">
        <f t="shared" si="38"/>
        <v>446</v>
      </c>
      <c r="C472" s="65">
        <v>11</v>
      </c>
      <c r="D472" s="68" t="s">
        <v>475</v>
      </c>
      <c r="E472" s="66"/>
      <c r="F472" s="66"/>
      <c r="G472" s="28" t="s">
        <v>112</v>
      </c>
      <c r="J472" t="str">
        <f t="shared" si="37"/>
        <v>datatable[456] = new Array("457","446","Security Encryption/Decryption","11","Facility.png");</v>
      </c>
    </row>
    <row r="473" spans="1:10" ht="14.25" customHeight="1">
      <c r="A473" s="65">
        <f t="shared" si="36"/>
        <v>458</v>
      </c>
      <c r="B473" s="65">
        <f t="shared" si="38"/>
        <v>446</v>
      </c>
      <c r="C473" s="65">
        <v>11</v>
      </c>
      <c r="D473" s="68" t="s">
        <v>476</v>
      </c>
      <c r="E473" s="66"/>
      <c r="F473" s="66"/>
      <c r="G473" s="28" t="s">
        <v>112</v>
      </c>
      <c r="J473" t="str">
        <f t="shared" si="37"/>
        <v>datatable[457] = new Array("458","446","Data Processing","11","Facility.png");</v>
      </c>
    </row>
    <row r="474" spans="1:10" ht="14.25" customHeight="1">
      <c r="A474" s="65">
        <f t="shared" si="36"/>
        <v>459</v>
      </c>
      <c r="B474" s="65">
        <f t="shared" si="38"/>
        <v>446</v>
      </c>
      <c r="C474" s="65">
        <v>11</v>
      </c>
      <c r="D474" s="68" t="s">
        <v>477</v>
      </c>
      <c r="E474" s="66"/>
      <c r="F474" s="66"/>
      <c r="G474" s="28" t="s">
        <v>112</v>
      </c>
      <c r="J474" t="str">
        <f t="shared" si="37"/>
        <v>datatable[458] = new Array("459","446","COTS Hardware Other (Specify)","11","Facility.png");</v>
      </c>
    </row>
    <row r="475" spans="1:10" ht="14.25" customHeight="1">
      <c r="A475" s="65">
        <f t="shared" si="36"/>
        <v>460</v>
      </c>
      <c r="B475" s="65">
        <f t="shared" si="38"/>
        <v>446</v>
      </c>
      <c r="C475" s="65">
        <v>11</v>
      </c>
      <c r="D475" s="68" t="s">
        <v>478</v>
      </c>
      <c r="E475" s="66"/>
      <c r="F475" s="66"/>
      <c r="G475" s="28" t="s">
        <v>112</v>
      </c>
      <c r="J475" t="str">
        <f t="shared" si="37"/>
        <v>datatable[459] = new Array("460","446","Pre-Operations Maintenance (Specify)","11","Facility.png");</v>
      </c>
    </row>
    <row r="476" spans="1:10" ht="14.25" customHeight="1">
      <c r="A476" s="65">
        <f t="shared" si="36"/>
        <v>461</v>
      </c>
      <c r="B476" s="65">
        <f t="shared" si="38"/>
        <v>446</v>
      </c>
      <c r="C476" s="65">
        <v>11</v>
      </c>
      <c r="D476" s="68" t="s">
        <v>479</v>
      </c>
      <c r="E476" s="66"/>
      <c r="F476" s="66"/>
      <c r="G476" s="28" t="s">
        <v>112</v>
      </c>
      <c r="J476" t="str">
        <f t="shared" si="37"/>
        <v>datatable[460] = new Array("461","446","Environments","11","Facility.png");</v>
      </c>
    </row>
    <row r="477" spans="1:10" ht="14.25" customHeight="1">
      <c r="A477" s="65">
        <f t="shared" si="36"/>
        <v>462</v>
      </c>
      <c r="B477" s="65">
        <f>A$449</f>
        <v>434</v>
      </c>
      <c r="C477" s="65">
        <v>10</v>
      </c>
      <c r="D477" s="67" t="s">
        <v>480</v>
      </c>
      <c r="E477" s="66"/>
      <c r="F477" s="66"/>
      <c r="G477" s="28" t="s">
        <v>112</v>
      </c>
      <c r="J477" t="str">
        <f t="shared" si="37"/>
        <v>datatable[461] = new Array("462","434","SatOps GS Software","10","Facility.png");</v>
      </c>
    </row>
    <row r="478" spans="1:10" ht="14.25" customHeight="1">
      <c r="A478" s="65">
        <f t="shared" si="36"/>
        <v>463</v>
      </c>
      <c r="B478" s="65">
        <f>A477</f>
        <v>462</v>
      </c>
      <c r="C478" s="65">
        <v>11</v>
      </c>
      <c r="D478" s="68" t="s">
        <v>481</v>
      </c>
      <c r="E478" s="66"/>
      <c r="F478" s="66"/>
      <c r="G478" s="28" t="s">
        <v>112</v>
      </c>
      <c r="J478" t="str">
        <f t="shared" si="37"/>
        <v>datatable[462] = new Array("463","462","SW CSCI","11","Facility.png");</v>
      </c>
    </row>
    <row r="479" spans="1:10" ht="14.25" customHeight="1">
      <c r="A479" s="65">
        <f t="shared" si="36"/>
        <v>464</v>
      </c>
      <c r="B479" s="65">
        <f>A$444</f>
        <v>429</v>
      </c>
      <c r="C479" s="65">
        <v>8</v>
      </c>
      <c r="D479" s="69" t="s">
        <v>482</v>
      </c>
      <c r="E479" s="66"/>
      <c r="F479" s="66"/>
      <c r="G479" s="28" t="s">
        <v>112</v>
      </c>
      <c r="J479" t="str">
        <f t="shared" si="37"/>
        <v>datatable[463] = new Array("464","429","NASA Science Operations Centers","8","Facility.png");</v>
      </c>
    </row>
    <row r="480" spans="1:10" ht="14.25" customHeight="1">
      <c r="A480" s="65">
        <f t="shared" si="36"/>
        <v>465</v>
      </c>
      <c r="B480" s="65">
        <f>A$444</f>
        <v>429</v>
      </c>
      <c r="C480" s="65">
        <v>8</v>
      </c>
      <c r="D480" s="69" t="s">
        <v>483</v>
      </c>
      <c r="E480" s="66"/>
      <c r="F480" s="66"/>
      <c r="G480" s="28" t="s">
        <v>112</v>
      </c>
      <c r="J480" t="str">
        <f t="shared" si="37"/>
        <v>datatable[464] = new Array("465","429","HPC (High Performance Computing)","8","Facility.png");</v>
      </c>
    </row>
    <row r="481" spans="1:10" ht="14.25" customHeight="1">
      <c r="A481" s="65">
        <f t="shared" si="36"/>
        <v>466</v>
      </c>
      <c r="B481" s="65">
        <f>A$444</f>
        <v>429</v>
      </c>
      <c r="C481" s="65">
        <v>8</v>
      </c>
      <c r="D481" s="69" t="s">
        <v>484</v>
      </c>
      <c r="E481" s="66"/>
      <c r="F481" s="66"/>
      <c r="G481" s="28" t="s">
        <v>112</v>
      </c>
      <c r="J481" t="str">
        <f t="shared" si="37"/>
        <v>datatable[465] = new Array("466","429","Geospace Observatory","8","Facility.png");</v>
      </c>
    </row>
    <row r="482" spans="1:10" ht="14.25" customHeight="1">
      <c r="A482" s="65">
        <f t="shared" si="36"/>
        <v>467</v>
      </c>
      <c r="B482" s="65">
        <f>A$444</f>
        <v>429</v>
      </c>
      <c r="C482" s="65">
        <v>8</v>
      </c>
      <c r="D482" s="69" t="s">
        <v>485</v>
      </c>
      <c r="E482" s="66"/>
      <c r="F482" s="66"/>
      <c r="G482" s="28" t="s">
        <v>112</v>
      </c>
      <c r="J482" t="str">
        <f t="shared" si="37"/>
        <v>datatable[466] = new Array("467","429","Other SODC (specify)","8","Facility.png");</v>
      </c>
    </row>
    <row r="483" spans="1:10" ht="14.25" customHeight="1">
      <c r="A483" s="65">
        <f t="shared" si="36"/>
        <v>468</v>
      </c>
      <c r="B483" s="65">
        <f>A450</f>
        <v>435</v>
      </c>
      <c r="C483" s="65">
        <v>8</v>
      </c>
      <c r="D483" s="69" t="s">
        <v>486</v>
      </c>
      <c r="E483" s="66"/>
      <c r="F483" s="66"/>
      <c r="G483" s="28" t="s">
        <v>112</v>
      </c>
      <c r="J483" t="str">
        <f t="shared" si="37"/>
        <v>datatable[467] = new Array("468","435"," CSA Terminals and Antennas","8","Facility.png");</v>
      </c>
    </row>
    <row r="484" spans="1:10" ht="14.25" customHeight="1">
      <c r="A484" s="65">
        <f t="shared" si="36"/>
        <v>469</v>
      </c>
      <c r="B484" s="65">
        <f>A$478</f>
        <v>463</v>
      </c>
      <c r="C484" s="65">
        <v>9</v>
      </c>
      <c r="D484" s="69" t="s">
        <v>487</v>
      </c>
      <c r="E484" s="66"/>
      <c r="F484" s="66"/>
      <c r="G484" s="28" t="s">
        <v>112</v>
      </c>
      <c r="J484" t="str">
        <f t="shared" si="37"/>
        <v>datatable[468] = new Array("469","463","CSA St-Hubert Antenna","9","Facility.png");</v>
      </c>
    </row>
    <row r="485" spans="1:10" ht="14.25" customHeight="1">
      <c r="A485" s="65">
        <f t="shared" si="36"/>
        <v>470</v>
      </c>
      <c r="B485" s="65">
        <f>A$478</f>
        <v>463</v>
      </c>
      <c r="C485" s="65">
        <v>9</v>
      </c>
      <c r="D485" s="69" t="s">
        <v>488</v>
      </c>
      <c r="E485" s="66"/>
      <c r="F485" s="66"/>
      <c r="G485" s="28" t="s">
        <v>112</v>
      </c>
      <c r="J485" t="str">
        <f t="shared" si="37"/>
        <v>datatable[469] = new Array("470","463","Ferme Yves Bachand Antenna","9","Facility.png");</v>
      </c>
    </row>
    <row r="486" spans="1:10" ht="14.25" customHeight="1">
      <c r="A486" s="65">
        <f t="shared" ref="A486:A506" si="39">A485+1</f>
        <v>471</v>
      </c>
      <c r="B486" s="65">
        <f>A$478</f>
        <v>463</v>
      </c>
      <c r="C486" s="65">
        <v>9</v>
      </c>
      <c r="D486" s="69" t="s">
        <v>489</v>
      </c>
      <c r="E486" s="66"/>
      <c r="F486" s="66"/>
      <c r="G486" s="28" t="s">
        <v>112</v>
      </c>
      <c r="J486" t="str">
        <f t="shared" si="37"/>
        <v>datatable[470] = new Array("471","463","Ferme Beldor Antenna","9","Facility.png");</v>
      </c>
    </row>
    <row r="487" spans="1:10" ht="14.25" customHeight="1">
      <c r="A487" s="65">
        <f t="shared" si="39"/>
        <v>472</v>
      </c>
      <c r="B487" s="65">
        <f>A$478</f>
        <v>463</v>
      </c>
      <c r="C487" s="65">
        <v>9</v>
      </c>
      <c r="D487" s="69" t="s">
        <v>490</v>
      </c>
      <c r="E487" s="66"/>
      <c r="F487" s="66"/>
      <c r="G487" s="28" t="s">
        <v>112</v>
      </c>
      <c r="J487" t="str">
        <f t="shared" si="37"/>
        <v>datatable[471] = new Array("472","463","Transponder","9","Facility.png");</v>
      </c>
    </row>
    <row r="488" spans="1:10" ht="14.25" customHeight="1">
      <c r="A488" s="65">
        <f t="shared" si="39"/>
        <v>473</v>
      </c>
      <c r="B488" s="65">
        <f>A$446</f>
        <v>431</v>
      </c>
      <c r="C488" s="65">
        <v>8</v>
      </c>
      <c r="D488" s="69" t="s">
        <v>491</v>
      </c>
      <c r="E488" s="66"/>
      <c r="F488" s="66"/>
      <c r="G488" s="28" t="s">
        <v>112</v>
      </c>
      <c r="J488" t="str">
        <f t="shared" si="37"/>
        <v>datatable[472] = new Array("473","431","Digital Earth Canada","8","Facility.png");</v>
      </c>
    </row>
    <row r="489" spans="1:10" ht="14.25" customHeight="1">
      <c r="A489" s="65">
        <f t="shared" si="39"/>
        <v>474</v>
      </c>
      <c r="B489" s="65">
        <f>A$446</f>
        <v>431</v>
      </c>
      <c r="C489" s="65">
        <v>8</v>
      </c>
      <c r="D489" s="69" t="s">
        <v>492</v>
      </c>
      <c r="E489" s="66"/>
      <c r="F489" s="66"/>
      <c r="G489" s="28" t="s">
        <v>112</v>
      </c>
      <c r="J489" t="str">
        <f t="shared" si="37"/>
        <v>datatable[473] = new Array("474","431","Federal Geospatial Platform (FGP)","8","Facility.png");</v>
      </c>
    </row>
    <row r="490" spans="1:10" ht="14.25" customHeight="1">
      <c r="A490" s="65">
        <f t="shared" si="39"/>
        <v>475</v>
      </c>
      <c r="B490" s="65">
        <f>A$446</f>
        <v>431</v>
      </c>
      <c r="C490" s="65">
        <v>8</v>
      </c>
      <c r="D490" s="69" t="s">
        <v>493</v>
      </c>
      <c r="E490" s="66"/>
      <c r="F490" s="66"/>
      <c r="G490" s="28" t="s">
        <v>112</v>
      </c>
      <c r="J490" t="str">
        <f t="shared" si="37"/>
        <v>datatable[474] = new Array("475","431","EODMS","8","Facility.png");</v>
      </c>
    </row>
    <row r="491" spans="1:10" ht="14.25" customHeight="1">
      <c r="A491" s="65">
        <f t="shared" si="39"/>
        <v>476</v>
      </c>
      <c r="B491" s="65">
        <f>A$446</f>
        <v>431</v>
      </c>
      <c r="C491" s="65">
        <v>8</v>
      </c>
      <c r="D491" s="69" t="s">
        <v>494</v>
      </c>
      <c r="E491" s="66"/>
      <c r="F491" s="66"/>
      <c r="G491" s="28" t="s">
        <v>112</v>
      </c>
      <c r="J491" t="str">
        <f t="shared" si="37"/>
        <v>datatable[475] = new Array("476","431","Canadian Astronomy Data Centre","8","Facility.png");</v>
      </c>
    </row>
    <row r="492" spans="1:10" ht="14.25" customHeight="1">
      <c r="A492" s="65">
        <f t="shared" si="39"/>
        <v>477</v>
      </c>
      <c r="B492" s="65">
        <f>A$446</f>
        <v>431</v>
      </c>
      <c r="C492" s="65">
        <v>8</v>
      </c>
      <c r="D492" s="69" t="s">
        <v>495</v>
      </c>
      <c r="E492" s="66"/>
      <c r="F492" s="66"/>
      <c r="G492" s="28" t="s">
        <v>112</v>
      </c>
      <c r="J492" t="str">
        <f t="shared" si="37"/>
        <v>datatable[476] = new Array("477","431","NASA Data Distribution &amp; Archival","8","Facility.png");</v>
      </c>
    </row>
    <row r="493" spans="1:10" ht="14.25" customHeight="1">
      <c r="A493" s="65">
        <f t="shared" si="39"/>
        <v>478</v>
      </c>
      <c r="B493" s="65">
        <f>A452</f>
        <v>437</v>
      </c>
      <c r="C493" s="65">
        <v>8</v>
      </c>
      <c r="D493" s="69" t="s">
        <v>496</v>
      </c>
      <c r="E493" s="66"/>
      <c r="F493" s="66"/>
      <c r="G493" s="28" t="s">
        <v>112</v>
      </c>
      <c r="J493" t="str">
        <f t="shared" si="37"/>
        <v>datatable[477] = new Array("478","437","MMLC","8","Facility.png");</v>
      </c>
    </row>
    <row r="494" spans="1:10" ht="14.25" customHeight="1">
      <c r="A494" s="65">
        <f t="shared" si="39"/>
        <v>479</v>
      </c>
      <c r="B494" s="65">
        <f>A452</f>
        <v>437</v>
      </c>
      <c r="C494" s="65">
        <v>8</v>
      </c>
      <c r="D494" s="69" t="s">
        <v>497</v>
      </c>
      <c r="E494" s="66"/>
      <c r="F494" s="66"/>
      <c r="G494" s="28" t="s">
        <v>112</v>
      </c>
      <c r="J494" t="str">
        <f t="shared" si="37"/>
        <v>datatable[478] = new Array("479","437","MOTS","8","Facility.png");</v>
      </c>
    </row>
    <row r="495" spans="1:10" ht="14.25" customHeight="1">
      <c r="A495" s="70">
        <f t="shared" si="39"/>
        <v>480</v>
      </c>
      <c r="B495" s="70">
        <f>A$22</f>
        <v>14</v>
      </c>
      <c r="C495" s="70">
        <v>7</v>
      </c>
      <c r="D495" s="71" t="s">
        <v>498</v>
      </c>
      <c r="E495" s="71"/>
      <c r="F495" s="72"/>
      <c r="G495" s="28" t="s">
        <v>115</v>
      </c>
      <c r="J495" t="str">
        <f t="shared" si="37"/>
        <v>datatable[479] = new Array("480","14","CSA Mission Operations","7","Ops.png");</v>
      </c>
    </row>
    <row r="496" spans="1:10" ht="14.25" customHeight="1">
      <c r="A496" s="70">
        <f t="shared" si="39"/>
        <v>481</v>
      </c>
      <c r="B496" s="70">
        <f>A$490</f>
        <v>475</v>
      </c>
      <c r="C496" s="70">
        <v>8</v>
      </c>
      <c r="D496" s="71" t="s">
        <v>499</v>
      </c>
      <c r="E496" s="71"/>
      <c r="F496" s="72"/>
      <c r="G496" s="28" t="s">
        <v>115</v>
      </c>
      <c r="J496" t="str">
        <f t="shared" si="37"/>
        <v>datatable[480] = new Array("481","475","CSA SatOps","8","Ops.png");</v>
      </c>
    </row>
    <row r="497" spans="1:10" ht="14.25" customHeight="1">
      <c r="A497" s="70">
        <f t="shared" si="39"/>
        <v>482</v>
      </c>
      <c r="B497" s="70">
        <f>A$490</f>
        <v>475</v>
      </c>
      <c r="C497" s="70">
        <v>8</v>
      </c>
      <c r="D497" s="71" t="s">
        <v>500</v>
      </c>
      <c r="E497" s="71"/>
      <c r="F497" s="72"/>
      <c r="G497" s="28" t="s">
        <v>115</v>
      </c>
      <c r="J497" t="str">
        <f t="shared" si="37"/>
        <v>datatable[481] = new Array("482","475","CSA ISS Ops","8","Ops.png");</v>
      </c>
    </row>
    <row r="498" spans="1:10" ht="14.25" customHeight="1">
      <c r="A498" s="70">
        <f t="shared" si="39"/>
        <v>483</v>
      </c>
      <c r="B498" s="70">
        <f>A$490</f>
        <v>475</v>
      </c>
      <c r="C498" s="70">
        <v>8</v>
      </c>
      <c r="D498" s="71" t="s">
        <v>501</v>
      </c>
      <c r="E498" s="71"/>
      <c r="F498" s="72"/>
      <c r="G498" s="28" t="s">
        <v>115</v>
      </c>
      <c r="J498" t="str">
        <f t="shared" si="37"/>
        <v>datatable[482] = new Array("483","475","CSA ISS Sustaining Engineering","8","Ops.png");</v>
      </c>
    </row>
    <row r="499" spans="1:10" ht="14.25" customHeight="1">
      <c r="A499" s="70">
        <f t="shared" si="39"/>
        <v>484</v>
      </c>
      <c r="B499" s="70">
        <f>A$22</f>
        <v>14</v>
      </c>
      <c r="C499" s="70">
        <v>7</v>
      </c>
      <c r="D499" s="71" t="s">
        <v>502</v>
      </c>
      <c r="E499" s="71"/>
      <c r="F499" s="72"/>
      <c r="G499" s="28" t="s">
        <v>115</v>
      </c>
      <c r="J499" t="str">
        <f t="shared" si="37"/>
        <v>datatable[483] = new Array("484","14","NASA Mission Operations","7","Ops.png");</v>
      </c>
    </row>
    <row r="500" spans="1:10" ht="14.25" customHeight="1">
      <c r="A500" s="70">
        <f t="shared" si="39"/>
        <v>485</v>
      </c>
      <c r="B500" s="70">
        <f>A$22</f>
        <v>14</v>
      </c>
      <c r="C500" s="70">
        <v>7</v>
      </c>
      <c r="D500" s="71" t="s">
        <v>503</v>
      </c>
      <c r="E500" s="72"/>
      <c r="F500" s="72"/>
      <c r="G500" s="28" t="s">
        <v>115</v>
      </c>
      <c r="J500" t="str">
        <f t="shared" si="37"/>
        <v>datatable[484] = new Array("485","14","Industry Partners (Specify)","7","Ops.png");</v>
      </c>
    </row>
    <row r="501" spans="1:10" ht="14.25" customHeight="1">
      <c r="A501" s="49">
        <f t="shared" si="39"/>
        <v>486</v>
      </c>
      <c r="B501" s="49">
        <f>A$23</f>
        <v>15</v>
      </c>
      <c r="C501" s="49">
        <v>7</v>
      </c>
      <c r="D501" s="64" t="s">
        <v>504</v>
      </c>
      <c r="E501" s="64"/>
      <c r="F501" s="64"/>
      <c r="G501" s="28" t="s">
        <v>118</v>
      </c>
      <c r="J501" t="str">
        <f t="shared" si="37"/>
        <v>datatable[485] = new Array("486","15","Mission Science Support","7","Science.png");</v>
      </c>
    </row>
    <row r="502" spans="1:10" ht="14.25" customHeight="1">
      <c r="A502" s="49">
        <f t="shared" si="39"/>
        <v>487</v>
      </c>
      <c r="B502" s="49">
        <f>A$496</f>
        <v>481</v>
      </c>
      <c r="C502" s="49">
        <v>8</v>
      </c>
      <c r="D502" s="64" t="s">
        <v>505</v>
      </c>
      <c r="E502" s="50"/>
      <c r="F502" s="64"/>
      <c r="G502" s="28" t="s">
        <v>118</v>
      </c>
      <c r="J502" t="str">
        <f t="shared" si="37"/>
        <v>datatable[486] = new Array("487","481","Science Maturation Studies &amp; User Requirements","8","Science.png");</v>
      </c>
    </row>
    <row r="503" spans="1:10" ht="14.25" customHeight="1">
      <c r="A503" s="49">
        <f t="shared" si="39"/>
        <v>488</v>
      </c>
      <c r="B503" s="49">
        <f>A$496</f>
        <v>481</v>
      </c>
      <c r="C503" s="49">
        <v>8</v>
      </c>
      <c r="D503" s="64" t="s">
        <v>506</v>
      </c>
      <c r="E503" s="64"/>
      <c r="F503" s="50"/>
      <c r="G503" s="28" t="s">
        <v>118</v>
      </c>
      <c r="J503" t="str">
        <f t="shared" si="37"/>
        <v>datatable[487] = new Array("488","481","Science Support for Mission Development","8","Science.png");</v>
      </c>
    </row>
    <row r="504" spans="1:10" ht="14.25" customHeight="1">
      <c r="A504" s="49">
        <f t="shared" si="39"/>
        <v>489</v>
      </c>
      <c r="B504" s="49">
        <f>A$496</f>
        <v>481</v>
      </c>
      <c r="C504" s="49">
        <v>8</v>
      </c>
      <c r="D504" s="64" t="s">
        <v>507</v>
      </c>
      <c r="E504" s="64"/>
      <c r="F504" s="50"/>
      <c r="G504" s="28" t="s">
        <v>118</v>
      </c>
      <c r="J504" t="str">
        <f t="shared" si="37"/>
        <v>datatable[488] = new Array("489","481","Science Support for Commissioning, Including Cal/Val","8","Science.png");</v>
      </c>
    </row>
    <row r="505" spans="1:10" ht="14.25" customHeight="1">
      <c r="A505" s="49">
        <f t="shared" si="39"/>
        <v>490</v>
      </c>
      <c r="B505" s="49">
        <f>A$496</f>
        <v>481</v>
      </c>
      <c r="C505" s="49">
        <v>8</v>
      </c>
      <c r="D505" s="64" t="s">
        <v>508</v>
      </c>
      <c r="E505" s="64"/>
      <c r="F505" s="50"/>
      <c r="G505" s="28" t="s">
        <v>118</v>
      </c>
      <c r="J505" t="str">
        <f t="shared" si="37"/>
        <v>datatable[489] = new Array("490","481","Science Support for Data Handling","8","Science.png");</v>
      </c>
    </row>
    <row r="506" spans="1:10" ht="14.25" customHeight="1">
      <c r="A506" s="49">
        <f t="shared" si="39"/>
        <v>491</v>
      </c>
      <c r="B506" s="49">
        <f>A$23</f>
        <v>15</v>
      </c>
      <c r="C506" s="49">
        <v>7</v>
      </c>
      <c r="D506" s="64" t="s">
        <v>509</v>
      </c>
      <c r="E506" s="64"/>
      <c r="F506" s="50"/>
      <c r="G506" s="28" t="s">
        <v>118</v>
      </c>
      <c r="J506" t="str">
        <f t="shared" si="37"/>
        <v>datatable[490] = new Array("491","15","Science Utilization &amp; Application Development","7","Science.png");</v>
      </c>
    </row>
    <row r="507" spans="1:10" ht="14.25" customHeight="1">
      <c r="A507" s="20"/>
      <c r="B507" s="20"/>
      <c r="C507" s="20"/>
      <c r="D507" s="73"/>
      <c r="E507" s="73"/>
      <c r="F507" s="73"/>
      <c r="G507" s="73"/>
    </row>
    <row r="508" spans="1:10" ht="14.25" customHeight="1">
      <c r="A508" s="20"/>
      <c r="B508" s="20"/>
      <c r="C508" s="20"/>
      <c r="D508" s="73"/>
      <c r="E508" s="73"/>
    </row>
  </sheetData>
  <mergeCells count="1">
    <mergeCell ref="A1:C1"/>
  </mergeCells>
  <conditionalFormatting sqref="A3:O3 B4:O4">
    <cfRule type="expression" dxfId="120" priority="117">
      <formula>IF($B3="Subsystem", 1, 0)</formula>
    </cfRule>
    <cfRule type="expression" dxfId="119" priority="122">
      <formula>IF($B3="SEITPM", 1, 0)</formula>
    </cfRule>
    <cfRule type="expression" dxfId="118" priority="121">
      <formula>IF($B3="Segment", 1, 0)</formula>
    </cfRule>
    <cfRule type="expression" dxfId="117" priority="120">
      <formula>IF($B3="SoS", 1, 0)</formula>
    </cfRule>
    <cfRule type="expression" dxfId="116" priority="119">
      <formula>IF($B3="System", 1, 0)</formula>
    </cfRule>
    <cfRule type="expression" dxfId="115" priority="118">
      <formula>IF($B3="Assembly", 1, 0)</formula>
    </cfRule>
  </conditionalFormatting>
  <conditionalFormatting sqref="D29 D426:D429">
    <cfRule type="expression" dxfId="114" priority="44">
      <formula>OR($B32 = 3)</formula>
    </cfRule>
    <cfRule type="expression" dxfId="113" priority="43">
      <formula>OR($B32 = 4)</formula>
    </cfRule>
    <cfRule type="expression" dxfId="112" priority="46">
      <formula>OR($B32 = 1)</formula>
    </cfRule>
    <cfRule type="expression" dxfId="111" priority="45">
      <formula>OR($B32 = 2)</formula>
    </cfRule>
  </conditionalFormatting>
  <conditionalFormatting sqref="D30 D61:E61 D62:D66 D295:G295 D296:E300 D302:E302 D303:D308 F308 F318 D325:D332 F332 D344 F344 D351:D360 F360 D367:D377 F377 D391 F391 D411 F411 D419 F419 D426:D433 F433 D434:E436 E437 D495:E499 D500 E501:F501 F502 E503:E505 D506:E506 E507:G507 D508:E508">
    <cfRule type="expression" dxfId="110" priority="41">
      <formula>OR($B30 = 1)</formula>
    </cfRule>
    <cfRule type="expression" dxfId="109" priority="40">
      <formula>OR($B30 = 2)</formula>
    </cfRule>
    <cfRule type="expression" dxfId="108" priority="38">
      <formula>OR($B30 = 4)</formula>
    </cfRule>
    <cfRule type="expression" dxfId="107" priority="39">
      <formula>OR($B30 = 3)</formula>
    </cfRule>
  </conditionalFormatting>
  <conditionalFormatting sqref="D31">
    <cfRule type="expression" dxfId="106" priority="56">
      <formula>OR($B29 = 1)</formula>
    </cfRule>
    <cfRule type="expression" dxfId="105" priority="55">
      <formula>OR($B29 = 2)</formula>
    </cfRule>
    <cfRule type="expression" dxfId="104" priority="53">
      <formula>OR($B29 = 4)</formula>
    </cfRule>
    <cfRule type="expression" dxfId="103" priority="52">
      <formula>OR($B29 = 5)</formula>
    </cfRule>
    <cfRule type="expression" dxfId="102" priority="54">
      <formula>OR($B29 = 3)</formula>
    </cfRule>
  </conditionalFormatting>
  <conditionalFormatting sqref="D32">
    <cfRule type="expression" dxfId="101" priority="47">
      <formula>OR($B34 = 5)</formula>
    </cfRule>
    <cfRule type="expression" dxfId="100" priority="51">
      <formula>OR($B34 = 1)</formula>
    </cfRule>
    <cfRule type="expression" dxfId="99" priority="50">
      <formula>OR($B34 = 2)</formula>
    </cfRule>
    <cfRule type="expression" dxfId="98" priority="49">
      <formula>OR($B34 = 3)</formula>
    </cfRule>
    <cfRule type="expression" dxfId="97" priority="48">
      <formula>OR($B34 = 4)</formula>
    </cfRule>
  </conditionalFormatting>
  <conditionalFormatting sqref="D33:D38">
    <cfRule type="expression" dxfId="96" priority="36">
      <formula>OR($B33 = 1)</formula>
    </cfRule>
    <cfRule type="expression" dxfId="95" priority="32">
      <formula>OR($B33 = 5)</formula>
    </cfRule>
    <cfRule type="expression" dxfId="94" priority="33">
      <formula>OR($B33 = 4)</formula>
    </cfRule>
    <cfRule type="expression" dxfId="93" priority="34">
      <formula>OR($B33 = 3)</formula>
    </cfRule>
    <cfRule type="expression" dxfId="92" priority="35">
      <formula>OR($B33 = 2)</formula>
    </cfRule>
  </conditionalFormatting>
  <conditionalFormatting sqref="D39 D437:D441 D501:D505 D507">
    <cfRule type="expression" dxfId="91" priority="57">
      <formula>OR($B40 = 5)</formula>
    </cfRule>
    <cfRule type="expression" dxfId="90" priority="58">
      <formula>OR($B40 = 4)</formula>
    </cfRule>
    <cfRule type="expression" dxfId="89" priority="59">
      <formula>OR($B40 = 3)</formula>
    </cfRule>
    <cfRule type="expression" dxfId="88" priority="60">
      <formula>OR($B40 = 2)</formula>
    </cfRule>
    <cfRule type="expression" dxfId="87" priority="61">
      <formula>OR($B40 = 1)</formula>
    </cfRule>
  </conditionalFormatting>
  <conditionalFormatting sqref="D40:D47">
    <cfRule type="expression" dxfId="86" priority="31">
      <formula>OR($B40 = 1)</formula>
    </cfRule>
    <cfRule type="expression" dxfId="85" priority="30">
      <formula>OR($B40 = 2)</formula>
    </cfRule>
    <cfRule type="expression" dxfId="84" priority="29">
      <formula>OR($B40 = 3)</formula>
    </cfRule>
    <cfRule type="expression" dxfId="83" priority="28">
      <formula>OR($B40 = 4)</formula>
    </cfRule>
    <cfRule type="expression" dxfId="82" priority="27">
      <formula>OR($B40 = 5)</formula>
    </cfRule>
  </conditionalFormatting>
  <conditionalFormatting sqref="D62:D66 D296:E300 D303:D308 D30 D61:E61 D295:G295 D302:E302 F308 F318 D325:D332 F332 D344 F344 D351:D360 F360 D367:D377 F377 D391 F391 D411 F411 D419 F419 D426:D433 F433 D434:E436 E437 D495:E499 D500 E501:F501 F502 E503:E505 D506:E506 E507:G507 D508:E508">
    <cfRule type="expression" dxfId="81" priority="37">
      <formula>OR($B30 = 5)</formula>
    </cfRule>
  </conditionalFormatting>
  <conditionalFormatting sqref="D62:D66">
    <cfRule type="expression" dxfId="80" priority="26">
      <formula>OR(#REF! = 1)</formula>
    </cfRule>
    <cfRule type="expression" dxfId="79" priority="24">
      <formula>OR(#REF! = 3)</formula>
    </cfRule>
    <cfRule type="expression" dxfId="78" priority="23">
      <formula>OR(#REF! = 4)</formula>
    </cfRule>
    <cfRule type="expression" dxfId="77" priority="22">
      <formula>OR(#REF! = 5)</formula>
    </cfRule>
    <cfRule type="expression" dxfId="76" priority="25">
      <formula>OR(#REF! = 2)</formula>
    </cfRule>
  </conditionalFormatting>
  <conditionalFormatting sqref="D296:D300">
    <cfRule type="expression" dxfId="75" priority="21">
      <formula>OR(#REF! = 1)</formula>
    </cfRule>
    <cfRule type="expression" dxfId="74" priority="20">
      <formula>OR(#REF! = 2)</formula>
    </cfRule>
    <cfRule type="expression" dxfId="73" priority="19">
      <formula>OR(#REF! = 3)</formula>
    </cfRule>
    <cfRule type="expression" dxfId="72" priority="18">
      <formula>OR(#REF! = 4)</formula>
    </cfRule>
    <cfRule type="expression" dxfId="71" priority="17">
      <formula>OR(#REF! = 5)</formula>
    </cfRule>
  </conditionalFormatting>
  <conditionalFormatting sqref="D303:D307">
    <cfRule type="expression" dxfId="70" priority="7">
      <formula>OR(#REF! = 5)</formula>
    </cfRule>
    <cfRule type="expression" dxfId="69" priority="8">
      <formula>OR(#REF! = 4)</formula>
    </cfRule>
    <cfRule type="expression" dxfId="68" priority="9">
      <formula>OR(#REF! = 3)</formula>
    </cfRule>
    <cfRule type="expression" dxfId="67" priority="11">
      <formula>OR(#REF! = 1)</formula>
    </cfRule>
    <cfRule type="expression" dxfId="66" priority="10">
      <formula>OR(#REF! = 2)</formula>
    </cfRule>
  </conditionalFormatting>
  <conditionalFormatting sqref="D315:D318">
    <cfRule type="expression" dxfId="65" priority="3">
      <formula>OR($B315 = 4)</formula>
    </cfRule>
    <cfRule type="expression" dxfId="64" priority="4">
      <formula>OR($B315 = 3)</formula>
    </cfRule>
    <cfRule type="expression" dxfId="63" priority="5">
      <formula>OR($B315 = 2)</formula>
    </cfRule>
    <cfRule type="expression" dxfId="62" priority="6">
      <formula>OR($B315 = 1)</formula>
    </cfRule>
    <cfRule type="expression" dxfId="61" priority="2">
      <formula>OR($B315 = 5)</formula>
    </cfRule>
  </conditionalFormatting>
  <conditionalFormatting sqref="D325:D331">
    <cfRule type="expression" dxfId="60" priority="62">
      <formula>OR($B337 = 5)</formula>
    </cfRule>
    <cfRule type="expression" dxfId="59" priority="63">
      <formula>OR($B337 = 4)</formula>
    </cfRule>
    <cfRule type="expression" dxfId="58" priority="64">
      <formula>OR($B337 = 3)</formula>
    </cfRule>
    <cfRule type="expression" dxfId="57" priority="65">
      <formula>OR($B337 = 2)</formula>
    </cfRule>
    <cfRule type="expression" dxfId="56" priority="66">
      <formula>OR($B337 = 1)</formula>
    </cfRule>
  </conditionalFormatting>
  <conditionalFormatting sqref="D339:D343">
    <cfRule type="expression" dxfId="55" priority="67">
      <formula>OR(#REF! = 5)</formula>
    </cfRule>
    <cfRule type="expression" dxfId="54" priority="68">
      <formula>OR(#REF! = 4)</formula>
    </cfRule>
    <cfRule type="expression" dxfId="53" priority="69">
      <formula>OR(#REF! = 3)</formula>
    </cfRule>
    <cfRule type="expression" dxfId="52" priority="70">
      <formula>OR(#REF! = 2)</formula>
    </cfRule>
    <cfRule type="expression" dxfId="51" priority="71">
      <formula>OR(#REF! = 1)</formula>
    </cfRule>
  </conditionalFormatting>
  <conditionalFormatting sqref="D351:D353 D355:D359">
    <cfRule type="expression" dxfId="50" priority="72">
      <formula>OR($B357 = 5)</formula>
    </cfRule>
    <cfRule type="expression" dxfId="49" priority="73">
      <formula>OR($B357 = 4)</formula>
    </cfRule>
    <cfRule type="expression" dxfId="48" priority="74">
      <formula>OR($B357 = 3)</formula>
    </cfRule>
    <cfRule type="expression" dxfId="47" priority="75">
      <formula>OR($B357 = 2)</formula>
    </cfRule>
    <cfRule type="expression" dxfId="46" priority="76">
      <formula>OR($B357 = 1)</formula>
    </cfRule>
  </conditionalFormatting>
  <conditionalFormatting sqref="D354">
    <cfRule type="expression" dxfId="45" priority="77">
      <formula>OR(#REF! = 5)</formula>
    </cfRule>
    <cfRule type="expression" dxfId="44" priority="78">
      <formula>OR(#REF! = 4)</formula>
    </cfRule>
    <cfRule type="expression" dxfId="43" priority="79">
      <formula>OR(#REF! = 3)</formula>
    </cfRule>
    <cfRule type="expression" dxfId="42" priority="80">
      <formula>OR(#REF! = 2)</formula>
    </cfRule>
    <cfRule type="expression" dxfId="41" priority="81">
      <formula>OR(#REF! = 1)</formula>
    </cfRule>
  </conditionalFormatting>
  <conditionalFormatting sqref="D367:D372 D374:D376">
    <cfRule type="expression" dxfId="40" priority="82">
      <formula>OR($B371 = 5)</formula>
    </cfRule>
    <cfRule type="expression" dxfId="39" priority="83">
      <formula>OR($B371 = 4)</formula>
    </cfRule>
    <cfRule type="expression" dxfId="38" priority="84">
      <formula>OR($B371 = 3)</formula>
    </cfRule>
    <cfRule type="expression" dxfId="37" priority="85">
      <formula>OR($B371 = 2)</formula>
    </cfRule>
    <cfRule type="expression" dxfId="36" priority="86">
      <formula>OR($B371 = 1)</formula>
    </cfRule>
  </conditionalFormatting>
  <conditionalFormatting sqref="D373">
    <cfRule type="expression" dxfId="35" priority="87">
      <formula>OR(#REF! = 5)</formula>
    </cfRule>
    <cfRule type="expression" dxfId="34" priority="88">
      <formula>OR(#REF! = 4)</formula>
    </cfRule>
    <cfRule type="expression" dxfId="33" priority="89">
      <formula>OR(#REF! = 3)</formula>
    </cfRule>
    <cfRule type="expression" dxfId="32" priority="90">
      <formula>OR(#REF! = 2)</formula>
    </cfRule>
    <cfRule type="expression" dxfId="31" priority="91">
      <formula>OR(#REF! = 1)</formula>
    </cfRule>
  </conditionalFormatting>
  <conditionalFormatting sqref="D384:D390">
    <cfRule type="expression" dxfId="30" priority="92">
      <formula>OR($B393 = 5)</formula>
    </cfRule>
    <cfRule type="expression" dxfId="29" priority="93">
      <formula>OR($B393 = 4)</formula>
    </cfRule>
    <cfRule type="expression" dxfId="28" priority="94">
      <formula>OR($B393 = 3)</formula>
    </cfRule>
    <cfRule type="expression" dxfId="27" priority="95">
      <formula>OR($B393 = 2)</formula>
    </cfRule>
    <cfRule type="expression" dxfId="26" priority="96">
      <formula>OR($B393 = 1)</formula>
    </cfRule>
  </conditionalFormatting>
  <conditionalFormatting sqref="D398:D403 D405:D410">
    <cfRule type="expression" dxfId="25" priority="98">
      <formula>OR($B405 = 4)</formula>
    </cfRule>
    <cfRule type="expression" dxfId="24" priority="99">
      <formula>OR($B405 = 3)</formula>
    </cfRule>
    <cfRule type="expression" dxfId="23" priority="100">
      <formula>OR($B405 = 2)</formula>
    </cfRule>
    <cfRule type="expression" dxfId="22" priority="101">
      <formula>OR($B405 = 1)</formula>
    </cfRule>
    <cfRule type="expression" dxfId="21" priority="97">
      <formula>OR($B405 = 5)</formula>
    </cfRule>
  </conditionalFormatting>
  <conditionalFormatting sqref="D404">
    <cfRule type="expression" dxfId="20" priority="102">
      <formula>OR(#REF! = 5)</formula>
    </cfRule>
    <cfRule type="expression" dxfId="19" priority="103">
      <formula>OR(#REF! = 4)</formula>
    </cfRule>
    <cfRule type="expression" dxfId="18" priority="104">
      <formula>OR(#REF! = 3)</formula>
    </cfRule>
    <cfRule type="expression" dxfId="17" priority="105">
      <formula>OR(#REF! = 2)</formula>
    </cfRule>
    <cfRule type="expression" dxfId="16" priority="106">
      <formula>OR(#REF! = 1)</formula>
    </cfRule>
  </conditionalFormatting>
  <conditionalFormatting sqref="D418">
    <cfRule type="expression" dxfId="15" priority="108">
      <formula>OR($B423 = 4)</formula>
    </cfRule>
    <cfRule type="expression" dxfId="14" priority="109">
      <formula>OR($B423 = 3)</formula>
    </cfRule>
    <cfRule type="expression" dxfId="13" priority="110">
      <formula>OR($B423 = 2)</formula>
    </cfRule>
    <cfRule type="expression" dxfId="12" priority="111">
      <formula>OR($B423 = 1)</formula>
    </cfRule>
    <cfRule type="expression" dxfId="11" priority="107">
      <formula>OR($B423 = 5)</formula>
    </cfRule>
  </conditionalFormatting>
  <conditionalFormatting sqref="D426:D429 D29">
    <cfRule type="expression" dxfId="10" priority="42">
      <formula>OR($B32 = 5)</formula>
    </cfRule>
  </conditionalFormatting>
  <conditionalFormatting sqref="D430:D432">
    <cfRule type="expression" dxfId="9" priority="112">
      <formula>OR(#REF! = 5)</formula>
    </cfRule>
    <cfRule type="expression" dxfId="8" priority="113">
      <formula>OR(#REF! = 4)</formula>
    </cfRule>
    <cfRule type="expression" dxfId="7" priority="114">
      <formula>OR(#REF! = 3)</formula>
    </cfRule>
    <cfRule type="expression" dxfId="6" priority="116">
      <formula>OR(#REF! = 1)</formula>
    </cfRule>
    <cfRule type="expression" dxfId="5" priority="115">
      <formula>OR(#REF! = 2)</formula>
    </cfRule>
  </conditionalFormatting>
  <conditionalFormatting sqref="D301:F301">
    <cfRule type="expression" dxfId="4" priority="16">
      <formula>OR($B301 = 1)</formula>
    </cfRule>
    <cfRule type="expression" dxfId="3" priority="15">
      <formula>OR($B301 = 2)</formula>
    </cfRule>
    <cfRule type="expression" dxfId="2" priority="14">
      <formula>OR($B301 = 3)</formula>
    </cfRule>
    <cfRule type="expression" dxfId="1" priority="13">
      <formula>OR($B301 = 4)</formula>
    </cfRule>
    <cfRule type="expression" dxfId="0" priority="12">
      <formula>OR($B301 = 5)</formula>
    </cfRule>
  </conditionalFormatting>
  <dataValidations count="1">
    <dataValidation type="list" allowBlank="1" showInputMessage="1" showErrorMessage="1" sqref="F8:F10 F17:F22 F29:F67 D68 F69:F75 D76:D80 F81 D82:D88 D94:D104 F105:F295 D106:D112 D118:D129 D131:D157 D159:D188 D190:D224 D226:D282 D284:D294 D296:D300 F301 E302 D303:D307 F303:F502 D309:D314 D319:D331 D333:D343 D345:D359 D361:D376 D378:D390 D392:D410 D412:D418 D420:D432 D442:D447 D460:D465 D502:D505 D507 F507" xr:uid="{00000000-0002-0000-0300-000000000000}">
      <formula1>depth2</formula1>
      <formula2>0</formula2>
    </dataValidation>
  </dataValidations>
  <hyperlinks>
    <hyperlink ref="A1" location="'Table of Contents'!A1" display="` Table of Contents" xr:uid="{00000000-0004-0000-03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"/>
  <sheetViews>
    <sheetView zoomScale="106" zoomScaleNormal="106" workbookViewId="0"/>
  </sheetViews>
  <sheetFormatPr defaultColWidth="0" defaultRowHeight="15" zeroHeight="1"/>
  <cols>
    <col min="1" max="1" width="9.140625" customWidth="1"/>
    <col min="2" max="2" width="13.7109375" customWidth="1"/>
    <col min="3" max="3" width="21.28515625" customWidth="1"/>
    <col min="4" max="4" width="2.5703125" customWidth="1"/>
    <col min="5" max="5" width="10.5703125" customWidth="1"/>
    <col min="6" max="6" width="8.5703125" customWidth="1"/>
    <col min="7" max="7" width="35.42578125" customWidth="1"/>
    <col min="8" max="8" width="9.140625"/>
    <col min="9" max="9" width="14.7109375" customWidth="1"/>
    <col min="10" max="10" width="19.7109375" customWidth="1"/>
    <col min="11" max="11" width="13.140625" hidden="1" customWidth="1"/>
    <col min="12" max="16" width="9.140625" hidden="1"/>
    <col min="17" max="19" width="13" hidden="1" customWidth="1"/>
    <col min="20" max="16384" width="9.140625" hidden="1"/>
  </cols>
  <sheetData>
    <row r="1" spans="1:10" ht="14.25" customHeight="1">
      <c r="A1" s="12" t="s">
        <v>25</v>
      </c>
      <c r="B1" s="12"/>
    </row>
    <row r="3" spans="1:10" ht="30.75" customHeight="1">
      <c r="A3" s="21" t="s">
        <v>510</v>
      </c>
      <c r="B3" s="23"/>
      <c r="C3" s="23"/>
      <c r="D3" s="23"/>
      <c r="E3" s="23"/>
      <c r="F3" s="23"/>
      <c r="I3" s="19" t="s">
        <v>511</v>
      </c>
    </row>
    <row r="4" spans="1:10" ht="14.25" customHeight="1">
      <c r="A4" t="s">
        <v>61</v>
      </c>
    </row>
    <row r="5" spans="1:10" ht="14.25" customHeight="1">
      <c r="B5" t="s">
        <v>512</v>
      </c>
    </row>
    <row r="6" spans="1:10" ht="14.25" customHeight="1">
      <c r="B6" t="s">
        <v>513</v>
      </c>
    </row>
    <row r="7" spans="1:10" ht="14.25" customHeight="1">
      <c r="B7" t="s">
        <v>514</v>
      </c>
    </row>
    <row r="10" spans="1:10" ht="14.25" customHeight="1">
      <c r="B10" t="s">
        <v>515</v>
      </c>
      <c r="F10" t="s">
        <v>516</v>
      </c>
    </row>
    <row r="11" spans="1:10" ht="14.25" customHeight="1">
      <c r="A11" s="8" t="s">
        <v>517</v>
      </c>
      <c r="B11" s="8"/>
      <c r="C11" s="8"/>
      <c r="E11" s="7" t="s">
        <v>517</v>
      </c>
      <c r="F11" s="7"/>
      <c r="G11" s="7"/>
      <c r="I11" s="74" t="s">
        <v>517</v>
      </c>
    </row>
    <row r="12" spans="1:10" ht="14.25" customHeight="1">
      <c r="A12" s="6" t="s">
        <v>518</v>
      </c>
      <c r="B12" s="6"/>
      <c r="C12" s="6"/>
      <c r="E12" s="5" t="s">
        <v>519</v>
      </c>
      <c r="F12" s="5"/>
      <c r="G12" s="5"/>
      <c r="I12" s="76" t="s">
        <v>520</v>
      </c>
    </row>
    <row r="13" spans="1:10" ht="14.25" customHeight="1">
      <c r="A13" s="77"/>
      <c r="B13" s="77"/>
      <c r="C13" s="77"/>
      <c r="D13" s="78"/>
      <c r="E13" s="4" t="s">
        <v>521</v>
      </c>
      <c r="F13" s="79" t="s">
        <v>522</v>
      </c>
      <c r="G13" s="79" t="s">
        <v>523</v>
      </c>
      <c r="H13" s="80"/>
      <c r="I13" s="81"/>
      <c r="J13" s="82"/>
    </row>
    <row r="14" spans="1:10" ht="15" customHeight="1">
      <c r="A14" s="3" t="s">
        <v>524</v>
      </c>
      <c r="B14" s="2" t="s">
        <v>525</v>
      </c>
      <c r="C14" s="83" t="s">
        <v>526</v>
      </c>
      <c r="D14" s="78"/>
      <c r="E14" s="4"/>
      <c r="F14" s="79" t="s">
        <v>527</v>
      </c>
      <c r="G14" s="79" t="s">
        <v>528</v>
      </c>
      <c r="H14" s="80"/>
      <c r="I14" s="84"/>
      <c r="J14" s="82"/>
    </row>
    <row r="15" spans="1:10" ht="14.25" customHeight="1">
      <c r="A15" s="3"/>
      <c r="B15" s="3"/>
      <c r="C15" s="83" t="s">
        <v>529</v>
      </c>
      <c r="D15" s="78"/>
      <c r="E15" s="4" t="s">
        <v>530</v>
      </c>
      <c r="F15" s="79" t="s">
        <v>529</v>
      </c>
      <c r="G15" s="79" t="s">
        <v>531</v>
      </c>
      <c r="H15" s="80"/>
      <c r="I15" s="84" t="s">
        <v>529</v>
      </c>
      <c r="J15" s="82"/>
    </row>
    <row r="16" spans="1:10" ht="15" customHeight="1">
      <c r="A16" s="3" t="s">
        <v>532</v>
      </c>
      <c r="B16" s="2" t="s">
        <v>533</v>
      </c>
      <c r="C16" s="83" t="s">
        <v>534</v>
      </c>
      <c r="D16" s="78"/>
      <c r="E16" s="4"/>
      <c r="F16" s="79" t="s">
        <v>535</v>
      </c>
      <c r="G16" s="79" t="s">
        <v>536</v>
      </c>
      <c r="H16" s="80"/>
      <c r="I16" s="84" t="s">
        <v>535</v>
      </c>
      <c r="J16" s="82"/>
    </row>
    <row r="17" spans="1:10" ht="14.25" customHeight="1">
      <c r="A17" s="3"/>
      <c r="B17" s="3"/>
      <c r="C17" s="83" t="s">
        <v>537</v>
      </c>
      <c r="D17" s="78"/>
      <c r="E17" s="4" t="s">
        <v>538</v>
      </c>
      <c r="F17" s="79" t="s">
        <v>539</v>
      </c>
      <c r="G17" s="79" t="s">
        <v>540</v>
      </c>
      <c r="H17" s="80"/>
      <c r="I17" s="84" t="s">
        <v>539</v>
      </c>
      <c r="J17" s="82"/>
    </row>
    <row r="18" spans="1:10" ht="14.25" customHeight="1">
      <c r="A18" s="3"/>
      <c r="B18" s="2"/>
      <c r="C18" s="83" t="s">
        <v>541</v>
      </c>
      <c r="D18" s="78"/>
      <c r="E18" s="4"/>
      <c r="F18" s="79" t="s">
        <v>542</v>
      </c>
      <c r="G18" s="79" t="s">
        <v>543</v>
      </c>
      <c r="H18" s="80"/>
      <c r="I18" s="84" t="s">
        <v>542</v>
      </c>
      <c r="J18" s="82"/>
    </row>
    <row r="19" spans="1:10" ht="15" customHeight="1">
      <c r="A19" s="3"/>
      <c r="B19" s="2" t="s">
        <v>544</v>
      </c>
      <c r="C19" s="3" t="s">
        <v>545</v>
      </c>
      <c r="D19" s="78"/>
      <c r="E19" s="1" t="s">
        <v>546</v>
      </c>
      <c r="F19" s="79" t="s">
        <v>547</v>
      </c>
      <c r="G19" s="79" t="s">
        <v>548</v>
      </c>
      <c r="H19" s="80"/>
      <c r="I19" s="84" t="s">
        <v>546</v>
      </c>
      <c r="J19" s="82"/>
    </row>
    <row r="20" spans="1:10" ht="14.25" customHeight="1">
      <c r="A20" s="3"/>
      <c r="B20" s="3"/>
      <c r="C20" s="3"/>
      <c r="D20" s="78"/>
      <c r="E20" s="1"/>
      <c r="F20" s="79" t="s">
        <v>549</v>
      </c>
      <c r="G20" s="79" t="s">
        <v>550</v>
      </c>
      <c r="H20" s="80"/>
      <c r="I20" s="84" t="s">
        <v>546</v>
      </c>
      <c r="J20" s="82"/>
    </row>
    <row r="21" spans="1:10" ht="14.25" customHeight="1">
      <c r="A21" s="3"/>
      <c r="B21" s="3"/>
      <c r="C21" s="3"/>
      <c r="D21" s="78"/>
      <c r="E21" s="1"/>
      <c r="F21" s="79" t="s">
        <v>551</v>
      </c>
      <c r="G21" s="79" t="s">
        <v>552</v>
      </c>
      <c r="H21" s="80"/>
      <c r="I21" s="84" t="s">
        <v>546</v>
      </c>
      <c r="J21" s="82"/>
    </row>
    <row r="22" spans="1:10" ht="15" customHeight="1">
      <c r="A22" s="3" t="s">
        <v>553</v>
      </c>
      <c r="B22" s="2" t="s">
        <v>554</v>
      </c>
      <c r="C22" s="247" t="s">
        <v>555</v>
      </c>
      <c r="D22" s="78"/>
      <c r="E22" s="79" t="s">
        <v>556</v>
      </c>
      <c r="F22" s="79" t="s">
        <v>556</v>
      </c>
      <c r="G22" s="79" t="s">
        <v>557</v>
      </c>
      <c r="H22" s="80"/>
      <c r="I22" s="84" t="s">
        <v>556</v>
      </c>
      <c r="J22" s="82"/>
    </row>
    <row r="23" spans="1:10" ht="14.25" customHeight="1">
      <c r="A23" s="3"/>
      <c r="B23" s="3"/>
      <c r="C23" s="3"/>
      <c r="D23" s="78"/>
      <c r="E23" s="79" t="s">
        <v>558</v>
      </c>
      <c r="F23" s="79" t="s">
        <v>559</v>
      </c>
      <c r="G23" s="79" t="s">
        <v>560</v>
      </c>
      <c r="H23" s="80"/>
      <c r="I23" s="84"/>
      <c r="J23" s="82"/>
    </row>
    <row r="24" spans="1:10" ht="14.25" customHeight="1">
      <c r="A24" s="3"/>
      <c r="B24" s="3"/>
      <c r="C24" s="3"/>
      <c r="D24" s="78"/>
      <c r="E24" s="79" t="s">
        <v>561</v>
      </c>
      <c r="F24" s="79" t="s">
        <v>561</v>
      </c>
      <c r="G24" s="79" t="s">
        <v>562</v>
      </c>
      <c r="H24" s="80"/>
      <c r="I24" s="84" t="s">
        <v>561</v>
      </c>
      <c r="J24" s="82"/>
    </row>
    <row r="25" spans="1:10" ht="14.25" customHeight="1">
      <c r="A25" s="77"/>
      <c r="B25" s="77"/>
      <c r="C25" s="77"/>
      <c r="D25" s="78"/>
      <c r="E25" s="79" t="s">
        <v>563</v>
      </c>
      <c r="F25" s="79" t="s">
        <v>563</v>
      </c>
      <c r="G25" s="79" t="s">
        <v>564</v>
      </c>
      <c r="H25" s="80"/>
      <c r="I25" s="84"/>
      <c r="J25" s="82"/>
    </row>
    <row r="26" spans="1:10" ht="14.25" customHeight="1">
      <c r="I26" s="85"/>
    </row>
    <row r="27" spans="1:10" ht="15" customHeight="1"/>
  </sheetData>
  <mergeCells count="18">
    <mergeCell ref="A22:A24"/>
    <mergeCell ref="B22:B24"/>
    <mergeCell ref="C22:C24"/>
    <mergeCell ref="E13:E14"/>
    <mergeCell ref="A14:A15"/>
    <mergeCell ref="B14:B15"/>
    <mergeCell ref="E15:E16"/>
    <mergeCell ref="A16:A21"/>
    <mergeCell ref="B16:B18"/>
    <mergeCell ref="E17:E18"/>
    <mergeCell ref="B19:B21"/>
    <mergeCell ref="C19:C21"/>
    <mergeCell ref="E19:E21"/>
    <mergeCell ref="A1:B1"/>
    <mergeCell ref="A11:C11"/>
    <mergeCell ref="E11:G11"/>
    <mergeCell ref="A12:C12"/>
    <mergeCell ref="E12:G12"/>
  </mergeCells>
  <hyperlinks>
    <hyperlink ref="A1" location="'Table of Contents'!A1" display="` Table of Contents" xr:uid="{00000000-0004-0000-0400-000000000000}"/>
  </hyperlinks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9"/>
  <sheetViews>
    <sheetView zoomScale="172" zoomScaleNormal="172" workbookViewId="0">
      <selection sqref="A1:B1"/>
    </sheetView>
  </sheetViews>
  <sheetFormatPr defaultColWidth="8.7109375" defaultRowHeight="15"/>
  <cols>
    <col min="1" max="1" width="2.5703125" customWidth="1"/>
    <col min="2" max="3" width="19.5703125" customWidth="1"/>
    <col min="4" max="4" width="13.85546875" customWidth="1"/>
    <col min="5" max="5" width="12.85546875" customWidth="1"/>
    <col min="6" max="6" width="10.85546875" customWidth="1"/>
    <col min="7" max="41" width="13" customWidth="1"/>
  </cols>
  <sheetData>
    <row r="1" spans="1:41" ht="14.25" customHeight="1">
      <c r="A1" s="12" t="s">
        <v>25</v>
      </c>
      <c r="B1" s="12"/>
    </row>
    <row r="3" spans="1:41" ht="30.75" customHeight="1">
      <c r="A3" s="21" t="s">
        <v>565</v>
      </c>
      <c r="B3" s="23"/>
      <c r="C3" s="23"/>
      <c r="D3" s="23"/>
      <c r="E3" s="23"/>
      <c r="F3" s="23"/>
      <c r="G3" s="23"/>
      <c r="H3" s="23"/>
    </row>
    <row r="4" spans="1:41" ht="14.25" customHeight="1">
      <c r="A4" t="s">
        <v>61</v>
      </c>
    </row>
    <row r="5" spans="1:41" ht="14.25" customHeight="1">
      <c r="B5" t="s">
        <v>566</v>
      </c>
    </row>
    <row r="6" spans="1:41" ht="14.25" customHeight="1">
      <c r="B6" t="s">
        <v>567</v>
      </c>
    </row>
    <row r="7" spans="1:41" ht="14.25" customHeight="1">
      <c r="B7" t="s">
        <v>568</v>
      </c>
    </row>
    <row r="9" spans="1:41" ht="14.25" customHeight="1">
      <c r="B9" s="86" t="s">
        <v>569</v>
      </c>
      <c r="C9" s="87">
        <v>1</v>
      </c>
      <c r="D9" s="88"/>
      <c r="E9" s="88"/>
      <c r="F9" s="88"/>
      <c r="G9" s="88"/>
      <c r="H9" s="88"/>
      <c r="I9" s="88"/>
      <c r="J9" s="88"/>
      <c r="K9" s="88"/>
      <c r="L9" s="88"/>
    </row>
    <row r="10" spans="1:41" ht="14.25" customHeight="1">
      <c r="B10" s="86" t="s">
        <v>570</v>
      </c>
      <c r="C10" s="89" t="s">
        <v>571</v>
      </c>
      <c r="D10" s="88"/>
      <c r="E10" s="88"/>
      <c r="F10" s="88"/>
      <c r="G10" s="88"/>
      <c r="H10" s="88"/>
      <c r="I10" s="88"/>
      <c r="J10" s="88"/>
      <c r="K10" s="88"/>
      <c r="L10" s="88"/>
    </row>
    <row r="11" spans="1:41" ht="14.25" customHeight="1">
      <c r="B11" s="86" t="s">
        <v>572</v>
      </c>
      <c r="C11" s="89" t="s">
        <v>573</v>
      </c>
      <c r="D11" s="88"/>
      <c r="E11" s="88"/>
      <c r="F11" s="88"/>
      <c r="G11" s="88"/>
      <c r="H11" s="88"/>
      <c r="I11" s="88"/>
      <c r="J11" s="88"/>
      <c r="K11" s="88"/>
      <c r="L11" s="88"/>
    </row>
    <row r="12" spans="1:41" ht="14.25" customHeight="1">
      <c r="B12" s="86" t="s">
        <v>574</v>
      </c>
      <c r="C12" s="89" t="s">
        <v>575</v>
      </c>
      <c r="D12" s="88"/>
      <c r="E12" s="88"/>
      <c r="F12" s="88"/>
      <c r="G12" s="88"/>
      <c r="H12" s="88"/>
      <c r="I12" s="88"/>
      <c r="J12" s="88"/>
      <c r="K12" s="88"/>
      <c r="L12" s="88"/>
    </row>
    <row r="13" spans="1:41" ht="14.25" customHeight="1">
      <c r="B13" s="86" t="s">
        <v>576</v>
      </c>
      <c r="C13" s="89" t="s">
        <v>577</v>
      </c>
      <c r="D13" s="88"/>
      <c r="E13" s="88"/>
      <c r="F13" s="88"/>
      <c r="G13" s="88"/>
      <c r="H13" s="88"/>
      <c r="I13" s="88"/>
      <c r="J13" s="88"/>
      <c r="K13" s="88"/>
      <c r="L13" s="88"/>
    </row>
    <row r="15" spans="1:41" ht="14.25" customHeight="1">
      <c r="B15" s="90" t="s">
        <v>578</v>
      </c>
      <c r="C15" s="90" t="s">
        <v>579</v>
      </c>
      <c r="D15" s="90" t="s">
        <v>580</v>
      </c>
      <c r="E15" s="75" t="s">
        <v>581</v>
      </c>
      <c r="F15" s="75" t="s">
        <v>582</v>
      </c>
      <c r="G15" s="91">
        <v>2026</v>
      </c>
      <c r="H15" s="91">
        <f t="shared" ref="H15:AO15" si="0">G15+1</f>
        <v>2027</v>
      </c>
      <c r="I15" s="91">
        <f t="shared" si="0"/>
        <v>2028</v>
      </c>
      <c r="J15" s="91">
        <f t="shared" si="0"/>
        <v>2029</v>
      </c>
      <c r="K15" s="91">
        <f t="shared" si="0"/>
        <v>2030</v>
      </c>
      <c r="L15" s="91">
        <f t="shared" si="0"/>
        <v>2031</v>
      </c>
      <c r="M15" s="91">
        <f t="shared" si="0"/>
        <v>2032</v>
      </c>
      <c r="N15" s="91">
        <f t="shared" si="0"/>
        <v>2033</v>
      </c>
      <c r="O15" s="91">
        <f t="shared" si="0"/>
        <v>2034</v>
      </c>
      <c r="P15" s="91">
        <f t="shared" si="0"/>
        <v>2035</v>
      </c>
      <c r="Q15" s="91">
        <f t="shared" si="0"/>
        <v>2036</v>
      </c>
      <c r="R15" s="91">
        <f t="shared" si="0"/>
        <v>2037</v>
      </c>
      <c r="S15" s="91">
        <f t="shared" si="0"/>
        <v>2038</v>
      </c>
      <c r="T15" s="91">
        <f t="shared" si="0"/>
        <v>2039</v>
      </c>
      <c r="U15" s="91">
        <f t="shared" si="0"/>
        <v>2040</v>
      </c>
      <c r="V15" s="91">
        <f t="shared" si="0"/>
        <v>2041</v>
      </c>
      <c r="W15" s="91">
        <f t="shared" si="0"/>
        <v>2042</v>
      </c>
      <c r="X15" s="91">
        <f t="shared" si="0"/>
        <v>2043</v>
      </c>
      <c r="Y15" s="91">
        <f t="shared" si="0"/>
        <v>2044</v>
      </c>
      <c r="Z15" s="91">
        <f t="shared" si="0"/>
        <v>2045</v>
      </c>
      <c r="AA15" s="91">
        <f t="shared" si="0"/>
        <v>2046</v>
      </c>
      <c r="AB15" s="91">
        <f t="shared" si="0"/>
        <v>2047</v>
      </c>
      <c r="AC15" s="91">
        <f t="shared" si="0"/>
        <v>2048</v>
      </c>
      <c r="AD15" s="91">
        <f t="shared" si="0"/>
        <v>2049</v>
      </c>
      <c r="AE15" s="91">
        <f t="shared" si="0"/>
        <v>2050</v>
      </c>
      <c r="AF15" s="91">
        <f t="shared" si="0"/>
        <v>2051</v>
      </c>
      <c r="AG15" s="91">
        <f t="shared" si="0"/>
        <v>2052</v>
      </c>
      <c r="AH15" s="91">
        <f t="shared" si="0"/>
        <v>2053</v>
      </c>
      <c r="AI15" s="91">
        <f t="shared" si="0"/>
        <v>2054</v>
      </c>
      <c r="AJ15" s="91">
        <f t="shared" si="0"/>
        <v>2055</v>
      </c>
      <c r="AK15" s="91">
        <f t="shared" si="0"/>
        <v>2056</v>
      </c>
      <c r="AL15" s="91">
        <f t="shared" si="0"/>
        <v>2057</v>
      </c>
      <c r="AM15" s="91">
        <f t="shared" si="0"/>
        <v>2058</v>
      </c>
      <c r="AN15" s="91">
        <f t="shared" si="0"/>
        <v>2059</v>
      </c>
      <c r="AO15" s="91">
        <f t="shared" si="0"/>
        <v>2060</v>
      </c>
    </row>
    <row r="16" spans="1:41" ht="14.25" customHeight="1">
      <c r="B16" s="74" t="s">
        <v>529</v>
      </c>
      <c r="C16" s="92">
        <v>46023</v>
      </c>
      <c r="D16" s="92">
        <v>46752</v>
      </c>
      <c r="E16" s="93">
        <f t="shared" ref="E16:E24" si="1">D16-C16</f>
        <v>729</v>
      </c>
      <c r="F16" s="94">
        <f t="shared" ref="F16:F24" si="2">E16/365*12</f>
        <v>23.967123287671232</v>
      </c>
      <c r="G16" s="95">
        <f t="shared" ref="G16:P24" si="3">MAX(MIN($D16,DATE(G$15,3,31))-MAX($C16,DATE(G$15-1,4,1))+1,0)/365*12</f>
        <v>2.9589041095890409</v>
      </c>
      <c r="H16" s="95">
        <f t="shared" si="3"/>
        <v>12</v>
      </c>
      <c r="I16" s="95">
        <f t="shared" si="3"/>
        <v>9.0410958904109595</v>
      </c>
      <c r="J16" s="95">
        <f t="shared" si="3"/>
        <v>0</v>
      </c>
      <c r="K16" s="95">
        <f t="shared" si="3"/>
        <v>0</v>
      </c>
      <c r="L16" s="95">
        <f t="shared" si="3"/>
        <v>0</v>
      </c>
      <c r="M16" s="95">
        <f t="shared" si="3"/>
        <v>0</v>
      </c>
      <c r="N16" s="95">
        <f t="shared" si="3"/>
        <v>0</v>
      </c>
      <c r="O16" s="95">
        <f t="shared" si="3"/>
        <v>0</v>
      </c>
      <c r="P16" s="95">
        <f t="shared" si="3"/>
        <v>0</v>
      </c>
      <c r="Q16" s="95">
        <f t="shared" ref="Q16:Z24" si="4">MAX(MIN($D16,DATE(Q$15,3,31))-MAX($C16,DATE(Q$15-1,4,1))+1,0)/365*12</f>
        <v>0</v>
      </c>
      <c r="R16" s="95">
        <f t="shared" si="4"/>
        <v>0</v>
      </c>
      <c r="S16" s="95">
        <f t="shared" si="4"/>
        <v>0</v>
      </c>
      <c r="T16" s="95">
        <f t="shared" si="4"/>
        <v>0</v>
      </c>
      <c r="U16" s="95">
        <f t="shared" si="4"/>
        <v>0</v>
      </c>
      <c r="V16" s="95">
        <f t="shared" si="4"/>
        <v>0</v>
      </c>
      <c r="W16" s="95">
        <f t="shared" si="4"/>
        <v>0</v>
      </c>
      <c r="X16" s="95">
        <f t="shared" si="4"/>
        <v>0</v>
      </c>
      <c r="Y16" s="95">
        <f t="shared" si="4"/>
        <v>0</v>
      </c>
      <c r="Z16" s="95">
        <f t="shared" si="4"/>
        <v>0</v>
      </c>
      <c r="AA16" s="95">
        <f t="shared" ref="AA16:AO24" si="5">MAX(MIN($D16,DATE(AA$15,3,31))-MAX($C16,DATE(AA$15-1,4,1))+1,0)/365*12</f>
        <v>0</v>
      </c>
      <c r="AB16" s="95">
        <f t="shared" si="5"/>
        <v>0</v>
      </c>
      <c r="AC16" s="95">
        <f t="shared" si="5"/>
        <v>0</v>
      </c>
      <c r="AD16" s="95">
        <f t="shared" si="5"/>
        <v>0</v>
      </c>
      <c r="AE16" s="95">
        <f t="shared" si="5"/>
        <v>0</v>
      </c>
      <c r="AF16" s="95">
        <f t="shared" si="5"/>
        <v>0</v>
      </c>
      <c r="AG16" s="95">
        <f t="shared" si="5"/>
        <v>0</v>
      </c>
      <c r="AH16" s="95">
        <f t="shared" si="5"/>
        <v>0</v>
      </c>
      <c r="AI16" s="95">
        <f t="shared" si="5"/>
        <v>0</v>
      </c>
      <c r="AJ16" s="95">
        <f t="shared" si="5"/>
        <v>0</v>
      </c>
      <c r="AK16" s="95">
        <f t="shared" si="5"/>
        <v>0</v>
      </c>
      <c r="AL16" s="95">
        <f t="shared" si="5"/>
        <v>0</v>
      </c>
      <c r="AM16" s="95">
        <f t="shared" si="5"/>
        <v>0</v>
      </c>
      <c r="AN16" s="95">
        <f t="shared" si="5"/>
        <v>0</v>
      </c>
      <c r="AO16" s="95">
        <f t="shared" si="5"/>
        <v>0</v>
      </c>
    </row>
    <row r="17" spans="2:41" ht="14.25" customHeight="1">
      <c r="B17" s="96" t="s">
        <v>535</v>
      </c>
      <c r="C17" s="92">
        <f t="shared" ref="C17:C24" si="6">D16+1</f>
        <v>46753</v>
      </c>
      <c r="D17" s="92">
        <v>47483</v>
      </c>
      <c r="E17" s="93">
        <f t="shared" si="1"/>
        <v>730</v>
      </c>
      <c r="F17" s="94">
        <f t="shared" si="2"/>
        <v>24</v>
      </c>
      <c r="G17" s="95">
        <f t="shared" si="3"/>
        <v>0</v>
      </c>
      <c r="H17" s="95">
        <f t="shared" si="3"/>
        <v>0</v>
      </c>
      <c r="I17" s="95">
        <f t="shared" si="3"/>
        <v>2.9917808219178084</v>
      </c>
      <c r="J17" s="95">
        <f t="shared" si="3"/>
        <v>12</v>
      </c>
      <c r="K17" s="95">
        <f t="shared" si="3"/>
        <v>9.0410958904109595</v>
      </c>
      <c r="L17" s="95">
        <f t="shared" si="3"/>
        <v>0</v>
      </c>
      <c r="M17" s="95">
        <f t="shared" si="3"/>
        <v>0</v>
      </c>
      <c r="N17" s="95">
        <f t="shared" si="3"/>
        <v>0</v>
      </c>
      <c r="O17" s="95">
        <f t="shared" si="3"/>
        <v>0</v>
      </c>
      <c r="P17" s="95">
        <f t="shared" si="3"/>
        <v>0</v>
      </c>
      <c r="Q17" s="95">
        <f t="shared" si="4"/>
        <v>0</v>
      </c>
      <c r="R17" s="95">
        <f t="shared" si="4"/>
        <v>0</v>
      </c>
      <c r="S17" s="95">
        <f t="shared" si="4"/>
        <v>0</v>
      </c>
      <c r="T17" s="95">
        <f t="shared" si="4"/>
        <v>0</v>
      </c>
      <c r="U17" s="95">
        <f t="shared" si="4"/>
        <v>0</v>
      </c>
      <c r="V17" s="95">
        <f t="shared" si="4"/>
        <v>0</v>
      </c>
      <c r="W17" s="95">
        <f t="shared" si="4"/>
        <v>0</v>
      </c>
      <c r="X17" s="95">
        <f t="shared" si="4"/>
        <v>0</v>
      </c>
      <c r="Y17" s="95">
        <f t="shared" si="4"/>
        <v>0</v>
      </c>
      <c r="Z17" s="95">
        <f t="shared" si="4"/>
        <v>0</v>
      </c>
      <c r="AA17" s="95">
        <f t="shared" si="5"/>
        <v>0</v>
      </c>
      <c r="AB17" s="95">
        <f t="shared" si="5"/>
        <v>0</v>
      </c>
      <c r="AC17" s="95">
        <f t="shared" si="5"/>
        <v>0</v>
      </c>
      <c r="AD17" s="95">
        <f t="shared" si="5"/>
        <v>0</v>
      </c>
      <c r="AE17" s="95">
        <f t="shared" si="5"/>
        <v>0</v>
      </c>
      <c r="AF17" s="95">
        <f t="shared" si="5"/>
        <v>0</v>
      </c>
      <c r="AG17" s="95">
        <f t="shared" si="5"/>
        <v>0</v>
      </c>
      <c r="AH17" s="95">
        <f t="shared" si="5"/>
        <v>0</v>
      </c>
      <c r="AI17" s="95">
        <f t="shared" si="5"/>
        <v>0</v>
      </c>
      <c r="AJ17" s="95">
        <f t="shared" si="5"/>
        <v>0</v>
      </c>
      <c r="AK17" s="95">
        <f t="shared" si="5"/>
        <v>0</v>
      </c>
      <c r="AL17" s="95">
        <f t="shared" si="5"/>
        <v>0</v>
      </c>
      <c r="AM17" s="95">
        <f t="shared" si="5"/>
        <v>0</v>
      </c>
      <c r="AN17" s="95">
        <f t="shared" si="5"/>
        <v>0</v>
      </c>
      <c r="AO17" s="95">
        <f t="shared" si="5"/>
        <v>0</v>
      </c>
    </row>
    <row r="18" spans="2:41" ht="14.25" customHeight="1">
      <c r="B18" s="96" t="s">
        <v>583</v>
      </c>
      <c r="C18" s="92">
        <f t="shared" si="6"/>
        <v>47484</v>
      </c>
      <c r="D18" s="92">
        <v>47848</v>
      </c>
      <c r="E18" s="93">
        <f t="shared" si="1"/>
        <v>364</v>
      </c>
      <c r="F18" s="94">
        <f t="shared" si="2"/>
        <v>11.967123287671233</v>
      </c>
      <c r="G18" s="95">
        <f t="shared" si="3"/>
        <v>0</v>
      </c>
      <c r="H18" s="95">
        <f t="shared" si="3"/>
        <v>0</v>
      </c>
      <c r="I18" s="95">
        <f t="shared" si="3"/>
        <v>0</v>
      </c>
      <c r="J18" s="95">
        <f t="shared" si="3"/>
        <v>0</v>
      </c>
      <c r="K18" s="95">
        <f t="shared" si="3"/>
        <v>2.9589041095890409</v>
      </c>
      <c r="L18" s="95">
        <f t="shared" si="3"/>
        <v>9.0410958904109595</v>
      </c>
      <c r="M18" s="95">
        <f t="shared" si="3"/>
        <v>0</v>
      </c>
      <c r="N18" s="95">
        <f t="shared" si="3"/>
        <v>0</v>
      </c>
      <c r="O18" s="95">
        <f t="shared" si="3"/>
        <v>0</v>
      </c>
      <c r="P18" s="95">
        <f t="shared" si="3"/>
        <v>0</v>
      </c>
      <c r="Q18" s="95">
        <f t="shared" si="4"/>
        <v>0</v>
      </c>
      <c r="R18" s="95">
        <f t="shared" si="4"/>
        <v>0</v>
      </c>
      <c r="S18" s="95">
        <f t="shared" si="4"/>
        <v>0</v>
      </c>
      <c r="T18" s="95">
        <f t="shared" si="4"/>
        <v>0</v>
      </c>
      <c r="U18" s="95">
        <f t="shared" si="4"/>
        <v>0</v>
      </c>
      <c r="V18" s="95">
        <f t="shared" si="4"/>
        <v>0</v>
      </c>
      <c r="W18" s="95">
        <f t="shared" si="4"/>
        <v>0</v>
      </c>
      <c r="X18" s="95">
        <f t="shared" si="4"/>
        <v>0</v>
      </c>
      <c r="Y18" s="95">
        <f t="shared" si="4"/>
        <v>0</v>
      </c>
      <c r="Z18" s="95">
        <f t="shared" si="4"/>
        <v>0</v>
      </c>
      <c r="AA18" s="95">
        <f t="shared" si="5"/>
        <v>0</v>
      </c>
      <c r="AB18" s="95">
        <f t="shared" si="5"/>
        <v>0</v>
      </c>
      <c r="AC18" s="95">
        <f t="shared" si="5"/>
        <v>0</v>
      </c>
      <c r="AD18" s="95">
        <f t="shared" si="5"/>
        <v>0</v>
      </c>
      <c r="AE18" s="95">
        <f t="shared" si="5"/>
        <v>0</v>
      </c>
      <c r="AF18" s="95">
        <f t="shared" si="5"/>
        <v>0</v>
      </c>
      <c r="AG18" s="95">
        <f t="shared" si="5"/>
        <v>0</v>
      </c>
      <c r="AH18" s="95">
        <f t="shared" si="5"/>
        <v>0</v>
      </c>
      <c r="AI18" s="95">
        <f t="shared" si="5"/>
        <v>0</v>
      </c>
      <c r="AJ18" s="95">
        <f t="shared" si="5"/>
        <v>0</v>
      </c>
      <c r="AK18" s="95">
        <f t="shared" si="5"/>
        <v>0</v>
      </c>
      <c r="AL18" s="95">
        <f t="shared" si="5"/>
        <v>0</v>
      </c>
      <c r="AM18" s="95">
        <f t="shared" si="5"/>
        <v>0</v>
      </c>
      <c r="AN18" s="95">
        <f t="shared" si="5"/>
        <v>0</v>
      </c>
      <c r="AO18" s="95">
        <f t="shared" si="5"/>
        <v>0</v>
      </c>
    </row>
    <row r="19" spans="2:41" ht="14.25" customHeight="1">
      <c r="B19" s="96" t="s">
        <v>584</v>
      </c>
      <c r="C19" s="92">
        <f t="shared" si="6"/>
        <v>47849</v>
      </c>
      <c r="D19" s="92">
        <v>48213</v>
      </c>
      <c r="E19" s="93">
        <f t="shared" si="1"/>
        <v>364</v>
      </c>
      <c r="F19" s="94">
        <f t="shared" si="2"/>
        <v>11.967123287671233</v>
      </c>
      <c r="G19" s="95">
        <f t="shared" si="3"/>
        <v>0</v>
      </c>
      <c r="H19" s="95">
        <f t="shared" si="3"/>
        <v>0</v>
      </c>
      <c r="I19" s="95">
        <f t="shared" si="3"/>
        <v>0</v>
      </c>
      <c r="J19" s="95">
        <f t="shared" si="3"/>
        <v>0</v>
      </c>
      <c r="K19" s="95">
        <f t="shared" si="3"/>
        <v>0</v>
      </c>
      <c r="L19" s="95">
        <f t="shared" si="3"/>
        <v>2.9589041095890409</v>
      </c>
      <c r="M19" s="95">
        <f t="shared" si="3"/>
        <v>9.0410958904109595</v>
      </c>
      <c r="N19" s="95">
        <f t="shared" si="3"/>
        <v>0</v>
      </c>
      <c r="O19" s="95">
        <f t="shared" si="3"/>
        <v>0</v>
      </c>
      <c r="P19" s="95">
        <f t="shared" si="3"/>
        <v>0</v>
      </c>
      <c r="Q19" s="95">
        <f t="shared" si="4"/>
        <v>0</v>
      </c>
      <c r="R19" s="95">
        <f t="shared" si="4"/>
        <v>0</v>
      </c>
      <c r="S19" s="95">
        <f t="shared" si="4"/>
        <v>0</v>
      </c>
      <c r="T19" s="95">
        <f t="shared" si="4"/>
        <v>0</v>
      </c>
      <c r="U19" s="95">
        <f t="shared" si="4"/>
        <v>0</v>
      </c>
      <c r="V19" s="95">
        <f t="shared" si="4"/>
        <v>0</v>
      </c>
      <c r="W19" s="95">
        <f t="shared" si="4"/>
        <v>0</v>
      </c>
      <c r="X19" s="95">
        <f t="shared" si="4"/>
        <v>0</v>
      </c>
      <c r="Y19" s="95">
        <f t="shared" si="4"/>
        <v>0</v>
      </c>
      <c r="Z19" s="95">
        <f t="shared" si="4"/>
        <v>0</v>
      </c>
      <c r="AA19" s="95">
        <f t="shared" si="5"/>
        <v>0</v>
      </c>
      <c r="AB19" s="95">
        <f t="shared" si="5"/>
        <v>0</v>
      </c>
      <c r="AC19" s="95">
        <f t="shared" si="5"/>
        <v>0</v>
      </c>
      <c r="AD19" s="95">
        <f t="shared" si="5"/>
        <v>0</v>
      </c>
      <c r="AE19" s="95">
        <f t="shared" si="5"/>
        <v>0</v>
      </c>
      <c r="AF19" s="95">
        <f t="shared" si="5"/>
        <v>0</v>
      </c>
      <c r="AG19" s="95">
        <f t="shared" si="5"/>
        <v>0</v>
      </c>
      <c r="AH19" s="95">
        <f t="shared" si="5"/>
        <v>0</v>
      </c>
      <c r="AI19" s="95">
        <f t="shared" si="5"/>
        <v>0</v>
      </c>
      <c r="AJ19" s="95">
        <f t="shared" si="5"/>
        <v>0</v>
      </c>
      <c r="AK19" s="95">
        <f t="shared" si="5"/>
        <v>0</v>
      </c>
      <c r="AL19" s="95">
        <f t="shared" si="5"/>
        <v>0</v>
      </c>
      <c r="AM19" s="95">
        <f t="shared" si="5"/>
        <v>0</v>
      </c>
      <c r="AN19" s="95">
        <f t="shared" si="5"/>
        <v>0</v>
      </c>
      <c r="AO19" s="95">
        <f t="shared" si="5"/>
        <v>0</v>
      </c>
    </row>
    <row r="20" spans="2:41" ht="14.25" customHeight="1">
      <c r="B20" s="96" t="s">
        <v>542</v>
      </c>
      <c r="C20" s="92">
        <f t="shared" si="6"/>
        <v>48214</v>
      </c>
      <c r="D20" s="92">
        <v>48944</v>
      </c>
      <c r="E20" s="97">
        <f t="shared" si="1"/>
        <v>730</v>
      </c>
      <c r="F20" s="98">
        <f t="shared" si="2"/>
        <v>24</v>
      </c>
      <c r="G20" s="95">
        <f t="shared" si="3"/>
        <v>0</v>
      </c>
      <c r="H20" s="95">
        <f t="shared" si="3"/>
        <v>0</v>
      </c>
      <c r="I20" s="95">
        <f t="shared" si="3"/>
        <v>0</v>
      </c>
      <c r="J20" s="95">
        <f t="shared" si="3"/>
        <v>0</v>
      </c>
      <c r="K20" s="95">
        <f t="shared" si="3"/>
        <v>0</v>
      </c>
      <c r="L20" s="95">
        <f t="shared" si="3"/>
        <v>0</v>
      </c>
      <c r="M20" s="95">
        <f t="shared" si="3"/>
        <v>2.9917808219178084</v>
      </c>
      <c r="N20" s="95">
        <f t="shared" si="3"/>
        <v>12</v>
      </c>
      <c r="O20" s="95">
        <f t="shared" si="3"/>
        <v>9.0410958904109595</v>
      </c>
      <c r="P20" s="95">
        <f t="shared" si="3"/>
        <v>0</v>
      </c>
      <c r="Q20" s="95">
        <f t="shared" si="4"/>
        <v>0</v>
      </c>
      <c r="R20" s="95">
        <f t="shared" si="4"/>
        <v>0</v>
      </c>
      <c r="S20" s="95">
        <f t="shared" si="4"/>
        <v>0</v>
      </c>
      <c r="T20" s="95">
        <f t="shared" si="4"/>
        <v>0</v>
      </c>
      <c r="U20" s="95">
        <f t="shared" si="4"/>
        <v>0</v>
      </c>
      <c r="V20" s="95">
        <f t="shared" si="4"/>
        <v>0</v>
      </c>
      <c r="W20" s="95">
        <f t="shared" si="4"/>
        <v>0</v>
      </c>
      <c r="X20" s="95">
        <f t="shared" si="4"/>
        <v>0</v>
      </c>
      <c r="Y20" s="95">
        <f t="shared" si="4"/>
        <v>0</v>
      </c>
      <c r="Z20" s="95">
        <f t="shared" si="4"/>
        <v>0</v>
      </c>
      <c r="AA20" s="95">
        <f t="shared" si="5"/>
        <v>0</v>
      </c>
      <c r="AB20" s="95">
        <f t="shared" si="5"/>
        <v>0</v>
      </c>
      <c r="AC20" s="95">
        <f t="shared" si="5"/>
        <v>0</v>
      </c>
      <c r="AD20" s="95">
        <f t="shared" si="5"/>
        <v>0</v>
      </c>
      <c r="AE20" s="95">
        <f t="shared" si="5"/>
        <v>0</v>
      </c>
      <c r="AF20" s="95">
        <f t="shared" si="5"/>
        <v>0</v>
      </c>
      <c r="AG20" s="95">
        <f t="shared" si="5"/>
        <v>0</v>
      </c>
      <c r="AH20" s="95">
        <f t="shared" si="5"/>
        <v>0</v>
      </c>
      <c r="AI20" s="95">
        <f t="shared" si="5"/>
        <v>0</v>
      </c>
      <c r="AJ20" s="95">
        <f t="shared" si="5"/>
        <v>0</v>
      </c>
      <c r="AK20" s="95">
        <f t="shared" si="5"/>
        <v>0</v>
      </c>
      <c r="AL20" s="95">
        <f t="shared" si="5"/>
        <v>0</v>
      </c>
      <c r="AM20" s="95">
        <f t="shared" si="5"/>
        <v>0</v>
      </c>
      <c r="AN20" s="95">
        <f t="shared" si="5"/>
        <v>0</v>
      </c>
      <c r="AO20" s="95">
        <f t="shared" si="5"/>
        <v>0</v>
      </c>
    </row>
    <row r="21" spans="2:41" ht="14.25" customHeight="1">
      <c r="B21" s="96" t="s">
        <v>546</v>
      </c>
      <c r="C21" s="92">
        <f t="shared" si="6"/>
        <v>48945</v>
      </c>
      <c r="D21" s="92">
        <v>51501</v>
      </c>
      <c r="E21" s="97">
        <f t="shared" si="1"/>
        <v>2556</v>
      </c>
      <c r="F21" s="98">
        <f t="shared" si="2"/>
        <v>84.032876712328772</v>
      </c>
      <c r="G21" s="95">
        <f t="shared" si="3"/>
        <v>0</v>
      </c>
      <c r="H21" s="95">
        <f t="shared" si="3"/>
        <v>0</v>
      </c>
      <c r="I21" s="95">
        <f t="shared" si="3"/>
        <v>0</v>
      </c>
      <c r="J21" s="95">
        <f t="shared" si="3"/>
        <v>0</v>
      </c>
      <c r="K21" s="95">
        <f t="shared" si="3"/>
        <v>0</v>
      </c>
      <c r="L21" s="95">
        <f t="shared" si="3"/>
        <v>0</v>
      </c>
      <c r="M21" s="95">
        <f t="shared" si="3"/>
        <v>0</v>
      </c>
      <c r="N21" s="95">
        <f t="shared" si="3"/>
        <v>0</v>
      </c>
      <c r="O21" s="95">
        <f t="shared" si="3"/>
        <v>2.9589041095890409</v>
      </c>
      <c r="P21" s="95">
        <f t="shared" si="3"/>
        <v>12</v>
      </c>
      <c r="Q21" s="95">
        <f t="shared" si="4"/>
        <v>12.032876712328768</v>
      </c>
      <c r="R21" s="95">
        <f t="shared" si="4"/>
        <v>12</v>
      </c>
      <c r="S21" s="95">
        <f t="shared" si="4"/>
        <v>12</v>
      </c>
      <c r="T21" s="95">
        <f t="shared" si="4"/>
        <v>12</v>
      </c>
      <c r="U21" s="95">
        <f t="shared" si="4"/>
        <v>12.032876712328768</v>
      </c>
      <c r="V21" s="95">
        <f t="shared" si="4"/>
        <v>9.0410958904109595</v>
      </c>
      <c r="W21" s="95">
        <f t="shared" si="4"/>
        <v>0</v>
      </c>
      <c r="X21" s="95">
        <f t="shared" si="4"/>
        <v>0</v>
      </c>
      <c r="Y21" s="95">
        <f t="shared" si="4"/>
        <v>0</v>
      </c>
      <c r="Z21" s="95">
        <f t="shared" si="4"/>
        <v>0</v>
      </c>
      <c r="AA21" s="95">
        <f t="shared" si="5"/>
        <v>0</v>
      </c>
      <c r="AB21" s="95">
        <f t="shared" si="5"/>
        <v>0</v>
      </c>
      <c r="AC21" s="95">
        <f t="shared" si="5"/>
        <v>0</v>
      </c>
      <c r="AD21" s="95">
        <f t="shared" si="5"/>
        <v>0</v>
      </c>
      <c r="AE21" s="95">
        <f t="shared" si="5"/>
        <v>0</v>
      </c>
      <c r="AF21" s="95">
        <f t="shared" si="5"/>
        <v>0</v>
      </c>
      <c r="AG21" s="95">
        <f t="shared" si="5"/>
        <v>0</v>
      </c>
      <c r="AH21" s="95">
        <f t="shared" si="5"/>
        <v>0</v>
      </c>
      <c r="AI21" s="95">
        <f t="shared" si="5"/>
        <v>0</v>
      </c>
      <c r="AJ21" s="95">
        <f t="shared" si="5"/>
        <v>0</v>
      </c>
      <c r="AK21" s="95">
        <f t="shared" si="5"/>
        <v>0</v>
      </c>
      <c r="AL21" s="95">
        <f t="shared" si="5"/>
        <v>0</v>
      </c>
      <c r="AM21" s="95">
        <f t="shared" si="5"/>
        <v>0</v>
      </c>
      <c r="AN21" s="95">
        <f t="shared" si="5"/>
        <v>0</v>
      </c>
      <c r="AO21" s="95">
        <f t="shared" si="5"/>
        <v>0</v>
      </c>
    </row>
    <row r="22" spans="2:41" ht="14.25" customHeight="1">
      <c r="B22" s="96" t="s">
        <v>556</v>
      </c>
      <c r="C22" s="92">
        <f t="shared" si="6"/>
        <v>51502</v>
      </c>
      <c r="D22" s="92">
        <v>56979</v>
      </c>
      <c r="E22" s="97">
        <f t="shared" si="1"/>
        <v>5477</v>
      </c>
      <c r="F22" s="98">
        <f t="shared" si="2"/>
        <v>180.06575342465754</v>
      </c>
      <c r="G22" s="95">
        <f t="shared" si="3"/>
        <v>0</v>
      </c>
      <c r="H22" s="95">
        <f t="shared" si="3"/>
        <v>0</v>
      </c>
      <c r="I22" s="95">
        <f t="shared" si="3"/>
        <v>0</v>
      </c>
      <c r="J22" s="95">
        <f t="shared" si="3"/>
        <v>0</v>
      </c>
      <c r="K22" s="95">
        <f t="shared" si="3"/>
        <v>0</v>
      </c>
      <c r="L22" s="95">
        <f t="shared" si="3"/>
        <v>0</v>
      </c>
      <c r="M22" s="95">
        <f t="shared" si="3"/>
        <v>0</v>
      </c>
      <c r="N22" s="95">
        <f t="shared" si="3"/>
        <v>0</v>
      </c>
      <c r="O22" s="95">
        <f t="shared" si="3"/>
        <v>0</v>
      </c>
      <c r="P22" s="95">
        <f t="shared" si="3"/>
        <v>0</v>
      </c>
      <c r="Q22" s="95">
        <f t="shared" si="4"/>
        <v>0</v>
      </c>
      <c r="R22" s="95">
        <f t="shared" si="4"/>
        <v>0</v>
      </c>
      <c r="S22" s="95">
        <f t="shared" si="4"/>
        <v>0</v>
      </c>
      <c r="T22" s="95">
        <f t="shared" si="4"/>
        <v>0</v>
      </c>
      <c r="U22" s="95">
        <f t="shared" si="4"/>
        <v>0</v>
      </c>
      <c r="V22" s="95">
        <f t="shared" si="4"/>
        <v>2.9589041095890409</v>
      </c>
      <c r="W22" s="95">
        <f t="shared" si="4"/>
        <v>12</v>
      </c>
      <c r="X22" s="95">
        <f t="shared" si="4"/>
        <v>12</v>
      </c>
      <c r="Y22" s="95">
        <f t="shared" si="4"/>
        <v>12.032876712328768</v>
      </c>
      <c r="Z22" s="95">
        <f t="shared" si="4"/>
        <v>12</v>
      </c>
      <c r="AA22" s="95">
        <f t="shared" si="5"/>
        <v>12</v>
      </c>
      <c r="AB22" s="95">
        <f t="shared" si="5"/>
        <v>12</v>
      </c>
      <c r="AC22" s="95">
        <f t="shared" si="5"/>
        <v>12.032876712328768</v>
      </c>
      <c r="AD22" s="95">
        <f t="shared" si="5"/>
        <v>12</v>
      </c>
      <c r="AE22" s="95">
        <f t="shared" si="5"/>
        <v>12</v>
      </c>
      <c r="AF22" s="95">
        <f t="shared" si="5"/>
        <v>12</v>
      </c>
      <c r="AG22" s="95">
        <f t="shared" si="5"/>
        <v>12.032876712328768</v>
      </c>
      <c r="AH22" s="95">
        <f t="shared" si="5"/>
        <v>12</v>
      </c>
      <c r="AI22" s="95">
        <f t="shared" si="5"/>
        <v>12</v>
      </c>
      <c r="AJ22" s="95">
        <f t="shared" si="5"/>
        <v>12</v>
      </c>
      <c r="AK22" s="95">
        <f t="shared" si="5"/>
        <v>9.0410958904109595</v>
      </c>
      <c r="AL22" s="95">
        <f t="shared" si="5"/>
        <v>0</v>
      </c>
      <c r="AM22" s="95">
        <f t="shared" si="5"/>
        <v>0</v>
      </c>
      <c r="AN22" s="95">
        <f t="shared" si="5"/>
        <v>0</v>
      </c>
      <c r="AO22" s="95">
        <f t="shared" si="5"/>
        <v>0</v>
      </c>
    </row>
    <row r="23" spans="2:41" ht="14.25" customHeight="1">
      <c r="B23" s="96" t="s">
        <v>559</v>
      </c>
      <c r="C23" s="92">
        <f t="shared" si="6"/>
        <v>56980</v>
      </c>
      <c r="D23" s="92">
        <v>58256</v>
      </c>
      <c r="E23" s="97">
        <f t="shared" si="1"/>
        <v>1276</v>
      </c>
      <c r="F23" s="98">
        <f t="shared" si="2"/>
        <v>41.950684931506849</v>
      </c>
      <c r="G23" s="95">
        <f t="shared" si="3"/>
        <v>0</v>
      </c>
      <c r="H23" s="95">
        <f t="shared" si="3"/>
        <v>0</v>
      </c>
      <c r="I23" s="95">
        <f t="shared" si="3"/>
        <v>0</v>
      </c>
      <c r="J23" s="95">
        <f t="shared" si="3"/>
        <v>0</v>
      </c>
      <c r="K23" s="95">
        <f t="shared" si="3"/>
        <v>0</v>
      </c>
      <c r="L23" s="95">
        <f t="shared" si="3"/>
        <v>0</v>
      </c>
      <c r="M23" s="95">
        <f t="shared" si="3"/>
        <v>0</v>
      </c>
      <c r="N23" s="95">
        <f t="shared" si="3"/>
        <v>0</v>
      </c>
      <c r="O23" s="95">
        <f t="shared" si="3"/>
        <v>0</v>
      </c>
      <c r="P23" s="95">
        <f t="shared" si="3"/>
        <v>0</v>
      </c>
      <c r="Q23" s="95">
        <f t="shared" si="4"/>
        <v>0</v>
      </c>
      <c r="R23" s="95">
        <f t="shared" si="4"/>
        <v>0</v>
      </c>
      <c r="S23" s="95">
        <f t="shared" si="4"/>
        <v>0</v>
      </c>
      <c r="T23" s="95">
        <f t="shared" si="4"/>
        <v>0</v>
      </c>
      <c r="U23" s="95">
        <f t="shared" si="4"/>
        <v>0</v>
      </c>
      <c r="V23" s="95">
        <f t="shared" si="4"/>
        <v>0</v>
      </c>
      <c r="W23" s="95">
        <f t="shared" si="4"/>
        <v>0</v>
      </c>
      <c r="X23" s="95">
        <f t="shared" si="4"/>
        <v>0</v>
      </c>
      <c r="Y23" s="95">
        <f t="shared" si="4"/>
        <v>0</v>
      </c>
      <c r="Z23" s="95">
        <f t="shared" si="4"/>
        <v>0</v>
      </c>
      <c r="AA23" s="95">
        <f t="shared" si="5"/>
        <v>0</v>
      </c>
      <c r="AB23" s="95">
        <f t="shared" si="5"/>
        <v>0</v>
      </c>
      <c r="AC23" s="95">
        <f t="shared" si="5"/>
        <v>0</v>
      </c>
      <c r="AD23" s="95">
        <f t="shared" si="5"/>
        <v>0</v>
      </c>
      <c r="AE23" s="95">
        <f t="shared" si="5"/>
        <v>0</v>
      </c>
      <c r="AF23" s="95">
        <f t="shared" si="5"/>
        <v>0</v>
      </c>
      <c r="AG23" s="95">
        <f t="shared" si="5"/>
        <v>0</v>
      </c>
      <c r="AH23" s="95">
        <f t="shared" si="5"/>
        <v>0</v>
      </c>
      <c r="AI23" s="95">
        <f t="shared" si="5"/>
        <v>0</v>
      </c>
      <c r="AJ23" s="95">
        <f t="shared" si="5"/>
        <v>0</v>
      </c>
      <c r="AK23" s="95">
        <f t="shared" si="5"/>
        <v>2.9917808219178084</v>
      </c>
      <c r="AL23" s="95">
        <f t="shared" si="5"/>
        <v>12</v>
      </c>
      <c r="AM23" s="95">
        <f t="shared" si="5"/>
        <v>12</v>
      </c>
      <c r="AN23" s="95">
        <f t="shared" si="5"/>
        <v>12</v>
      </c>
      <c r="AO23" s="95">
        <f t="shared" si="5"/>
        <v>2.9917808219178084</v>
      </c>
    </row>
    <row r="24" spans="2:41" ht="14.25" customHeight="1">
      <c r="B24" s="96" t="s">
        <v>561</v>
      </c>
      <c r="C24" s="92">
        <f t="shared" si="6"/>
        <v>58257</v>
      </c>
      <c r="D24" s="92">
        <f>C24+180</f>
        <v>58437</v>
      </c>
      <c r="E24" s="97">
        <f t="shared" si="1"/>
        <v>180</v>
      </c>
      <c r="F24" s="98">
        <f t="shared" si="2"/>
        <v>5.9178082191780819</v>
      </c>
      <c r="G24" s="95">
        <f t="shared" si="3"/>
        <v>0</v>
      </c>
      <c r="H24" s="95">
        <f t="shared" si="3"/>
        <v>0</v>
      </c>
      <c r="I24" s="95">
        <f t="shared" si="3"/>
        <v>0</v>
      </c>
      <c r="J24" s="95">
        <f t="shared" si="3"/>
        <v>0</v>
      </c>
      <c r="K24" s="95">
        <f t="shared" si="3"/>
        <v>0</v>
      </c>
      <c r="L24" s="95">
        <f t="shared" si="3"/>
        <v>0</v>
      </c>
      <c r="M24" s="95">
        <f t="shared" si="3"/>
        <v>0</v>
      </c>
      <c r="N24" s="95">
        <f t="shared" si="3"/>
        <v>0</v>
      </c>
      <c r="O24" s="95">
        <f t="shared" si="3"/>
        <v>0</v>
      </c>
      <c r="P24" s="95">
        <f t="shared" si="3"/>
        <v>0</v>
      </c>
      <c r="Q24" s="95">
        <f t="shared" si="4"/>
        <v>0</v>
      </c>
      <c r="R24" s="95">
        <f t="shared" si="4"/>
        <v>0</v>
      </c>
      <c r="S24" s="95">
        <f t="shared" si="4"/>
        <v>0</v>
      </c>
      <c r="T24" s="95">
        <f t="shared" si="4"/>
        <v>0</v>
      </c>
      <c r="U24" s="95">
        <f t="shared" si="4"/>
        <v>0</v>
      </c>
      <c r="V24" s="95">
        <f t="shared" si="4"/>
        <v>0</v>
      </c>
      <c r="W24" s="95">
        <f t="shared" si="4"/>
        <v>0</v>
      </c>
      <c r="X24" s="95">
        <f t="shared" si="4"/>
        <v>0</v>
      </c>
      <c r="Y24" s="95">
        <f t="shared" si="4"/>
        <v>0</v>
      </c>
      <c r="Z24" s="95">
        <f t="shared" si="4"/>
        <v>0</v>
      </c>
      <c r="AA24" s="95">
        <f t="shared" si="5"/>
        <v>0</v>
      </c>
      <c r="AB24" s="95">
        <f t="shared" si="5"/>
        <v>0</v>
      </c>
      <c r="AC24" s="95">
        <f t="shared" si="5"/>
        <v>0</v>
      </c>
      <c r="AD24" s="95">
        <f t="shared" si="5"/>
        <v>0</v>
      </c>
      <c r="AE24" s="95">
        <f t="shared" si="5"/>
        <v>0</v>
      </c>
      <c r="AF24" s="95">
        <f t="shared" si="5"/>
        <v>0</v>
      </c>
      <c r="AG24" s="95">
        <f t="shared" si="5"/>
        <v>0</v>
      </c>
      <c r="AH24" s="95">
        <f t="shared" si="5"/>
        <v>0</v>
      </c>
      <c r="AI24" s="95">
        <f t="shared" si="5"/>
        <v>0</v>
      </c>
      <c r="AJ24" s="95">
        <f t="shared" si="5"/>
        <v>0</v>
      </c>
      <c r="AK24" s="95">
        <f t="shared" si="5"/>
        <v>0</v>
      </c>
      <c r="AL24" s="95">
        <f t="shared" si="5"/>
        <v>0</v>
      </c>
      <c r="AM24" s="95">
        <f t="shared" si="5"/>
        <v>0</v>
      </c>
      <c r="AN24" s="95">
        <f t="shared" si="5"/>
        <v>0</v>
      </c>
      <c r="AO24" s="95">
        <f t="shared" si="5"/>
        <v>5.9506849315068493</v>
      </c>
    </row>
    <row r="26" spans="2:41" ht="14.25" customHeight="1">
      <c r="B26" s="99" t="s">
        <v>585</v>
      </c>
      <c r="C26" s="100">
        <f>C21</f>
        <v>48945</v>
      </c>
      <c r="D26" s="100">
        <f>EDATE(C26,54)-1</f>
        <v>50586</v>
      </c>
      <c r="E26" s="101">
        <f>D26-C26</f>
        <v>1641</v>
      </c>
      <c r="F26" s="102">
        <f>E26/365*12</f>
        <v>53.950684931506856</v>
      </c>
      <c r="G26" s="103">
        <f t="shared" ref="G26:P28" si="7">MAX(MIN($D26,DATE(G$15,3,31))-MAX($C26,DATE(G$15-1,4,1))+1,0)/365*12</f>
        <v>0</v>
      </c>
      <c r="H26" s="103">
        <f t="shared" si="7"/>
        <v>0</v>
      </c>
      <c r="I26" s="103">
        <f t="shared" si="7"/>
        <v>0</v>
      </c>
      <c r="J26" s="103">
        <f t="shared" si="7"/>
        <v>0</v>
      </c>
      <c r="K26" s="103">
        <f t="shared" si="7"/>
        <v>0</v>
      </c>
      <c r="L26" s="103">
        <f t="shared" si="7"/>
        <v>0</v>
      </c>
      <c r="M26" s="103">
        <f t="shared" si="7"/>
        <v>0</v>
      </c>
      <c r="N26" s="103">
        <f t="shared" si="7"/>
        <v>0</v>
      </c>
      <c r="O26" s="103">
        <f t="shared" si="7"/>
        <v>2.9589041095890409</v>
      </c>
      <c r="P26" s="103">
        <f t="shared" si="7"/>
        <v>12</v>
      </c>
      <c r="Q26" s="103">
        <f t="shared" ref="Q26:Z28" si="8">MAX(MIN($D26,DATE(Q$15,3,31))-MAX($C26,DATE(Q$15-1,4,1))+1,0)/365*12</f>
        <v>12.032876712328768</v>
      </c>
      <c r="R26" s="103">
        <f t="shared" si="8"/>
        <v>12</v>
      </c>
      <c r="S26" s="103">
        <f t="shared" si="8"/>
        <v>12</v>
      </c>
      <c r="T26" s="103">
        <f t="shared" si="8"/>
        <v>2.9917808219178084</v>
      </c>
      <c r="U26" s="103">
        <f t="shared" si="8"/>
        <v>0</v>
      </c>
      <c r="V26" s="103">
        <f t="shared" si="8"/>
        <v>0</v>
      </c>
      <c r="W26" s="103">
        <f t="shared" si="8"/>
        <v>0</v>
      </c>
      <c r="X26" s="103">
        <f t="shared" si="8"/>
        <v>0</v>
      </c>
      <c r="Y26" s="103">
        <f t="shared" si="8"/>
        <v>0</v>
      </c>
      <c r="Z26" s="103">
        <f t="shared" si="8"/>
        <v>0</v>
      </c>
      <c r="AA26" s="103">
        <f t="shared" ref="AA26:AO28" si="9">MAX(MIN($D26,DATE(AA$15,3,31))-MAX($C26,DATE(AA$15-1,4,1))+1,0)/365*12</f>
        <v>0</v>
      </c>
      <c r="AB26" s="103">
        <f t="shared" si="9"/>
        <v>0</v>
      </c>
      <c r="AC26" s="103">
        <f t="shared" si="9"/>
        <v>0</v>
      </c>
      <c r="AD26" s="103">
        <f t="shared" si="9"/>
        <v>0</v>
      </c>
      <c r="AE26" s="103">
        <f t="shared" si="9"/>
        <v>0</v>
      </c>
      <c r="AF26" s="103">
        <f t="shared" si="9"/>
        <v>0</v>
      </c>
      <c r="AG26" s="103">
        <f t="shared" si="9"/>
        <v>0</v>
      </c>
      <c r="AH26" s="103">
        <f t="shared" si="9"/>
        <v>0</v>
      </c>
      <c r="AI26" s="103">
        <f t="shared" si="9"/>
        <v>0</v>
      </c>
      <c r="AJ26" s="103">
        <f t="shared" si="9"/>
        <v>0</v>
      </c>
      <c r="AK26" s="103">
        <f t="shared" si="9"/>
        <v>0</v>
      </c>
      <c r="AL26" s="103">
        <f t="shared" si="9"/>
        <v>0</v>
      </c>
      <c r="AM26" s="103">
        <f t="shared" si="9"/>
        <v>0</v>
      </c>
      <c r="AN26" s="103">
        <f t="shared" si="9"/>
        <v>0</v>
      </c>
      <c r="AO26" s="103">
        <f t="shared" si="9"/>
        <v>0</v>
      </c>
    </row>
    <row r="27" spans="2:41" ht="14.25" customHeight="1">
      <c r="B27" t="s">
        <v>586</v>
      </c>
      <c r="C27" s="100">
        <f>D26+1</f>
        <v>50587</v>
      </c>
      <c r="D27" s="100">
        <f>EDATE(C27,27)-1</f>
        <v>51409</v>
      </c>
      <c r="E27" s="101">
        <f>D27-C27</f>
        <v>822</v>
      </c>
      <c r="F27" s="102">
        <f>E27/365*12</f>
        <v>27.024657534246572</v>
      </c>
      <c r="G27" s="103">
        <f t="shared" si="7"/>
        <v>0</v>
      </c>
      <c r="H27" s="103">
        <f t="shared" si="7"/>
        <v>0</v>
      </c>
      <c r="I27" s="103">
        <f t="shared" si="7"/>
        <v>0</v>
      </c>
      <c r="J27" s="103">
        <f t="shared" si="7"/>
        <v>0</v>
      </c>
      <c r="K27" s="103">
        <f t="shared" si="7"/>
        <v>0</v>
      </c>
      <c r="L27" s="103">
        <f t="shared" si="7"/>
        <v>0</v>
      </c>
      <c r="M27" s="103">
        <f t="shared" si="7"/>
        <v>0</v>
      </c>
      <c r="N27" s="103">
        <f t="shared" si="7"/>
        <v>0</v>
      </c>
      <c r="O27" s="103">
        <f t="shared" si="7"/>
        <v>0</v>
      </c>
      <c r="P27" s="103">
        <f t="shared" si="7"/>
        <v>0</v>
      </c>
      <c r="Q27" s="103">
        <f t="shared" si="8"/>
        <v>0</v>
      </c>
      <c r="R27" s="103">
        <f t="shared" si="8"/>
        <v>0</v>
      </c>
      <c r="S27" s="103">
        <f t="shared" si="8"/>
        <v>0</v>
      </c>
      <c r="T27" s="103">
        <f t="shared" si="8"/>
        <v>9.008219178082193</v>
      </c>
      <c r="U27" s="103">
        <f t="shared" si="8"/>
        <v>12.032876712328768</v>
      </c>
      <c r="V27" s="103">
        <f t="shared" si="8"/>
        <v>6.0164383561643842</v>
      </c>
      <c r="W27" s="103">
        <f t="shared" si="8"/>
        <v>0</v>
      </c>
      <c r="X27" s="103">
        <f t="shared" si="8"/>
        <v>0</v>
      </c>
      <c r="Y27" s="103">
        <f t="shared" si="8"/>
        <v>0</v>
      </c>
      <c r="Z27" s="103">
        <f t="shared" si="8"/>
        <v>0</v>
      </c>
      <c r="AA27" s="103">
        <f t="shared" si="9"/>
        <v>0</v>
      </c>
      <c r="AB27" s="103">
        <f t="shared" si="9"/>
        <v>0</v>
      </c>
      <c r="AC27" s="103">
        <f t="shared" si="9"/>
        <v>0</v>
      </c>
      <c r="AD27" s="103">
        <f t="shared" si="9"/>
        <v>0</v>
      </c>
      <c r="AE27" s="103">
        <f t="shared" si="9"/>
        <v>0</v>
      </c>
      <c r="AF27" s="103">
        <f t="shared" si="9"/>
        <v>0</v>
      </c>
      <c r="AG27" s="103">
        <f t="shared" si="9"/>
        <v>0</v>
      </c>
      <c r="AH27" s="103">
        <f t="shared" si="9"/>
        <v>0</v>
      </c>
      <c r="AI27" s="103">
        <f t="shared" si="9"/>
        <v>0</v>
      </c>
      <c r="AJ27" s="103">
        <f t="shared" si="9"/>
        <v>0</v>
      </c>
      <c r="AK27" s="103">
        <f t="shared" si="9"/>
        <v>0</v>
      </c>
      <c r="AL27" s="103">
        <f t="shared" si="9"/>
        <v>0</v>
      </c>
      <c r="AM27" s="103">
        <f t="shared" si="9"/>
        <v>0</v>
      </c>
      <c r="AN27" s="103">
        <f t="shared" si="9"/>
        <v>0</v>
      </c>
      <c r="AO27" s="103">
        <f t="shared" si="9"/>
        <v>0</v>
      </c>
    </row>
    <row r="28" spans="2:41" ht="14.25" customHeight="1">
      <c r="B28" t="s">
        <v>587</v>
      </c>
      <c r="C28" s="100">
        <f>D27+1</f>
        <v>51410</v>
      </c>
      <c r="D28" s="100">
        <f>D21</f>
        <v>51501</v>
      </c>
      <c r="E28" s="101">
        <f>D28-C28</f>
        <v>91</v>
      </c>
      <c r="F28" s="102">
        <f>E28/365*12</f>
        <v>2.9917808219178084</v>
      </c>
      <c r="G28" s="103">
        <f t="shared" si="7"/>
        <v>0</v>
      </c>
      <c r="H28" s="103">
        <f t="shared" si="7"/>
        <v>0</v>
      </c>
      <c r="I28" s="103">
        <f t="shared" si="7"/>
        <v>0</v>
      </c>
      <c r="J28" s="103">
        <f t="shared" si="7"/>
        <v>0</v>
      </c>
      <c r="K28" s="103">
        <f t="shared" si="7"/>
        <v>0</v>
      </c>
      <c r="L28" s="103">
        <f t="shared" si="7"/>
        <v>0</v>
      </c>
      <c r="M28" s="103">
        <f t="shared" si="7"/>
        <v>0</v>
      </c>
      <c r="N28" s="103">
        <f t="shared" si="7"/>
        <v>0</v>
      </c>
      <c r="O28" s="103">
        <f t="shared" si="7"/>
        <v>0</v>
      </c>
      <c r="P28" s="103">
        <f t="shared" si="7"/>
        <v>0</v>
      </c>
      <c r="Q28" s="103">
        <f t="shared" si="8"/>
        <v>0</v>
      </c>
      <c r="R28" s="103">
        <f t="shared" si="8"/>
        <v>0</v>
      </c>
      <c r="S28" s="103">
        <f t="shared" si="8"/>
        <v>0</v>
      </c>
      <c r="T28" s="103">
        <f t="shared" si="8"/>
        <v>0</v>
      </c>
      <c r="U28" s="103">
        <f t="shared" si="8"/>
        <v>0</v>
      </c>
      <c r="V28" s="103">
        <f t="shared" si="8"/>
        <v>3.0246575342465754</v>
      </c>
      <c r="W28" s="103">
        <f t="shared" si="8"/>
        <v>0</v>
      </c>
      <c r="X28" s="103">
        <f t="shared" si="8"/>
        <v>0</v>
      </c>
      <c r="Y28" s="103">
        <f t="shared" si="8"/>
        <v>0</v>
      </c>
      <c r="Z28" s="103">
        <f t="shared" si="8"/>
        <v>0</v>
      </c>
      <c r="AA28" s="103">
        <f t="shared" si="9"/>
        <v>0</v>
      </c>
      <c r="AB28" s="103">
        <f t="shared" si="9"/>
        <v>0</v>
      </c>
      <c r="AC28" s="103">
        <f t="shared" si="9"/>
        <v>0</v>
      </c>
      <c r="AD28" s="103">
        <f t="shared" si="9"/>
        <v>0</v>
      </c>
      <c r="AE28" s="103">
        <f t="shared" si="9"/>
        <v>0</v>
      </c>
      <c r="AF28" s="103">
        <f t="shared" si="9"/>
        <v>0</v>
      </c>
      <c r="AG28" s="103">
        <f t="shared" si="9"/>
        <v>0</v>
      </c>
      <c r="AH28" s="103">
        <f t="shared" si="9"/>
        <v>0</v>
      </c>
      <c r="AI28" s="103">
        <f t="shared" si="9"/>
        <v>0</v>
      </c>
      <c r="AJ28" s="103">
        <f t="shared" si="9"/>
        <v>0</v>
      </c>
      <c r="AK28" s="103">
        <f t="shared" si="9"/>
        <v>0</v>
      </c>
      <c r="AL28" s="103">
        <f t="shared" si="9"/>
        <v>0</v>
      </c>
      <c r="AM28" s="103">
        <f t="shared" si="9"/>
        <v>0</v>
      </c>
      <c r="AN28" s="103">
        <f t="shared" si="9"/>
        <v>0</v>
      </c>
      <c r="AO28" s="103">
        <f t="shared" si="9"/>
        <v>0</v>
      </c>
    </row>
    <row r="29" spans="2:41" ht="14.25" customHeight="1"/>
  </sheetData>
  <mergeCells count="1">
    <mergeCell ref="A1:B1"/>
  </mergeCells>
  <hyperlinks>
    <hyperlink ref="A1" location="'Table of Contents'!A1" display="` Table of Contents" xr:uid="{00000000-0004-0000-0500-000000000000}"/>
  </hyperlink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0"/>
  <sheetViews>
    <sheetView zoomScale="65" zoomScaleNormal="65" workbookViewId="0"/>
  </sheetViews>
  <sheetFormatPr defaultColWidth="8.7109375" defaultRowHeight="15"/>
  <cols>
    <col min="1" max="1" width="11" customWidth="1"/>
    <col min="2" max="2" width="34.28515625" customWidth="1"/>
    <col min="3" max="3" width="16.7109375" customWidth="1"/>
    <col min="4" max="4" width="20" customWidth="1"/>
    <col min="5" max="5" width="19" customWidth="1"/>
    <col min="6" max="6" width="14.42578125" customWidth="1"/>
    <col min="7" max="7" width="17.5703125" customWidth="1"/>
    <col min="8" max="8" width="14.42578125" customWidth="1"/>
    <col min="9" max="9" width="19" customWidth="1"/>
    <col min="10" max="10" width="14.42578125" customWidth="1"/>
    <col min="11" max="11" width="16.7109375" customWidth="1"/>
    <col min="12" max="12" width="34.28515625" customWidth="1"/>
    <col min="13" max="13" width="2.7109375" customWidth="1"/>
    <col min="14" max="14" width="13" customWidth="1"/>
    <col min="15" max="15" width="15.5703125" customWidth="1"/>
    <col min="16" max="17" width="17.140625" customWidth="1"/>
    <col min="19" max="19" width="9.28515625" customWidth="1"/>
  </cols>
  <sheetData>
    <row r="1" spans="1:17" ht="21.75" customHeight="1">
      <c r="A1" s="104"/>
      <c r="B1" s="104"/>
      <c r="C1" s="105" t="s">
        <v>588</v>
      </c>
      <c r="D1" s="106">
        <f>'3 - Phase Durations'!C16</f>
        <v>46023</v>
      </c>
      <c r="E1" s="104"/>
      <c r="F1" s="104"/>
      <c r="G1" s="104"/>
      <c r="H1" s="104"/>
      <c r="I1" s="104"/>
      <c r="J1" s="104"/>
      <c r="K1" s="104"/>
      <c r="L1" s="104"/>
      <c r="N1" s="104"/>
      <c r="O1" s="104"/>
      <c r="P1" s="104"/>
      <c r="Q1" s="104"/>
    </row>
    <row r="2" spans="1:17" ht="9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N2" s="104"/>
      <c r="O2" s="104"/>
      <c r="P2" s="104"/>
      <c r="Q2" s="104"/>
    </row>
    <row r="3" spans="1:17" ht="42" customHeight="1">
      <c r="A3" s="107" t="s">
        <v>578</v>
      </c>
      <c r="B3" s="107" t="s">
        <v>589</v>
      </c>
      <c r="C3" s="107" t="s">
        <v>590</v>
      </c>
      <c r="D3" s="107" t="s">
        <v>591</v>
      </c>
      <c r="E3" s="107" t="s">
        <v>592</v>
      </c>
      <c r="F3" s="107" t="s">
        <v>593</v>
      </c>
      <c r="G3" s="107" t="s">
        <v>594</v>
      </c>
      <c r="H3" s="107" t="s">
        <v>595</v>
      </c>
      <c r="I3" s="107" t="s">
        <v>596</v>
      </c>
      <c r="J3" s="107" t="s">
        <v>597</v>
      </c>
      <c r="K3" s="107" t="s">
        <v>598</v>
      </c>
      <c r="L3" s="107" t="s">
        <v>599</v>
      </c>
      <c r="N3" s="104"/>
      <c r="O3" s="104"/>
      <c r="P3" s="104"/>
      <c r="Q3" s="104"/>
    </row>
    <row r="4" spans="1:17" ht="27" customHeight="1">
      <c r="A4" s="108" t="s">
        <v>529</v>
      </c>
      <c r="B4" s="109" t="s">
        <v>600</v>
      </c>
      <c r="C4" s="110">
        <f>'3 - Phase Durations'!D16</f>
        <v>46752</v>
      </c>
      <c r="D4" s="111" t="s">
        <v>601</v>
      </c>
      <c r="E4" s="111" t="s">
        <v>601</v>
      </c>
      <c r="F4" s="112">
        <f>(G4-'3 - Phase Durations'!C16)/30.44</f>
        <v>25.919842312746386</v>
      </c>
      <c r="G4" s="110">
        <f>EDATE(C4,2)</f>
        <v>46812</v>
      </c>
      <c r="H4" s="112">
        <f>(I4-'3 - Phase Durations'!C16)/30.44</f>
        <v>24.967148488830485</v>
      </c>
      <c r="I4" s="110">
        <f>EDATE(C4,1)</f>
        <v>46783</v>
      </c>
      <c r="J4" s="112">
        <f>(K4-'3 - Phase Durations'!C16)/30.44</f>
        <v>22.930354796320628</v>
      </c>
      <c r="K4" s="110">
        <f>EDATE(C4,-1)</f>
        <v>46721</v>
      </c>
      <c r="L4" s="109" t="s">
        <v>602</v>
      </c>
      <c r="N4" s="104"/>
      <c r="O4" s="104"/>
      <c r="P4" s="104"/>
      <c r="Q4" s="104"/>
    </row>
    <row r="5" spans="1:17" ht="15" customHeight="1">
      <c r="A5" s="113" t="s">
        <v>535</v>
      </c>
      <c r="B5" s="114" t="s">
        <v>603</v>
      </c>
      <c r="C5" s="115">
        <f>'3 - Phase Durations'!D17</f>
        <v>47483</v>
      </c>
      <c r="D5" s="116" t="s">
        <v>601</v>
      </c>
      <c r="E5" s="116" t="s">
        <v>601</v>
      </c>
      <c r="F5" s="117">
        <f>(G5-'3 - Phase Durations'!C16)/30.44</f>
        <v>51.905387647831795</v>
      </c>
      <c r="G5" s="115">
        <f>EDATE(C5,4)</f>
        <v>47603</v>
      </c>
      <c r="H5" s="117">
        <f>(I5-'3 - Phase Durations'!C16)/30.44</f>
        <v>49.90144546649146</v>
      </c>
      <c r="I5" s="115">
        <f>EDATE(C5,2)</f>
        <v>47542</v>
      </c>
      <c r="J5" s="117">
        <f>(K5-'3 - Phase Durations'!C16)/30.44</f>
        <v>45.959264126149804</v>
      </c>
      <c r="K5" s="115">
        <f>EDATE(C5,-2)</f>
        <v>47422</v>
      </c>
      <c r="L5" s="114" t="s">
        <v>604</v>
      </c>
      <c r="N5" s="104"/>
      <c r="O5" s="104"/>
      <c r="P5" s="104"/>
      <c r="Q5" s="104"/>
    </row>
    <row r="6" spans="1:17" ht="30" customHeight="1">
      <c r="A6" s="113" t="s">
        <v>535</v>
      </c>
      <c r="B6" s="114" t="s">
        <v>605</v>
      </c>
      <c r="C6" s="115">
        <f>'3 - Phase Durations'!C17+0.75*('3 - Phase Durations'!D17-'3 - Phase Durations'!C17)</f>
        <v>47300.5</v>
      </c>
      <c r="D6" s="116" t="s">
        <v>601</v>
      </c>
      <c r="E6" s="116" t="s">
        <v>601</v>
      </c>
      <c r="F6" s="117">
        <f>(G6-'3 - Phase Durations'!C16)/30.44</f>
        <v>45.992115637319316</v>
      </c>
      <c r="G6" s="115">
        <f>EDATE(C6,4)</f>
        <v>47423</v>
      </c>
      <c r="H6" s="117">
        <f>(I6-'3 - Phase Durations'!C16)/30.44</f>
        <v>43.988173455978973</v>
      </c>
      <c r="I6" s="115">
        <f>EDATE(C6,2)</f>
        <v>47362</v>
      </c>
      <c r="J6" s="117">
        <f>(K6-'3 - Phase Durations'!C16)/30.44</f>
        <v>39.947437582128778</v>
      </c>
      <c r="K6" s="115">
        <f>EDATE(C6,-2)</f>
        <v>47239</v>
      </c>
      <c r="L6" s="114" t="s">
        <v>606</v>
      </c>
      <c r="N6" s="118" t="s">
        <v>607</v>
      </c>
      <c r="O6" s="118" t="s">
        <v>608</v>
      </c>
      <c r="P6" s="118" t="s">
        <v>609</v>
      </c>
      <c r="Q6" s="118" t="s">
        <v>610</v>
      </c>
    </row>
    <row r="7" spans="1:17" ht="27" customHeight="1">
      <c r="A7" s="113" t="s">
        <v>539</v>
      </c>
      <c r="B7" s="114" t="s">
        <v>611</v>
      </c>
      <c r="C7" s="115">
        <f>'3 - Phase Durations'!C18+0.6*('3 - Phase Durations'!D19-'3 - Phase Durations'!C18)</f>
        <v>47921.4</v>
      </c>
      <c r="D7" s="116" t="s">
        <v>612</v>
      </c>
      <c r="E7" s="116" t="s">
        <v>612</v>
      </c>
      <c r="F7" s="117">
        <f>(G7-'3 - Phase Durations'!C16)/30.44</f>
        <v>68.396846254927723</v>
      </c>
      <c r="G7" s="115">
        <f>EDATE(C7,6)</f>
        <v>48105</v>
      </c>
      <c r="H7" s="117">
        <f>(I7-'3 - Phase Durations'!C16)/30.44</f>
        <v>65.374507227332458</v>
      </c>
      <c r="I7" s="115">
        <f>EDATE(C7,3)</f>
        <v>48013</v>
      </c>
      <c r="J7" s="117">
        <f>(K7-'3 - Phase Durations'!C16)/30.44</f>
        <v>59.395532194480943</v>
      </c>
      <c r="K7" s="115">
        <f>EDATE(C7,-3)</f>
        <v>47831</v>
      </c>
      <c r="L7" s="114" t="s">
        <v>613</v>
      </c>
      <c r="N7" s="119" t="str">
        <f>'3 - Phase Durations'!B16</f>
        <v>Phase 0</v>
      </c>
      <c r="O7" s="112">
        <f>'3 - Phase Durations'!F16</f>
        <v>23.967123287671232</v>
      </c>
      <c r="P7" s="110">
        <f>'3 - Phase Durations'!C16</f>
        <v>46023</v>
      </c>
      <c r="Q7" s="110">
        <f>'3 - Phase Durations'!D16</f>
        <v>46752</v>
      </c>
    </row>
    <row r="8" spans="1:17" ht="30" customHeight="1">
      <c r="A8" s="113" t="s">
        <v>539</v>
      </c>
      <c r="B8" s="114" t="s">
        <v>614</v>
      </c>
      <c r="C8" s="115">
        <f>'3 - Phase Durations'!D19</f>
        <v>48213</v>
      </c>
      <c r="D8" s="116" t="s">
        <v>615</v>
      </c>
      <c r="E8" s="116" t="s">
        <v>616</v>
      </c>
      <c r="F8" s="117">
        <f>(G8-'3 - Phase Durations'!C16)/30.44</f>
        <v>77.923784494086718</v>
      </c>
      <c r="G8" s="115">
        <f>EDATE(C8,6)</f>
        <v>48395</v>
      </c>
      <c r="H8" s="117">
        <f>(I8-'3 - Phase Durations'!C16)/30.44</f>
        <v>74.934296977660964</v>
      </c>
      <c r="I8" s="115">
        <f>EDATE(C8,3)</f>
        <v>48304</v>
      </c>
      <c r="J8" s="117">
        <f>(K8-'3 - Phase Durations'!C16)/30.44</f>
        <v>68.922470433639944</v>
      </c>
      <c r="K8" s="115">
        <f>EDATE(C8,-3)</f>
        <v>48121</v>
      </c>
      <c r="L8" s="114" t="s">
        <v>617</v>
      </c>
      <c r="N8" s="120" t="str">
        <f>'3 - Phase Durations'!B17</f>
        <v>Phase A</v>
      </c>
      <c r="O8" s="117">
        <f>'3 - Phase Durations'!F17</f>
        <v>24</v>
      </c>
      <c r="P8" s="115">
        <f>'3 - Phase Durations'!C17</f>
        <v>46753</v>
      </c>
      <c r="Q8" s="115">
        <f>'3 - Phase Durations'!D17</f>
        <v>47483</v>
      </c>
    </row>
    <row r="9" spans="1:17" ht="43.5" customHeight="1">
      <c r="A9" s="113" t="s">
        <v>542</v>
      </c>
      <c r="B9" s="114" t="s">
        <v>618</v>
      </c>
      <c r="C9" s="115">
        <f>'3 - Phase Durations'!C20+0.6*('3 - Phase Durations'!D20-'3 - Phase Durations'!C20)</f>
        <v>48652</v>
      </c>
      <c r="D9" s="116" t="s">
        <v>601</v>
      </c>
      <c r="E9" s="116" t="s">
        <v>619</v>
      </c>
      <c r="F9" s="117">
        <f>(G9-'3 - Phase Durations'!C16)/30.44</f>
        <v>94.415243101182654</v>
      </c>
      <c r="G9" s="115">
        <f>EDATE(C9,8)</f>
        <v>48897</v>
      </c>
      <c r="H9" s="117">
        <f>(I9-'3 - Phase Durations'!C16)/30.44</f>
        <v>90.374507227332458</v>
      </c>
      <c r="I9" s="115">
        <f>EDATE(C9,4)</f>
        <v>48774</v>
      </c>
      <c r="J9" s="117">
        <f>(K9-'3 - Phase Durations'!C16)/30.44</f>
        <v>82.424441524310112</v>
      </c>
      <c r="K9" s="115">
        <f>EDATE(C9,-4)</f>
        <v>48532</v>
      </c>
      <c r="L9" s="114" t="s">
        <v>620</v>
      </c>
      <c r="N9" s="120" t="str">
        <f>'3 - Phase Durations'!B18</f>
        <v>Phase B1</v>
      </c>
      <c r="O9" s="117">
        <f>'3 - Phase Durations'!F18</f>
        <v>11.967123287671233</v>
      </c>
      <c r="P9" s="115">
        <f>'3 - Phase Durations'!C18</f>
        <v>47484</v>
      </c>
      <c r="Q9" s="115">
        <f>'3 - Phase Durations'!D18</f>
        <v>47848</v>
      </c>
    </row>
    <row r="10" spans="1:17" ht="36.75" customHeight="1">
      <c r="A10" s="113" t="s">
        <v>542</v>
      </c>
      <c r="B10" s="114" t="s">
        <v>621</v>
      </c>
      <c r="C10" s="115">
        <f>'3 - Phase Durations'!D20</f>
        <v>48944</v>
      </c>
      <c r="D10" s="116" t="s">
        <v>615</v>
      </c>
      <c r="E10" s="116" t="s">
        <v>622</v>
      </c>
      <c r="F10" s="117">
        <f>(G10-'3 - Phase Durations'!C16)/30.44</f>
        <v>103.94218134034165</v>
      </c>
      <c r="G10" s="115">
        <f>EDATE(C10,8)</f>
        <v>49187</v>
      </c>
      <c r="H10" s="117">
        <f>(I10-'3 - Phase Durations'!C16)/30.44</f>
        <v>99.901445466491452</v>
      </c>
      <c r="I10" s="115">
        <f>EDATE(C10,4)</f>
        <v>49064</v>
      </c>
      <c r="J10" s="117">
        <f>(K10-'3 - Phase Durations'!C16)/30.44</f>
        <v>91.95137976346912</v>
      </c>
      <c r="K10" s="115">
        <f>EDATE(C10,-4)</f>
        <v>48822</v>
      </c>
      <c r="L10" s="114" t="s">
        <v>623</v>
      </c>
      <c r="N10" s="120" t="str">
        <f>'3 - Phase Durations'!B19</f>
        <v>Phase B2</v>
      </c>
      <c r="O10" s="117">
        <f>'3 - Phase Durations'!F19</f>
        <v>11.967123287671233</v>
      </c>
      <c r="P10" s="115">
        <f>'3 - Phase Durations'!C19</f>
        <v>47849</v>
      </c>
      <c r="Q10" s="115">
        <f>'3 - Phase Durations'!D19</f>
        <v>48213</v>
      </c>
    </row>
    <row r="11" spans="1:17" ht="27" customHeight="1">
      <c r="A11" s="113" t="s">
        <v>547</v>
      </c>
      <c r="B11" s="114" t="s">
        <v>624</v>
      </c>
      <c r="C11" s="115">
        <f>'3 - Phase Durations'!C26+0.5*('3 - Phase Durations'!D26-'3 - Phase Durations'!C26)</f>
        <v>49765.5</v>
      </c>
      <c r="D11" s="116" t="s">
        <v>601</v>
      </c>
      <c r="E11" s="116" t="s">
        <v>601</v>
      </c>
      <c r="F11" s="117">
        <f>(G11-'3 - Phase Durations'!C16)/30.44</f>
        <v>132.98291721419184</v>
      </c>
      <c r="G11" s="115">
        <f t="shared" ref="G11:G19" si="0">EDATE(C11,10)</f>
        <v>50071</v>
      </c>
      <c r="H11" s="117">
        <f>(I11-'3 - Phase Durations'!C16)/30.44</f>
        <v>127.95663600525624</v>
      </c>
      <c r="I11" s="115">
        <f t="shared" ref="I11:I19" si="1">EDATE(C11,5)</f>
        <v>49918</v>
      </c>
      <c r="J11" s="117">
        <f>(K11-'3 - Phase Durations'!C16)/30.44</f>
        <v>117.93692509855452</v>
      </c>
      <c r="K11" s="115">
        <f t="shared" ref="K11:K19" si="2">EDATE(C11,-5)</f>
        <v>49613</v>
      </c>
      <c r="L11" s="114" t="s">
        <v>625</v>
      </c>
      <c r="N11" s="120" t="str">
        <f>'3 - Phase Durations'!B20</f>
        <v>Phase C</v>
      </c>
      <c r="O11" s="117">
        <f>'3 - Phase Durations'!F20</f>
        <v>24</v>
      </c>
      <c r="P11" s="115">
        <f>'3 - Phase Durations'!C20</f>
        <v>48214</v>
      </c>
      <c r="Q11" s="115">
        <f>'3 - Phase Durations'!D20</f>
        <v>48944</v>
      </c>
    </row>
    <row r="12" spans="1:17" ht="27" customHeight="1">
      <c r="A12" s="113" t="s">
        <v>547</v>
      </c>
      <c r="B12" s="114" t="s">
        <v>626</v>
      </c>
      <c r="C12" s="115">
        <f>'3 - Phase Durations'!D21-180</f>
        <v>51321</v>
      </c>
      <c r="D12" s="116" t="s">
        <v>627</v>
      </c>
      <c r="E12" s="116" t="s">
        <v>627</v>
      </c>
      <c r="F12" s="117">
        <f>(G12-'3 - Phase Durations'!C16)/30.44</f>
        <v>184.03416557161628</v>
      </c>
      <c r="G12" s="115">
        <f t="shared" si="0"/>
        <v>51625</v>
      </c>
      <c r="H12" s="117">
        <f>(I12-'3 - Phase Durations'!C16)/30.44</f>
        <v>179.07358738501969</v>
      </c>
      <c r="I12" s="115">
        <f t="shared" si="1"/>
        <v>51474</v>
      </c>
      <c r="J12" s="117">
        <f>(K12-'3 - Phase Durations'!C16)/30.44</f>
        <v>169.08672798948751</v>
      </c>
      <c r="K12" s="115">
        <f t="shared" si="2"/>
        <v>51170</v>
      </c>
      <c r="L12" s="114" t="s">
        <v>628</v>
      </c>
      <c r="N12" s="120" t="str">
        <f>'3 - Phase Durations'!B21</f>
        <v>Phase D</v>
      </c>
      <c r="O12" s="117">
        <f>'3 - Phase Durations'!F21</f>
        <v>84.032876712328772</v>
      </c>
      <c r="P12" s="115">
        <f>'3 - Phase Durations'!C21</f>
        <v>48945</v>
      </c>
      <c r="Q12" s="115">
        <f>'3 - Phase Durations'!D21</f>
        <v>51501</v>
      </c>
    </row>
    <row r="13" spans="1:17" ht="27" customHeight="1">
      <c r="A13" s="113" t="s">
        <v>549</v>
      </c>
      <c r="B13" s="114" t="s">
        <v>629</v>
      </c>
      <c r="C13" s="115">
        <f>'3 - Phase Durations'!D27-30</f>
        <v>51379</v>
      </c>
      <c r="D13" s="116" t="s">
        <v>601</v>
      </c>
      <c r="E13" s="116" t="s">
        <v>630</v>
      </c>
      <c r="F13" s="117">
        <f>(G13-'3 - Phase Durations'!C16)/30.44</f>
        <v>185.90670170827858</v>
      </c>
      <c r="G13" s="115">
        <f t="shared" si="0"/>
        <v>51682</v>
      </c>
      <c r="H13" s="117">
        <f>(I13-'3 - Phase Durations'!C16)/30.44</f>
        <v>180.97897503285151</v>
      </c>
      <c r="I13" s="115">
        <f t="shared" si="1"/>
        <v>51532</v>
      </c>
      <c r="J13" s="117">
        <f>(K13-'3 - Phase Durations'!C16)/30.44</f>
        <v>170.92641261498028</v>
      </c>
      <c r="K13" s="115">
        <f t="shared" si="2"/>
        <v>51226</v>
      </c>
      <c r="L13" s="114" t="s">
        <v>631</v>
      </c>
      <c r="N13" s="120" t="str">
        <f>'3 - Phase Durations'!B22</f>
        <v>Phase E</v>
      </c>
      <c r="O13" s="117">
        <f>'3 - Phase Durations'!F22</f>
        <v>180.06575342465754</v>
      </c>
      <c r="P13" s="115">
        <f>'3 - Phase Durations'!C22</f>
        <v>51502</v>
      </c>
      <c r="Q13" s="115">
        <f>'3 - Phase Durations'!D22</f>
        <v>56979</v>
      </c>
    </row>
    <row r="14" spans="1:17" ht="27" customHeight="1">
      <c r="A14" s="113" t="s">
        <v>549</v>
      </c>
      <c r="B14" s="114" t="s">
        <v>632</v>
      </c>
      <c r="C14" s="115">
        <f>'3 - Phase Durations'!D27</f>
        <v>51409</v>
      </c>
      <c r="D14" s="116" t="s">
        <v>633</v>
      </c>
      <c r="E14" s="116" t="s">
        <v>634</v>
      </c>
      <c r="F14" s="117">
        <f>(G14-'3 - Phase Durations'!C16)/30.44</f>
        <v>186.89224704336399</v>
      </c>
      <c r="G14" s="115">
        <f t="shared" si="0"/>
        <v>51712</v>
      </c>
      <c r="H14" s="117">
        <f>(I14-'3 - Phase Durations'!C16)/30.44</f>
        <v>181.89881734559788</v>
      </c>
      <c r="I14" s="115">
        <f t="shared" si="1"/>
        <v>51560</v>
      </c>
      <c r="J14" s="117">
        <f>(K14-'3 - Phase Durations'!C16)/30.44</f>
        <v>171.9119579500657</v>
      </c>
      <c r="K14" s="115">
        <f t="shared" si="2"/>
        <v>51256</v>
      </c>
      <c r="L14" s="114" t="s">
        <v>635</v>
      </c>
      <c r="N14" s="120" t="str">
        <f>'3 - Phase Durations'!B23</f>
        <v>Phase X</v>
      </c>
      <c r="O14" s="117">
        <f>'3 - Phase Durations'!F23</f>
        <v>41.950684931506849</v>
      </c>
      <c r="P14" s="115">
        <f>'3 - Phase Durations'!C23</f>
        <v>56980</v>
      </c>
      <c r="Q14" s="115">
        <f>'3 - Phase Durations'!D23</f>
        <v>58256</v>
      </c>
    </row>
    <row r="15" spans="1:17" ht="15" customHeight="1">
      <c r="A15" s="113" t="s">
        <v>549</v>
      </c>
      <c r="B15" s="114" t="s">
        <v>636</v>
      </c>
      <c r="C15" s="115">
        <f>'3 - Phase Durations'!D21-90</f>
        <v>51411</v>
      </c>
      <c r="D15" s="116" t="s">
        <v>637</v>
      </c>
      <c r="E15" s="116" t="s">
        <v>637</v>
      </c>
      <c r="F15" s="117">
        <f>(G15-'3 - Phase Durations'!C16)/30.44</f>
        <v>186.99080157687254</v>
      </c>
      <c r="G15" s="115">
        <f t="shared" si="0"/>
        <v>51715</v>
      </c>
      <c r="H15" s="117">
        <f>(I15-'3 - Phase Durations'!C16)/30.44</f>
        <v>181.96452036793693</v>
      </c>
      <c r="I15" s="115">
        <f t="shared" si="1"/>
        <v>51562</v>
      </c>
      <c r="J15" s="117">
        <f>(K15-'3 - Phase Durations'!C16)/30.44</f>
        <v>171.97766097240472</v>
      </c>
      <c r="K15" s="115">
        <f t="shared" si="2"/>
        <v>51258</v>
      </c>
      <c r="L15" s="114" t="s">
        <v>638</v>
      </c>
      <c r="N15" s="121" t="str">
        <f>'3 - Phase Durations'!B24</f>
        <v>Phase F</v>
      </c>
      <c r="O15" s="122">
        <f>'3 - Phase Durations'!F24</f>
        <v>5.9178082191780819</v>
      </c>
      <c r="P15" s="123">
        <f>'3 - Phase Durations'!C24</f>
        <v>58257</v>
      </c>
      <c r="Q15" s="123">
        <f>'3 - Phase Durations'!D24</f>
        <v>58437</v>
      </c>
    </row>
    <row r="16" spans="1:17" ht="27" customHeight="1">
      <c r="A16" s="113" t="s">
        <v>549</v>
      </c>
      <c r="B16" s="114" t="s">
        <v>639</v>
      </c>
      <c r="C16" s="115">
        <f>'3 - Phase Durations'!D21-60</f>
        <v>51441</v>
      </c>
      <c r="D16" s="116" t="s">
        <v>601</v>
      </c>
      <c r="E16" s="116" t="s">
        <v>601</v>
      </c>
      <c r="F16" s="117">
        <f>(G16-'3 - Phase Durations'!C16)/30.44</f>
        <v>187.97634691195793</v>
      </c>
      <c r="G16" s="115">
        <f t="shared" si="0"/>
        <v>51745</v>
      </c>
      <c r="H16" s="117">
        <f>(I16-'3 - Phase Durations'!C16)/30.44</f>
        <v>182.95006570302232</v>
      </c>
      <c r="I16" s="115">
        <f t="shared" si="1"/>
        <v>51592</v>
      </c>
      <c r="J16" s="117">
        <f>(K16-'3 - Phase Durations'!C16)/30.44</f>
        <v>172.96320630749014</v>
      </c>
      <c r="K16" s="115">
        <f t="shared" si="2"/>
        <v>51288</v>
      </c>
      <c r="L16" s="114" t="s">
        <v>640</v>
      </c>
      <c r="N16" s="124" t="s">
        <v>641</v>
      </c>
      <c r="O16" s="125">
        <f>SUM(O7:O15)</f>
        <v>407.86849315068491</v>
      </c>
    </row>
    <row r="17" spans="1:17" ht="27" customHeight="1">
      <c r="A17" s="113" t="s">
        <v>551</v>
      </c>
      <c r="B17" s="114" t="s">
        <v>642</v>
      </c>
      <c r="C17" s="115">
        <f>'3 - Phase Durations'!D21-45</f>
        <v>51456</v>
      </c>
      <c r="D17" s="116" t="s">
        <v>643</v>
      </c>
      <c r="E17" s="116" t="s">
        <v>601</v>
      </c>
      <c r="F17" s="117">
        <f>(G17-'3 - Phase Durations'!C16)/30.44</f>
        <v>188.46911957950064</v>
      </c>
      <c r="G17" s="115">
        <f t="shared" si="0"/>
        <v>51760</v>
      </c>
      <c r="H17" s="117">
        <f>(I17-'3 - Phase Durations'!C16)/30.44</f>
        <v>183.44283837056503</v>
      </c>
      <c r="I17" s="115">
        <f t="shared" si="1"/>
        <v>51607</v>
      </c>
      <c r="J17" s="117">
        <f>(K17-'3 - Phase Durations'!C16)/30.44</f>
        <v>173.45597897503285</v>
      </c>
      <c r="K17" s="115">
        <f t="shared" si="2"/>
        <v>51303</v>
      </c>
      <c r="L17" s="114" t="s">
        <v>644</v>
      </c>
      <c r="N17" s="104"/>
      <c r="O17" s="104"/>
      <c r="P17" s="104"/>
      <c r="Q17" s="104"/>
    </row>
    <row r="18" spans="1:17" ht="27" customHeight="1">
      <c r="A18" s="113" t="s">
        <v>551</v>
      </c>
      <c r="B18" s="114" t="s">
        <v>645</v>
      </c>
      <c r="C18" s="115">
        <f>'3 - Phase Durations'!D21</f>
        <v>51501</v>
      </c>
      <c r="D18" s="116" t="s">
        <v>601</v>
      </c>
      <c r="E18" s="116" t="s">
        <v>601</v>
      </c>
      <c r="F18" s="117">
        <f>(G18-'3 - Phase Durations'!C16)/30.44</f>
        <v>189.94743758212877</v>
      </c>
      <c r="G18" s="115">
        <f t="shared" si="0"/>
        <v>51805</v>
      </c>
      <c r="H18" s="117">
        <f>(I18-'3 - Phase Durations'!C16)/30.44</f>
        <v>184.92115637319316</v>
      </c>
      <c r="I18" s="115">
        <f t="shared" si="1"/>
        <v>51652</v>
      </c>
      <c r="J18" s="117">
        <f>(K18-'3 - Phase Durations'!C16)/30.44</f>
        <v>174.93429697766098</v>
      </c>
      <c r="K18" s="115">
        <f t="shared" si="2"/>
        <v>51348</v>
      </c>
      <c r="L18" s="114" t="s">
        <v>646</v>
      </c>
      <c r="N18" s="104"/>
      <c r="O18" s="104"/>
      <c r="P18" s="104"/>
      <c r="Q18" s="104"/>
    </row>
    <row r="19" spans="1:17" ht="27" customHeight="1">
      <c r="A19" s="113" t="s">
        <v>551</v>
      </c>
      <c r="B19" s="114" t="s">
        <v>647</v>
      </c>
      <c r="C19" s="115">
        <f>C18+14</f>
        <v>51515</v>
      </c>
      <c r="D19" s="116" t="s">
        <v>643</v>
      </c>
      <c r="E19" s="116" t="s">
        <v>648</v>
      </c>
      <c r="F19" s="117">
        <f>(G19-'3 - Phase Durations'!C16)/30.44</f>
        <v>190.40735873850196</v>
      </c>
      <c r="G19" s="115">
        <f t="shared" si="0"/>
        <v>51819</v>
      </c>
      <c r="H19" s="117">
        <f>(I19-'3 - Phase Durations'!C16)/30.44</f>
        <v>185.38107752956634</v>
      </c>
      <c r="I19" s="115">
        <f t="shared" si="1"/>
        <v>51666</v>
      </c>
      <c r="J19" s="117">
        <f>(K19-'3 - Phase Durations'!C16)/30.44</f>
        <v>175.39421813403416</v>
      </c>
      <c r="K19" s="115">
        <f t="shared" si="2"/>
        <v>51362</v>
      </c>
      <c r="L19" s="114" t="s">
        <v>649</v>
      </c>
      <c r="N19" s="104"/>
      <c r="O19" s="104"/>
      <c r="P19" s="104"/>
      <c r="Q19" s="104"/>
    </row>
    <row r="20" spans="1:17" ht="27" customHeight="1">
      <c r="A20" s="113" t="s">
        <v>556</v>
      </c>
      <c r="B20" s="114" t="s">
        <v>650</v>
      </c>
      <c r="C20" s="115">
        <f>'3 - Phase Durations'!C22</f>
        <v>51502</v>
      </c>
      <c r="D20" s="116" t="s">
        <v>601</v>
      </c>
      <c r="E20" s="116" t="s">
        <v>651</v>
      </c>
      <c r="F20" s="117">
        <f>(G20-'3 - Phase Durations'!C16)/30.44</f>
        <v>191.98423127463863</v>
      </c>
      <c r="G20" s="115">
        <f>EDATE(C20,12)</f>
        <v>51867</v>
      </c>
      <c r="H20" s="117">
        <f>(I20-'3 - Phase Durations'!C16)/30.44</f>
        <v>185.9395532194481</v>
      </c>
      <c r="I20" s="115">
        <f>EDATE(C20,6)</f>
        <v>51683</v>
      </c>
      <c r="J20" s="117">
        <f>(K20-'3 - Phase Durations'!C16)/30.44</f>
        <v>173.94875164257556</v>
      </c>
      <c r="K20" s="115">
        <f>EDATE(C20,-6)</f>
        <v>51318</v>
      </c>
      <c r="L20" s="114" t="s">
        <v>652</v>
      </c>
      <c r="N20" s="104"/>
      <c r="O20" s="104"/>
      <c r="P20" s="104"/>
      <c r="Q20" s="104"/>
    </row>
    <row r="21" spans="1:17" ht="27" customHeight="1">
      <c r="A21" s="113" t="s">
        <v>556</v>
      </c>
      <c r="B21" s="114" t="s">
        <v>653</v>
      </c>
      <c r="C21" s="115">
        <f>'3 - Phase Durations'!D22</f>
        <v>56979</v>
      </c>
      <c r="D21" s="116" t="s">
        <v>601</v>
      </c>
      <c r="E21" s="116" t="s">
        <v>601</v>
      </c>
      <c r="F21" s="117">
        <f>(G21-'3 - Phase Durations'!C16)/30.44</f>
        <v>371.9448094612352</v>
      </c>
      <c r="G21" s="115">
        <f>EDATE(C21,12)</f>
        <v>57345</v>
      </c>
      <c r="H21" s="117">
        <f>(I21-'3 - Phase Durations'!C16)/30.44</f>
        <v>365.90013140604464</v>
      </c>
      <c r="I21" s="115">
        <f>EDATE(C21,6)</f>
        <v>57161</v>
      </c>
      <c r="J21" s="117">
        <f>(K21-'3 - Phase Durations'!C16)/30.44</f>
        <v>353.87647831800263</v>
      </c>
      <c r="K21" s="115">
        <f>EDATE(C21,-6)</f>
        <v>56795</v>
      </c>
      <c r="L21" s="114" t="s">
        <v>654</v>
      </c>
      <c r="N21" s="104"/>
      <c r="O21" s="104"/>
      <c r="P21" s="104"/>
      <c r="Q21" s="104"/>
    </row>
    <row r="22" spans="1:17" ht="27" customHeight="1">
      <c r="A22" s="126" t="s">
        <v>559</v>
      </c>
      <c r="B22" s="127" t="s">
        <v>655</v>
      </c>
      <c r="C22" s="128">
        <f>'3 - Phase Durations'!D23</f>
        <v>58256</v>
      </c>
      <c r="D22" s="129" t="s">
        <v>601</v>
      </c>
      <c r="E22" s="129" t="s">
        <v>601</v>
      </c>
      <c r="F22" s="130">
        <f>(G22-'3 - Phase Durations'!C16)/30.44</f>
        <v>415.90013140604464</v>
      </c>
      <c r="G22" s="128">
        <f>EDATE(C22,14)</f>
        <v>58683</v>
      </c>
      <c r="H22" s="130">
        <f>(I22-'3 - Phase Durations'!C16)/30.44</f>
        <v>408.90275952693821</v>
      </c>
      <c r="I22" s="128">
        <f>EDATE(C22,7)</f>
        <v>58470</v>
      </c>
      <c r="J22" s="130">
        <f>(K22-'3 - Phase Durations'!C16)/30.44</f>
        <v>394.90801576872536</v>
      </c>
      <c r="K22" s="128">
        <f>EDATE(C22,-7)</f>
        <v>58044</v>
      </c>
      <c r="L22" s="127" t="s">
        <v>656</v>
      </c>
      <c r="N22" s="104"/>
      <c r="O22" s="104"/>
      <c r="P22" s="104"/>
      <c r="Q22" s="104"/>
    </row>
    <row r="23" spans="1:17" ht="7.5" customHeight="1"/>
    <row r="24" spans="1:17" ht="7.5" customHeight="1"/>
    <row r="25" spans="1:17" ht="7.5" customHeight="1"/>
    <row r="26" spans="1:17" ht="7.5" customHeight="1"/>
    <row r="27" spans="1:17" ht="7.5" customHeight="1"/>
    <row r="28" spans="1:17" ht="7.5" customHeight="1"/>
    <row r="29" spans="1:17" ht="24" customHeight="1">
      <c r="A29" s="104"/>
      <c r="B29" s="131" t="s">
        <v>657</v>
      </c>
      <c r="C29" s="131"/>
      <c r="E29" s="104"/>
      <c r="F29" s="104"/>
      <c r="G29" s="104"/>
      <c r="H29" s="104"/>
      <c r="I29" s="104"/>
      <c r="J29" s="104"/>
      <c r="K29" s="104"/>
      <c r="L29" s="104"/>
      <c r="N29" s="104"/>
      <c r="O29" s="104"/>
      <c r="P29" s="104"/>
      <c r="Q29" s="104"/>
    </row>
    <row r="30" spans="1:17" ht="21.75" customHeight="1">
      <c r="A30" s="104"/>
      <c r="B30" s="132" t="s">
        <v>589</v>
      </c>
      <c r="C30" s="132" t="s">
        <v>658</v>
      </c>
      <c r="E30" s="132" t="s">
        <v>578</v>
      </c>
      <c r="F30" s="132" t="s">
        <v>659</v>
      </c>
      <c r="G30" s="104"/>
      <c r="H30" s="104"/>
      <c r="I30" s="104"/>
      <c r="J30" s="104"/>
      <c r="K30" s="104"/>
      <c r="L30" s="104"/>
      <c r="N30" s="104"/>
      <c r="O30" s="104"/>
      <c r="P30" s="104"/>
      <c r="Q30" s="104"/>
    </row>
    <row r="31" spans="1:17" ht="27" customHeight="1">
      <c r="A31" s="104"/>
      <c r="B31" s="109" t="s">
        <v>600</v>
      </c>
      <c r="C31" s="110">
        <f t="shared" ref="C31:C49" si="3">C4</f>
        <v>46752</v>
      </c>
      <c r="E31" s="108" t="s">
        <v>529</v>
      </c>
      <c r="F31" s="109" t="s">
        <v>660</v>
      </c>
      <c r="G31" s="104"/>
      <c r="H31" s="104"/>
      <c r="I31" s="104"/>
      <c r="J31" s="104"/>
      <c r="K31" s="104"/>
      <c r="L31" s="104"/>
      <c r="N31" s="104"/>
      <c r="O31" s="104"/>
      <c r="P31" s="104"/>
      <c r="Q31" s="104"/>
    </row>
    <row r="32" spans="1:17" ht="27" customHeight="1">
      <c r="A32" s="104"/>
      <c r="B32" s="114" t="s">
        <v>603</v>
      </c>
      <c r="C32" s="115">
        <f t="shared" si="3"/>
        <v>47483</v>
      </c>
      <c r="E32" s="113" t="s">
        <v>535</v>
      </c>
      <c r="F32" s="114" t="s">
        <v>661</v>
      </c>
      <c r="G32" s="104"/>
      <c r="H32" s="104"/>
      <c r="I32" s="104"/>
      <c r="J32" s="104"/>
      <c r="K32" s="104"/>
      <c r="L32" s="104"/>
      <c r="N32" s="104"/>
      <c r="O32" s="104"/>
      <c r="P32" s="104"/>
      <c r="Q32" s="104"/>
    </row>
    <row r="33" spans="1:17" ht="27" customHeight="1">
      <c r="A33" s="104"/>
      <c r="B33" s="114" t="s">
        <v>605</v>
      </c>
      <c r="C33" s="115">
        <f t="shared" si="3"/>
        <v>47300.5</v>
      </c>
      <c r="E33" s="113" t="s">
        <v>535</v>
      </c>
      <c r="F33" s="114" t="s">
        <v>662</v>
      </c>
      <c r="G33" s="104"/>
      <c r="H33" s="104"/>
      <c r="I33" s="104"/>
      <c r="J33" s="104"/>
      <c r="K33" s="104"/>
      <c r="L33" s="104"/>
      <c r="N33" s="104"/>
      <c r="O33" s="104"/>
      <c r="P33" s="104"/>
      <c r="Q33" s="104"/>
    </row>
    <row r="34" spans="1:17" ht="40.5" customHeight="1">
      <c r="A34" s="104"/>
      <c r="B34" s="114" t="s">
        <v>611</v>
      </c>
      <c r="C34" s="115">
        <f t="shared" si="3"/>
        <v>47921.4</v>
      </c>
      <c r="E34" s="113" t="s">
        <v>539</v>
      </c>
      <c r="F34" s="114" t="s">
        <v>663</v>
      </c>
      <c r="G34" s="104"/>
      <c r="H34" s="104"/>
      <c r="I34" s="104"/>
      <c r="J34" s="104"/>
      <c r="K34" s="104"/>
      <c r="L34" s="104"/>
      <c r="N34" s="104"/>
      <c r="O34" s="104"/>
      <c r="P34" s="104"/>
      <c r="Q34" s="104"/>
    </row>
    <row r="35" spans="1:17" ht="27" customHeight="1">
      <c r="A35" s="104"/>
      <c r="B35" s="114" t="s">
        <v>614</v>
      </c>
      <c r="C35" s="115">
        <f t="shared" si="3"/>
        <v>48213</v>
      </c>
      <c r="E35" s="113" t="s">
        <v>539</v>
      </c>
      <c r="F35" s="114" t="s">
        <v>664</v>
      </c>
      <c r="G35" s="104"/>
      <c r="H35" s="104"/>
      <c r="I35" s="104"/>
      <c r="J35" s="104"/>
      <c r="K35" s="104"/>
      <c r="L35" s="104"/>
      <c r="N35" s="104"/>
      <c r="O35" s="104"/>
      <c r="P35" s="104"/>
      <c r="Q35" s="104"/>
    </row>
    <row r="36" spans="1:17" ht="27" customHeight="1">
      <c r="A36" s="104"/>
      <c r="B36" s="114" t="s">
        <v>618</v>
      </c>
      <c r="C36" s="115">
        <f t="shared" si="3"/>
        <v>48652</v>
      </c>
      <c r="E36" s="113" t="s">
        <v>542</v>
      </c>
      <c r="F36" s="114" t="s">
        <v>665</v>
      </c>
      <c r="G36" s="104"/>
      <c r="H36" s="104"/>
      <c r="I36" s="104"/>
      <c r="J36" s="104"/>
      <c r="K36" s="104"/>
      <c r="L36" s="104"/>
      <c r="N36" s="104"/>
      <c r="O36" s="104"/>
      <c r="P36" s="104"/>
      <c r="Q36" s="104"/>
    </row>
    <row r="37" spans="1:17" ht="27" customHeight="1">
      <c r="A37" s="104"/>
      <c r="B37" s="114" t="s">
        <v>621</v>
      </c>
      <c r="C37" s="115">
        <f t="shared" si="3"/>
        <v>48944</v>
      </c>
      <c r="E37" s="113" t="s">
        <v>542</v>
      </c>
      <c r="F37" s="114" t="s">
        <v>666</v>
      </c>
      <c r="G37" s="104"/>
      <c r="H37" s="104"/>
      <c r="I37" s="104"/>
      <c r="J37" s="104"/>
      <c r="K37" s="104"/>
      <c r="L37" s="104"/>
      <c r="N37" s="104"/>
      <c r="O37" s="104"/>
      <c r="P37" s="104"/>
      <c r="Q37" s="104"/>
    </row>
    <row r="38" spans="1:17" ht="27" customHeight="1">
      <c r="A38" s="104"/>
      <c r="B38" s="114" t="s">
        <v>624</v>
      </c>
      <c r="C38" s="115">
        <f t="shared" si="3"/>
        <v>49765.5</v>
      </c>
      <c r="E38" s="113" t="s">
        <v>547</v>
      </c>
      <c r="F38" s="114" t="s">
        <v>667</v>
      </c>
      <c r="G38" s="104"/>
      <c r="H38" s="104"/>
      <c r="I38" s="104"/>
      <c r="J38" s="104"/>
      <c r="K38" s="104"/>
      <c r="L38" s="104"/>
      <c r="N38" s="104"/>
      <c r="O38" s="104"/>
      <c r="P38" s="104"/>
      <c r="Q38" s="104"/>
    </row>
    <row r="39" spans="1:17" ht="27" customHeight="1">
      <c r="A39" s="104"/>
      <c r="B39" s="114" t="s">
        <v>626</v>
      </c>
      <c r="C39" s="115">
        <f t="shared" si="3"/>
        <v>51321</v>
      </c>
      <c r="E39" s="113" t="s">
        <v>547</v>
      </c>
      <c r="F39" s="114" t="s">
        <v>668</v>
      </c>
      <c r="G39" s="104"/>
      <c r="H39" s="104"/>
      <c r="I39" s="104"/>
      <c r="J39" s="104"/>
      <c r="K39" s="104"/>
      <c r="L39" s="104"/>
      <c r="N39" s="104"/>
      <c r="O39" s="104"/>
      <c r="P39" s="104"/>
      <c r="Q39" s="104"/>
    </row>
    <row r="40" spans="1:17" ht="27" customHeight="1">
      <c r="A40" s="104"/>
      <c r="B40" s="114" t="s">
        <v>629</v>
      </c>
      <c r="C40" s="115">
        <f t="shared" si="3"/>
        <v>51379</v>
      </c>
      <c r="E40" s="113" t="s">
        <v>549</v>
      </c>
      <c r="F40" s="114" t="s">
        <v>669</v>
      </c>
      <c r="G40" s="104"/>
      <c r="H40" s="104"/>
      <c r="I40" s="104"/>
      <c r="J40" s="104"/>
      <c r="K40" s="104"/>
      <c r="L40" s="104"/>
      <c r="N40" s="104"/>
      <c r="O40" s="104"/>
      <c r="P40" s="104"/>
      <c r="Q40" s="104"/>
    </row>
    <row r="41" spans="1:17" ht="40.5" customHeight="1">
      <c r="A41" s="104"/>
      <c r="B41" s="114" t="s">
        <v>632</v>
      </c>
      <c r="C41" s="115">
        <f t="shared" si="3"/>
        <v>51409</v>
      </c>
      <c r="E41" s="113" t="s">
        <v>549</v>
      </c>
      <c r="F41" s="114" t="s">
        <v>670</v>
      </c>
      <c r="G41" s="104"/>
      <c r="H41" s="104"/>
      <c r="I41" s="104"/>
      <c r="J41" s="104"/>
      <c r="K41" s="104"/>
      <c r="L41" s="104"/>
      <c r="N41" s="104"/>
      <c r="O41" s="104"/>
      <c r="P41" s="104"/>
      <c r="Q41" s="104"/>
    </row>
    <row r="42" spans="1:17" ht="27" customHeight="1">
      <c r="A42" s="104"/>
      <c r="B42" s="114" t="s">
        <v>636</v>
      </c>
      <c r="C42" s="115">
        <f t="shared" si="3"/>
        <v>51411</v>
      </c>
      <c r="E42" s="113" t="s">
        <v>549</v>
      </c>
      <c r="F42" s="114" t="s">
        <v>637</v>
      </c>
      <c r="G42" s="104"/>
      <c r="H42" s="104"/>
      <c r="I42" s="104"/>
      <c r="J42" s="104"/>
      <c r="K42" s="104"/>
      <c r="L42" s="104"/>
      <c r="N42" s="104"/>
      <c r="O42" s="104"/>
      <c r="P42" s="104"/>
      <c r="Q42" s="104"/>
    </row>
    <row r="43" spans="1:17" ht="27" customHeight="1">
      <c r="A43" s="104"/>
      <c r="B43" s="114" t="s">
        <v>639</v>
      </c>
      <c r="C43" s="115">
        <f t="shared" si="3"/>
        <v>51441</v>
      </c>
      <c r="E43" s="113" t="s">
        <v>549</v>
      </c>
      <c r="F43" s="114" t="s">
        <v>671</v>
      </c>
      <c r="G43" s="104"/>
      <c r="H43" s="104"/>
      <c r="I43" s="104"/>
      <c r="J43" s="104"/>
      <c r="K43" s="104"/>
      <c r="L43" s="104"/>
      <c r="N43" s="104"/>
      <c r="O43" s="104"/>
      <c r="P43" s="104"/>
      <c r="Q43" s="104"/>
    </row>
    <row r="44" spans="1:17" ht="27" customHeight="1">
      <c r="A44" s="104"/>
      <c r="B44" s="114" t="s">
        <v>642</v>
      </c>
      <c r="C44" s="115">
        <f t="shared" si="3"/>
        <v>51456</v>
      </c>
      <c r="E44" s="113" t="s">
        <v>551</v>
      </c>
      <c r="F44" s="114" t="s">
        <v>672</v>
      </c>
      <c r="G44" s="104"/>
      <c r="H44" s="104"/>
      <c r="I44" s="104"/>
      <c r="J44" s="104"/>
      <c r="K44" s="104"/>
      <c r="L44" s="104"/>
      <c r="N44" s="104"/>
      <c r="O44" s="104"/>
      <c r="P44" s="104"/>
      <c r="Q44" s="104"/>
    </row>
    <row r="45" spans="1:17" ht="15" customHeight="1">
      <c r="A45" s="104"/>
      <c r="B45" s="114" t="s">
        <v>645</v>
      </c>
      <c r="C45" s="115">
        <f t="shared" si="3"/>
        <v>51501</v>
      </c>
      <c r="E45" s="113" t="s">
        <v>551</v>
      </c>
      <c r="F45" s="114" t="s">
        <v>645</v>
      </c>
      <c r="G45" s="104"/>
      <c r="H45" s="104"/>
      <c r="I45" s="104"/>
      <c r="J45" s="104"/>
      <c r="K45" s="104"/>
      <c r="L45" s="104"/>
      <c r="N45" s="104"/>
      <c r="O45" s="104"/>
      <c r="P45" s="104"/>
      <c r="Q45" s="104"/>
    </row>
    <row r="46" spans="1:17" ht="27" customHeight="1">
      <c r="A46" s="104"/>
      <c r="B46" s="114" t="s">
        <v>647</v>
      </c>
      <c r="C46" s="115">
        <f t="shared" si="3"/>
        <v>51515</v>
      </c>
      <c r="E46" s="113" t="s">
        <v>551</v>
      </c>
      <c r="F46" s="114" t="s">
        <v>673</v>
      </c>
      <c r="G46" s="104"/>
      <c r="H46" s="104"/>
      <c r="I46" s="104"/>
      <c r="J46" s="104"/>
      <c r="K46" s="104"/>
      <c r="L46" s="104"/>
      <c r="N46" s="104"/>
      <c r="O46" s="104"/>
      <c r="P46" s="104"/>
      <c r="Q46" s="104"/>
    </row>
    <row r="47" spans="1:17" ht="27" customHeight="1">
      <c r="A47" s="104"/>
      <c r="B47" s="114" t="s">
        <v>650</v>
      </c>
      <c r="C47" s="115">
        <f t="shared" si="3"/>
        <v>51502</v>
      </c>
      <c r="E47" s="113" t="s">
        <v>556</v>
      </c>
      <c r="F47" s="114" t="s">
        <v>674</v>
      </c>
      <c r="G47" s="104"/>
      <c r="H47" s="104"/>
      <c r="I47" s="104"/>
      <c r="J47" s="104"/>
      <c r="K47" s="104"/>
      <c r="L47" s="104"/>
      <c r="N47" s="104"/>
      <c r="O47" s="104"/>
      <c r="P47" s="104"/>
      <c r="Q47" s="104"/>
    </row>
    <row r="48" spans="1:17" ht="40.5" customHeight="1">
      <c r="A48" s="104"/>
      <c r="B48" s="114" t="s">
        <v>653</v>
      </c>
      <c r="C48" s="115">
        <f t="shared" si="3"/>
        <v>56979</v>
      </c>
      <c r="E48" s="113" t="s">
        <v>556</v>
      </c>
      <c r="F48" s="114" t="s">
        <v>675</v>
      </c>
      <c r="G48" s="104"/>
      <c r="H48" s="104"/>
      <c r="I48" s="104"/>
      <c r="J48" s="104"/>
      <c r="K48" s="104"/>
      <c r="L48" s="104"/>
      <c r="N48" s="104"/>
      <c r="O48" s="104"/>
      <c r="P48" s="104"/>
      <c r="Q48" s="104"/>
    </row>
    <row r="49" spans="1:17" ht="27" customHeight="1">
      <c r="A49" s="104"/>
      <c r="B49" s="127" t="s">
        <v>655</v>
      </c>
      <c r="C49" s="128">
        <f t="shared" si="3"/>
        <v>58256</v>
      </c>
      <c r="E49" s="126" t="s">
        <v>559</v>
      </c>
      <c r="F49" s="127" t="s">
        <v>676</v>
      </c>
      <c r="G49" s="104"/>
      <c r="H49" s="104"/>
      <c r="I49" s="104"/>
      <c r="J49" s="104"/>
      <c r="K49" s="104"/>
      <c r="L49" s="104"/>
      <c r="N49" s="104"/>
      <c r="O49" s="104"/>
      <c r="P49" s="104"/>
      <c r="Q49" s="104"/>
    </row>
    <row r="50" spans="1:17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350"/>
  <sheetViews>
    <sheetView zoomScale="85" zoomScaleNormal="85" workbookViewId="0"/>
  </sheetViews>
  <sheetFormatPr defaultColWidth="9.140625" defaultRowHeight="15"/>
  <cols>
    <col min="1" max="1" width="4.28515625" style="133" customWidth="1"/>
    <col min="2" max="3" width="48.5703125" style="133" customWidth="1"/>
    <col min="4" max="5" width="56.42578125" style="134" customWidth="1"/>
    <col min="6" max="6" width="31.28515625" style="133" hidden="1" customWidth="1"/>
    <col min="7" max="7" width="13.7109375" style="133" hidden="1" customWidth="1"/>
    <col min="8" max="13" width="31.28515625" style="133" hidden="1" customWidth="1"/>
    <col min="14" max="14" width="31.28515625" style="134" customWidth="1"/>
    <col min="15" max="15" width="31.28515625" style="135" customWidth="1"/>
    <col min="16" max="16" width="16.5703125" style="133" customWidth="1"/>
    <col min="17" max="17" width="25.28515625" style="133" customWidth="1"/>
    <col min="18" max="18" width="18.140625" style="133" customWidth="1"/>
    <col min="19" max="16384" width="9.140625" style="133"/>
  </cols>
  <sheetData>
    <row r="2" spans="1:18" ht="26.25" customHeight="1">
      <c r="A2" s="248" t="s">
        <v>677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</row>
    <row r="3" spans="1:18" ht="15" customHeight="1">
      <c r="A3" s="136" t="s">
        <v>678</v>
      </c>
      <c r="B3" s="137"/>
      <c r="C3" s="137"/>
      <c r="D3" s="138">
        <v>45747</v>
      </c>
    </row>
    <row r="4" spans="1:18" ht="15" customHeight="1"/>
    <row r="5" spans="1:18" s="142" customFormat="1" ht="31.5" customHeight="1">
      <c r="A5" s="139" t="s">
        <v>679</v>
      </c>
      <c r="B5" s="140" t="s">
        <v>680</v>
      </c>
      <c r="C5" s="140" t="s">
        <v>681</v>
      </c>
      <c r="D5" s="139" t="s">
        <v>681</v>
      </c>
      <c r="E5" s="139" t="s">
        <v>682</v>
      </c>
      <c r="F5" s="139" t="s">
        <v>683</v>
      </c>
      <c r="G5" s="139" t="s">
        <v>684</v>
      </c>
      <c r="H5" s="139" t="s">
        <v>685</v>
      </c>
      <c r="I5" s="139" t="s">
        <v>686</v>
      </c>
      <c r="J5" s="139" t="s">
        <v>578</v>
      </c>
      <c r="K5" s="139" t="s">
        <v>687</v>
      </c>
      <c r="L5" s="139" t="s">
        <v>688</v>
      </c>
      <c r="M5" s="139" t="s">
        <v>689</v>
      </c>
      <c r="N5" s="139" t="s">
        <v>690</v>
      </c>
      <c r="O5" s="141" t="s">
        <v>691</v>
      </c>
      <c r="P5" s="139" t="s">
        <v>692</v>
      </c>
      <c r="Q5" s="139" t="s">
        <v>693</v>
      </c>
      <c r="R5" s="139" t="s">
        <v>694</v>
      </c>
    </row>
    <row r="6" spans="1:18" ht="28.5" customHeight="1">
      <c r="A6" s="143">
        <v>1</v>
      </c>
      <c r="B6" s="143" t="s">
        <v>695</v>
      </c>
      <c r="C6" s="143" t="s">
        <v>696</v>
      </c>
      <c r="D6" s="144" t="s">
        <v>697</v>
      </c>
      <c r="E6" s="144" t="s">
        <v>698</v>
      </c>
      <c r="F6" s="143"/>
      <c r="G6" s="143"/>
      <c r="H6" s="143"/>
      <c r="I6" s="143"/>
      <c r="J6" s="143"/>
      <c r="K6" s="143"/>
      <c r="L6" s="143"/>
      <c r="M6" s="143"/>
      <c r="N6" s="144" t="s">
        <v>699</v>
      </c>
      <c r="O6" s="145" t="s">
        <v>700</v>
      </c>
      <c r="P6" s="143"/>
      <c r="Q6" s="143"/>
      <c r="R6" s="143"/>
    </row>
    <row r="7" spans="1:18" ht="28.5" customHeight="1">
      <c r="A7" s="143">
        <v>2</v>
      </c>
      <c r="B7" s="143" t="s">
        <v>695</v>
      </c>
      <c r="C7" s="143" t="s">
        <v>696</v>
      </c>
      <c r="D7" s="144" t="s">
        <v>697</v>
      </c>
      <c r="E7" s="144" t="s">
        <v>701</v>
      </c>
      <c r="F7" s="143"/>
      <c r="G7" s="143"/>
      <c r="H7" s="143"/>
      <c r="I7" s="143"/>
      <c r="J7" s="143"/>
      <c r="K7" s="143"/>
      <c r="L7" s="143"/>
      <c r="M7" s="143"/>
      <c r="N7" s="144" t="s">
        <v>699</v>
      </c>
      <c r="O7" s="145" t="s">
        <v>700</v>
      </c>
      <c r="P7" s="143"/>
      <c r="Q7" s="143"/>
      <c r="R7" s="143"/>
    </row>
    <row r="8" spans="1:18" ht="28.5" customHeight="1">
      <c r="A8" s="143">
        <v>3</v>
      </c>
      <c r="B8" s="143" t="s">
        <v>695</v>
      </c>
      <c r="C8" s="143"/>
      <c r="D8" s="144" t="s">
        <v>697</v>
      </c>
      <c r="E8" s="144" t="s">
        <v>702</v>
      </c>
      <c r="F8" s="143"/>
      <c r="G8" s="143"/>
      <c r="H8" s="143"/>
      <c r="I8" s="143"/>
      <c r="J8" s="143"/>
      <c r="K8" s="143"/>
      <c r="L8" s="143"/>
      <c r="M8" s="143"/>
      <c r="N8" s="144" t="s">
        <v>703</v>
      </c>
      <c r="O8" s="145" t="s">
        <v>704</v>
      </c>
      <c r="P8" s="143"/>
      <c r="Q8" s="143"/>
      <c r="R8" s="143"/>
    </row>
    <row r="9" spans="1:18" ht="28.5" customHeight="1">
      <c r="A9" s="143">
        <v>4</v>
      </c>
      <c r="B9" s="143" t="s">
        <v>695</v>
      </c>
      <c r="C9" s="143"/>
      <c r="D9" s="144" t="s">
        <v>697</v>
      </c>
      <c r="E9" s="144" t="s">
        <v>705</v>
      </c>
      <c r="F9" s="143"/>
      <c r="G9" s="143"/>
      <c r="H9" s="143"/>
      <c r="I9" s="143"/>
      <c r="J9" s="143"/>
      <c r="K9" s="143"/>
      <c r="L9" s="143"/>
      <c r="M9" s="143"/>
      <c r="N9" s="144" t="s">
        <v>703</v>
      </c>
      <c r="O9" s="145" t="s">
        <v>703</v>
      </c>
      <c r="P9" s="143"/>
      <c r="Q9" s="143"/>
      <c r="R9" s="143"/>
    </row>
    <row r="10" spans="1:18" ht="14.25" customHeight="1">
      <c r="A10" s="143">
        <v>5</v>
      </c>
      <c r="B10" s="143" t="s">
        <v>695</v>
      </c>
      <c r="C10" s="143"/>
      <c r="D10" s="144" t="s">
        <v>697</v>
      </c>
      <c r="E10" s="144" t="s">
        <v>706</v>
      </c>
      <c r="F10" s="143"/>
      <c r="G10" s="143"/>
      <c r="H10" s="143"/>
      <c r="I10" s="143"/>
      <c r="J10" s="143"/>
      <c r="K10" s="143"/>
      <c r="L10" s="143"/>
      <c r="M10" s="143"/>
      <c r="N10" s="144" t="s">
        <v>703</v>
      </c>
      <c r="O10" s="145" t="s">
        <v>703</v>
      </c>
      <c r="P10" s="143"/>
      <c r="Q10" s="143"/>
      <c r="R10" s="143"/>
    </row>
    <row r="11" spans="1:18" ht="43.5" customHeight="1">
      <c r="A11" s="143">
        <v>6</v>
      </c>
      <c r="B11" s="143" t="s">
        <v>695</v>
      </c>
      <c r="C11" s="143" t="s">
        <v>696</v>
      </c>
      <c r="D11" s="144" t="s">
        <v>707</v>
      </c>
      <c r="E11" s="144" t="s">
        <v>708</v>
      </c>
      <c r="F11" s="143"/>
      <c r="G11" s="143"/>
      <c r="H11" s="143"/>
      <c r="I11" s="143"/>
      <c r="J11" s="143"/>
      <c r="K11" s="143"/>
      <c r="L11" s="143"/>
      <c r="M11" s="143"/>
      <c r="N11" s="144" t="s">
        <v>709</v>
      </c>
      <c r="O11" s="145" t="s">
        <v>700</v>
      </c>
      <c r="P11" s="143"/>
      <c r="Q11" s="143"/>
      <c r="R11" s="143"/>
    </row>
    <row r="12" spans="1:18" ht="14.25" customHeight="1">
      <c r="A12" s="143">
        <v>7</v>
      </c>
      <c r="B12" s="143" t="s">
        <v>695</v>
      </c>
      <c r="C12" s="143" t="s">
        <v>696</v>
      </c>
      <c r="D12" s="144" t="s">
        <v>707</v>
      </c>
      <c r="E12" s="144" t="s">
        <v>710</v>
      </c>
      <c r="F12" s="143"/>
      <c r="G12" s="143"/>
      <c r="H12" s="143"/>
      <c r="I12" s="143"/>
      <c r="J12" s="143"/>
      <c r="K12" s="143"/>
      <c r="L12" s="143"/>
      <c r="M12" s="143"/>
      <c r="N12" s="144" t="s">
        <v>711</v>
      </c>
      <c r="O12" s="145" t="s">
        <v>700</v>
      </c>
      <c r="P12" s="143"/>
      <c r="Q12" s="143"/>
      <c r="R12" s="143"/>
    </row>
    <row r="13" spans="1:18" ht="28.5" customHeight="1">
      <c r="A13" s="143">
        <v>8</v>
      </c>
      <c r="B13" s="143" t="s">
        <v>695</v>
      </c>
      <c r="C13" s="143" t="s">
        <v>696</v>
      </c>
      <c r="D13" s="144" t="s">
        <v>707</v>
      </c>
      <c r="E13" s="144" t="s">
        <v>712</v>
      </c>
      <c r="F13" s="143"/>
      <c r="G13" s="143"/>
      <c r="H13" s="143"/>
      <c r="I13" s="143"/>
      <c r="J13" s="143"/>
      <c r="K13" s="143"/>
      <c r="L13" s="143"/>
      <c r="M13" s="143"/>
      <c r="N13" s="144" t="s">
        <v>713</v>
      </c>
      <c r="O13" s="145" t="s">
        <v>700</v>
      </c>
      <c r="P13" s="143"/>
      <c r="Q13" s="143"/>
      <c r="R13" s="143"/>
    </row>
    <row r="14" spans="1:18" ht="28.5" customHeight="1">
      <c r="A14" s="143">
        <v>9</v>
      </c>
      <c r="B14" s="143" t="s">
        <v>695</v>
      </c>
      <c r="C14" s="143" t="s">
        <v>714</v>
      </c>
      <c r="D14" s="144" t="s">
        <v>707</v>
      </c>
      <c r="E14" s="144" t="s">
        <v>715</v>
      </c>
      <c r="F14" s="143"/>
      <c r="G14" s="143"/>
      <c r="H14" s="143"/>
      <c r="I14" s="143"/>
      <c r="J14" s="143"/>
      <c r="K14" s="143"/>
      <c r="L14" s="143"/>
      <c r="M14" s="143"/>
      <c r="N14" s="144" t="s">
        <v>716</v>
      </c>
      <c r="O14" s="145" t="s">
        <v>717</v>
      </c>
      <c r="P14" s="143"/>
      <c r="Q14" s="143"/>
      <c r="R14" s="143"/>
    </row>
    <row r="15" spans="1:18" ht="14.25" customHeight="1">
      <c r="A15" s="143">
        <v>10</v>
      </c>
      <c r="B15" s="143" t="s">
        <v>695</v>
      </c>
      <c r="C15" s="143" t="s">
        <v>714</v>
      </c>
      <c r="D15" s="144" t="s">
        <v>707</v>
      </c>
      <c r="E15" s="146" t="s">
        <v>718</v>
      </c>
      <c r="F15" s="143"/>
      <c r="G15" s="143"/>
      <c r="H15" s="143"/>
      <c r="I15" s="143"/>
      <c r="J15" s="143"/>
      <c r="K15" s="143"/>
      <c r="L15" s="143"/>
      <c r="M15" s="143"/>
      <c r="N15" s="144"/>
      <c r="O15" s="145" t="s">
        <v>717</v>
      </c>
      <c r="P15" s="143"/>
      <c r="Q15" s="143"/>
      <c r="R15" s="143"/>
    </row>
    <row r="16" spans="1:18" ht="28.5" customHeight="1">
      <c r="A16" s="143">
        <v>11</v>
      </c>
      <c r="B16" s="143" t="s">
        <v>695</v>
      </c>
      <c r="C16" s="143" t="s">
        <v>714</v>
      </c>
      <c r="D16" s="144" t="s">
        <v>707</v>
      </c>
      <c r="E16" s="147" t="s">
        <v>719</v>
      </c>
      <c r="F16" s="143"/>
      <c r="G16" s="143"/>
      <c r="H16" s="143"/>
      <c r="I16" s="143"/>
      <c r="J16" s="143"/>
      <c r="K16" s="143"/>
      <c r="L16" s="143"/>
      <c r="M16" s="143"/>
      <c r="N16" s="144" t="s">
        <v>720</v>
      </c>
      <c r="O16" s="145" t="s">
        <v>717</v>
      </c>
      <c r="P16" s="143"/>
      <c r="Q16" s="143"/>
      <c r="R16" s="143"/>
    </row>
    <row r="17" spans="1:18" ht="14.25" customHeight="1">
      <c r="A17" s="143">
        <v>12</v>
      </c>
      <c r="B17" s="143" t="s">
        <v>695</v>
      </c>
      <c r="C17" s="143" t="s">
        <v>714</v>
      </c>
      <c r="D17" s="144" t="s">
        <v>707</v>
      </c>
      <c r="E17" s="147" t="s">
        <v>721</v>
      </c>
      <c r="F17" s="143"/>
      <c r="G17" s="143"/>
      <c r="H17" s="143"/>
      <c r="I17" s="143"/>
      <c r="J17" s="143"/>
      <c r="K17" s="143"/>
      <c r="L17" s="143"/>
      <c r="M17" s="143"/>
      <c r="N17" s="144" t="s">
        <v>722</v>
      </c>
      <c r="O17" s="145" t="s">
        <v>717</v>
      </c>
      <c r="P17" s="143"/>
      <c r="Q17" s="143"/>
      <c r="R17" s="143"/>
    </row>
    <row r="18" spans="1:18" ht="28.5" customHeight="1">
      <c r="A18" s="143">
        <v>13</v>
      </c>
      <c r="B18" s="143" t="s">
        <v>695</v>
      </c>
      <c r="C18" s="143" t="s">
        <v>714</v>
      </c>
      <c r="D18" s="144" t="s">
        <v>707</v>
      </c>
      <c r="E18" s="147" t="s">
        <v>723</v>
      </c>
      <c r="F18" s="143"/>
      <c r="G18" s="143"/>
      <c r="H18" s="143"/>
      <c r="I18" s="143"/>
      <c r="J18" s="143"/>
      <c r="K18" s="143"/>
      <c r="L18" s="143"/>
      <c r="M18" s="143"/>
      <c r="N18" s="144" t="s">
        <v>722</v>
      </c>
      <c r="O18" s="145" t="s">
        <v>717</v>
      </c>
      <c r="P18" s="143"/>
      <c r="Q18" s="143"/>
      <c r="R18" s="143"/>
    </row>
    <row r="19" spans="1:18" ht="28.5" customHeight="1">
      <c r="A19" s="143">
        <v>14</v>
      </c>
      <c r="B19" s="143" t="s">
        <v>695</v>
      </c>
      <c r="C19" s="143" t="s">
        <v>714</v>
      </c>
      <c r="D19" s="144" t="s">
        <v>707</v>
      </c>
      <c r="E19" s="147" t="s">
        <v>724</v>
      </c>
      <c r="F19" s="143"/>
      <c r="G19" s="143"/>
      <c r="H19" s="143"/>
      <c r="I19" s="143"/>
      <c r="J19" s="143"/>
      <c r="K19" s="143"/>
      <c r="L19" s="143"/>
      <c r="M19" s="143"/>
      <c r="N19" s="144" t="s">
        <v>720</v>
      </c>
      <c r="O19" s="145" t="s">
        <v>717</v>
      </c>
      <c r="P19" s="143"/>
      <c r="Q19" s="143"/>
      <c r="R19" s="143"/>
    </row>
    <row r="20" spans="1:18" ht="28.5" customHeight="1">
      <c r="A20" s="143">
        <v>15</v>
      </c>
      <c r="B20" s="143" t="s">
        <v>695</v>
      </c>
      <c r="C20" s="143" t="s">
        <v>714</v>
      </c>
      <c r="D20" s="144" t="s">
        <v>707</v>
      </c>
      <c r="E20" s="147" t="s">
        <v>725</v>
      </c>
      <c r="F20" s="143"/>
      <c r="G20" s="143"/>
      <c r="H20" s="143"/>
      <c r="I20" s="143"/>
      <c r="J20" s="143"/>
      <c r="K20" s="143"/>
      <c r="L20" s="143"/>
      <c r="M20" s="143"/>
      <c r="N20" s="144" t="s">
        <v>720</v>
      </c>
      <c r="O20" s="145" t="s">
        <v>717</v>
      </c>
      <c r="P20" s="143"/>
      <c r="Q20" s="143"/>
      <c r="R20" s="143"/>
    </row>
    <row r="21" spans="1:18" ht="28.5" customHeight="1">
      <c r="A21" s="143">
        <v>16</v>
      </c>
      <c r="B21" s="143" t="s">
        <v>695</v>
      </c>
      <c r="C21" s="143" t="s">
        <v>714</v>
      </c>
      <c r="D21" s="144" t="s">
        <v>707</v>
      </c>
      <c r="E21" s="147" t="s">
        <v>726</v>
      </c>
      <c r="F21" s="143"/>
      <c r="G21" s="143"/>
      <c r="H21" s="143"/>
      <c r="I21" s="143"/>
      <c r="J21" s="143"/>
      <c r="K21" s="143"/>
      <c r="L21" s="143"/>
      <c r="M21" s="143"/>
      <c r="N21" s="144" t="s">
        <v>720</v>
      </c>
      <c r="O21" s="145" t="s">
        <v>717</v>
      </c>
      <c r="P21" s="143"/>
      <c r="Q21" s="143"/>
      <c r="R21" s="143"/>
    </row>
    <row r="22" spans="1:18" ht="28.5" customHeight="1">
      <c r="A22" s="143">
        <v>17</v>
      </c>
      <c r="B22" s="143" t="s">
        <v>695</v>
      </c>
      <c r="C22" s="143" t="s">
        <v>714</v>
      </c>
      <c r="D22" s="144" t="s">
        <v>707</v>
      </c>
      <c r="E22" s="147" t="s">
        <v>727</v>
      </c>
      <c r="F22" s="143"/>
      <c r="G22" s="143"/>
      <c r="H22" s="143"/>
      <c r="I22" s="143"/>
      <c r="J22" s="143"/>
      <c r="K22" s="143"/>
      <c r="L22" s="143"/>
      <c r="M22" s="143"/>
      <c r="N22" s="144" t="s">
        <v>720</v>
      </c>
      <c r="O22" s="145" t="s">
        <v>717</v>
      </c>
      <c r="P22" s="143"/>
      <c r="Q22" s="143"/>
      <c r="R22" s="143"/>
    </row>
    <row r="23" spans="1:18" ht="28.5" customHeight="1">
      <c r="A23" s="143">
        <v>18</v>
      </c>
      <c r="B23" s="143" t="s">
        <v>695</v>
      </c>
      <c r="C23" s="143" t="s">
        <v>714</v>
      </c>
      <c r="D23" s="144" t="s">
        <v>707</v>
      </c>
      <c r="E23" s="147" t="s">
        <v>728</v>
      </c>
      <c r="F23" s="143"/>
      <c r="G23" s="143"/>
      <c r="H23" s="143"/>
      <c r="I23" s="143"/>
      <c r="J23" s="143"/>
      <c r="K23" s="143"/>
      <c r="L23" s="143"/>
      <c r="M23" s="143"/>
      <c r="N23" s="144" t="s">
        <v>720</v>
      </c>
      <c r="O23" s="145" t="s">
        <v>717</v>
      </c>
      <c r="P23" s="143"/>
      <c r="Q23" s="143"/>
      <c r="R23" s="143"/>
    </row>
    <row r="24" spans="1:18" ht="43.5" customHeight="1">
      <c r="A24" s="143">
        <v>19</v>
      </c>
      <c r="B24" s="143" t="s">
        <v>695</v>
      </c>
      <c r="C24" s="143" t="s">
        <v>714</v>
      </c>
      <c r="D24" s="144" t="s">
        <v>707</v>
      </c>
      <c r="E24" s="147" t="s">
        <v>729</v>
      </c>
      <c r="F24" s="143"/>
      <c r="G24" s="143"/>
      <c r="H24" s="143"/>
      <c r="I24" s="143"/>
      <c r="J24" s="143"/>
      <c r="K24" s="143"/>
      <c r="L24" s="143"/>
      <c r="M24" s="143"/>
      <c r="N24" s="144" t="s">
        <v>730</v>
      </c>
      <c r="O24" s="145" t="s">
        <v>717</v>
      </c>
      <c r="P24" s="143"/>
      <c r="Q24" s="143"/>
      <c r="R24" s="143"/>
    </row>
    <row r="25" spans="1:18" ht="14.25" customHeight="1">
      <c r="A25" s="143">
        <v>20</v>
      </c>
      <c r="B25" s="143" t="s">
        <v>695</v>
      </c>
      <c r="C25" s="143" t="s">
        <v>714</v>
      </c>
      <c r="D25" s="144" t="s">
        <v>707</v>
      </c>
      <c r="E25" s="147" t="s">
        <v>731</v>
      </c>
      <c r="F25" s="143"/>
      <c r="G25" s="143"/>
      <c r="H25" s="143"/>
      <c r="I25" s="143"/>
      <c r="J25" s="143"/>
      <c r="K25" s="143"/>
      <c r="L25" s="143"/>
      <c r="M25" s="143"/>
      <c r="N25" s="144" t="s">
        <v>732</v>
      </c>
      <c r="O25" s="145" t="s">
        <v>717</v>
      </c>
      <c r="P25" s="143"/>
      <c r="Q25" s="143"/>
      <c r="R25" s="143"/>
    </row>
    <row r="26" spans="1:18" ht="43.5" customHeight="1">
      <c r="A26" s="143">
        <v>21</v>
      </c>
      <c r="B26" s="143" t="s">
        <v>695</v>
      </c>
      <c r="C26" s="143" t="s">
        <v>714</v>
      </c>
      <c r="D26" s="144" t="s">
        <v>707</v>
      </c>
      <c r="E26" s="147" t="s">
        <v>733</v>
      </c>
      <c r="F26" s="143"/>
      <c r="G26" s="143"/>
      <c r="H26" s="143"/>
      <c r="I26" s="143"/>
      <c r="J26" s="143"/>
      <c r="K26" s="143"/>
      <c r="L26" s="143"/>
      <c r="M26" s="143"/>
      <c r="N26" s="144" t="s">
        <v>734</v>
      </c>
      <c r="O26" s="145" t="s">
        <v>717</v>
      </c>
      <c r="P26" s="143"/>
      <c r="Q26" s="143"/>
      <c r="R26" s="143"/>
    </row>
    <row r="27" spans="1:18" ht="28.5" customHeight="1">
      <c r="A27" s="143">
        <v>22</v>
      </c>
      <c r="B27" s="143" t="s">
        <v>695</v>
      </c>
      <c r="C27" s="143" t="s">
        <v>714</v>
      </c>
      <c r="D27" s="144" t="s">
        <v>707</v>
      </c>
      <c r="E27" s="147" t="s">
        <v>735</v>
      </c>
      <c r="F27" s="143"/>
      <c r="G27" s="143"/>
      <c r="H27" s="143"/>
      <c r="I27" s="143"/>
      <c r="J27" s="143"/>
      <c r="K27" s="143"/>
      <c r="L27" s="143"/>
      <c r="M27" s="143"/>
      <c r="N27" s="144" t="s">
        <v>732</v>
      </c>
      <c r="O27" s="145" t="s">
        <v>717</v>
      </c>
      <c r="P27" s="143"/>
      <c r="Q27" s="143"/>
      <c r="R27" s="143"/>
    </row>
    <row r="28" spans="1:18" ht="28.5" customHeight="1">
      <c r="A28" s="143">
        <v>23</v>
      </c>
      <c r="B28" s="143" t="s">
        <v>695</v>
      </c>
      <c r="C28" s="143" t="s">
        <v>696</v>
      </c>
      <c r="D28" s="144" t="s">
        <v>707</v>
      </c>
      <c r="E28" s="148" t="s">
        <v>736</v>
      </c>
      <c r="F28" s="143"/>
      <c r="G28" s="143"/>
      <c r="H28" s="143"/>
      <c r="I28" s="143"/>
      <c r="J28" s="143"/>
      <c r="K28" s="143"/>
      <c r="L28" s="143"/>
      <c r="M28" s="143"/>
      <c r="N28" s="144" t="s">
        <v>699</v>
      </c>
      <c r="O28" s="145" t="s">
        <v>700</v>
      </c>
      <c r="P28" s="143"/>
      <c r="Q28" s="143"/>
      <c r="R28" s="143"/>
    </row>
    <row r="29" spans="1:18" ht="43.5" customHeight="1">
      <c r="A29" s="143">
        <v>24</v>
      </c>
      <c r="B29" s="143" t="s">
        <v>695</v>
      </c>
      <c r="C29" s="143" t="s">
        <v>696</v>
      </c>
      <c r="D29" s="144" t="s">
        <v>707</v>
      </c>
      <c r="E29" s="144" t="s">
        <v>737</v>
      </c>
      <c r="F29" s="143"/>
      <c r="G29" s="143"/>
      <c r="H29" s="143"/>
      <c r="I29" s="143"/>
      <c r="J29" s="143"/>
      <c r="K29" s="143"/>
      <c r="L29" s="143"/>
      <c r="M29" s="143"/>
      <c r="N29" s="144" t="s">
        <v>709</v>
      </c>
      <c r="O29" s="145" t="s">
        <v>700</v>
      </c>
      <c r="P29" s="143"/>
      <c r="Q29" s="143"/>
      <c r="R29" s="143"/>
    </row>
    <row r="30" spans="1:18" ht="28.5" customHeight="1">
      <c r="A30" s="143">
        <v>25</v>
      </c>
      <c r="B30" s="143" t="s">
        <v>695</v>
      </c>
      <c r="C30" s="143" t="s">
        <v>696</v>
      </c>
      <c r="D30" s="144" t="s">
        <v>707</v>
      </c>
      <c r="E30" s="144" t="s">
        <v>738</v>
      </c>
      <c r="F30" s="143"/>
      <c r="G30" s="143"/>
      <c r="H30" s="143"/>
      <c r="I30" s="143"/>
      <c r="J30" s="143"/>
      <c r="K30" s="143"/>
      <c r="L30" s="143"/>
      <c r="M30" s="143"/>
      <c r="N30" s="144" t="s">
        <v>739</v>
      </c>
      <c r="O30" s="145" t="s">
        <v>700</v>
      </c>
      <c r="P30" s="143"/>
      <c r="Q30" s="143"/>
      <c r="R30" s="143"/>
    </row>
    <row r="31" spans="1:18" ht="28.5" customHeight="1">
      <c r="A31" s="143">
        <v>26</v>
      </c>
      <c r="B31" s="143" t="s">
        <v>695</v>
      </c>
      <c r="C31" s="143" t="s">
        <v>740</v>
      </c>
      <c r="D31" s="144" t="s">
        <v>741</v>
      </c>
      <c r="E31" s="148" t="s">
        <v>742</v>
      </c>
      <c r="F31" s="143"/>
      <c r="G31" s="143"/>
      <c r="H31" s="143"/>
      <c r="I31" s="143"/>
      <c r="J31" s="143"/>
      <c r="K31" s="143"/>
      <c r="L31" s="143"/>
      <c r="M31" s="143"/>
      <c r="N31" s="144" t="s">
        <v>743</v>
      </c>
      <c r="O31" s="145" t="s">
        <v>740</v>
      </c>
      <c r="P31" s="143"/>
      <c r="Q31" s="143"/>
      <c r="R31" s="143"/>
    </row>
    <row r="32" spans="1:18" ht="28.5" customHeight="1">
      <c r="A32" s="143">
        <v>27</v>
      </c>
      <c r="B32" s="143" t="s">
        <v>695</v>
      </c>
      <c r="C32" s="143" t="s">
        <v>740</v>
      </c>
      <c r="D32" s="144" t="s">
        <v>741</v>
      </c>
      <c r="E32" s="148" t="s">
        <v>744</v>
      </c>
      <c r="F32" s="143"/>
      <c r="G32" s="143"/>
      <c r="H32" s="143"/>
      <c r="I32" s="143"/>
      <c r="J32" s="143"/>
      <c r="K32" s="143"/>
      <c r="L32" s="143"/>
      <c r="M32" s="143"/>
      <c r="N32" s="144" t="s">
        <v>745</v>
      </c>
      <c r="O32" s="145" t="s">
        <v>740</v>
      </c>
      <c r="P32" s="143"/>
      <c r="Q32" s="143"/>
      <c r="R32" s="143"/>
    </row>
    <row r="33" spans="1:18" ht="14.25" customHeight="1">
      <c r="A33" s="143">
        <v>28</v>
      </c>
      <c r="B33" s="143" t="s">
        <v>695</v>
      </c>
      <c r="C33" s="143" t="s">
        <v>696</v>
      </c>
      <c r="D33" s="144" t="s">
        <v>741</v>
      </c>
      <c r="E33" s="148" t="s">
        <v>746</v>
      </c>
      <c r="F33" s="143"/>
      <c r="G33" s="143"/>
      <c r="H33" s="143"/>
      <c r="I33" s="143"/>
      <c r="J33" s="143"/>
      <c r="K33" s="143"/>
      <c r="L33" s="143"/>
      <c r="M33" s="143"/>
      <c r="N33" s="144" t="s">
        <v>747</v>
      </c>
      <c r="O33" s="145" t="s">
        <v>700</v>
      </c>
      <c r="P33" s="143"/>
      <c r="Q33" s="143"/>
      <c r="R33" s="143"/>
    </row>
    <row r="34" spans="1:18" ht="28.5" customHeight="1">
      <c r="A34" s="143">
        <v>29</v>
      </c>
      <c r="B34" s="143" t="s">
        <v>695</v>
      </c>
      <c r="C34" s="143" t="s">
        <v>748</v>
      </c>
      <c r="D34" s="144" t="s">
        <v>749</v>
      </c>
      <c r="E34" s="144" t="s">
        <v>750</v>
      </c>
      <c r="F34" s="143"/>
      <c r="G34" s="143"/>
      <c r="H34" s="143"/>
      <c r="I34" s="143"/>
      <c r="J34" s="143"/>
      <c r="K34" s="143"/>
      <c r="L34" s="143"/>
      <c r="M34" s="143"/>
      <c r="N34" s="144" t="s">
        <v>751</v>
      </c>
      <c r="O34" s="145" t="s">
        <v>752</v>
      </c>
      <c r="P34" s="143"/>
      <c r="Q34" s="143"/>
      <c r="R34" s="143"/>
    </row>
    <row r="35" spans="1:18" ht="28.5" customHeight="1">
      <c r="A35" s="143">
        <v>30</v>
      </c>
      <c r="B35" s="143" t="s">
        <v>695</v>
      </c>
      <c r="C35" s="143" t="s">
        <v>714</v>
      </c>
      <c r="D35" s="144" t="s">
        <v>749</v>
      </c>
      <c r="E35" s="144" t="s">
        <v>753</v>
      </c>
      <c r="F35" s="143"/>
      <c r="G35" s="143"/>
      <c r="H35" s="143"/>
      <c r="I35" s="143"/>
      <c r="J35" s="143"/>
      <c r="K35" s="143"/>
      <c r="L35" s="143"/>
      <c r="M35" s="143"/>
      <c r="N35" s="144" t="s">
        <v>716</v>
      </c>
      <c r="O35" s="145" t="s">
        <v>717</v>
      </c>
      <c r="P35" s="143"/>
      <c r="Q35" s="143"/>
      <c r="R35" s="143"/>
    </row>
    <row r="36" spans="1:18" ht="28.5" customHeight="1">
      <c r="A36" s="143">
        <v>31</v>
      </c>
      <c r="B36" s="143" t="s">
        <v>695</v>
      </c>
      <c r="C36" s="143" t="s">
        <v>748</v>
      </c>
      <c r="D36" s="144" t="s">
        <v>749</v>
      </c>
      <c r="E36" s="144" t="s">
        <v>754</v>
      </c>
      <c r="F36" s="143"/>
      <c r="G36" s="143"/>
      <c r="H36" s="143"/>
      <c r="I36" s="143"/>
      <c r="J36" s="143"/>
      <c r="K36" s="143"/>
      <c r="L36" s="143"/>
      <c r="M36" s="143"/>
      <c r="N36" s="144" t="s">
        <v>699</v>
      </c>
      <c r="O36" s="145" t="s">
        <v>752</v>
      </c>
      <c r="P36" s="143"/>
      <c r="Q36" s="143"/>
      <c r="R36" s="143"/>
    </row>
    <row r="37" spans="1:18" ht="28.5" customHeight="1">
      <c r="A37" s="143">
        <v>32</v>
      </c>
      <c r="B37" s="143" t="s">
        <v>695</v>
      </c>
      <c r="C37" s="143" t="s">
        <v>748</v>
      </c>
      <c r="D37" s="144" t="s">
        <v>749</v>
      </c>
      <c r="E37" s="144" t="s">
        <v>755</v>
      </c>
      <c r="F37" s="143"/>
      <c r="G37" s="143"/>
      <c r="H37" s="143"/>
      <c r="I37" s="143"/>
      <c r="J37" s="143"/>
      <c r="K37" s="143"/>
      <c r="L37" s="143"/>
      <c r="M37" s="143"/>
      <c r="N37" s="144" t="s">
        <v>699</v>
      </c>
      <c r="O37" s="145" t="s">
        <v>752</v>
      </c>
      <c r="P37" s="143"/>
      <c r="Q37" s="143"/>
      <c r="R37" s="143"/>
    </row>
    <row r="38" spans="1:18" ht="28.5" customHeight="1">
      <c r="A38" s="143">
        <v>33</v>
      </c>
      <c r="B38" s="143" t="s">
        <v>695</v>
      </c>
      <c r="C38" s="143" t="s">
        <v>756</v>
      </c>
      <c r="D38" s="144" t="s">
        <v>749</v>
      </c>
      <c r="E38" s="144" t="s">
        <v>757</v>
      </c>
      <c r="F38" s="143"/>
      <c r="G38" s="143"/>
      <c r="H38" s="143"/>
      <c r="I38" s="143"/>
      <c r="J38" s="143"/>
      <c r="K38" s="143"/>
      <c r="L38" s="143"/>
      <c r="M38" s="143"/>
      <c r="N38" s="144" t="s">
        <v>758</v>
      </c>
      <c r="O38" s="145" t="s">
        <v>756</v>
      </c>
      <c r="P38" s="143"/>
      <c r="Q38" s="143"/>
      <c r="R38" s="143"/>
    </row>
    <row r="39" spans="1:18" ht="43.5" customHeight="1">
      <c r="A39" s="143">
        <v>34</v>
      </c>
      <c r="B39" s="143" t="s">
        <v>695</v>
      </c>
      <c r="C39" s="143" t="s">
        <v>714</v>
      </c>
      <c r="D39" s="144" t="s">
        <v>749</v>
      </c>
      <c r="E39" s="144" t="s">
        <v>759</v>
      </c>
      <c r="F39" s="143"/>
      <c r="G39" s="143"/>
      <c r="H39" s="143"/>
      <c r="I39" s="143"/>
      <c r="J39" s="143"/>
      <c r="K39" s="143"/>
      <c r="L39" s="143"/>
      <c r="M39" s="143"/>
      <c r="N39" s="144" t="s">
        <v>716</v>
      </c>
      <c r="O39" s="145" t="s">
        <v>717</v>
      </c>
      <c r="P39" s="143"/>
      <c r="Q39" s="143"/>
      <c r="R39" s="143"/>
    </row>
    <row r="40" spans="1:18" ht="28.5" customHeight="1">
      <c r="A40" s="143">
        <v>35</v>
      </c>
      <c r="B40" s="143" t="s">
        <v>760</v>
      </c>
      <c r="C40" s="143" t="s">
        <v>761</v>
      </c>
      <c r="D40" s="144" t="s">
        <v>762</v>
      </c>
      <c r="E40" s="144" t="s">
        <v>763</v>
      </c>
      <c r="F40" s="143"/>
      <c r="G40" s="143"/>
      <c r="H40" s="143"/>
      <c r="I40" s="143"/>
      <c r="J40" s="143"/>
      <c r="K40" s="143"/>
      <c r="L40" s="143"/>
      <c r="M40" s="143"/>
      <c r="N40" s="144" t="s">
        <v>764</v>
      </c>
      <c r="O40" s="145" t="s">
        <v>765</v>
      </c>
      <c r="P40" s="143"/>
      <c r="Q40" s="143"/>
      <c r="R40" s="143"/>
    </row>
    <row r="41" spans="1:18" ht="28.5" customHeight="1">
      <c r="A41" s="143">
        <v>36</v>
      </c>
      <c r="B41" s="143" t="s">
        <v>760</v>
      </c>
      <c r="C41" s="143" t="s">
        <v>748</v>
      </c>
      <c r="D41" s="144" t="s">
        <v>762</v>
      </c>
      <c r="E41" s="144" t="s">
        <v>766</v>
      </c>
      <c r="F41" s="143"/>
      <c r="G41" s="143"/>
      <c r="H41" s="143"/>
      <c r="I41" s="143"/>
      <c r="J41" s="143"/>
      <c r="K41" s="143"/>
      <c r="L41" s="143"/>
      <c r="M41" s="143"/>
      <c r="N41" s="144" t="s">
        <v>767</v>
      </c>
      <c r="O41" s="145" t="s">
        <v>752</v>
      </c>
      <c r="P41" s="143"/>
      <c r="Q41" s="143"/>
      <c r="R41" s="143"/>
    </row>
    <row r="42" spans="1:18" ht="28.5" customHeight="1">
      <c r="A42" s="143">
        <v>37</v>
      </c>
      <c r="B42" s="143" t="s">
        <v>760</v>
      </c>
      <c r="C42" s="143" t="s">
        <v>761</v>
      </c>
      <c r="D42" s="144" t="s">
        <v>762</v>
      </c>
      <c r="E42" s="148" t="s">
        <v>768</v>
      </c>
      <c r="F42" s="143"/>
      <c r="G42" s="143"/>
      <c r="H42" s="143"/>
      <c r="I42" s="143"/>
      <c r="J42" s="143"/>
      <c r="K42" s="143"/>
      <c r="L42" s="143"/>
      <c r="M42" s="143"/>
      <c r="N42" s="144" t="s">
        <v>764</v>
      </c>
      <c r="O42" s="145" t="s">
        <v>765</v>
      </c>
      <c r="P42" s="143"/>
      <c r="Q42" s="143"/>
      <c r="R42" s="143"/>
    </row>
    <row r="43" spans="1:18" ht="14.25" customHeight="1">
      <c r="A43" s="143">
        <v>38</v>
      </c>
      <c r="B43" s="143" t="s">
        <v>760</v>
      </c>
      <c r="C43" s="143" t="s">
        <v>748</v>
      </c>
      <c r="D43" s="144" t="s">
        <v>762</v>
      </c>
      <c r="E43" s="148" t="s">
        <v>769</v>
      </c>
      <c r="F43" s="143"/>
      <c r="G43" s="143"/>
      <c r="H43" s="143"/>
      <c r="I43" s="143"/>
      <c r="J43" s="143"/>
      <c r="K43" s="143"/>
      <c r="L43" s="143"/>
      <c r="M43" s="143"/>
      <c r="N43" s="144"/>
      <c r="O43" s="145" t="s">
        <v>752</v>
      </c>
      <c r="P43" s="143"/>
      <c r="Q43" s="143"/>
      <c r="R43" s="143"/>
    </row>
    <row r="44" spans="1:18" ht="28.5" customHeight="1">
      <c r="A44" s="143">
        <v>39</v>
      </c>
      <c r="B44" s="143" t="s">
        <v>760</v>
      </c>
      <c r="C44" s="143" t="s">
        <v>748</v>
      </c>
      <c r="D44" s="144" t="s">
        <v>762</v>
      </c>
      <c r="E44" s="148" t="s">
        <v>770</v>
      </c>
      <c r="F44" s="143"/>
      <c r="G44" s="143"/>
      <c r="H44" s="143"/>
      <c r="I44" s="143"/>
      <c r="J44" s="143"/>
      <c r="K44" s="143"/>
      <c r="L44" s="143"/>
      <c r="M44" s="143"/>
      <c r="N44" s="144" t="s">
        <v>767</v>
      </c>
      <c r="O44" s="145" t="s">
        <v>752</v>
      </c>
      <c r="P44" s="143"/>
      <c r="Q44" s="143"/>
      <c r="R44" s="143"/>
    </row>
    <row r="45" spans="1:18" ht="28.5" customHeight="1">
      <c r="A45" s="143">
        <v>40</v>
      </c>
      <c r="B45" s="143" t="s">
        <v>760</v>
      </c>
      <c r="C45" s="143" t="s">
        <v>748</v>
      </c>
      <c r="D45" s="144" t="s">
        <v>762</v>
      </c>
      <c r="E45" s="144" t="s">
        <v>771</v>
      </c>
      <c r="F45" s="143"/>
      <c r="G45" s="143"/>
      <c r="H45" s="143"/>
      <c r="I45" s="143"/>
      <c r="J45" s="143"/>
      <c r="K45" s="143"/>
      <c r="L45" s="143"/>
      <c r="M45" s="143"/>
      <c r="N45" s="144" t="s">
        <v>767</v>
      </c>
      <c r="O45" s="145" t="s">
        <v>752</v>
      </c>
      <c r="P45" s="143"/>
      <c r="Q45" s="143"/>
      <c r="R45" s="143"/>
    </row>
    <row r="46" spans="1:18" ht="28.5" customHeight="1">
      <c r="A46" s="143">
        <v>41</v>
      </c>
      <c r="B46" s="143" t="s">
        <v>760</v>
      </c>
      <c r="C46" s="143" t="s">
        <v>748</v>
      </c>
      <c r="D46" s="144" t="s">
        <v>762</v>
      </c>
      <c r="E46" s="148" t="s">
        <v>772</v>
      </c>
      <c r="F46" s="143"/>
      <c r="G46" s="143"/>
      <c r="H46" s="143"/>
      <c r="I46" s="143"/>
      <c r="J46" s="143"/>
      <c r="K46" s="143"/>
      <c r="L46" s="143"/>
      <c r="M46" s="143"/>
      <c r="N46" s="144" t="s">
        <v>767</v>
      </c>
      <c r="O46" s="145" t="s">
        <v>752</v>
      </c>
      <c r="P46" s="143"/>
      <c r="Q46" s="143"/>
      <c r="R46" s="143"/>
    </row>
    <row r="47" spans="1:18" ht="28.5" customHeight="1">
      <c r="A47" s="143">
        <v>42</v>
      </c>
      <c r="B47" s="143" t="s">
        <v>760</v>
      </c>
      <c r="C47" s="143" t="s">
        <v>748</v>
      </c>
      <c r="D47" s="144" t="s">
        <v>773</v>
      </c>
      <c r="E47" s="148" t="s">
        <v>774</v>
      </c>
      <c r="F47" s="143"/>
      <c r="G47" s="143"/>
      <c r="H47" s="143"/>
      <c r="I47" s="143"/>
      <c r="J47" s="143"/>
      <c r="K47" s="143"/>
      <c r="L47" s="143"/>
      <c r="M47" s="143"/>
      <c r="N47" s="144" t="s">
        <v>767</v>
      </c>
      <c r="O47" s="145" t="s">
        <v>752</v>
      </c>
      <c r="P47" s="143"/>
      <c r="Q47" s="143"/>
      <c r="R47" s="143"/>
    </row>
    <row r="48" spans="1:18" ht="28.5" customHeight="1">
      <c r="A48" s="143">
        <v>43</v>
      </c>
      <c r="B48" s="143" t="s">
        <v>760</v>
      </c>
      <c r="C48" s="143" t="s">
        <v>748</v>
      </c>
      <c r="D48" s="144" t="s">
        <v>773</v>
      </c>
      <c r="E48" s="149" t="s">
        <v>775</v>
      </c>
      <c r="F48" s="143"/>
      <c r="G48" s="143"/>
      <c r="H48" s="143"/>
      <c r="I48" s="143"/>
      <c r="J48" s="143"/>
      <c r="K48" s="143"/>
      <c r="L48" s="143"/>
      <c r="M48" s="143"/>
      <c r="N48" s="144" t="s">
        <v>776</v>
      </c>
      <c r="O48" s="145" t="s">
        <v>752</v>
      </c>
      <c r="P48" s="143"/>
      <c r="Q48" s="143"/>
      <c r="R48" s="143"/>
    </row>
    <row r="49" spans="1:18" ht="43.5" customHeight="1">
      <c r="A49" s="143">
        <v>44</v>
      </c>
      <c r="B49" s="143" t="s">
        <v>760</v>
      </c>
      <c r="C49" s="143" t="s">
        <v>748</v>
      </c>
      <c r="D49" s="144" t="s">
        <v>777</v>
      </c>
      <c r="E49" s="148" t="s">
        <v>778</v>
      </c>
      <c r="F49" s="143"/>
      <c r="G49" s="143"/>
      <c r="H49" s="143"/>
      <c r="I49" s="143"/>
      <c r="J49" s="143"/>
      <c r="K49" s="143"/>
      <c r="L49" s="143"/>
      <c r="M49" s="143"/>
      <c r="N49" s="144" t="s">
        <v>779</v>
      </c>
      <c r="O49" s="145" t="s">
        <v>752</v>
      </c>
      <c r="P49" s="143"/>
      <c r="Q49" s="143"/>
      <c r="R49" s="143"/>
    </row>
    <row r="50" spans="1:18" ht="28.5" customHeight="1">
      <c r="A50" s="143">
        <v>45</v>
      </c>
      <c r="B50" s="143" t="s">
        <v>760</v>
      </c>
      <c r="C50" s="143" t="s">
        <v>696</v>
      </c>
      <c r="D50" s="144" t="s">
        <v>777</v>
      </c>
      <c r="E50" s="150" t="s">
        <v>780</v>
      </c>
      <c r="F50" s="143"/>
      <c r="G50" s="143"/>
      <c r="H50" s="143"/>
      <c r="I50" s="143"/>
      <c r="J50" s="143"/>
      <c r="K50" s="143"/>
      <c r="L50" s="143"/>
      <c r="M50" s="143"/>
      <c r="N50" s="144" t="s">
        <v>781</v>
      </c>
      <c r="O50" s="145" t="s">
        <v>700</v>
      </c>
      <c r="P50" s="143" t="s">
        <v>782</v>
      </c>
      <c r="Q50" s="143"/>
      <c r="R50" s="143"/>
    </row>
    <row r="51" spans="1:18" ht="28.5" customHeight="1">
      <c r="A51" s="143">
        <v>46</v>
      </c>
      <c r="B51" s="143" t="s">
        <v>760</v>
      </c>
      <c r="C51" s="143" t="s">
        <v>783</v>
      </c>
      <c r="D51" s="144" t="s">
        <v>784</v>
      </c>
      <c r="E51" s="148" t="s">
        <v>785</v>
      </c>
      <c r="F51" s="143"/>
      <c r="G51" s="143"/>
      <c r="H51" s="143"/>
      <c r="I51" s="143"/>
      <c r="J51" s="143"/>
      <c r="K51" s="143"/>
      <c r="L51" s="143"/>
      <c r="M51" s="143"/>
      <c r="N51" s="144" t="s">
        <v>786</v>
      </c>
      <c r="O51" s="151" t="s">
        <v>783</v>
      </c>
      <c r="P51" s="143"/>
      <c r="Q51" s="143"/>
      <c r="R51" s="143"/>
    </row>
    <row r="52" spans="1:18" ht="28.5" customHeight="1">
      <c r="A52" s="143">
        <v>47</v>
      </c>
      <c r="B52" s="143" t="s">
        <v>760</v>
      </c>
      <c r="C52" s="143" t="s">
        <v>696</v>
      </c>
      <c r="D52" s="144" t="s">
        <v>784</v>
      </c>
      <c r="E52" s="148" t="s">
        <v>787</v>
      </c>
      <c r="F52" s="143"/>
      <c r="G52" s="143"/>
      <c r="H52" s="143"/>
      <c r="I52" s="143"/>
      <c r="J52" s="143"/>
      <c r="K52" s="143"/>
      <c r="L52" s="143"/>
      <c r="M52" s="143"/>
      <c r="N52" s="144" t="s">
        <v>788</v>
      </c>
      <c r="O52" s="145" t="s">
        <v>700</v>
      </c>
      <c r="P52" s="143"/>
      <c r="Q52" s="143"/>
      <c r="R52" s="143"/>
    </row>
    <row r="53" spans="1:18" ht="28.5" customHeight="1">
      <c r="A53" s="143">
        <v>48</v>
      </c>
      <c r="B53" s="143" t="s">
        <v>760</v>
      </c>
      <c r="C53" s="143" t="s">
        <v>696</v>
      </c>
      <c r="D53" s="144" t="s">
        <v>784</v>
      </c>
      <c r="E53" s="152" t="s">
        <v>718</v>
      </c>
      <c r="F53" s="143"/>
      <c r="G53" s="143"/>
      <c r="H53" s="143"/>
      <c r="I53" s="143"/>
      <c r="J53" s="143"/>
      <c r="K53" s="143"/>
      <c r="L53" s="143"/>
      <c r="M53" s="143"/>
      <c r="N53" s="144"/>
      <c r="O53" s="145" t="s">
        <v>700</v>
      </c>
      <c r="P53" s="143"/>
      <c r="Q53" s="143"/>
      <c r="R53" s="143"/>
    </row>
    <row r="54" spans="1:18" ht="28.5" customHeight="1">
      <c r="A54" s="143">
        <v>49</v>
      </c>
      <c r="B54" s="143" t="s">
        <v>760</v>
      </c>
      <c r="C54" s="143" t="s">
        <v>783</v>
      </c>
      <c r="D54" s="144" t="s">
        <v>784</v>
      </c>
      <c r="E54" s="152" t="s">
        <v>789</v>
      </c>
      <c r="F54" s="143"/>
      <c r="G54" s="143"/>
      <c r="H54" s="143"/>
      <c r="I54" s="143"/>
      <c r="J54" s="143"/>
      <c r="K54" s="143"/>
      <c r="L54" s="143"/>
      <c r="M54" s="143"/>
      <c r="N54" s="144" t="s">
        <v>790</v>
      </c>
      <c r="O54" s="145" t="s">
        <v>783</v>
      </c>
      <c r="P54" s="143"/>
      <c r="Q54" s="143"/>
      <c r="R54" s="143"/>
    </row>
    <row r="55" spans="1:18" ht="28.5" customHeight="1">
      <c r="A55" s="143">
        <v>50</v>
      </c>
      <c r="B55" s="143" t="s">
        <v>760</v>
      </c>
      <c r="C55" s="143" t="s">
        <v>696</v>
      </c>
      <c r="D55" s="144" t="s">
        <v>784</v>
      </c>
      <c r="E55" s="152" t="s">
        <v>791</v>
      </c>
      <c r="F55" s="143"/>
      <c r="G55" s="143"/>
      <c r="H55" s="143"/>
      <c r="I55" s="143"/>
      <c r="J55" s="143"/>
      <c r="K55" s="143"/>
      <c r="L55" s="143"/>
      <c r="M55" s="143"/>
      <c r="N55" s="144" t="s">
        <v>788</v>
      </c>
      <c r="O55" s="145" t="s">
        <v>700</v>
      </c>
      <c r="P55" s="143"/>
      <c r="Q55" s="143"/>
      <c r="R55" s="143"/>
    </row>
    <row r="56" spans="1:18" ht="28.5" customHeight="1">
      <c r="A56" s="143">
        <v>51</v>
      </c>
      <c r="B56" s="143" t="s">
        <v>760</v>
      </c>
      <c r="C56" s="143" t="s">
        <v>696</v>
      </c>
      <c r="D56" s="144" t="s">
        <v>784</v>
      </c>
      <c r="E56" s="152" t="s">
        <v>792</v>
      </c>
      <c r="F56" s="143"/>
      <c r="G56" s="143"/>
      <c r="H56" s="143"/>
      <c r="I56" s="143"/>
      <c r="J56" s="143"/>
      <c r="K56" s="143"/>
      <c r="L56" s="143"/>
      <c r="M56" s="143"/>
      <c r="N56" s="144" t="s">
        <v>788</v>
      </c>
      <c r="O56" s="145" t="s">
        <v>700</v>
      </c>
      <c r="P56" s="143"/>
      <c r="Q56" s="143"/>
      <c r="R56" s="143"/>
    </row>
    <row r="57" spans="1:18" ht="28.5" customHeight="1">
      <c r="A57" s="143">
        <v>52</v>
      </c>
      <c r="B57" s="143" t="s">
        <v>760</v>
      </c>
      <c r="C57" s="143" t="s">
        <v>696</v>
      </c>
      <c r="D57" s="144" t="s">
        <v>784</v>
      </c>
      <c r="E57" s="152" t="s">
        <v>793</v>
      </c>
      <c r="F57" s="143"/>
      <c r="G57" s="143"/>
      <c r="H57" s="143"/>
      <c r="I57" s="143"/>
      <c r="J57" s="143"/>
      <c r="K57" s="143"/>
      <c r="L57" s="143"/>
      <c r="M57" s="143"/>
      <c r="N57" s="144" t="s">
        <v>527</v>
      </c>
      <c r="O57" s="145" t="s">
        <v>700</v>
      </c>
      <c r="P57" s="143"/>
      <c r="Q57" s="143"/>
      <c r="R57" s="143"/>
    </row>
    <row r="58" spans="1:18" ht="28.5" customHeight="1">
      <c r="A58" s="143">
        <v>53</v>
      </c>
      <c r="B58" s="143" t="s">
        <v>760</v>
      </c>
      <c r="C58" s="143" t="s">
        <v>740</v>
      </c>
      <c r="D58" s="144" t="s">
        <v>784</v>
      </c>
      <c r="E58" s="152" t="s">
        <v>794</v>
      </c>
      <c r="F58" s="143"/>
      <c r="G58" s="143"/>
      <c r="H58" s="143"/>
      <c r="I58" s="143"/>
      <c r="J58" s="143"/>
      <c r="K58" s="143"/>
      <c r="L58" s="143"/>
      <c r="M58" s="143"/>
      <c r="N58" s="144" t="s">
        <v>740</v>
      </c>
      <c r="O58" s="145" t="s">
        <v>740</v>
      </c>
      <c r="P58" s="143"/>
      <c r="Q58" s="143"/>
      <c r="R58" s="143"/>
    </row>
    <row r="59" spans="1:18" ht="28.5" customHeight="1">
      <c r="A59" s="143">
        <v>54</v>
      </c>
      <c r="B59" s="143" t="s">
        <v>760</v>
      </c>
      <c r="C59" s="143" t="s">
        <v>696</v>
      </c>
      <c r="D59" s="144" t="s">
        <v>784</v>
      </c>
      <c r="E59" s="152" t="s">
        <v>795</v>
      </c>
      <c r="F59" s="143"/>
      <c r="G59" s="143"/>
      <c r="H59" s="143"/>
      <c r="I59" s="143"/>
      <c r="J59" s="143"/>
      <c r="K59" s="143"/>
      <c r="L59" s="143"/>
      <c r="M59" s="143"/>
      <c r="N59" s="144" t="s">
        <v>788</v>
      </c>
      <c r="O59" s="145" t="s">
        <v>700</v>
      </c>
      <c r="P59" s="143"/>
      <c r="Q59" s="143"/>
      <c r="R59" s="143"/>
    </row>
    <row r="60" spans="1:18" ht="28.5" customHeight="1">
      <c r="A60" s="143">
        <v>55</v>
      </c>
      <c r="B60" s="143" t="s">
        <v>760</v>
      </c>
      <c r="C60" s="143" t="s">
        <v>696</v>
      </c>
      <c r="D60" s="144" t="s">
        <v>784</v>
      </c>
      <c r="E60" s="152" t="s">
        <v>796</v>
      </c>
      <c r="F60" s="143"/>
      <c r="G60" s="143"/>
      <c r="H60" s="143"/>
      <c r="I60" s="143"/>
      <c r="J60" s="143"/>
      <c r="K60" s="143"/>
      <c r="L60" s="143"/>
      <c r="M60" s="143"/>
      <c r="N60" s="144" t="s">
        <v>797</v>
      </c>
      <c r="O60" s="145" t="s">
        <v>700</v>
      </c>
      <c r="P60" s="143"/>
      <c r="Q60" s="143"/>
      <c r="R60" s="143"/>
    </row>
    <row r="61" spans="1:18" ht="28.5" customHeight="1">
      <c r="A61" s="143">
        <v>56</v>
      </c>
      <c r="B61" s="143" t="s">
        <v>760</v>
      </c>
      <c r="C61" s="143" t="s">
        <v>696</v>
      </c>
      <c r="D61" s="144" t="s">
        <v>784</v>
      </c>
      <c r="E61" s="152" t="s">
        <v>798</v>
      </c>
      <c r="F61" s="143"/>
      <c r="G61" s="143"/>
      <c r="H61" s="143"/>
      <c r="I61" s="143"/>
      <c r="J61" s="143"/>
      <c r="K61" s="143"/>
      <c r="L61" s="143"/>
      <c r="M61" s="143"/>
      <c r="N61" s="144" t="s">
        <v>788</v>
      </c>
      <c r="O61" s="145" t="s">
        <v>700</v>
      </c>
      <c r="P61" s="143"/>
      <c r="Q61" s="143"/>
      <c r="R61" s="143"/>
    </row>
    <row r="62" spans="1:18" ht="28.5" customHeight="1">
      <c r="A62" s="143">
        <v>57</v>
      </c>
      <c r="B62" s="143" t="s">
        <v>760</v>
      </c>
      <c r="C62" s="143" t="s">
        <v>696</v>
      </c>
      <c r="D62" s="144" t="s">
        <v>784</v>
      </c>
      <c r="E62" s="152" t="s">
        <v>799</v>
      </c>
      <c r="F62" s="143"/>
      <c r="G62" s="143"/>
      <c r="H62" s="143"/>
      <c r="I62" s="143"/>
      <c r="J62" s="143"/>
      <c r="K62" s="143"/>
      <c r="L62" s="143"/>
      <c r="M62" s="143"/>
      <c r="N62" s="144" t="s">
        <v>788</v>
      </c>
      <c r="O62" s="145" t="s">
        <v>700</v>
      </c>
      <c r="P62" s="143"/>
      <c r="Q62" s="143"/>
      <c r="R62" s="143"/>
    </row>
    <row r="63" spans="1:18" ht="28.5" customHeight="1">
      <c r="A63" s="143"/>
      <c r="B63" s="151" t="s">
        <v>760</v>
      </c>
      <c r="C63" s="143" t="s">
        <v>696</v>
      </c>
      <c r="D63" s="145" t="s">
        <v>784</v>
      </c>
      <c r="E63" s="153" t="s">
        <v>800</v>
      </c>
      <c r="F63" s="151"/>
      <c r="G63" s="151"/>
      <c r="H63" s="151"/>
      <c r="I63" s="151"/>
      <c r="J63" s="151"/>
      <c r="K63" s="151"/>
      <c r="L63" s="151"/>
      <c r="M63" s="151"/>
      <c r="N63" s="145"/>
      <c r="O63" s="145" t="s">
        <v>700</v>
      </c>
      <c r="P63" s="143" t="s">
        <v>801</v>
      </c>
      <c r="Q63" s="143"/>
      <c r="R63" s="143"/>
    </row>
    <row r="64" spans="1:18" ht="43.5" customHeight="1">
      <c r="A64" s="143">
        <v>58</v>
      </c>
      <c r="B64" s="143" t="s">
        <v>760</v>
      </c>
      <c r="C64" s="143" t="s">
        <v>802</v>
      </c>
      <c r="D64" s="144" t="s">
        <v>784</v>
      </c>
      <c r="E64" s="152" t="s">
        <v>803</v>
      </c>
      <c r="F64" s="143"/>
      <c r="G64" s="143"/>
      <c r="H64" s="143"/>
      <c r="I64" s="143"/>
      <c r="J64" s="143"/>
      <c r="K64" s="143"/>
      <c r="L64" s="143"/>
      <c r="M64" s="143"/>
      <c r="N64" s="144" t="s">
        <v>804</v>
      </c>
      <c r="O64" s="145" t="s">
        <v>805</v>
      </c>
      <c r="P64" s="143"/>
      <c r="Q64" s="143"/>
      <c r="R64" s="143"/>
    </row>
    <row r="65" spans="1:18" ht="28.5" customHeight="1">
      <c r="A65" s="143">
        <v>59</v>
      </c>
      <c r="B65" s="143" t="s">
        <v>760</v>
      </c>
      <c r="C65" s="143"/>
      <c r="D65" s="144" t="s">
        <v>784</v>
      </c>
      <c r="E65" s="152" t="s">
        <v>806</v>
      </c>
      <c r="F65" s="143"/>
      <c r="G65" s="143"/>
      <c r="H65" s="143"/>
      <c r="I65" s="143"/>
      <c r="J65" s="143"/>
      <c r="K65" s="143"/>
      <c r="L65" s="143"/>
      <c r="M65" s="143"/>
      <c r="N65" s="144" t="s">
        <v>807</v>
      </c>
      <c r="O65" s="145" t="s">
        <v>703</v>
      </c>
      <c r="P65" s="143"/>
      <c r="Q65" s="143"/>
      <c r="R65" s="143"/>
    </row>
    <row r="66" spans="1:18" ht="28.5" customHeight="1">
      <c r="A66" s="143">
        <v>60</v>
      </c>
      <c r="B66" s="143" t="s">
        <v>760</v>
      </c>
      <c r="C66" s="143" t="s">
        <v>696</v>
      </c>
      <c r="D66" s="144" t="s">
        <v>784</v>
      </c>
      <c r="E66" s="152" t="s">
        <v>808</v>
      </c>
      <c r="F66" s="143"/>
      <c r="G66" s="143"/>
      <c r="H66" s="143"/>
      <c r="I66" s="143"/>
      <c r="J66" s="143"/>
      <c r="K66" s="143"/>
      <c r="L66" s="143"/>
      <c r="M66" s="143"/>
      <c r="N66" s="144" t="s">
        <v>788</v>
      </c>
      <c r="O66" s="145" t="s">
        <v>700</v>
      </c>
      <c r="P66" s="143"/>
      <c r="Q66" s="143"/>
      <c r="R66" s="143"/>
    </row>
    <row r="67" spans="1:18" ht="28.5" customHeight="1">
      <c r="A67" s="143">
        <v>61</v>
      </c>
      <c r="B67" s="143" t="s">
        <v>760</v>
      </c>
      <c r="C67" s="143" t="s">
        <v>696</v>
      </c>
      <c r="D67" s="144" t="s">
        <v>784</v>
      </c>
      <c r="E67" s="152" t="s">
        <v>809</v>
      </c>
      <c r="F67" s="143"/>
      <c r="G67" s="143"/>
      <c r="H67" s="143"/>
      <c r="I67" s="143"/>
      <c r="J67" s="143"/>
      <c r="K67" s="143"/>
      <c r="L67" s="143"/>
      <c r="M67" s="143"/>
      <c r="N67" s="144" t="s">
        <v>788</v>
      </c>
      <c r="O67" s="145" t="s">
        <v>700</v>
      </c>
      <c r="P67" s="143"/>
      <c r="Q67" s="143"/>
      <c r="R67" s="143"/>
    </row>
    <row r="68" spans="1:18" ht="28.5" customHeight="1">
      <c r="A68" s="143">
        <v>62</v>
      </c>
      <c r="B68" s="143" t="s">
        <v>760</v>
      </c>
      <c r="C68" s="143" t="s">
        <v>696</v>
      </c>
      <c r="D68" s="144" t="s">
        <v>784</v>
      </c>
      <c r="E68" s="152" t="s">
        <v>810</v>
      </c>
      <c r="F68" s="143"/>
      <c r="G68" s="143"/>
      <c r="H68" s="143"/>
      <c r="I68" s="143"/>
      <c r="J68" s="143"/>
      <c r="K68" s="143"/>
      <c r="L68" s="143"/>
      <c r="M68" s="143"/>
      <c r="N68" s="144" t="s">
        <v>788</v>
      </c>
      <c r="O68" s="145" t="s">
        <v>700</v>
      </c>
      <c r="P68" s="143"/>
      <c r="Q68" s="143"/>
      <c r="R68" s="143"/>
    </row>
    <row r="69" spans="1:18" ht="28.5" customHeight="1">
      <c r="A69" s="143">
        <v>63</v>
      </c>
      <c r="B69" s="143" t="s">
        <v>760</v>
      </c>
      <c r="C69" s="143" t="s">
        <v>696</v>
      </c>
      <c r="D69" s="144" t="s">
        <v>784</v>
      </c>
      <c r="E69" s="152" t="s">
        <v>811</v>
      </c>
      <c r="F69" s="143"/>
      <c r="G69" s="143"/>
      <c r="H69" s="143"/>
      <c r="I69" s="143"/>
      <c r="J69" s="143"/>
      <c r="K69" s="143"/>
      <c r="L69" s="143"/>
      <c r="M69" s="143"/>
      <c r="N69" s="144" t="s">
        <v>788</v>
      </c>
      <c r="O69" s="145" t="s">
        <v>700</v>
      </c>
      <c r="P69" s="143"/>
      <c r="Q69" s="143"/>
      <c r="R69" s="143"/>
    </row>
    <row r="70" spans="1:18" ht="28.5" customHeight="1">
      <c r="A70" s="143">
        <v>64</v>
      </c>
      <c r="B70" s="143" t="s">
        <v>760</v>
      </c>
      <c r="C70" s="143" t="s">
        <v>696</v>
      </c>
      <c r="D70" s="144" t="s">
        <v>784</v>
      </c>
      <c r="E70" s="152" t="s">
        <v>812</v>
      </c>
      <c r="F70" s="143"/>
      <c r="G70" s="143"/>
      <c r="H70" s="143"/>
      <c r="I70" s="143"/>
      <c r="J70" s="143"/>
      <c r="K70" s="143"/>
      <c r="L70" s="143"/>
      <c r="M70" s="143"/>
      <c r="N70" s="144" t="s">
        <v>788</v>
      </c>
      <c r="O70" s="145" t="s">
        <v>700</v>
      </c>
      <c r="P70" s="143"/>
      <c r="Q70" s="143"/>
      <c r="R70" s="143"/>
    </row>
    <row r="71" spans="1:18" ht="28.5" customHeight="1">
      <c r="A71" s="143">
        <v>65</v>
      </c>
      <c r="B71" s="143" t="s">
        <v>760</v>
      </c>
      <c r="C71" s="143" t="s">
        <v>696</v>
      </c>
      <c r="D71" s="144" t="s">
        <v>784</v>
      </c>
      <c r="E71" s="152" t="s">
        <v>813</v>
      </c>
      <c r="F71" s="143"/>
      <c r="G71" s="143"/>
      <c r="H71" s="143"/>
      <c r="I71" s="143"/>
      <c r="J71" s="143"/>
      <c r="K71" s="143"/>
      <c r="L71" s="143"/>
      <c r="M71" s="143"/>
      <c r="N71" s="144" t="s">
        <v>788</v>
      </c>
      <c r="O71" s="145" t="s">
        <v>700</v>
      </c>
      <c r="P71" s="143"/>
      <c r="Q71" s="143"/>
      <c r="R71" s="143"/>
    </row>
    <row r="72" spans="1:18" ht="28.5" customHeight="1">
      <c r="A72" s="143">
        <v>66</v>
      </c>
      <c r="B72" s="143" t="s">
        <v>760</v>
      </c>
      <c r="C72" s="143" t="s">
        <v>696</v>
      </c>
      <c r="D72" s="144" t="s">
        <v>784</v>
      </c>
      <c r="E72" s="152" t="s">
        <v>814</v>
      </c>
      <c r="F72" s="143"/>
      <c r="G72" s="143"/>
      <c r="H72" s="143"/>
      <c r="I72" s="143"/>
      <c r="J72" s="143"/>
      <c r="K72" s="143"/>
      <c r="L72" s="143"/>
      <c r="M72" s="143"/>
      <c r="N72" s="144" t="s">
        <v>788</v>
      </c>
      <c r="O72" s="145" t="s">
        <v>700</v>
      </c>
      <c r="P72" s="143"/>
      <c r="Q72" s="143"/>
      <c r="R72" s="143"/>
    </row>
    <row r="73" spans="1:18" ht="28.5" customHeight="1">
      <c r="A73" s="143">
        <v>67</v>
      </c>
      <c r="B73" s="143" t="s">
        <v>760</v>
      </c>
      <c r="C73" s="143" t="s">
        <v>696</v>
      </c>
      <c r="D73" s="144" t="s">
        <v>784</v>
      </c>
      <c r="E73" s="152" t="s">
        <v>815</v>
      </c>
      <c r="F73" s="143"/>
      <c r="G73" s="143"/>
      <c r="H73" s="143"/>
      <c r="I73" s="143"/>
      <c r="J73" s="143"/>
      <c r="K73" s="143"/>
      <c r="L73" s="143"/>
      <c r="M73" s="143"/>
      <c r="N73" s="144" t="s">
        <v>816</v>
      </c>
      <c r="O73" s="145" t="s">
        <v>700</v>
      </c>
      <c r="P73" s="143"/>
      <c r="Q73" s="143"/>
      <c r="R73" s="143"/>
    </row>
    <row r="74" spans="1:18" ht="28.5" customHeight="1">
      <c r="A74" s="143">
        <v>68</v>
      </c>
      <c r="B74" s="143" t="s">
        <v>760</v>
      </c>
      <c r="C74" s="143" t="s">
        <v>696</v>
      </c>
      <c r="D74" s="144" t="s">
        <v>784</v>
      </c>
      <c r="E74" s="152" t="s">
        <v>817</v>
      </c>
      <c r="F74" s="143"/>
      <c r="G74" s="143"/>
      <c r="H74" s="143"/>
      <c r="I74" s="143"/>
      <c r="J74" s="143"/>
      <c r="K74" s="143"/>
      <c r="L74" s="143"/>
      <c r="M74" s="143"/>
      <c r="N74" s="144" t="s">
        <v>788</v>
      </c>
      <c r="O74" s="145" t="s">
        <v>700</v>
      </c>
      <c r="P74" s="143"/>
      <c r="Q74" s="143"/>
      <c r="R74" s="143"/>
    </row>
    <row r="75" spans="1:18" ht="28.5" customHeight="1">
      <c r="A75" s="143">
        <v>69</v>
      </c>
      <c r="B75" s="143" t="s">
        <v>760</v>
      </c>
      <c r="C75" s="143" t="s">
        <v>696</v>
      </c>
      <c r="D75" s="144" t="s">
        <v>784</v>
      </c>
      <c r="E75" s="152" t="s">
        <v>818</v>
      </c>
      <c r="F75" s="143"/>
      <c r="G75" s="143"/>
      <c r="H75" s="143"/>
      <c r="I75" s="143"/>
      <c r="J75" s="143"/>
      <c r="K75" s="143"/>
      <c r="L75" s="143"/>
      <c r="M75" s="143"/>
      <c r="N75" s="144" t="s">
        <v>819</v>
      </c>
      <c r="O75" s="145" t="s">
        <v>700</v>
      </c>
      <c r="P75" s="143"/>
      <c r="Q75" s="143"/>
      <c r="R75" s="143"/>
    </row>
    <row r="76" spans="1:18" ht="28.5" customHeight="1">
      <c r="A76" s="143">
        <v>70</v>
      </c>
      <c r="B76" s="143" t="s">
        <v>760</v>
      </c>
      <c r="C76" s="143" t="s">
        <v>696</v>
      </c>
      <c r="D76" s="144" t="s">
        <v>784</v>
      </c>
      <c r="E76" s="152" t="s">
        <v>820</v>
      </c>
      <c r="F76" s="143"/>
      <c r="G76" s="143"/>
      <c r="H76" s="143"/>
      <c r="I76" s="143"/>
      <c r="J76" s="143"/>
      <c r="K76" s="143"/>
      <c r="L76" s="143"/>
      <c r="M76" s="143"/>
      <c r="N76" s="144" t="s">
        <v>819</v>
      </c>
      <c r="O76" s="145" t="s">
        <v>700</v>
      </c>
      <c r="P76" s="143"/>
      <c r="Q76" s="143"/>
      <c r="R76" s="143"/>
    </row>
    <row r="77" spans="1:18" ht="28.5" customHeight="1">
      <c r="A77" s="143">
        <v>71</v>
      </c>
      <c r="B77" s="143" t="s">
        <v>760</v>
      </c>
      <c r="C77" s="143" t="s">
        <v>696</v>
      </c>
      <c r="D77" s="144" t="s">
        <v>784</v>
      </c>
      <c r="E77" s="152" t="s">
        <v>821</v>
      </c>
      <c r="F77" s="143"/>
      <c r="G77" s="143"/>
      <c r="H77" s="143"/>
      <c r="I77" s="143"/>
      <c r="J77" s="143"/>
      <c r="K77" s="143"/>
      <c r="L77" s="143"/>
      <c r="M77" s="143"/>
      <c r="N77" s="144" t="s">
        <v>819</v>
      </c>
      <c r="O77" s="145" t="s">
        <v>700</v>
      </c>
      <c r="P77" s="143"/>
      <c r="Q77" s="143"/>
      <c r="R77" s="143"/>
    </row>
    <row r="78" spans="1:18" ht="28.5" customHeight="1">
      <c r="A78" s="143">
        <v>72</v>
      </c>
      <c r="B78" s="143" t="s">
        <v>760</v>
      </c>
      <c r="C78" s="143" t="s">
        <v>696</v>
      </c>
      <c r="D78" s="144" t="s">
        <v>784</v>
      </c>
      <c r="E78" s="152" t="s">
        <v>822</v>
      </c>
      <c r="F78" s="143"/>
      <c r="G78" s="143"/>
      <c r="H78" s="143"/>
      <c r="I78" s="143"/>
      <c r="J78" s="143"/>
      <c r="K78" s="143"/>
      <c r="L78" s="143"/>
      <c r="M78" s="143"/>
      <c r="N78" s="144" t="s">
        <v>819</v>
      </c>
      <c r="O78" s="145" t="s">
        <v>700</v>
      </c>
      <c r="P78" s="143"/>
      <c r="Q78" s="143"/>
      <c r="R78" s="143"/>
    </row>
    <row r="79" spans="1:18" ht="28.5" customHeight="1">
      <c r="A79" s="143">
        <v>73</v>
      </c>
      <c r="B79" s="143" t="s">
        <v>760</v>
      </c>
      <c r="C79" s="143" t="s">
        <v>696</v>
      </c>
      <c r="D79" s="144" t="s">
        <v>784</v>
      </c>
      <c r="E79" s="152" t="s">
        <v>823</v>
      </c>
      <c r="F79" s="143"/>
      <c r="G79" s="143"/>
      <c r="H79" s="143"/>
      <c r="I79" s="143"/>
      <c r="J79" s="143"/>
      <c r="K79" s="143"/>
      <c r="L79" s="143"/>
      <c r="M79" s="143"/>
      <c r="N79" s="144" t="s">
        <v>824</v>
      </c>
      <c r="O79" s="145" t="s">
        <v>700</v>
      </c>
      <c r="P79" s="143"/>
      <c r="Q79" s="143"/>
      <c r="R79" s="143"/>
    </row>
    <row r="80" spans="1:18" ht="43.5" customHeight="1">
      <c r="A80" s="143">
        <v>74</v>
      </c>
      <c r="B80" s="143" t="s">
        <v>760</v>
      </c>
      <c r="C80" s="143" t="s">
        <v>696</v>
      </c>
      <c r="D80" s="144" t="s">
        <v>784</v>
      </c>
      <c r="E80" s="152" t="s">
        <v>825</v>
      </c>
      <c r="F80" s="143"/>
      <c r="G80" s="143"/>
      <c r="H80" s="143"/>
      <c r="I80" s="143"/>
      <c r="J80" s="143"/>
      <c r="K80" s="143"/>
      <c r="L80" s="143"/>
      <c r="M80" s="143"/>
      <c r="N80" s="144" t="s">
        <v>788</v>
      </c>
      <c r="O80" s="145" t="s">
        <v>700</v>
      </c>
      <c r="P80" s="143"/>
      <c r="Q80" s="143"/>
      <c r="R80" s="143"/>
    </row>
    <row r="81" spans="1:18" ht="28.5" customHeight="1">
      <c r="A81" s="143">
        <v>75</v>
      </c>
      <c r="B81" s="143" t="s">
        <v>760</v>
      </c>
      <c r="C81" s="143" t="s">
        <v>696</v>
      </c>
      <c r="D81" s="144" t="s">
        <v>784</v>
      </c>
      <c r="E81" s="152" t="s">
        <v>826</v>
      </c>
      <c r="F81" s="143"/>
      <c r="G81" s="143"/>
      <c r="H81" s="143"/>
      <c r="I81" s="143"/>
      <c r="J81" s="143"/>
      <c r="K81" s="143"/>
      <c r="L81" s="143"/>
      <c r="M81" s="143"/>
      <c r="N81" s="144" t="s">
        <v>827</v>
      </c>
      <c r="O81" s="145" t="s">
        <v>700</v>
      </c>
      <c r="P81" s="143"/>
      <c r="Q81" s="143"/>
      <c r="R81" s="143"/>
    </row>
    <row r="82" spans="1:18" ht="28.5" customHeight="1">
      <c r="A82" s="143">
        <v>76</v>
      </c>
      <c r="B82" s="143" t="s">
        <v>760</v>
      </c>
      <c r="C82" s="143" t="s">
        <v>696</v>
      </c>
      <c r="D82" s="144" t="s">
        <v>784</v>
      </c>
      <c r="E82" s="144" t="s">
        <v>828</v>
      </c>
      <c r="F82" s="143"/>
      <c r="G82" s="143"/>
      <c r="H82" s="143"/>
      <c r="I82" s="143"/>
      <c r="J82" s="143"/>
      <c r="K82" s="143"/>
      <c r="L82" s="143"/>
      <c r="M82" s="143"/>
      <c r="N82" s="144" t="s">
        <v>827</v>
      </c>
      <c r="O82" s="145" t="s">
        <v>700</v>
      </c>
      <c r="P82" s="143"/>
      <c r="Q82" s="143"/>
      <c r="R82" s="143"/>
    </row>
    <row r="83" spans="1:18" ht="28.5" customHeight="1">
      <c r="A83" s="143">
        <v>77</v>
      </c>
      <c r="B83" s="143" t="s">
        <v>760</v>
      </c>
      <c r="C83" s="143" t="s">
        <v>696</v>
      </c>
      <c r="D83" s="144" t="s">
        <v>784</v>
      </c>
      <c r="E83" s="148" t="s">
        <v>829</v>
      </c>
      <c r="F83" s="143"/>
      <c r="G83" s="143"/>
      <c r="H83" s="143"/>
      <c r="I83" s="143"/>
      <c r="J83" s="143"/>
      <c r="K83" s="143"/>
      <c r="L83" s="143"/>
      <c r="M83" s="143"/>
      <c r="N83" s="144" t="s">
        <v>827</v>
      </c>
      <c r="O83" s="145" t="s">
        <v>700</v>
      </c>
      <c r="P83" s="143"/>
      <c r="Q83" s="143"/>
      <c r="R83" s="143"/>
    </row>
    <row r="84" spans="1:18" ht="28.5" customHeight="1">
      <c r="A84" s="143">
        <v>78</v>
      </c>
      <c r="B84" s="143" t="s">
        <v>760</v>
      </c>
      <c r="C84" s="143" t="s">
        <v>696</v>
      </c>
      <c r="D84" s="144" t="s">
        <v>784</v>
      </c>
      <c r="E84" s="148" t="s">
        <v>830</v>
      </c>
      <c r="F84" s="143"/>
      <c r="G84" s="143"/>
      <c r="H84" s="143"/>
      <c r="I84" s="143"/>
      <c r="J84" s="143"/>
      <c r="K84" s="143"/>
      <c r="L84" s="143"/>
      <c r="M84" s="143"/>
      <c r="N84" s="144" t="s">
        <v>831</v>
      </c>
      <c r="O84" s="145" t="s">
        <v>700</v>
      </c>
      <c r="P84" s="143"/>
      <c r="Q84" s="143"/>
      <c r="R84" s="143"/>
    </row>
    <row r="85" spans="1:18" ht="28.5" customHeight="1">
      <c r="A85" s="143">
        <v>79</v>
      </c>
      <c r="B85" s="143" t="s">
        <v>760</v>
      </c>
      <c r="C85" s="143" t="s">
        <v>748</v>
      </c>
      <c r="D85" s="144" t="s">
        <v>784</v>
      </c>
      <c r="E85" s="144" t="s">
        <v>832</v>
      </c>
      <c r="F85" s="143"/>
      <c r="G85" s="143"/>
      <c r="H85" s="143"/>
      <c r="I85" s="143"/>
      <c r="J85" s="143"/>
      <c r="K85" s="143"/>
      <c r="L85" s="143"/>
      <c r="M85" s="143"/>
      <c r="N85" s="144" t="s">
        <v>767</v>
      </c>
      <c r="O85" s="145" t="s">
        <v>752</v>
      </c>
      <c r="P85" s="143"/>
      <c r="Q85" s="143"/>
      <c r="R85" s="143"/>
    </row>
    <row r="86" spans="1:18" ht="28.5" customHeight="1">
      <c r="A86" s="143">
        <v>80</v>
      </c>
      <c r="B86" s="143" t="s">
        <v>760</v>
      </c>
      <c r="C86" s="143" t="s">
        <v>748</v>
      </c>
      <c r="D86" s="144" t="s">
        <v>784</v>
      </c>
      <c r="E86" s="144" t="s">
        <v>833</v>
      </c>
      <c r="F86" s="143"/>
      <c r="G86" s="143"/>
      <c r="H86" s="143"/>
      <c r="I86" s="143"/>
      <c r="J86" s="143"/>
      <c r="K86" s="143"/>
      <c r="L86" s="143"/>
      <c r="M86" s="143"/>
      <c r="N86" s="144" t="s">
        <v>767</v>
      </c>
      <c r="O86" s="145" t="s">
        <v>752</v>
      </c>
      <c r="P86" s="143"/>
      <c r="Q86" s="143"/>
      <c r="R86" s="143"/>
    </row>
    <row r="87" spans="1:18" ht="28.5" customHeight="1">
      <c r="A87" s="143">
        <v>81</v>
      </c>
      <c r="B87" s="143" t="s">
        <v>760</v>
      </c>
      <c r="C87" s="143" t="s">
        <v>748</v>
      </c>
      <c r="D87" s="144" t="s">
        <v>784</v>
      </c>
      <c r="E87" s="144" t="s">
        <v>834</v>
      </c>
      <c r="F87" s="143"/>
      <c r="G87" s="143"/>
      <c r="H87" s="143"/>
      <c r="I87" s="143"/>
      <c r="J87" s="143"/>
      <c r="K87" s="143"/>
      <c r="L87" s="143"/>
      <c r="M87" s="143"/>
      <c r="N87" s="144" t="s">
        <v>767</v>
      </c>
      <c r="O87" s="145" t="s">
        <v>752</v>
      </c>
      <c r="P87" s="143"/>
      <c r="Q87" s="143"/>
      <c r="R87" s="143"/>
    </row>
    <row r="88" spans="1:18" ht="28.5" customHeight="1">
      <c r="A88" s="143">
        <v>82</v>
      </c>
      <c r="B88" s="143" t="s">
        <v>760</v>
      </c>
      <c r="C88" s="143" t="s">
        <v>748</v>
      </c>
      <c r="D88" s="144" t="s">
        <v>784</v>
      </c>
      <c r="E88" s="144" t="s">
        <v>835</v>
      </c>
      <c r="F88" s="143"/>
      <c r="G88" s="143"/>
      <c r="H88" s="143"/>
      <c r="I88" s="143"/>
      <c r="J88" s="143"/>
      <c r="K88" s="143"/>
      <c r="L88" s="143"/>
      <c r="M88" s="143"/>
      <c r="N88" s="144" t="s">
        <v>767</v>
      </c>
      <c r="O88" s="145" t="s">
        <v>752</v>
      </c>
      <c r="P88" s="143"/>
      <c r="Q88" s="143"/>
      <c r="R88" s="143"/>
    </row>
    <row r="89" spans="1:18" ht="28.5" customHeight="1">
      <c r="A89" s="143">
        <v>83</v>
      </c>
      <c r="B89" s="143" t="s">
        <v>760</v>
      </c>
      <c r="C89" s="143" t="s">
        <v>836</v>
      </c>
      <c r="D89" s="144" t="s">
        <v>837</v>
      </c>
      <c r="E89" s="148" t="s">
        <v>838</v>
      </c>
      <c r="F89" s="143"/>
      <c r="G89" s="143"/>
      <c r="H89" s="143"/>
      <c r="I89" s="143"/>
      <c r="J89" s="143"/>
      <c r="K89" s="143"/>
      <c r="L89" s="143"/>
      <c r="M89" s="143"/>
      <c r="N89" s="143" t="s">
        <v>839</v>
      </c>
      <c r="O89" s="151" t="s">
        <v>836</v>
      </c>
      <c r="P89" s="143"/>
      <c r="Q89" s="143"/>
      <c r="R89" s="143"/>
    </row>
    <row r="90" spans="1:18" ht="28.5" customHeight="1">
      <c r="A90" s="143">
        <v>84</v>
      </c>
      <c r="B90" s="143" t="s">
        <v>760</v>
      </c>
      <c r="C90" s="143" t="s">
        <v>802</v>
      </c>
      <c r="D90" s="144" t="s">
        <v>837</v>
      </c>
      <c r="E90" s="144" t="s">
        <v>840</v>
      </c>
      <c r="F90" s="143"/>
      <c r="G90" s="143"/>
      <c r="H90" s="143"/>
      <c r="I90" s="143"/>
      <c r="J90" s="143"/>
      <c r="K90" s="143"/>
      <c r="L90" s="143"/>
      <c r="M90" s="143"/>
      <c r="N90" s="144" t="s">
        <v>841</v>
      </c>
      <c r="O90" s="151" t="s">
        <v>805</v>
      </c>
      <c r="P90" s="143"/>
      <c r="Q90" s="143"/>
      <c r="R90" s="143"/>
    </row>
    <row r="91" spans="1:18" ht="14.25" customHeight="1">
      <c r="A91" s="143">
        <v>85</v>
      </c>
      <c r="B91" s="143" t="s">
        <v>760</v>
      </c>
      <c r="C91" s="143" t="s">
        <v>783</v>
      </c>
      <c r="D91" s="144" t="s">
        <v>837</v>
      </c>
      <c r="E91" s="144" t="s">
        <v>842</v>
      </c>
      <c r="F91" s="143"/>
      <c r="G91" s="143"/>
      <c r="H91" s="143"/>
      <c r="I91" s="143"/>
      <c r="J91" s="143"/>
      <c r="K91" s="143"/>
      <c r="L91" s="143"/>
      <c r="M91" s="143"/>
      <c r="N91" s="143" t="s">
        <v>843</v>
      </c>
      <c r="O91" s="151" t="s">
        <v>783</v>
      </c>
      <c r="P91" s="143"/>
      <c r="Q91" s="143"/>
      <c r="R91" s="143"/>
    </row>
    <row r="92" spans="1:18" ht="28.5" customHeight="1">
      <c r="A92" s="143">
        <v>86</v>
      </c>
      <c r="B92" s="143" t="s">
        <v>760</v>
      </c>
      <c r="C92" s="143" t="s">
        <v>748</v>
      </c>
      <c r="D92" s="144" t="s">
        <v>844</v>
      </c>
      <c r="E92" s="144" t="s">
        <v>845</v>
      </c>
      <c r="F92" s="143"/>
      <c r="G92" s="143"/>
      <c r="H92" s="143"/>
      <c r="I92" s="143"/>
      <c r="J92" s="143"/>
      <c r="K92" s="143"/>
      <c r="L92" s="143"/>
      <c r="M92" s="143"/>
      <c r="N92" s="144" t="s">
        <v>767</v>
      </c>
      <c r="O92" s="145" t="s">
        <v>752</v>
      </c>
      <c r="P92" s="143"/>
      <c r="Q92" s="143"/>
      <c r="R92" s="143"/>
    </row>
    <row r="93" spans="1:18" ht="14.25" customHeight="1">
      <c r="A93" s="143">
        <v>87</v>
      </c>
      <c r="B93" s="143" t="s">
        <v>846</v>
      </c>
      <c r="C93" s="143" t="s">
        <v>847</v>
      </c>
      <c r="D93" s="144" t="s">
        <v>848</v>
      </c>
      <c r="E93" s="148" t="s">
        <v>849</v>
      </c>
      <c r="F93" s="143"/>
      <c r="G93" s="143"/>
      <c r="H93" s="143"/>
      <c r="I93" s="143"/>
      <c r="J93" s="143"/>
      <c r="K93" s="143"/>
      <c r="L93" s="143"/>
      <c r="M93" s="143"/>
      <c r="N93" s="143" t="s">
        <v>850</v>
      </c>
      <c r="O93" s="151" t="s">
        <v>851</v>
      </c>
      <c r="P93" s="143"/>
      <c r="Q93" s="143"/>
      <c r="R93" s="143"/>
    </row>
    <row r="94" spans="1:18" ht="14.25" customHeight="1">
      <c r="A94" s="143">
        <v>88</v>
      </c>
      <c r="B94" s="143" t="s">
        <v>846</v>
      </c>
      <c r="C94" s="143" t="s">
        <v>847</v>
      </c>
      <c r="D94" s="144" t="s">
        <v>848</v>
      </c>
      <c r="E94" s="148" t="s">
        <v>852</v>
      </c>
      <c r="F94" s="143"/>
      <c r="G94" s="143"/>
      <c r="H94" s="143"/>
      <c r="I94" s="143"/>
      <c r="J94" s="143"/>
      <c r="K94" s="143"/>
      <c r="L94" s="143"/>
      <c r="M94" s="143"/>
      <c r="N94" s="143" t="s">
        <v>850</v>
      </c>
      <c r="O94" s="151" t="s">
        <v>851</v>
      </c>
      <c r="P94" s="143"/>
      <c r="Q94" s="143"/>
      <c r="R94" s="143"/>
    </row>
    <row r="95" spans="1:18" ht="28.5" customHeight="1">
      <c r="A95" s="143">
        <v>89</v>
      </c>
      <c r="B95" s="143" t="s">
        <v>846</v>
      </c>
      <c r="C95" s="143" t="s">
        <v>853</v>
      </c>
      <c r="D95" s="144" t="s">
        <v>854</v>
      </c>
      <c r="E95" s="148" t="s">
        <v>855</v>
      </c>
      <c r="F95" s="143"/>
      <c r="G95" s="143"/>
      <c r="H95" s="143"/>
      <c r="I95" s="143"/>
      <c r="J95" s="143"/>
      <c r="K95" s="143"/>
      <c r="L95" s="143"/>
      <c r="M95" s="143"/>
      <c r="N95" s="143" t="s">
        <v>856</v>
      </c>
      <c r="O95" s="151" t="s">
        <v>856</v>
      </c>
      <c r="P95" s="143"/>
      <c r="Q95" s="143"/>
      <c r="R95" s="143"/>
    </row>
    <row r="96" spans="1:18" ht="28.5" customHeight="1">
      <c r="A96" s="143">
        <v>90</v>
      </c>
      <c r="B96" s="143" t="s">
        <v>846</v>
      </c>
      <c r="C96" s="143" t="s">
        <v>847</v>
      </c>
      <c r="D96" s="144" t="s">
        <v>854</v>
      </c>
      <c r="E96" s="148" t="s">
        <v>857</v>
      </c>
      <c r="F96" s="143"/>
      <c r="G96" s="143"/>
      <c r="H96" s="143"/>
      <c r="I96" s="143"/>
      <c r="J96" s="143"/>
      <c r="K96" s="143"/>
      <c r="L96" s="143"/>
      <c r="M96" s="143"/>
      <c r="N96" s="143" t="s">
        <v>858</v>
      </c>
      <c r="O96" s="151" t="s">
        <v>851</v>
      </c>
      <c r="P96" s="143"/>
      <c r="Q96" s="143"/>
      <c r="R96" s="143"/>
    </row>
    <row r="97" spans="1:18" ht="87" customHeight="1">
      <c r="A97" s="143">
        <v>91</v>
      </c>
      <c r="B97" s="143" t="s">
        <v>846</v>
      </c>
      <c r="C97" s="143" t="s">
        <v>714</v>
      </c>
      <c r="D97" s="144" t="s">
        <v>854</v>
      </c>
      <c r="E97" s="144" t="s">
        <v>859</v>
      </c>
      <c r="F97" s="143"/>
      <c r="G97" s="143"/>
      <c r="H97" s="143"/>
      <c r="I97" s="143"/>
      <c r="J97" s="143"/>
      <c r="K97" s="143"/>
      <c r="L97" s="143"/>
      <c r="M97" s="143"/>
      <c r="N97" s="144" t="s">
        <v>860</v>
      </c>
      <c r="O97" s="151" t="s">
        <v>717</v>
      </c>
      <c r="P97" s="143"/>
      <c r="Q97" s="143"/>
      <c r="R97" s="143"/>
    </row>
    <row r="98" spans="1:18" ht="28.5" customHeight="1">
      <c r="A98" s="143">
        <v>92</v>
      </c>
      <c r="B98" s="143" t="s">
        <v>846</v>
      </c>
      <c r="C98" s="143"/>
      <c r="D98" s="144" t="s">
        <v>861</v>
      </c>
      <c r="E98" s="148" t="s">
        <v>862</v>
      </c>
      <c r="F98" s="143"/>
      <c r="G98" s="143"/>
      <c r="H98" s="143"/>
      <c r="I98" s="143"/>
      <c r="J98" s="143"/>
      <c r="K98" s="143"/>
      <c r="L98" s="143"/>
      <c r="M98" s="143"/>
      <c r="N98" s="144" t="s">
        <v>816</v>
      </c>
      <c r="O98" s="145" t="s">
        <v>863</v>
      </c>
      <c r="P98" s="143"/>
      <c r="Q98" s="143"/>
      <c r="R98" s="143"/>
    </row>
    <row r="99" spans="1:18" ht="28.5" customHeight="1">
      <c r="A99" s="143">
        <v>93</v>
      </c>
      <c r="B99" s="143" t="s">
        <v>846</v>
      </c>
      <c r="C99" s="143"/>
      <c r="D99" s="144" t="s">
        <v>861</v>
      </c>
      <c r="E99" s="148" t="s">
        <v>864</v>
      </c>
      <c r="F99" s="143"/>
      <c r="G99" s="143"/>
      <c r="H99" s="143"/>
      <c r="I99" s="143"/>
      <c r="J99" s="143"/>
      <c r="K99" s="143"/>
      <c r="L99" s="143"/>
      <c r="M99" s="143"/>
      <c r="N99" s="144" t="s">
        <v>816</v>
      </c>
      <c r="O99" s="145" t="s">
        <v>863</v>
      </c>
      <c r="P99" s="143"/>
      <c r="Q99" s="143"/>
      <c r="R99" s="143"/>
    </row>
    <row r="100" spans="1:18" ht="43.5" customHeight="1">
      <c r="A100" s="143">
        <v>94</v>
      </c>
      <c r="B100" s="143" t="s">
        <v>846</v>
      </c>
      <c r="C100" s="143"/>
      <c r="D100" s="144" t="s">
        <v>861</v>
      </c>
      <c r="E100" s="154" t="s">
        <v>865</v>
      </c>
      <c r="F100" s="143"/>
      <c r="G100" s="143"/>
      <c r="H100" s="143"/>
      <c r="I100" s="143"/>
      <c r="J100" s="143"/>
      <c r="K100" s="143"/>
      <c r="L100" s="143"/>
      <c r="M100" s="143"/>
      <c r="N100" s="144" t="s">
        <v>816</v>
      </c>
      <c r="O100" s="145" t="s">
        <v>863</v>
      </c>
      <c r="P100" s="143"/>
      <c r="Q100" s="143"/>
      <c r="R100" s="143"/>
    </row>
    <row r="101" spans="1:18" ht="72" customHeight="1">
      <c r="A101" s="143">
        <v>95</v>
      </c>
      <c r="B101" s="143" t="s">
        <v>846</v>
      </c>
      <c r="C101" s="143"/>
      <c r="D101" s="144" t="s">
        <v>861</v>
      </c>
      <c r="E101" s="154" t="s">
        <v>866</v>
      </c>
      <c r="F101" s="143"/>
      <c r="G101" s="143"/>
      <c r="H101" s="143"/>
      <c r="I101" s="143"/>
      <c r="J101" s="143"/>
      <c r="K101" s="143"/>
      <c r="L101" s="143"/>
      <c r="M101" s="143"/>
      <c r="N101" s="144" t="s">
        <v>816</v>
      </c>
      <c r="O101" s="145" t="s">
        <v>863</v>
      </c>
      <c r="P101" s="143"/>
      <c r="Q101" s="143"/>
      <c r="R101" s="143"/>
    </row>
    <row r="102" spans="1:18" ht="14.25" customHeight="1">
      <c r="A102" s="143">
        <v>96</v>
      </c>
      <c r="B102" s="143" t="s">
        <v>846</v>
      </c>
      <c r="C102" s="143" t="s">
        <v>867</v>
      </c>
      <c r="D102" s="144" t="s">
        <v>868</v>
      </c>
      <c r="E102" s="148" t="s">
        <v>869</v>
      </c>
      <c r="F102" s="143"/>
      <c r="G102" s="143"/>
      <c r="H102" s="143"/>
      <c r="I102" s="143"/>
      <c r="J102" s="143"/>
      <c r="K102" s="143"/>
      <c r="L102" s="143"/>
      <c r="M102" s="143"/>
      <c r="N102" s="143" t="s">
        <v>870</v>
      </c>
      <c r="O102" s="151" t="s">
        <v>870</v>
      </c>
      <c r="P102" s="143"/>
      <c r="Q102" s="143"/>
      <c r="R102" s="143"/>
    </row>
    <row r="103" spans="1:18" ht="14.25" customHeight="1">
      <c r="A103" s="143">
        <v>97</v>
      </c>
      <c r="B103" s="143" t="s">
        <v>846</v>
      </c>
      <c r="C103" s="143" t="s">
        <v>867</v>
      </c>
      <c r="D103" s="144" t="s">
        <v>868</v>
      </c>
      <c r="E103" s="148" t="s">
        <v>871</v>
      </c>
      <c r="F103" s="143"/>
      <c r="G103" s="143"/>
      <c r="H103" s="143"/>
      <c r="I103" s="143"/>
      <c r="J103" s="143"/>
      <c r="K103" s="143"/>
      <c r="L103" s="143"/>
      <c r="M103" s="143"/>
      <c r="N103" s="143" t="s">
        <v>870</v>
      </c>
      <c r="O103" s="151" t="s">
        <v>870</v>
      </c>
      <c r="P103" s="143"/>
      <c r="Q103" s="143"/>
      <c r="R103" s="143"/>
    </row>
    <row r="104" spans="1:18" ht="14.25" customHeight="1">
      <c r="A104" s="143">
        <v>98</v>
      </c>
      <c r="B104" s="143" t="s">
        <v>846</v>
      </c>
      <c r="C104" s="143" t="s">
        <v>867</v>
      </c>
      <c r="D104" s="144" t="s">
        <v>868</v>
      </c>
      <c r="E104" s="148" t="s">
        <v>872</v>
      </c>
      <c r="F104" s="143"/>
      <c r="G104" s="143"/>
      <c r="H104" s="143"/>
      <c r="I104" s="143"/>
      <c r="J104" s="143"/>
      <c r="K104" s="143"/>
      <c r="L104" s="143"/>
      <c r="M104" s="143"/>
      <c r="N104" s="143" t="s">
        <v>870</v>
      </c>
      <c r="O104" s="151" t="s">
        <v>870</v>
      </c>
      <c r="P104" s="143"/>
      <c r="Q104" s="143"/>
      <c r="R104" s="143"/>
    </row>
    <row r="105" spans="1:18" ht="14.25" customHeight="1">
      <c r="A105" s="143">
        <v>99</v>
      </c>
      <c r="B105" s="143" t="s">
        <v>873</v>
      </c>
      <c r="C105" s="143" t="s">
        <v>696</v>
      </c>
      <c r="D105" s="144" t="s">
        <v>874</v>
      </c>
      <c r="E105" s="148" t="s">
        <v>875</v>
      </c>
      <c r="F105" s="143"/>
      <c r="G105" s="143"/>
      <c r="H105" s="143"/>
      <c r="I105" s="143"/>
      <c r="J105" s="143"/>
      <c r="K105" s="143"/>
      <c r="L105" s="143"/>
      <c r="M105" s="143"/>
      <c r="N105" s="144" t="s">
        <v>781</v>
      </c>
      <c r="O105" s="145" t="s">
        <v>700</v>
      </c>
      <c r="P105" s="143"/>
      <c r="Q105" s="143"/>
      <c r="R105" s="143"/>
    </row>
    <row r="106" spans="1:18" ht="28.5" customHeight="1">
      <c r="A106" s="143">
        <v>100</v>
      </c>
      <c r="B106" s="143" t="s">
        <v>873</v>
      </c>
      <c r="C106" s="143" t="s">
        <v>696</v>
      </c>
      <c r="D106" s="144" t="s">
        <v>874</v>
      </c>
      <c r="E106" s="148" t="s">
        <v>876</v>
      </c>
      <c r="F106" s="143"/>
      <c r="G106" s="143"/>
      <c r="H106" s="143"/>
      <c r="I106" s="143"/>
      <c r="J106" s="143"/>
      <c r="K106" s="143"/>
      <c r="L106" s="143"/>
      <c r="M106" s="143"/>
      <c r="N106" s="144" t="s">
        <v>781</v>
      </c>
      <c r="O106" s="145" t="s">
        <v>700</v>
      </c>
      <c r="P106" s="143"/>
      <c r="Q106" s="143"/>
      <c r="R106" s="143"/>
    </row>
    <row r="107" spans="1:18" ht="14.25" customHeight="1">
      <c r="A107" s="143">
        <v>101</v>
      </c>
      <c r="B107" s="143" t="s">
        <v>873</v>
      </c>
      <c r="C107" s="143" t="s">
        <v>748</v>
      </c>
      <c r="D107" s="144" t="s">
        <v>877</v>
      </c>
      <c r="E107" s="148" t="s">
        <v>878</v>
      </c>
      <c r="F107" s="143"/>
      <c r="G107" s="143"/>
      <c r="H107" s="143"/>
      <c r="I107" s="143"/>
      <c r="J107" s="143"/>
      <c r="K107" s="143"/>
      <c r="L107" s="143"/>
      <c r="M107" s="143"/>
      <c r="N107" s="144" t="s">
        <v>781</v>
      </c>
      <c r="O107" s="145" t="s">
        <v>752</v>
      </c>
      <c r="P107" s="143"/>
      <c r="Q107" s="143"/>
      <c r="R107" s="143"/>
    </row>
    <row r="108" spans="1:18" ht="14.25" customHeight="1">
      <c r="A108" s="143">
        <v>102</v>
      </c>
      <c r="B108" s="143" t="s">
        <v>873</v>
      </c>
      <c r="C108" s="143" t="s">
        <v>696</v>
      </c>
      <c r="D108" s="144" t="s">
        <v>877</v>
      </c>
      <c r="E108" s="144" t="s">
        <v>879</v>
      </c>
      <c r="F108" s="143"/>
      <c r="G108" s="143"/>
      <c r="H108" s="143"/>
      <c r="I108" s="143"/>
      <c r="J108" s="143"/>
      <c r="K108" s="143"/>
      <c r="L108" s="143"/>
      <c r="M108" s="143"/>
      <c r="N108" s="144" t="s">
        <v>781</v>
      </c>
      <c r="O108" s="145" t="s">
        <v>700</v>
      </c>
      <c r="P108" s="143"/>
      <c r="Q108" s="143"/>
      <c r="R108" s="143"/>
    </row>
    <row r="109" spans="1:18" ht="28.5" customHeight="1">
      <c r="A109" s="143">
        <v>103</v>
      </c>
      <c r="B109" s="143" t="s">
        <v>880</v>
      </c>
      <c r="C109" s="143" t="s">
        <v>881</v>
      </c>
      <c r="D109" s="144" t="s">
        <v>882</v>
      </c>
      <c r="E109" s="148" t="s">
        <v>883</v>
      </c>
      <c r="F109" s="143"/>
      <c r="G109" s="143"/>
      <c r="H109" s="143"/>
      <c r="I109" s="143"/>
      <c r="J109" s="143"/>
      <c r="K109" s="143"/>
      <c r="L109" s="143"/>
      <c r="M109" s="143"/>
      <c r="N109" s="143" t="s">
        <v>711</v>
      </c>
      <c r="O109" s="151" t="s">
        <v>881</v>
      </c>
      <c r="P109" s="143"/>
      <c r="Q109" s="143"/>
      <c r="R109" s="143"/>
    </row>
    <row r="110" spans="1:18" ht="14.25" customHeight="1">
      <c r="A110" s="143">
        <v>104</v>
      </c>
      <c r="B110" s="143" t="s">
        <v>880</v>
      </c>
      <c r="C110" s="143" t="s">
        <v>696</v>
      </c>
      <c r="D110" s="144" t="s">
        <v>882</v>
      </c>
      <c r="E110" s="148" t="s">
        <v>884</v>
      </c>
      <c r="F110" s="143"/>
      <c r="G110" s="143"/>
      <c r="H110" s="143"/>
      <c r="I110" s="143"/>
      <c r="J110" s="143"/>
      <c r="K110" s="143"/>
      <c r="L110" s="143"/>
      <c r="M110" s="143"/>
      <c r="N110" s="144" t="s">
        <v>781</v>
      </c>
      <c r="O110" s="145" t="s">
        <v>700</v>
      </c>
      <c r="P110" s="143"/>
      <c r="Q110" s="143"/>
      <c r="R110" s="143"/>
    </row>
    <row r="111" spans="1:18" ht="43.5" customHeight="1">
      <c r="A111" s="143">
        <v>105</v>
      </c>
      <c r="B111" s="143" t="s">
        <v>880</v>
      </c>
      <c r="C111" s="143" t="s">
        <v>756</v>
      </c>
      <c r="D111" s="144" t="s">
        <v>885</v>
      </c>
      <c r="E111" s="148" t="s">
        <v>886</v>
      </c>
      <c r="F111" s="143"/>
      <c r="G111" s="143"/>
      <c r="H111" s="143"/>
      <c r="I111" s="143"/>
      <c r="J111" s="143"/>
      <c r="K111" s="143"/>
      <c r="L111" s="143"/>
      <c r="M111" s="143"/>
      <c r="N111" s="143" t="s">
        <v>887</v>
      </c>
      <c r="O111" s="151" t="s">
        <v>756</v>
      </c>
      <c r="P111" s="143"/>
      <c r="Q111" s="143"/>
      <c r="R111" s="143"/>
    </row>
    <row r="112" spans="1:18" ht="14.25" customHeight="1">
      <c r="A112" s="143">
        <v>106</v>
      </c>
      <c r="B112" s="143" t="s">
        <v>880</v>
      </c>
      <c r="C112" s="143"/>
      <c r="D112" s="144" t="s">
        <v>885</v>
      </c>
      <c r="E112" s="148" t="s">
        <v>888</v>
      </c>
      <c r="F112" s="143"/>
      <c r="G112" s="143"/>
      <c r="H112" s="143"/>
      <c r="I112" s="143"/>
      <c r="J112" s="143"/>
      <c r="K112" s="143"/>
      <c r="L112" s="143"/>
      <c r="M112" s="143"/>
      <c r="N112" s="143" t="s">
        <v>889</v>
      </c>
      <c r="O112" s="151" t="s">
        <v>890</v>
      </c>
      <c r="P112" s="143"/>
      <c r="Q112" s="143"/>
      <c r="R112" s="143"/>
    </row>
    <row r="113" spans="1:18" ht="14.25" customHeight="1">
      <c r="A113" s="143">
        <v>107</v>
      </c>
      <c r="B113" s="143" t="s">
        <v>880</v>
      </c>
      <c r="C113" s="143" t="s">
        <v>891</v>
      </c>
      <c r="D113" s="144" t="s">
        <v>885</v>
      </c>
      <c r="E113" s="148" t="s">
        <v>892</v>
      </c>
      <c r="F113" s="143"/>
      <c r="G113" s="143"/>
      <c r="H113" s="143"/>
      <c r="I113" s="143"/>
      <c r="J113" s="143"/>
      <c r="K113" s="143"/>
      <c r="L113" s="143"/>
      <c r="M113" s="143"/>
      <c r="N113" s="143" t="s">
        <v>893</v>
      </c>
      <c r="O113" s="145" t="s">
        <v>894</v>
      </c>
      <c r="P113" s="143"/>
      <c r="Q113" s="143"/>
      <c r="R113" s="143"/>
    </row>
    <row r="114" spans="1:18" ht="28.5" customHeight="1">
      <c r="A114" s="143">
        <v>108</v>
      </c>
      <c r="B114" s="143" t="s">
        <v>880</v>
      </c>
      <c r="C114" s="143" t="s">
        <v>802</v>
      </c>
      <c r="D114" s="144" t="s">
        <v>885</v>
      </c>
      <c r="E114" s="148" t="s">
        <v>895</v>
      </c>
      <c r="F114" s="143"/>
      <c r="G114" s="143"/>
      <c r="H114" s="143"/>
      <c r="I114" s="143"/>
      <c r="J114" s="143"/>
      <c r="K114" s="143"/>
      <c r="L114" s="143"/>
      <c r="M114" s="143"/>
      <c r="N114" s="144" t="s">
        <v>841</v>
      </c>
      <c r="O114" s="151" t="s">
        <v>805</v>
      </c>
      <c r="P114" s="143"/>
      <c r="Q114" s="143"/>
      <c r="R114" s="143"/>
    </row>
    <row r="115" spans="1:18" ht="28.5" customHeight="1">
      <c r="A115" s="143">
        <v>109</v>
      </c>
      <c r="B115" s="143" t="s">
        <v>880</v>
      </c>
      <c r="C115" s="143" t="s">
        <v>896</v>
      </c>
      <c r="D115" s="144" t="s">
        <v>885</v>
      </c>
      <c r="E115" s="144" t="s">
        <v>897</v>
      </c>
      <c r="F115" s="143"/>
      <c r="G115" s="143"/>
      <c r="H115" s="143"/>
      <c r="I115" s="143"/>
      <c r="J115" s="143"/>
      <c r="K115" s="143"/>
      <c r="L115" s="143"/>
      <c r="M115" s="143"/>
      <c r="N115" s="143" t="s">
        <v>898</v>
      </c>
      <c r="O115" s="151" t="s">
        <v>896</v>
      </c>
      <c r="P115" s="143"/>
      <c r="Q115" s="143"/>
      <c r="R115" s="143"/>
    </row>
    <row r="116" spans="1:18" ht="14.25" customHeight="1">
      <c r="A116" s="143">
        <v>110</v>
      </c>
      <c r="B116" s="143" t="s">
        <v>880</v>
      </c>
      <c r="C116" s="143" t="s">
        <v>896</v>
      </c>
      <c r="D116" s="144" t="s">
        <v>885</v>
      </c>
      <c r="E116" s="144" t="s">
        <v>899</v>
      </c>
      <c r="F116" s="143"/>
      <c r="G116" s="143"/>
      <c r="H116" s="143"/>
      <c r="I116" s="143"/>
      <c r="J116" s="143"/>
      <c r="K116" s="143"/>
      <c r="L116" s="143"/>
      <c r="M116" s="143"/>
      <c r="N116" s="143" t="s">
        <v>898</v>
      </c>
      <c r="O116" s="151" t="s">
        <v>896</v>
      </c>
      <c r="P116" s="143"/>
      <c r="Q116" s="143"/>
      <c r="R116" s="143"/>
    </row>
    <row r="117" spans="1:18" ht="28.5" customHeight="1">
      <c r="A117" s="143">
        <v>111</v>
      </c>
      <c r="B117" s="143" t="s">
        <v>880</v>
      </c>
      <c r="C117" s="143" t="s">
        <v>896</v>
      </c>
      <c r="D117" s="144" t="s">
        <v>885</v>
      </c>
      <c r="E117" s="144" t="s">
        <v>900</v>
      </c>
      <c r="F117" s="143"/>
      <c r="G117" s="143"/>
      <c r="H117" s="143"/>
      <c r="I117" s="143"/>
      <c r="J117" s="143"/>
      <c r="K117" s="143"/>
      <c r="L117" s="143"/>
      <c r="M117" s="143"/>
      <c r="N117" s="143" t="s">
        <v>898</v>
      </c>
      <c r="O117" s="151" t="s">
        <v>896</v>
      </c>
      <c r="P117" s="143"/>
      <c r="Q117" s="143"/>
      <c r="R117" s="143"/>
    </row>
    <row r="118" spans="1:18" ht="14.25" customHeight="1">
      <c r="A118" s="143">
        <v>112</v>
      </c>
      <c r="B118" s="143" t="s">
        <v>880</v>
      </c>
      <c r="C118" s="143" t="s">
        <v>696</v>
      </c>
      <c r="D118" s="144" t="s">
        <v>901</v>
      </c>
      <c r="E118" s="148" t="s">
        <v>902</v>
      </c>
      <c r="F118" s="143"/>
      <c r="G118" s="143"/>
      <c r="H118" s="143"/>
      <c r="I118" s="143"/>
      <c r="J118" s="143"/>
      <c r="K118" s="143"/>
      <c r="L118" s="143"/>
      <c r="M118" s="143"/>
      <c r="N118" s="144" t="s">
        <v>903</v>
      </c>
      <c r="O118" s="145" t="s">
        <v>700</v>
      </c>
      <c r="P118" s="143"/>
      <c r="Q118" s="143"/>
      <c r="R118" s="143"/>
    </row>
    <row r="119" spans="1:18" ht="28.5" customHeight="1">
      <c r="A119" s="143">
        <v>112</v>
      </c>
      <c r="B119" s="143" t="s">
        <v>880</v>
      </c>
      <c r="C119" s="143" t="s">
        <v>853</v>
      </c>
      <c r="D119" s="144" t="s">
        <v>901</v>
      </c>
      <c r="E119" s="148" t="s">
        <v>904</v>
      </c>
      <c r="F119" s="143"/>
      <c r="G119" s="143"/>
      <c r="H119" s="143"/>
      <c r="I119" s="143"/>
      <c r="J119" s="143"/>
      <c r="K119" s="143"/>
      <c r="L119" s="143"/>
      <c r="M119" s="143"/>
      <c r="N119" s="144" t="s">
        <v>905</v>
      </c>
      <c r="O119" s="145" t="s">
        <v>819</v>
      </c>
      <c r="P119" s="143"/>
      <c r="Q119" s="143"/>
      <c r="R119" s="143"/>
    </row>
    <row r="120" spans="1:18" ht="28.5" customHeight="1">
      <c r="A120" s="143">
        <v>113</v>
      </c>
      <c r="B120" s="143" t="s">
        <v>880</v>
      </c>
      <c r="C120" s="143" t="s">
        <v>891</v>
      </c>
      <c r="D120" s="144" t="s">
        <v>901</v>
      </c>
      <c r="E120" s="148" t="s">
        <v>906</v>
      </c>
      <c r="F120" s="143"/>
      <c r="G120" s="143"/>
      <c r="H120" s="143"/>
      <c r="I120" s="143"/>
      <c r="J120" s="143"/>
      <c r="K120" s="143"/>
      <c r="L120" s="143"/>
      <c r="M120" s="143"/>
      <c r="N120" s="144" t="s">
        <v>907</v>
      </c>
      <c r="O120" s="145" t="s">
        <v>894</v>
      </c>
      <c r="P120" s="143"/>
      <c r="Q120" s="143"/>
      <c r="R120" s="143"/>
    </row>
    <row r="121" spans="1:18" ht="28.5" customHeight="1">
      <c r="A121" s="143">
        <v>114</v>
      </c>
      <c r="B121" s="143" t="s">
        <v>880</v>
      </c>
      <c r="C121" s="143" t="s">
        <v>891</v>
      </c>
      <c r="D121" s="144" t="s">
        <v>908</v>
      </c>
      <c r="E121" s="148" t="s">
        <v>909</v>
      </c>
      <c r="F121" s="143"/>
      <c r="G121" s="143"/>
      <c r="H121" s="143"/>
      <c r="I121" s="143"/>
      <c r="J121" s="143"/>
      <c r="K121" s="143"/>
      <c r="L121" s="143"/>
      <c r="M121" s="143"/>
      <c r="N121" s="144" t="s">
        <v>907</v>
      </c>
      <c r="O121" s="145" t="s">
        <v>894</v>
      </c>
      <c r="P121" s="143"/>
      <c r="Q121" s="143"/>
      <c r="R121" s="143"/>
    </row>
    <row r="122" spans="1:18" ht="14.25" customHeight="1">
      <c r="A122" s="143">
        <v>115</v>
      </c>
      <c r="B122" s="143" t="s">
        <v>880</v>
      </c>
      <c r="C122" s="143" t="s">
        <v>696</v>
      </c>
      <c r="D122" s="144" t="s">
        <v>908</v>
      </c>
      <c r="E122" s="148" t="s">
        <v>910</v>
      </c>
      <c r="F122" s="143"/>
      <c r="G122" s="143"/>
      <c r="H122" s="143"/>
      <c r="I122" s="143"/>
      <c r="J122" s="143"/>
      <c r="K122" s="143"/>
      <c r="L122" s="143"/>
      <c r="M122" s="143"/>
      <c r="N122" s="143" t="s">
        <v>911</v>
      </c>
      <c r="O122" s="151" t="s">
        <v>700</v>
      </c>
      <c r="P122" s="143"/>
      <c r="Q122" s="143"/>
      <c r="R122" s="143"/>
    </row>
    <row r="123" spans="1:18" ht="28.5" customHeight="1">
      <c r="A123" s="143">
        <v>116</v>
      </c>
      <c r="B123" s="143" t="s">
        <v>880</v>
      </c>
      <c r="C123" s="143"/>
      <c r="D123" s="144" t="s">
        <v>912</v>
      </c>
      <c r="E123" s="148" t="s">
        <v>913</v>
      </c>
      <c r="F123" s="143"/>
      <c r="G123" s="143"/>
      <c r="H123" s="143"/>
      <c r="I123" s="143"/>
      <c r="J123" s="143"/>
      <c r="K123" s="143"/>
      <c r="L123" s="143"/>
      <c r="M123" s="143"/>
      <c r="N123" s="143" t="s">
        <v>914</v>
      </c>
      <c r="O123" s="145" t="s">
        <v>703</v>
      </c>
      <c r="P123" s="143"/>
      <c r="Q123" s="143"/>
      <c r="R123" s="143"/>
    </row>
    <row r="124" spans="1:18" ht="28.5" customHeight="1">
      <c r="A124" s="143">
        <v>117</v>
      </c>
      <c r="B124" s="143" t="s">
        <v>880</v>
      </c>
      <c r="C124" s="143"/>
      <c r="D124" s="144" t="s">
        <v>912</v>
      </c>
      <c r="E124" s="148" t="s">
        <v>915</v>
      </c>
      <c r="F124" s="143"/>
      <c r="G124" s="143"/>
      <c r="H124" s="143"/>
      <c r="I124" s="143"/>
      <c r="J124" s="143"/>
      <c r="K124" s="143"/>
      <c r="L124" s="143"/>
      <c r="M124" s="143"/>
      <c r="N124" s="144" t="s">
        <v>781</v>
      </c>
      <c r="O124" s="145" t="s">
        <v>916</v>
      </c>
      <c r="P124" s="143"/>
      <c r="Q124" s="143"/>
      <c r="R124" s="143"/>
    </row>
    <row r="125" spans="1:18" ht="14.25" customHeight="1">
      <c r="A125" s="143">
        <v>118</v>
      </c>
      <c r="B125" s="143" t="s">
        <v>880</v>
      </c>
      <c r="C125" s="143"/>
      <c r="D125" s="144" t="s">
        <v>912</v>
      </c>
      <c r="E125" s="148" t="s">
        <v>917</v>
      </c>
      <c r="F125" s="143"/>
      <c r="G125" s="143"/>
      <c r="H125" s="143"/>
      <c r="I125" s="143"/>
      <c r="J125" s="143"/>
      <c r="K125" s="143"/>
      <c r="L125" s="143"/>
      <c r="M125" s="143"/>
      <c r="N125" s="144" t="s">
        <v>781</v>
      </c>
      <c r="O125" s="145" t="s">
        <v>916</v>
      </c>
      <c r="P125" s="143"/>
      <c r="Q125" s="143"/>
      <c r="R125" s="143"/>
    </row>
    <row r="126" spans="1:18" ht="14.25" customHeight="1">
      <c r="A126" s="143">
        <v>119</v>
      </c>
      <c r="B126" s="143" t="s">
        <v>880</v>
      </c>
      <c r="C126" s="143"/>
      <c r="D126" s="144" t="s">
        <v>912</v>
      </c>
      <c r="E126" s="144" t="s">
        <v>918</v>
      </c>
      <c r="F126" s="143"/>
      <c r="G126" s="143"/>
      <c r="H126" s="143"/>
      <c r="I126" s="143"/>
      <c r="J126" s="143"/>
      <c r="K126" s="143"/>
      <c r="L126" s="143"/>
      <c r="M126" s="143"/>
      <c r="N126" s="144" t="s">
        <v>781</v>
      </c>
      <c r="O126" s="145" t="s">
        <v>916</v>
      </c>
      <c r="P126" s="143"/>
      <c r="Q126" s="143"/>
      <c r="R126" s="143"/>
    </row>
    <row r="127" spans="1:18" ht="14.25" customHeight="1">
      <c r="A127" s="143">
        <v>120</v>
      </c>
      <c r="B127" s="143" t="s">
        <v>880</v>
      </c>
      <c r="C127" s="143"/>
      <c r="D127" s="144" t="s">
        <v>912</v>
      </c>
      <c r="E127" s="144" t="s">
        <v>919</v>
      </c>
      <c r="F127" s="143"/>
      <c r="G127" s="143"/>
      <c r="H127" s="143"/>
      <c r="I127" s="143"/>
      <c r="J127" s="143"/>
      <c r="K127" s="143"/>
      <c r="L127" s="143"/>
      <c r="M127" s="143"/>
      <c r="N127" s="144" t="s">
        <v>781</v>
      </c>
      <c r="O127" s="145" t="s">
        <v>916</v>
      </c>
      <c r="P127" s="143"/>
      <c r="Q127" s="143"/>
      <c r="R127" s="143"/>
    </row>
    <row r="128" spans="1:18" ht="14.25" customHeight="1">
      <c r="A128" s="143">
        <v>121</v>
      </c>
      <c r="B128" s="143" t="s">
        <v>920</v>
      </c>
      <c r="C128" s="143" t="s">
        <v>891</v>
      </c>
      <c r="D128" s="144" t="s">
        <v>921</v>
      </c>
      <c r="E128" s="144" t="s">
        <v>922</v>
      </c>
      <c r="F128" s="143"/>
      <c r="G128" s="143"/>
      <c r="H128" s="143"/>
      <c r="I128" s="143"/>
      <c r="J128" s="143"/>
      <c r="K128" s="143"/>
      <c r="L128" s="143"/>
      <c r="M128" s="143"/>
      <c r="N128" s="144"/>
      <c r="O128" s="145" t="s">
        <v>894</v>
      </c>
      <c r="P128" s="143"/>
      <c r="Q128" s="143"/>
      <c r="R128" s="143"/>
    </row>
    <row r="129" spans="1:18" ht="14.25" customHeight="1">
      <c r="A129" s="143">
        <v>122</v>
      </c>
      <c r="B129" s="143" t="s">
        <v>920</v>
      </c>
      <c r="C129" s="143" t="s">
        <v>696</v>
      </c>
      <c r="D129" s="144" t="s">
        <v>921</v>
      </c>
      <c r="E129" s="144" t="s">
        <v>923</v>
      </c>
      <c r="F129" s="143"/>
      <c r="G129" s="143"/>
      <c r="H129" s="143"/>
      <c r="I129" s="143"/>
      <c r="J129" s="143"/>
      <c r="K129" s="143"/>
      <c r="L129" s="143"/>
      <c r="M129" s="143"/>
      <c r="N129" s="144"/>
      <c r="O129" s="145" t="s">
        <v>700</v>
      </c>
      <c r="P129" s="143"/>
      <c r="Q129" s="143"/>
      <c r="R129" s="143"/>
    </row>
    <row r="130" spans="1:18" ht="14.25" customHeight="1">
      <c r="A130" s="143">
        <v>123</v>
      </c>
      <c r="B130" s="143" t="s">
        <v>920</v>
      </c>
      <c r="C130" s="143" t="s">
        <v>696</v>
      </c>
      <c r="D130" s="144" t="s">
        <v>924</v>
      </c>
      <c r="E130" s="144" t="s">
        <v>925</v>
      </c>
      <c r="F130" s="143"/>
      <c r="G130" s="143"/>
      <c r="H130" s="143"/>
      <c r="I130" s="143"/>
      <c r="J130" s="143"/>
      <c r="K130" s="143"/>
      <c r="L130" s="143"/>
      <c r="M130" s="143"/>
      <c r="N130" s="144" t="s">
        <v>781</v>
      </c>
      <c r="O130" s="145" t="s">
        <v>700</v>
      </c>
      <c r="P130" s="143"/>
      <c r="Q130" s="143"/>
      <c r="R130" s="143"/>
    </row>
    <row r="131" spans="1:18" ht="28.5" customHeight="1">
      <c r="A131" s="143">
        <v>124</v>
      </c>
      <c r="B131" s="143" t="s">
        <v>926</v>
      </c>
      <c r="C131" s="143"/>
      <c r="D131" s="144" t="s">
        <v>927</v>
      </c>
      <c r="E131" s="148" t="s">
        <v>928</v>
      </c>
      <c r="F131" s="143"/>
      <c r="G131" s="143"/>
      <c r="H131" s="143"/>
      <c r="I131" s="143"/>
      <c r="J131" s="143"/>
      <c r="K131" s="143"/>
      <c r="L131" s="143"/>
      <c r="M131" s="143"/>
      <c r="N131" s="143" t="s">
        <v>914</v>
      </c>
      <c r="O131" s="145" t="s">
        <v>703</v>
      </c>
      <c r="P131" s="143"/>
      <c r="Q131" s="143"/>
      <c r="R131" s="143"/>
    </row>
    <row r="132" spans="1:18" ht="28.5" customHeight="1">
      <c r="A132" s="143">
        <v>125</v>
      </c>
      <c r="B132" s="143" t="s">
        <v>926</v>
      </c>
      <c r="C132" s="143"/>
      <c r="D132" s="144" t="s">
        <v>927</v>
      </c>
      <c r="E132" s="148" t="s">
        <v>929</v>
      </c>
      <c r="F132" s="143"/>
      <c r="G132" s="143"/>
      <c r="H132" s="143"/>
      <c r="I132" s="143"/>
      <c r="J132" s="143"/>
      <c r="K132" s="143"/>
      <c r="L132" s="143"/>
      <c r="M132" s="143"/>
      <c r="N132" s="144" t="s">
        <v>930</v>
      </c>
      <c r="O132" s="145" t="s">
        <v>703</v>
      </c>
      <c r="P132" s="143"/>
      <c r="Q132" s="143"/>
      <c r="R132" s="143"/>
    </row>
    <row r="133" spans="1:18" ht="28.5" customHeight="1">
      <c r="A133" s="143">
        <v>126</v>
      </c>
      <c r="B133" s="143" t="s">
        <v>926</v>
      </c>
      <c r="C133" s="143" t="s">
        <v>891</v>
      </c>
      <c r="D133" s="144" t="s">
        <v>931</v>
      </c>
      <c r="E133" s="148" t="s">
        <v>932</v>
      </c>
      <c r="F133" s="143"/>
      <c r="G133" s="143"/>
      <c r="H133" s="143"/>
      <c r="I133" s="143"/>
      <c r="J133" s="143"/>
      <c r="K133" s="143"/>
      <c r="L133" s="143"/>
      <c r="M133" s="143"/>
      <c r="N133" s="144" t="s">
        <v>907</v>
      </c>
      <c r="O133" s="145" t="s">
        <v>933</v>
      </c>
      <c r="P133" s="143"/>
      <c r="Q133" s="143"/>
      <c r="R133" s="143"/>
    </row>
    <row r="134" spans="1:18" ht="28.5" customHeight="1">
      <c r="A134" s="143">
        <v>127</v>
      </c>
      <c r="B134" s="143" t="s">
        <v>926</v>
      </c>
      <c r="C134" s="143" t="s">
        <v>802</v>
      </c>
      <c r="D134" s="144" t="s">
        <v>931</v>
      </c>
      <c r="E134" s="148" t="s">
        <v>934</v>
      </c>
      <c r="F134" s="143"/>
      <c r="G134" s="143"/>
      <c r="H134" s="143"/>
      <c r="I134" s="143"/>
      <c r="J134" s="143"/>
      <c r="K134" s="143"/>
      <c r="L134" s="143"/>
      <c r="M134" s="143"/>
      <c r="N134" s="144" t="s">
        <v>907</v>
      </c>
      <c r="O134" s="145" t="s">
        <v>805</v>
      </c>
      <c r="P134" s="143"/>
      <c r="Q134" s="143"/>
      <c r="R134" s="143"/>
    </row>
    <row r="135" spans="1:18" ht="28.5" customHeight="1">
      <c r="A135" s="143">
        <v>128</v>
      </c>
      <c r="B135" s="143" t="s">
        <v>926</v>
      </c>
      <c r="C135" s="143" t="s">
        <v>740</v>
      </c>
      <c r="D135" s="144" t="s">
        <v>935</v>
      </c>
      <c r="E135" s="148" t="s">
        <v>936</v>
      </c>
      <c r="F135" s="143"/>
      <c r="G135" s="143"/>
      <c r="H135" s="143"/>
      <c r="I135" s="143"/>
      <c r="J135" s="143"/>
      <c r="K135" s="143"/>
      <c r="L135" s="143"/>
      <c r="M135" s="143"/>
      <c r="N135" s="144" t="s">
        <v>937</v>
      </c>
      <c r="O135" s="145" t="s">
        <v>740</v>
      </c>
      <c r="P135" s="143"/>
      <c r="Q135" s="143"/>
      <c r="R135" s="143"/>
    </row>
    <row r="136" spans="1:18" ht="14.25" customHeight="1">
      <c r="A136" s="143">
        <v>129</v>
      </c>
      <c r="B136" s="143" t="s">
        <v>926</v>
      </c>
      <c r="C136" s="143" t="s">
        <v>853</v>
      </c>
      <c r="D136" s="144" t="s">
        <v>935</v>
      </c>
      <c r="E136" s="148" t="s">
        <v>938</v>
      </c>
      <c r="F136" s="143"/>
      <c r="G136" s="143"/>
      <c r="H136" s="143"/>
      <c r="I136" s="143"/>
      <c r="J136" s="143"/>
      <c r="K136" s="143"/>
      <c r="L136" s="143"/>
      <c r="M136" s="143"/>
      <c r="N136" s="144" t="s">
        <v>939</v>
      </c>
      <c r="O136" s="145" t="s">
        <v>819</v>
      </c>
      <c r="P136" s="143"/>
      <c r="Q136" s="143"/>
      <c r="R136" s="143"/>
    </row>
    <row r="137" spans="1:18" ht="14.25" customHeight="1">
      <c r="A137" s="143">
        <v>130</v>
      </c>
      <c r="B137" s="143" t="s">
        <v>940</v>
      </c>
      <c r="C137" s="143"/>
      <c r="D137" s="144" t="s">
        <v>941</v>
      </c>
      <c r="E137" s="148" t="s">
        <v>942</v>
      </c>
      <c r="F137" s="143"/>
      <c r="G137" s="143"/>
      <c r="H137" s="143"/>
      <c r="I137" s="143"/>
      <c r="J137" s="143"/>
      <c r="K137" s="143"/>
      <c r="L137" s="143"/>
      <c r="M137" s="143"/>
      <c r="N137" s="143"/>
      <c r="O137" s="145" t="s">
        <v>916</v>
      </c>
      <c r="P137" s="143"/>
      <c r="Q137" s="143"/>
      <c r="R137" s="143"/>
    </row>
    <row r="138" spans="1:18" ht="14.25" customHeight="1">
      <c r="A138" s="143">
        <v>131</v>
      </c>
      <c r="B138" s="143" t="s">
        <v>940</v>
      </c>
      <c r="C138" s="143" t="s">
        <v>867</v>
      </c>
      <c r="D138" s="144" t="s">
        <v>941</v>
      </c>
      <c r="E138" s="148" t="s">
        <v>943</v>
      </c>
      <c r="F138" s="143"/>
      <c r="G138" s="143"/>
      <c r="H138" s="143"/>
      <c r="I138" s="143"/>
      <c r="J138" s="143"/>
      <c r="K138" s="143"/>
      <c r="L138" s="143"/>
      <c r="M138" s="143"/>
      <c r="N138" s="143" t="s">
        <v>944</v>
      </c>
      <c r="O138" s="151" t="s">
        <v>870</v>
      </c>
      <c r="P138" s="143"/>
      <c r="Q138" s="143"/>
      <c r="R138" s="143"/>
    </row>
    <row r="139" spans="1:18" ht="14.25" customHeight="1">
      <c r="A139" s="143">
        <v>132</v>
      </c>
      <c r="B139" s="143" t="s">
        <v>940</v>
      </c>
      <c r="C139" s="143"/>
      <c r="D139" s="144" t="s">
        <v>945</v>
      </c>
      <c r="E139" s="148" t="s">
        <v>946</v>
      </c>
      <c r="F139" s="143"/>
      <c r="G139" s="143"/>
      <c r="H139" s="143"/>
      <c r="I139" s="143"/>
      <c r="J139" s="143"/>
      <c r="K139" s="143"/>
      <c r="L139" s="143"/>
      <c r="M139" s="143"/>
      <c r="N139" s="143" t="s">
        <v>947</v>
      </c>
      <c r="O139" s="145" t="s">
        <v>703</v>
      </c>
      <c r="P139" s="143"/>
      <c r="Q139" s="143"/>
      <c r="R139" s="143"/>
    </row>
    <row r="140" spans="1:18" ht="28.5" customHeight="1">
      <c r="A140" s="143">
        <v>133</v>
      </c>
      <c r="B140" s="143" t="s">
        <v>940</v>
      </c>
      <c r="C140" s="143"/>
      <c r="D140" s="144" t="s">
        <v>945</v>
      </c>
      <c r="E140" s="148" t="s">
        <v>948</v>
      </c>
      <c r="F140" s="143"/>
      <c r="G140" s="143"/>
      <c r="H140" s="143"/>
      <c r="I140" s="143"/>
      <c r="J140" s="143"/>
      <c r="K140" s="143"/>
      <c r="L140" s="143"/>
      <c r="M140" s="143"/>
      <c r="N140" s="144" t="s">
        <v>949</v>
      </c>
      <c r="O140" s="145" t="s">
        <v>703</v>
      </c>
      <c r="P140" s="143"/>
      <c r="Q140" s="143"/>
      <c r="R140" s="143"/>
    </row>
    <row r="141" spans="1:18" ht="28.5" customHeight="1">
      <c r="A141" s="143">
        <v>134</v>
      </c>
      <c r="B141" s="143" t="s">
        <v>940</v>
      </c>
      <c r="C141" s="143" t="s">
        <v>802</v>
      </c>
      <c r="D141" s="144" t="s">
        <v>950</v>
      </c>
      <c r="E141" s="148" t="s">
        <v>951</v>
      </c>
      <c r="F141" s="143"/>
      <c r="G141" s="143"/>
      <c r="H141" s="143"/>
      <c r="I141" s="143"/>
      <c r="J141" s="143"/>
      <c r="K141" s="143"/>
      <c r="L141" s="143"/>
      <c r="M141" s="143"/>
      <c r="N141" s="143" t="s">
        <v>911</v>
      </c>
      <c r="O141" s="151" t="s">
        <v>805</v>
      </c>
      <c r="P141" s="143"/>
      <c r="Q141" s="143"/>
      <c r="R141" s="143"/>
    </row>
    <row r="142" spans="1:18" ht="28.5" customHeight="1">
      <c r="A142" s="143">
        <v>135</v>
      </c>
      <c r="B142" s="143" t="s">
        <v>940</v>
      </c>
      <c r="C142" s="143" t="s">
        <v>802</v>
      </c>
      <c r="D142" s="144" t="s">
        <v>950</v>
      </c>
      <c r="E142" s="148" t="s">
        <v>952</v>
      </c>
      <c r="F142" s="143"/>
      <c r="G142" s="143"/>
      <c r="H142" s="143"/>
      <c r="I142" s="143"/>
      <c r="J142" s="143"/>
      <c r="K142" s="143"/>
      <c r="L142" s="143"/>
      <c r="M142" s="143"/>
      <c r="N142" s="143" t="s">
        <v>911</v>
      </c>
      <c r="O142" s="151" t="s">
        <v>805</v>
      </c>
      <c r="P142" s="143"/>
      <c r="Q142" s="143"/>
      <c r="R142" s="143"/>
    </row>
    <row r="143" spans="1:18" ht="28.5" customHeight="1">
      <c r="A143" s="143">
        <v>136</v>
      </c>
      <c r="B143" s="143" t="s">
        <v>940</v>
      </c>
      <c r="C143" s="143" t="s">
        <v>696</v>
      </c>
      <c r="D143" s="144" t="s">
        <v>953</v>
      </c>
      <c r="E143" s="144" t="s">
        <v>954</v>
      </c>
      <c r="F143" s="143"/>
      <c r="G143" s="143"/>
      <c r="H143" s="143"/>
      <c r="I143" s="143"/>
      <c r="J143" s="143"/>
      <c r="K143" s="143"/>
      <c r="L143" s="143"/>
      <c r="M143" s="143"/>
      <c r="N143" s="144" t="s">
        <v>781</v>
      </c>
      <c r="O143" s="145" t="s">
        <v>700</v>
      </c>
      <c r="P143" s="143"/>
      <c r="Q143" s="143"/>
      <c r="R143" s="143"/>
    </row>
    <row r="144" spans="1:18" ht="28.5" customHeight="1">
      <c r="A144" s="143">
        <v>137</v>
      </c>
      <c r="B144" s="143" t="s">
        <v>940</v>
      </c>
      <c r="C144" s="143" t="s">
        <v>696</v>
      </c>
      <c r="D144" s="144" t="s">
        <v>955</v>
      </c>
      <c r="E144" s="148" t="s">
        <v>956</v>
      </c>
      <c r="F144" s="143"/>
      <c r="G144" s="143"/>
      <c r="H144" s="143"/>
      <c r="I144" s="143"/>
      <c r="J144" s="143"/>
      <c r="K144" s="143"/>
      <c r="L144" s="143"/>
      <c r="M144" s="143"/>
      <c r="N144" s="144" t="s">
        <v>781</v>
      </c>
      <c r="O144" s="145" t="s">
        <v>700</v>
      </c>
      <c r="P144" s="143"/>
      <c r="Q144" s="143"/>
      <c r="R144" s="143"/>
    </row>
    <row r="145" spans="1:18" ht="14.25" customHeight="1">
      <c r="A145" s="143">
        <v>138</v>
      </c>
      <c r="B145" s="143" t="s">
        <v>940</v>
      </c>
      <c r="C145" s="143" t="s">
        <v>696</v>
      </c>
      <c r="D145" s="144" t="s">
        <v>955</v>
      </c>
      <c r="E145" s="148" t="s">
        <v>957</v>
      </c>
      <c r="F145" s="143"/>
      <c r="G145" s="143"/>
      <c r="H145" s="143"/>
      <c r="I145" s="143"/>
      <c r="J145" s="143"/>
      <c r="K145" s="143"/>
      <c r="L145" s="143"/>
      <c r="M145" s="143"/>
      <c r="N145" s="144" t="s">
        <v>958</v>
      </c>
      <c r="O145" s="145" t="s">
        <v>700</v>
      </c>
      <c r="P145" s="143"/>
      <c r="Q145" s="143"/>
      <c r="R145" s="143"/>
    </row>
    <row r="146" spans="1:18" ht="14.25" customHeight="1">
      <c r="A146" s="143">
        <v>139</v>
      </c>
      <c r="B146" s="143" t="s">
        <v>959</v>
      </c>
      <c r="C146" s="143" t="s">
        <v>696</v>
      </c>
      <c r="D146" s="144" t="s">
        <v>960</v>
      </c>
      <c r="E146" s="148" t="s">
        <v>961</v>
      </c>
      <c r="F146" s="143"/>
      <c r="G146" s="143"/>
      <c r="H146" s="143"/>
      <c r="I146" s="143"/>
      <c r="J146" s="143"/>
      <c r="K146" s="143"/>
      <c r="L146" s="143"/>
      <c r="M146" s="143"/>
      <c r="N146" s="144" t="s">
        <v>958</v>
      </c>
      <c r="O146" s="145" t="s">
        <v>700</v>
      </c>
      <c r="P146" s="143"/>
      <c r="Q146" s="143"/>
      <c r="R146" s="143"/>
    </row>
    <row r="147" spans="1:18" ht="14.25" customHeight="1">
      <c r="A147" s="143">
        <v>140</v>
      </c>
      <c r="B147" s="143" t="s">
        <v>959</v>
      </c>
      <c r="C147" s="143" t="s">
        <v>696</v>
      </c>
      <c r="D147" s="144" t="s">
        <v>960</v>
      </c>
      <c r="E147" s="148" t="s">
        <v>962</v>
      </c>
      <c r="F147" s="143"/>
      <c r="G147" s="143"/>
      <c r="H147" s="143"/>
      <c r="I147" s="143"/>
      <c r="J147" s="143"/>
      <c r="K147" s="143"/>
      <c r="L147" s="143"/>
      <c r="M147" s="143"/>
      <c r="N147" s="144" t="s">
        <v>958</v>
      </c>
      <c r="O147" s="145" t="s">
        <v>700</v>
      </c>
      <c r="P147" s="143"/>
      <c r="Q147" s="143"/>
      <c r="R147" s="143"/>
    </row>
    <row r="148" spans="1:18" ht="14.25" customHeight="1">
      <c r="A148" s="143">
        <v>141</v>
      </c>
      <c r="B148" s="143" t="s">
        <v>959</v>
      </c>
      <c r="C148" s="143" t="s">
        <v>696</v>
      </c>
      <c r="D148" s="144" t="s">
        <v>960</v>
      </c>
      <c r="E148" s="144" t="s">
        <v>963</v>
      </c>
      <c r="F148" s="143"/>
      <c r="G148" s="143"/>
      <c r="H148" s="143"/>
      <c r="I148" s="143"/>
      <c r="J148" s="143"/>
      <c r="K148" s="143"/>
      <c r="L148" s="143"/>
      <c r="M148" s="143"/>
      <c r="N148" s="144" t="s">
        <v>958</v>
      </c>
      <c r="O148" s="145" t="s">
        <v>700</v>
      </c>
      <c r="P148" s="143"/>
      <c r="Q148" s="143"/>
      <c r="R148" s="143"/>
    </row>
    <row r="149" spans="1:18" ht="14.25" customHeight="1">
      <c r="A149" s="143">
        <v>142</v>
      </c>
      <c r="B149" s="143" t="s">
        <v>959</v>
      </c>
      <c r="C149" s="143" t="s">
        <v>696</v>
      </c>
      <c r="D149" s="144" t="s">
        <v>964</v>
      </c>
      <c r="E149" s="148" t="s">
        <v>965</v>
      </c>
      <c r="F149" s="143"/>
      <c r="G149" s="143"/>
      <c r="H149" s="143"/>
      <c r="I149" s="143"/>
      <c r="J149" s="143"/>
      <c r="K149" s="143"/>
      <c r="L149" s="143"/>
      <c r="M149" s="143"/>
      <c r="N149" s="144" t="s">
        <v>781</v>
      </c>
      <c r="O149" s="145" t="s">
        <v>700</v>
      </c>
      <c r="P149" s="143"/>
      <c r="Q149" s="143"/>
      <c r="R149" s="143"/>
    </row>
    <row r="150" spans="1:18" ht="28.5" customHeight="1">
      <c r="A150" s="143">
        <v>143</v>
      </c>
      <c r="B150" s="143" t="s">
        <v>959</v>
      </c>
      <c r="C150" s="143" t="s">
        <v>696</v>
      </c>
      <c r="D150" s="144" t="s">
        <v>964</v>
      </c>
      <c r="E150" s="148" t="s">
        <v>966</v>
      </c>
      <c r="F150" s="143"/>
      <c r="G150" s="143"/>
      <c r="H150" s="143"/>
      <c r="I150" s="143"/>
      <c r="J150" s="143"/>
      <c r="K150" s="143"/>
      <c r="L150" s="143"/>
      <c r="M150" s="143"/>
      <c r="N150" s="144" t="s">
        <v>781</v>
      </c>
      <c r="O150" s="145" t="s">
        <v>700</v>
      </c>
      <c r="P150" s="143"/>
      <c r="Q150" s="143"/>
      <c r="R150" s="143"/>
    </row>
    <row r="151" spans="1:18" ht="28.5" customHeight="1">
      <c r="A151" s="143">
        <v>144</v>
      </c>
      <c r="B151" s="143" t="s">
        <v>959</v>
      </c>
      <c r="C151" s="143" t="s">
        <v>696</v>
      </c>
      <c r="D151" s="144" t="s">
        <v>967</v>
      </c>
      <c r="E151" s="148" t="s">
        <v>968</v>
      </c>
      <c r="F151" s="143"/>
      <c r="G151" s="143"/>
      <c r="H151" s="143"/>
      <c r="I151" s="143"/>
      <c r="J151" s="143"/>
      <c r="K151" s="143"/>
      <c r="L151" s="143"/>
      <c r="M151" s="143"/>
      <c r="N151" s="144" t="s">
        <v>781</v>
      </c>
      <c r="O151" s="145" t="s">
        <v>700</v>
      </c>
      <c r="P151" s="143"/>
      <c r="Q151" s="143"/>
      <c r="R151" s="143"/>
    </row>
    <row r="152" spans="1:18" ht="28.5" customHeight="1">
      <c r="A152" s="143">
        <v>145</v>
      </c>
      <c r="B152" s="143" t="s">
        <v>959</v>
      </c>
      <c r="C152" s="143" t="s">
        <v>696</v>
      </c>
      <c r="D152" s="144" t="s">
        <v>967</v>
      </c>
      <c r="E152" s="148" t="s">
        <v>969</v>
      </c>
      <c r="F152" s="143"/>
      <c r="G152" s="143"/>
      <c r="H152" s="143"/>
      <c r="I152" s="143"/>
      <c r="J152" s="143"/>
      <c r="K152" s="143"/>
      <c r="L152" s="143"/>
      <c r="M152" s="143"/>
      <c r="N152" s="144" t="s">
        <v>781</v>
      </c>
      <c r="O152" s="145" t="s">
        <v>700</v>
      </c>
      <c r="P152" s="143"/>
      <c r="Q152" s="143"/>
      <c r="R152" s="143"/>
    </row>
    <row r="153" spans="1:18" ht="14.25" customHeight="1">
      <c r="A153" s="143">
        <v>146</v>
      </c>
      <c r="B153" s="143" t="s">
        <v>959</v>
      </c>
      <c r="C153" s="143" t="s">
        <v>696</v>
      </c>
      <c r="D153" s="144" t="s">
        <v>970</v>
      </c>
      <c r="E153" s="148" t="s">
        <v>971</v>
      </c>
      <c r="F153" s="143"/>
      <c r="G153" s="143"/>
      <c r="H153" s="143"/>
      <c r="I153" s="143"/>
      <c r="J153" s="143"/>
      <c r="K153" s="143"/>
      <c r="L153" s="143"/>
      <c r="M153" s="143"/>
      <c r="N153" s="144" t="s">
        <v>781</v>
      </c>
      <c r="O153" s="145" t="s">
        <v>700</v>
      </c>
      <c r="P153" s="143"/>
      <c r="Q153" s="143"/>
      <c r="R153" s="143"/>
    </row>
    <row r="154" spans="1:18" ht="14.25" customHeight="1">
      <c r="A154" s="143">
        <v>147</v>
      </c>
      <c r="B154" s="143" t="s">
        <v>959</v>
      </c>
      <c r="C154" s="143" t="s">
        <v>802</v>
      </c>
      <c r="D154" s="144" t="s">
        <v>970</v>
      </c>
      <c r="E154" s="148" t="s">
        <v>972</v>
      </c>
      <c r="F154" s="143"/>
      <c r="G154" s="143"/>
      <c r="H154" s="143"/>
      <c r="I154" s="143"/>
      <c r="J154" s="143"/>
      <c r="K154" s="143"/>
      <c r="L154" s="143"/>
      <c r="M154" s="143"/>
      <c r="N154" s="143" t="s">
        <v>911</v>
      </c>
      <c r="O154" s="151" t="s">
        <v>805</v>
      </c>
      <c r="P154" s="143"/>
      <c r="Q154" s="143"/>
      <c r="R154" s="143"/>
    </row>
    <row r="155" spans="1:18" ht="14.25" customHeight="1">
      <c r="A155" s="143">
        <v>148</v>
      </c>
      <c r="B155" s="143" t="s">
        <v>959</v>
      </c>
      <c r="C155" s="143" t="s">
        <v>696</v>
      </c>
      <c r="D155" s="144" t="s">
        <v>973</v>
      </c>
      <c r="E155" s="148" t="s">
        <v>974</v>
      </c>
      <c r="F155" s="143"/>
      <c r="G155" s="143"/>
      <c r="H155" s="143"/>
      <c r="I155" s="143"/>
      <c r="J155" s="143"/>
      <c r="K155" s="143"/>
      <c r="L155" s="143"/>
      <c r="M155" s="143"/>
      <c r="N155" s="144" t="s">
        <v>958</v>
      </c>
      <c r="O155" s="145" t="s">
        <v>700</v>
      </c>
      <c r="P155" s="143"/>
      <c r="Q155" s="143"/>
      <c r="R155" s="143"/>
    </row>
    <row r="156" spans="1:18" ht="28.5" customHeight="1">
      <c r="A156" s="143">
        <v>149</v>
      </c>
      <c r="B156" s="143" t="s">
        <v>975</v>
      </c>
      <c r="C156" s="143" t="s">
        <v>802</v>
      </c>
      <c r="D156" s="144" t="s">
        <v>976</v>
      </c>
      <c r="E156" s="148" t="s">
        <v>977</v>
      </c>
      <c r="F156" s="143"/>
      <c r="G156" s="143"/>
      <c r="H156" s="143"/>
      <c r="I156" s="143"/>
      <c r="J156" s="143"/>
      <c r="K156" s="143"/>
      <c r="L156" s="143"/>
      <c r="M156" s="143"/>
      <c r="N156" s="143" t="s">
        <v>911</v>
      </c>
      <c r="O156" s="151" t="s">
        <v>805</v>
      </c>
      <c r="P156" s="143"/>
      <c r="Q156" s="143"/>
      <c r="R156" s="143"/>
    </row>
    <row r="157" spans="1:18" ht="14.25" customHeight="1">
      <c r="A157" s="143">
        <v>150</v>
      </c>
      <c r="B157" s="143" t="s">
        <v>975</v>
      </c>
      <c r="C157" s="143" t="s">
        <v>802</v>
      </c>
      <c r="D157" s="144" t="s">
        <v>976</v>
      </c>
      <c r="E157" s="148" t="s">
        <v>978</v>
      </c>
      <c r="F157" s="143"/>
      <c r="G157" s="143"/>
      <c r="H157" s="143"/>
      <c r="I157" s="143"/>
      <c r="J157" s="143"/>
      <c r="K157" s="143"/>
      <c r="L157" s="143"/>
      <c r="M157" s="143"/>
      <c r="N157" s="143" t="s">
        <v>911</v>
      </c>
      <c r="O157" s="151" t="s">
        <v>805</v>
      </c>
      <c r="P157" s="143"/>
      <c r="Q157" s="143"/>
      <c r="R157" s="143"/>
    </row>
    <row r="158" spans="1:18" ht="14.25" customHeight="1">
      <c r="A158" s="143">
        <v>151</v>
      </c>
      <c r="B158" s="143" t="s">
        <v>975</v>
      </c>
      <c r="C158" s="143" t="s">
        <v>979</v>
      </c>
      <c r="D158" s="144" t="s">
        <v>980</v>
      </c>
      <c r="E158" s="148" t="s">
        <v>981</v>
      </c>
      <c r="F158" s="143"/>
      <c r="G158" s="143"/>
      <c r="H158" s="143"/>
      <c r="I158" s="143"/>
      <c r="J158" s="143"/>
      <c r="K158" s="143"/>
      <c r="L158" s="143"/>
      <c r="M158" s="143"/>
      <c r="N158" s="143" t="s">
        <v>982</v>
      </c>
      <c r="O158" s="151" t="s">
        <v>983</v>
      </c>
      <c r="P158" s="143"/>
      <c r="Q158" s="143"/>
      <c r="R158" s="143"/>
    </row>
    <row r="159" spans="1:18" ht="14.25" customHeight="1">
      <c r="A159" s="143">
        <v>152</v>
      </c>
      <c r="B159" s="143" t="s">
        <v>975</v>
      </c>
      <c r="C159" s="143" t="s">
        <v>696</v>
      </c>
      <c r="D159" s="144" t="s">
        <v>980</v>
      </c>
      <c r="E159" s="148" t="s">
        <v>984</v>
      </c>
      <c r="F159" s="143"/>
      <c r="G159" s="143"/>
      <c r="H159" s="143"/>
      <c r="I159" s="143"/>
      <c r="J159" s="143"/>
      <c r="K159" s="143"/>
      <c r="L159" s="143"/>
      <c r="M159" s="143"/>
      <c r="N159" s="143" t="s">
        <v>982</v>
      </c>
      <c r="O159" s="151" t="s">
        <v>700</v>
      </c>
      <c r="P159" s="143"/>
      <c r="Q159" s="143"/>
      <c r="R159" s="143"/>
    </row>
    <row r="160" spans="1:18" ht="14.25" customHeight="1">
      <c r="A160" s="143">
        <v>153</v>
      </c>
      <c r="B160" s="143" t="s">
        <v>985</v>
      </c>
      <c r="C160" s="143" t="s">
        <v>836</v>
      </c>
      <c r="D160" s="144" t="s">
        <v>986</v>
      </c>
      <c r="E160" s="144" t="s">
        <v>987</v>
      </c>
      <c r="F160" s="143"/>
      <c r="G160" s="143"/>
      <c r="H160" s="143"/>
      <c r="I160" s="143"/>
      <c r="J160" s="143"/>
      <c r="K160" s="143"/>
      <c r="L160" s="143"/>
      <c r="M160" s="143"/>
      <c r="N160" s="144" t="s">
        <v>839</v>
      </c>
      <c r="O160" s="151" t="s">
        <v>836</v>
      </c>
      <c r="P160" s="143"/>
      <c r="Q160" s="143"/>
      <c r="R160" s="143"/>
    </row>
    <row r="161" spans="1:18" ht="14.25" customHeight="1">
      <c r="A161" s="143">
        <v>154</v>
      </c>
      <c r="B161" s="143" t="s">
        <v>985</v>
      </c>
      <c r="C161" s="143" t="s">
        <v>836</v>
      </c>
      <c r="D161" s="144" t="s">
        <v>986</v>
      </c>
      <c r="E161" s="144" t="s">
        <v>988</v>
      </c>
      <c r="F161" s="143"/>
      <c r="G161" s="143"/>
      <c r="H161" s="143"/>
      <c r="I161" s="143"/>
      <c r="J161" s="143"/>
      <c r="K161" s="143"/>
      <c r="L161" s="143"/>
      <c r="M161" s="143"/>
      <c r="N161" s="144" t="s">
        <v>839</v>
      </c>
      <c r="O161" s="151" t="s">
        <v>836</v>
      </c>
      <c r="P161" s="143"/>
      <c r="Q161" s="143"/>
      <c r="R161" s="143"/>
    </row>
    <row r="162" spans="1:18" ht="14.25" customHeight="1">
      <c r="A162" s="143">
        <v>155</v>
      </c>
      <c r="B162" s="143" t="s">
        <v>985</v>
      </c>
      <c r="C162" s="143" t="s">
        <v>836</v>
      </c>
      <c r="D162" s="144" t="s">
        <v>986</v>
      </c>
      <c r="E162" s="144" t="s">
        <v>989</v>
      </c>
      <c r="F162" s="143"/>
      <c r="G162" s="143"/>
      <c r="H162" s="143"/>
      <c r="I162" s="143"/>
      <c r="J162" s="143"/>
      <c r="K162" s="143"/>
      <c r="L162" s="143"/>
      <c r="M162" s="143"/>
      <c r="N162" s="144" t="s">
        <v>839</v>
      </c>
      <c r="O162" s="151" t="s">
        <v>836</v>
      </c>
      <c r="P162" s="143"/>
      <c r="Q162" s="143"/>
      <c r="R162" s="143"/>
    </row>
    <row r="163" spans="1:18" ht="14.25" customHeight="1">
      <c r="A163" s="143">
        <v>156</v>
      </c>
      <c r="B163" s="143" t="s">
        <v>985</v>
      </c>
      <c r="C163" s="143" t="s">
        <v>836</v>
      </c>
      <c r="D163" s="144" t="s">
        <v>986</v>
      </c>
      <c r="E163" s="144" t="s">
        <v>990</v>
      </c>
      <c r="F163" s="143"/>
      <c r="G163" s="143"/>
      <c r="H163" s="143"/>
      <c r="I163" s="143"/>
      <c r="J163" s="143"/>
      <c r="K163" s="143"/>
      <c r="L163" s="143"/>
      <c r="M163" s="143"/>
      <c r="N163" s="144" t="s">
        <v>839</v>
      </c>
      <c r="O163" s="151" t="s">
        <v>836</v>
      </c>
      <c r="P163" s="143"/>
      <c r="Q163" s="143"/>
      <c r="R163" s="143"/>
    </row>
    <row r="164" spans="1:18" ht="14.25" customHeight="1">
      <c r="A164" s="143">
        <v>157</v>
      </c>
      <c r="B164" s="143" t="s">
        <v>985</v>
      </c>
      <c r="C164" s="143" t="s">
        <v>836</v>
      </c>
      <c r="D164" s="144" t="s">
        <v>986</v>
      </c>
      <c r="E164" s="144" t="s">
        <v>991</v>
      </c>
      <c r="F164" s="143"/>
      <c r="G164" s="143"/>
      <c r="H164" s="143"/>
      <c r="I164" s="143"/>
      <c r="J164" s="143"/>
      <c r="K164" s="143"/>
      <c r="L164" s="143"/>
      <c r="M164" s="143"/>
      <c r="N164" s="144" t="s">
        <v>839</v>
      </c>
      <c r="O164" s="151" t="s">
        <v>836</v>
      </c>
      <c r="P164" s="143"/>
      <c r="Q164" s="143"/>
      <c r="R164" s="143"/>
    </row>
    <row r="165" spans="1:18" ht="28.5" customHeight="1">
      <c r="A165" s="143">
        <v>158</v>
      </c>
      <c r="B165" s="143" t="s">
        <v>985</v>
      </c>
      <c r="C165" s="143" t="s">
        <v>836</v>
      </c>
      <c r="D165" s="144" t="s">
        <v>986</v>
      </c>
      <c r="E165" s="144" t="s">
        <v>992</v>
      </c>
      <c r="F165" s="143"/>
      <c r="G165" s="143"/>
      <c r="H165" s="143"/>
      <c r="I165" s="143"/>
      <c r="J165" s="143"/>
      <c r="K165" s="143"/>
      <c r="L165" s="143"/>
      <c r="M165" s="143"/>
      <c r="N165" s="144" t="s">
        <v>839</v>
      </c>
      <c r="O165" s="151" t="s">
        <v>836</v>
      </c>
      <c r="P165" s="143"/>
      <c r="Q165" s="143"/>
      <c r="R165" s="143"/>
    </row>
    <row r="166" spans="1:18" ht="14.25" customHeight="1">
      <c r="A166" s="143">
        <v>159</v>
      </c>
      <c r="B166" s="143" t="s">
        <v>985</v>
      </c>
      <c r="C166" s="143" t="s">
        <v>836</v>
      </c>
      <c r="D166" s="144" t="s">
        <v>986</v>
      </c>
      <c r="E166" s="144" t="s">
        <v>839</v>
      </c>
      <c r="F166" s="143"/>
      <c r="G166" s="143"/>
      <c r="H166" s="143"/>
      <c r="I166" s="143"/>
      <c r="J166" s="143"/>
      <c r="K166" s="143"/>
      <c r="L166" s="143"/>
      <c r="M166" s="143"/>
      <c r="N166" s="144" t="s">
        <v>839</v>
      </c>
      <c r="O166" s="151" t="s">
        <v>836</v>
      </c>
      <c r="P166" s="143"/>
      <c r="Q166" s="143"/>
      <c r="R166" s="143"/>
    </row>
    <row r="167" spans="1:18" ht="28.5" customHeight="1">
      <c r="A167" s="143">
        <v>160</v>
      </c>
      <c r="B167" s="143" t="s">
        <v>985</v>
      </c>
      <c r="C167" s="143" t="s">
        <v>696</v>
      </c>
      <c r="D167" s="144" t="s">
        <v>986</v>
      </c>
      <c r="E167" s="144" t="s">
        <v>993</v>
      </c>
      <c r="F167" s="143"/>
      <c r="G167" s="143"/>
      <c r="H167" s="143"/>
      <c r="I167" s="143"/>
      <c r="J167" s="143"/>
      <c r="K167" s="143"/>
      <c r="L167" s="143"/>
      <c r="M167" s="143"/>
      <c r="N167" s="144" t="s">
        <v>994</v>
      </c>
      <c r="O167" s="145" t="s">
        <v>700</v>
      </c>
      <c r="P167" s="143"/>
      <c r="Q167" s="143"/>
      <c r="R167" s="143"/>
    </row>
    <row r="168" spans="1:18" ht="28.5" customHeight="1">
      <c r="A168" s="143">
        <v>161</v>
      </c>
      <c r="B168" s="143" t="s">
        <v>995</v>
      </c>
      <c r="C168" s="143" t="s">
        <v>996</v>
      </c>
      <c r="D168" s="144" t="s">
        <v>997</v>
      </c>
      <c r="E168" s="144" t="s">
        <v>998</v>
      </c>
      <c r="F168" s="143"/>
      <c r="G168" s="143"/>
      <c r="H168" s="143"/>
      <c r="I168" s="143"/>
      <c r="J168" s="143"/>
      <c r="K168" s="143"/>
      <c r="L168" s="143"/>
      <c r="M168" s="143"/>
      <c r="N168" s="144"/>
      <c r="O168" s="145" t="s">
        <v>999</v>
      </c>
      <c r="P168" s="143"/>
      <c r="Q168" s="143"/>
      <c r="R168" s="143"/>
    </row>
    <row r="169" spans="1:18" ht="14.25" customHeight="1">
      <c r="A169" s="143">
        <v>162</v>
      </c>
      <c r="B169" s="143"/>
      <c r="C169" s="143"/>
      <c r="D169" s="144"/>
      <c r="E169" s="144"/>
      <c r="F169" s="143"/>
      <c r="G169" s="143"/>
      <c r="H169" s="143"/>
      <c r="I169" s="143"/>
      <c r="J169" s="143"/>
      <c r="K169" s="143"/>
      <c r="L169" s="143"/>
      <c r="M169" s="143"/>
      <c r="N169" s="144"/>
      <c r="O169" s="145"/>
      <c r="P169" s="143"/>
      <c r="Q169" s="143"/>
      <c r="R169" s="143"/>
    </row>
    <row r="170" spans="1:18" ht="14.25" customHeight="1">
      <c r="A170" s="143">
        <v>163</v>
      </c>
      <c r="B170" s="143"/>
      <c r="C170" s="143"/>
      <c r="D170" s="144"/>
      <c r="E170" s="144"/>
      <c r="F170" s="143"/>
      <c r="G170" s="143"/>
      <c r="H170" s="143"/>
      <c r="I170" s="143"/>
      <c r="J170" s="143"/>
      <c r="K170" s="143"/>
      <c r="L170" s="143"/>
      <c r="M170" s="143"/>
      <c r="N170" s="144"/>
      <c r="O170" s="145"/>
      <c r="P170" s="143"/>
      <c r="Q170" s="143"/>
      <c r="R170" s="143"/>
    </row>
    <row r="171" spans="1:18" ht="14.25" customHeight="1">
      <c r="A171" s="143">
        <v>164</v>
      </c>
      <c r="B171" s="143"/>
      <c r="C171" s="143"/>
      <c r="D171" s="144"/>
      <c r="E171" s="144"/>
      <c r="F171" s="143"/>
      <c r="G171" s="143"/>
      <c r="H171" s="143"/>
      <c r="I171" s="143"/>
      <c r="J171" s="143"/>
      <c r="K171" s="143"/>
      <c r="L171" s="143"/>
      <c r="M171" s="143"/>
      <c r="N171" s="144"/>
      <c r="O171" s="145"/>
      <c r="P171" s="143"/>
      <c r="Q171" s="143"/>
      <c r="R171" s="143"/>
    </row>
    <row r="172" spans="1:18" ht="14.25" customHeight="1">
      <c r="A172" s="143">
        <v>165</v>
      </c>
      <c r="B172" s="143"/>
      <c r="C172" s="143"/>
      <c r="D172" s="144"/>
      <c r="E172" s="144"/>
      <c r="F172" s="143"/>
      <c r="G172" s="143"/>
      <c r="H172" s="143"/>
      <c r="I172" s="143"/>
      <c r="J172" s="143"/>
      <c r="K172" s="143"/>
      <c r="L172" s="143"/>
      <c r="M172" s="143"/>
      <c r="N172" s="144"/>
      <c r="O172" s="145"/>
      <c r="P172" s="143"/>
      <c r="Q172" s="143"/>
      <c r="R172" s="143"/>
    </row>
    <row r="173" spans="1:18" ht="14.25" customHeight="1">
      <c r="A173" s="143">
        <v>166</v>
      </c>
      <c r="B173" s="143"/>
      <c r="C173" s="143"/>
      <c r="D173" s="144"/>
      <c r="E173" s="144"/>
      <c r="F173" s="143"/>
      <c r="G173" s="143"/>
      <c r="H173" s="143"/>
      <c r="I173" s="143"/>
      <c r="J173" s="143"/>
      <c r="K173" s="143"/>
      <c r="L173" s="143"/>
      <c r="M173" s="143"/>
      <c r="N173" s="144"/>
      <c r="O173" s="145"/>
      <c r="P173" s="143"/>
      <c r="Q173" s="143"/>
      <c r="R173" s="143"/>
    </row>
    <row r="174" spans="1:18" ht="14.25" customHeight="1">
      <c r="A174" s="143">
        <v>167</v>
      </c>
      <c r="B174" s="143"/>
      <c r="C174" s="143"/>
      <c r="D174" s="144"/>
      <c r="E174" s="144"/>
      <c r="F174" s="143"/>
      <c r="G174" s="143"/>
      <c r="H174" s="143"/>
      <c r="I174" s="143"/>
      <c r="J174" s="143"/>
      <c r="K174" s="143"/>
      <c r="L174" s="143"/>
      <c r="M174" s="143"/>
      <c r="N174" s="144"/>
      <c r="O174" s="145"/>
      <c r="P174" s="143"/>
      <c r="Q174" s="143"/>
      <c r="R174" s="143"/>
    </row>
    <row r="175" spans="1:18" ht="14.25" customHeight="1">
      <c r="A175" s="143">
        <v>168</v>
      </c>
      <c r="B175" s="143"/>
      <c r="C175" s="143"/>
      <c r="D175" s="144"/>
      <c r="E175" s="144"/>
      <c r="F175" s="143"/>
      <c r="G175" s="143"/>
      <c r="H175" s="143"/>
      <c r="I175" s="143"/>
      <c r="J175" s="143"/>
      <c r="K175" s="143"/>
      <c r="L175" s="143"/>
      <c r="M175" s="143"/>
      <c r="N175" s="144"/>
      <c r="O175" s="145"/>
      <c r="P175" s="143"/>
      <c r="Q175" s="143"/>
      <c r="R175" s="143"/>
    </row>
    <row r="176" spans="1:18" ht="14.25" customHeight="1">
      <c r="A176" s="143">
        <v>169</v>
      </c>
      <c r="B176" s="143"/>
      <c r="C176" s="143"/>
      <c r="D176" s="144"/>
      <c r="E176" s="144"/>
      <c r="F176" s="143"/>
      <c r="G176" s="143"/>
      <c r="H176" s="143"/>
      <c r="I176" s="143"/>
      <c r="J176" s="143"/>
      <c r="K176" s="143"/>
      <c r="L176" s="143"/>
      <c r="M176" s="143"/>
      <c r="N176" s="144"/>
      <c r="O176" s="145"/>
      <c r="P176" s="143"/>
      <c r="Q176" s="143"/>
      <c r="R176" s="143"/>
    </row>
    <row r="177" spans="1:18" ht="14.25" customHeight="1">
      <c r="A177" s="143">
        <v>170</v>
      </c>
      <c r="B177" s="143"/>
      <c r="C177" s="143"/>
      <c r="D177" s="144"/>
      <c r="E177" s="144"/>
      <c r="F177" s="143"/>
      <c r="G177" s="143"/>
      <c r="H177" s="143"/>
      <c r="I177" s="143"/>
      <c r="J177" s="143"/>
      <c r="K177" s="143"/>
      <c r="L177" s="143"/>
      <c r="M177" s="143"/>
      <c r="N177" s="144"/>
      <c r="O177" s="145"/>
      <c r="P177" s="143"/>
      <c r="Q177" s="143"/>
      <c r="R177" s="143"/>
    </row>
    <row r="178" spans="1:18" ht="14.25" customHeight="1">
      <c r="A178" s="143">
        <v>171</v>
      </c>
      <c r="B178" s="143"/>
      <c r="C178" s="143"/>
      <c r="D178" s="144"/>
      <c r="E178" s="144"/>
      <c r="F178" s="143"/>
      <c r="G178" s="143"/>
      <c r="H178" s="143"/>
      <c r="I178" s="143"/>
      <c r="J178" s="143"/>
      <c r="K178" s="143"/>
      <c r="L178" s="143"/>
      <c r="M178" s="143"/>
      <c r="N178" s="144"/>
      <c r="O178" s="145"/>
      <c r="P178" s="143"/>
      <c r="Q178" s="143"/>
      <c r="R178" s="143"/>
    </row>
    <row r="179" spans="1:18" ht="14.25" customHeight="1">
      <c r="A179" s="143">
        <v>172</v>
      </c>
      <c r="B179" s="143"/>
      <c r="C179" s="143"/>
      <c r="D179" s="144"/>
      <c r="E179" s="144"/>
      <c r="F179" s="143"/>
      <c r="G179" s="143"/>
      <c r="H179" s="143"/>
      <c r="I179" s="143"/>
      <c r="J179" s="143"/>
      <c r="K179" s="143"/>
      <c r="L179" s="143"/>
      <c r="M179" s="143"/>
      <c r="N179" s="144"/>
      <c r="O179" s="145"/>
      <c r="P179" s="143"/>
      <c r="Q179" s="143"/>
      <c r="R179" s="143"/>
    </row>
    <row r="180" spans="1:18" ht="14.25" customHeight="1">
      <c r="A180" s="143">
        <v>173</v>
      </c>
      <c r="B180" s="143"/>
      <c r="C180" s="143"/>
      <c r="D180" s="144"/>
      <c r="E180" s="144"/>
      <c r="F180" s="143"/>
      <c r="G180" s="143"/>
      <c r="H180" s="143"/>
      <c r="I180" s="143"/>
      <c r="J180" s="143"/>
      <c r="K180" s="143"/>
      <c r="L180" s="143"/>
      <c r="M180" s="143"/>
      <c r="N180" s="144"/>
      <c r="O180" s="145"/>
      <c r="P180" s="143"/>
      <c r="Q180" s="143"/>
      <c r="R180" s="143"/>
    </row>
    <row r="181" spans="1:18" ht="14.25" customHeight="1">
      <c r="A181" s="143">
        <v>174</v>
      </c>
      <c r="B181" s="143"/>
      <c r="C181" s="143"/>
      <c r="D181" s="144"/>
      <c r="E181" s="144"/>
      <c r="F181" s="143"/>
      <c r="G181" s="143"/>
      <c r="H181" s="143"/>
      <c r="I181" s="143"/>
      <c r="J181" s="143"/>
      <c r="K181" s="143"/>
      <c r="L181" s="143"/>
      <c r="M181" s="143"/>
      <c r="N181" s="144"/>
      <c r="O181" s="145"/>
      <c r="P181" s="143"/>
      <c r="Q181" s="143"/>
      <c r="R181" s="143"/>
    </row>
    <row r="182" spans="1:18" ht="14.25" customHeight="1">
      <c r="A182" s="143">
        <v>175</v>
      </c>
      <c r="B182" s="143"/>
      <c r="C182" s="143"/>
      <c r="D182" s="144"/>
      <c r="E182" s="144"/>
      <c r="F182" s="143"/>
      <c r="G182" s="143"/>
      <c r="H182" s="143"/>
      <c r="I182" s="143"/>
      <c r="J182" s="143"/>
      <c r="K182" s="143"/>
      <c r="L182" s="143"/>
      <c r="M182" s="143"/>
      <c r="N182" s="144"/>
      <c r="O182" s="145"/>
      <c r="P182" s="143"/>
      <c r="Q182" s="143"/>
      <c r="R182" s="143"/>
    </row>
    <row r="183" spans="1:18" ht="14.25" customHeight="1">
      <c r="A183" s="143">
        <v>176</v>
      </c>
      <c r="B183" s="143"/>
      <c r="C183" s="143"/>
      <c r="D183" s="144"/>
      <c r="E183" s="144"/>
      <c r="F183" s="143"/>
      <c r="G183" s="143"/>
      <c r="H183" s="143"/>
      <c r="I183" s="143"/>
      <c r="J183" s="143"/>
      <c r="K183" s="143"/>
      <c r="L183" s="143"/>
      <c r="M183" s="143"/>
      <c r="N183" s="144"/>
      <c r="O183" s="145"/>
      <c r="P183" s="143"/>
      <c r="Q183" s="143"/>
      <c r="R183" s="143"/>
    </row>
    <row r="184" spans="1:18" ht="14.25" customHeight="1">
      <c r="A184" s="143">
        <v>177</v>
      </c>
      <c r="B184" s="143"/>
      <c r="C184" s="143"/>
      <c r="D184" s="144"/>
      <c r="E184" s="144"/>
      <c r="F184" s="143"/>
      <c r="G184" s="143"/>
      <c r="H184" s="143"/>
      <c r="I184" s="143"/>
      <c r="J184" s="143"/>
      <c r="K184" s="143"/>
      <c r="L184" s="143"/>
      <c r="M184" s="143"/>
      <c r="N184" s="144"/>
      <c r="O184" s="145"/>
      <c r="P184" s="143"/>
      <c r="Q184" s="143"/>
      <c r="R184" s="143"/>
    </row>
    <row r="185" spans="1:18" ht="14.25" customHeight="1">
      <c r="A185" s="143">
        <v>178</v>
      </c>
      <c r="B185" s="143"/>
      <c r="C185" s="143"/>
      <c r="D185" s="144"/>
      <c r="E185" s="144"/>
      <c r="F185" s="143"/>
      <c r="G185" s="143"/>
      <c r="H185" s="143"/>
      <c r="I185" s="143"/>
      <c r="J185" s="143"/>
      <c r="K185" s="143"/>
      <c r="L185" s="143"/>
      <c r="M185" s="143"/>
      <c r="N185" s="144"/>
      <c r="O185" s="145"/>
      <c r="P185" s="143"/>
      <c r="Q185" s="143"/>
      <c r="R185" s="143"/>
    </row>
    <row r="186" spans="1:18" ht="14.25" customHeight="1">
      <c r="A186" s="143">
        <v>179</v>
      </c>
      <c r="B186" s="143"/>
      <c r="C186" s="143"/>
      <c r="D186" s="144"/>
      <c r="E186" s="144"/>
      <c r="F186" s="143"/>
      <c r="G186" s="143"/>
      <c r="H186" s="143"/>
      <c r="I186" s="143"/>
      <c r="J186" s="143"/>
      <c r="K186" s="143"/>
      <c r="L186" s="143"/>
      <c r="M186" s="143"/>
      <c r="N186" s="144"/>
      <c r="O186" s="145"/>
      <c r="P186" s="143"/>
      <c r="Q186" s="143"/>
      <c r="R186" s="143"/>
    </row>
    <row r="187" spans="1:18" ht="14.25" customHeight="1">
      <c r="A187" s="143">
        <v>180</v>
      </c>
      <c r="B187" s="143"/>
      <c r="C187" s="143"/>
      <c r="D187" s="144"/>
      <c r="E187" s="144"/>
      <c r="F187" s="143"/>
      <c r="G187" s="143"/>
      <c r="H187" s="143"/>
      <c r="I187" s="143"/>
      <c r="J187" s="143"/>
      <c r="K187" s="143"/>
      <c r="L187" s="143"/>
      <c r="M187" s="143"/>
      <c r="N187" s="144"/>
      <c r="O187" s="145"/>
      <c r="P187" s="143"/>
      <c r="Q187" s="143"/>
      <c r="R187" s="143"/>
    </row>
    <row r="188" spans="1:18" ht="14.25" customHeight="1">
      <c r="A188" s="143">
        <v>181</v>
      </c>
      <c r="B188" s="143"/>
      <c r="C188" s="143"/>
      <c r="D188" s="144"/>
      <c r="E188" s="144"/>
      <c r="F188" s="143"/>
      <c r="G188" s="143"/>
      <c r="H188" s="143"/>
      <c r="I188" s="143"/>
      <c r="J188" s="143"/>
      <c r="K188" s="143"/>
      <c r="L188" s="143"/>
      <c r="M188" s="143"/>
      <c r="N188" s="144"/>
      <c r="O188" s="145"/>
      <c r="P188" s="143"/>
      <c r="Q188" s="143"/>
      <c r="R188" s="143"/>
    </row>
    <row r="189" spans="1:18" ht="14.25" customHeight="1">
      <c r="A189" s="143">
        <v>182</v>
      </c>
      <c r="B189" s="143"/>
      <c r="C189" s="143"/>
      <c r="D189" s="144"/>
      <c r="E189" s="144"/>
      <c r="F189" s="143"/>
      <c r="G189" s="143"/>
      <c r="H189" s="143"/>
      <c r="I189" s="143"/>
      <c r="J189" s="143"/>
      <c r="K189" s="143"/>
      <c r="L189" s="143"/>
      <c r="M189" s="143"/>
      <c r="N189" s="144"/>
      <c r="O189" s="145"/>
      <c r="P189" s="143"/>
      <c r="Q189" s="143"/>
      <c r="R189" s="143"/>
    </row>
    <row r="190" spans="1:18" ht="14.25" customHeight="1">
      <c r="A190" s="143">
        <v>183</v>
      </c>
      <c r="B190" s="143"/>
      <c r="C190" s="143"/>
      <c r="D190" s="144"/>
      <c r="E190" s="144"/>
      <c r="F190" s="143"/>
      <c r="G190" s="143"/>
      <c r="H190" s="143"/>
      <c r="I190" s="143"/>
      <c r="J190" s="143"/>
      <c r="K190" s="143"/>
      <c r="L190" s="143"/>
      <c r="M190" s="143"/>
      <c r="N190" s="144"/>
      <c r="O190" s="145"/>
      <c r="P190" s="143"/>
      <c r="Q190" s="143"/>
      <c r="R190" s="143"/>
    </row>
    <row r="191" spans="1:18" ht="14.25" customHeight="1">
      <c r="A191" s="143">
        <v>184</v>
      </c>
      <c r="B191" s="143"/>
      <c r="C191" s="143"/>
      <c r="D191" s="144"/>
      <c r="E191" s="144"/>
      <c r="F191" s="143"/>
      <c r="G191" s="143"/>
      <c r="H191" s="143"/>
      <c r="I191" s="143"/>
      <c r="J191" s="143"/>
      <c r="K191" s="143"/>
      <c r="L191" s="143"/>
      <c r="M191" s="143"/>
      <c r="N191" s="144"/>
      <c r="O191" s="145"/>
      <c r="P191" s="143"/>
      <c r="Q191" s="143"/>
      <c r="R191" s="143"/>
    </row>
    <row r="192" spans="1:18" ht="14.25" customHeight="1">
      <c r="A192" s="143">
        <v>185</v>
      </c>
      <c r="B192" s="143"/>
      <c r="C192" s="143"/>
      <c r="D192" s="144"/>
      <c r="E192" s="144"/>
      <c r="F192" s="143"/>
      <c r="G192" s="143"/>
      <c r="H192" s="143"/>
      <c r="I192" s="143"/>
      <c r="J192" s="143"/>
      <c r="K192" s="143"/>
      <c r="L192" s="143"/>
      <c r="M192" s="143"/>
      <c r="N192" s="144"/>
      <c r="O192" s="145"/>
      <c r="P192" s="143"/>
      <c r="Q192" s="143"/>
      <c r="R192" s="143"/>
    </row>
    <row r="193" spans="1:18" ht="14.25" customHeight="1">
      <c r="A193" s="143">
        <v>186</v>
      </c>
      <c r="B193" s="143"/>
      <c r="C193" s="143"/>
      <c r="D193" s="144"/>
      <c r="E193" s="144"/>
      <c r="F193" s="143"/>
      <c r="G193" s="143"/>
      <c r="H193" s="143"/>
      <c r="I193" s="143"/>
      <c r="J193" s="143"/>
      <c r="K193" s="143"/>
      <c r="L193" s="143"/>
      <c r="M193" s="143"/>
      <c r="N193" s="144"/>
      <c r="O193" s="145"/>
      <c r="P193" s="143"/>
      <c r="Q193" s="143"/>
      <c r="R193" s="143"/>
    </row>
    <row r="194" spans="1:18" ht="14.25" customHeight="1">
      <c r="A194" s="143">
        <v>187</v>
      </c>
      <c r="B194" s="143"/>
      <c r="C194" s="143"/>
      <c r="D194" s="144"/>
      <c r="E194" s="144"/>
      <c r="F194" s="143"/>
      <c r="G194" s="143"/>
      <c r="H194" s="143"/>
      <c r="I194" s="143"/>
      <c r="J194" s="143"/>
      <c r="K194" s="143"/>
      <c r="L194" s="143"/>
      <c r="M194" s="143"/>
      <c r="N194" s="144"/>
      <c r="O194" s="145"/>
      <c r="P194" s="143"/>
      <c r="Q194" s="143"/>
      <c r="R194" s="143"/>
    </row>
    <row r="195" spans="1:18" ht="14.25" customHeight="1">
      <c r="A195" s="143">
        <v>188</v>
      </c>
      <c r="B195" s="143"/>
      <c r="C195" s="143"/>
      <c r="D195" s="144"/>
      <c r="E195" s="144"/>
      <c r="F195" s="143"/>
      <c r="G195" s="143"/>
      <c r="H195" s="143"/>
      <c r="I195" s="143"/>
      <c r="J195" s="143"/>
      <c r="K195" s="143"/>
      <c r="L195" s="143"/>
      <c r="M195" s="143"/>
      <c r="N195" s="144"/>
      <c r="O195" s="145"/>
      <c r="P195" s="143"/>
      <c r="Q195" s="143"/>
      <c r="R195" s="143"/>
    </row>
    <row r="196" spans="1:18" ht="14.25" customHeight="1">
      <c r="A196" s="143">
        <v>189</v>
      </c>
      <c r="B196" s="143"/>
      <c r="C196" s="143"/>
      <c r="D196" s="144"/>
      <c r="E196" s="144"/>
      <c r="F196" s="143"/>
      <c r="G196" s="143"/>
      <c r="H196" s="143"/>
      <c r="I196" s="143"/>
      <c r="J196" s="143"/>
      <c r="K196" s="143"/>
      <c r="L196" s="143"/>
      <c r="M196" s="143"/>
      <c r="N196" s="144"/>
      <c r="O196" s="145"/>
      <c r="P196" s="143"/>
      <c r="Q196" s="143"/>
      <c r="R196" s="143"/>
    </row>
    <row r="197" spans="1:18" ht="14.25" customHeight="1">
      <c r="A197" s="143">
        <v>190</v>
      </c>
      <c r="B197" s="143"/>
      <c r="C197" s="143"/>
      <c r="D197" s="144"/>
      <c r="E197" s="144"/>
      <c r="F197" s="143"/>
      <c r="G197" s="143"/>
      <c r="H197" s="143"/>
      <c r="I197" s="143"/>
      <c r="J197" s="143"/>
      <c r="K197" s="143"/>
      <c r="L197" s="143"/>
      <c r="M197" s="143"/>
      <c r="N197" s="144"/>
      <c r="O197" s="145"/>
      <c r="P197" s="143"/>
      <c r="Q197" s="143"/>
      <c r="R197" s="143"/>
    </row>
    <row r="198" spans="1:18" ht="14.25" customHeight="1">
      <c r="A198" s="143">
        <v>191</v>
      </c>
      <c r="B198" s="143"/>
      <c r="C198" s="143"/>
      <c r="D198" s="144"/>
      <c r="E198" s="144"/>
      <c r="F198" s="143"/>
      <c r="G198" s="143"/>
      <c r="H198" s="143"/>
      <c r="I198" s="143"/>
      <c r="J198" s="143"/>
      <c r="K198" s="143"/>
      <c r="L198" s="143"/>
      <c r="M198" s="143"/>
      <c r="N198" s="144"/>
      <c r="O198" s="145"/>
      <c r="P198" s="143"/>
      <c r="Q198" s="143"/>
      <c r="R198" s="143"/>
    </row>
    <row r="199" spans="1:18" ht="14.25" customHeight="1">
      <c r="A199" s="143">
        <v>192</v>
      </c>
      <c r="B199" s="143"/>
      <c r="C199" s="143"/>
      <c r="D199" s="144"/>
      <c r="E199" s="144"/>
      <c r="F199" s="143"/>
      <c r="G199" s="143"/>
      <c r="H199" s="143"/>
      <c r="I199" s="143"/>
      <c r="J199" s="143"/>
      <c r="K199" s="143"/>
      <c r="L199" s="143"/>
      <c r="M199" s="143"/>
      <c r="N199" s="144"/>
      <c r="O199" s="145"/>
      <c r="P199" s="143"/>
      <c r="Q199" s="143"/>
      <c r="R199" s="143"/>
    </row>
    <row r="200" spans="1:18" ht="14.25" customHeight="1">
      <c r="A200" s="143">
        <v>193</v>
      </c>
      <c r="B200" s="143"/>
      <c r="C200" s="143"/>
      <c r="D200" s="144"/>
      <c r="E200" s="144"/>
      <c r="F200" s="143"/>
      <c r="G200" s="143"/>
      <c r="H200" s="143"/>
      <c r="I200" s="143"/>
      <c r="J200" s="143"/>
      <c r="K200" s="143"/>
      <c r="L200" s="143"/>
      <c r="M200" s="143"/>
      <c r="N200" s="144"/>
      <c r="O200" s="145"/>
      <c r="P200" s="143"/>
      <c r="Q200" s="143"/>
      <c r="R200" s="143"/>
    </row>
    <row r="201" spans="1:18" ht="14.25" customHeight="1">
      <c r="A201" s="143">
        <v>194</v>
      </c>
      <c r="B201" s="143"/>
      <c r="C201" s="143"/>
      <c r="D201" s="144"/>
      <c r="E201" s="144"/>
      <c r="F201" s="143"/>
      <c r="G201" s="143"/>
      <c r="H201" s="143"/>
      <c r="I201" s="143"/>
      <c r="J201" s="143"/>
      <c r="K201" s="143"/>
      <c r="L201" s="143"/>
      <c r="M201" s="143"/>
      <c r="N201" s="144"/>
      <c r="O201" s="145"/>
      <c r="P201" s="143"/>
      <c r="Q201" s="143"/>
      <c r="R201" s="143"/>
    </row>
    <row r="202" spans="1:18" ht="14.25" customHeight="1">
      <c r="A202" s="143">
        <v>195</v>
      </c>
      <c r="B202" s="143"/>
      <c r="C202" s="143"/>
      <c r="D202" s="144"/>
      <c r="E202" s="144"/>
      <c r="F202" s="143"/>
      <c r="G202" s="143"/>
      <c r="H202" s="143"/>
      <c r="I202" s="143"/>
      <c r="J202" s="143"/>
      <c r="K202" s="143"/>
      <c r="L202" s="143"/>
      <c r="M202" s="143"/>
      <c r="N202" s="144"/>
      <c r="O202" s="145"/>
      <c r="P202" s="143"/>
      <c r="Q202" s="143"/>
      <c r="R202" s="143"/>
    </row>
    <row r="203" spans="1:18" ht="14.25" customHeight="1">
      <c r="A203" s="143">
        <v>196</v>
      </c>
      <c r="B203" s="143"/>
      <c r="C203" s="143"/>
      <c r="D203" s="144"/>
      <c r="E203" s="144"/>
      <c r="F203" s="143"/>
      <c r="G203" s="143"/>
      <c r="H203" s="143"/>
      <c r="I203" s="143"/>
      <c r="J203" s="143"/>
      <c r="K203" s="143"/>
      <c r="L203" s="143"/>
      <c r="M203" s="143"/>
      <c r="N203" s="144"/>
      <c r="O203" s="145"/>
      <c r="P203" s="143"/>
      <c r="Q203" s="143"/>
      <c r="R203" s="143"/>
    </row>
    <row r="204" spans="1:18" ht="14.25" customHeight="1">
      <c r="A204" s="143">
        <v>197</v>
      </c>
      <c r="B204" s="143"/>
      <c r="C204" s="143"/>
      <c r="D204" s="144"/>
      <c r="E204" s="144"/>
      <c r="F204" s="143"/>
      <c r="G204" s="143"/>
      <c r="H204" s="143"/>
      <c r="I204" s="143"/>
      <c r="J204" s="143"/>
      <c r="K204" s="143"/>
      <c r="L204" s="143"/>
      <c r="M204" s="143"/>
      <c r="N204" s="144"/>
      <c r="O204" s="145"/>
      <c r="P204" s="143"/>
      <c r="Q204" s="143"/>
      <c r="R204" s="143"/>
    </row>
    <row r="205" spans="1:18" ht="14.25" customHeight="1">
      <c r="A205" s="143">
        <v>198</v>
      </c>
      <c r="B205" s="143"/>
      <c r="C205" s="143"/>
      <c r="D205" s="144"/>
      <c r="E205" s="144"/>
      <c r="F205" s="143"/>
      <c r="G205" s="143"/>
      <c r="H205" s="143"/>
      <c r="I205" s="143"/>
      <c r="J205" s="143"/>
      <c r="K205" s="143"/>
      <c r="L205" s="143"/>
      <c r="M205" s="143"/>
      <c r="N205" s="144"/>
      <c r="O205" s="145"/>
      <c r="P205" s="143"/>
      <c r="Q205" s="143"/>
      <c r="R205" s="143"/>
    </row>
    <row r="206" spans="1:18" ht="14.25" customHeight="1">
      <c r="A206" s="143">
        <v>199</v>
      </c>
      <c r="B206" s="143"/>
      <c r="C206" s="143"/>
      <c r="D206" s="144"/>
      <c r="E206" s="144"/>
      <c r="F206" s="143"/>
      <c r="G206" s="143"/>
      <c r="H206" s="143"/>
      <c r="I206" s="143"/>
      <c r="J206" s="143"/>
      <c r="K206" s="143"/>
      <c r="L206" s="143"/>
      <c r="M206" s="143"/>
      <c r="N206" s="144"/>
      <c r="O206" s="145"/>
      <c r="P206" s="143"/>
      <c r="Q206" s="143"/>
      <c r="R206" s="143"/>
    </row>
    <row r="207" spans="1:18" ht="14.25" customHeight="1">
      <c r="A207" s="143">
        <v>200</v>
      </c>
      <c r="B207" s="143"/>
      <c r="C207" s="143"/>
      <c r="D207" s="144"/>
      <c r="E207" s="144"/>
      <c r="F207" s="143"/>
      <c r="G207" s="143"/>
      <c r="H207" s="143"/>
      <c r="I207" s="143"/>
      <c r="J207" s="143"/>
      <c r="K207" s="143"/>
      <c r="L207" s="143"/>
      <c r="M207" s="143"/>
      <c r="N207" s="144"/>
      <c r="O207" s="145"/>
      <c r="P207" s="143"/>
      <c r="Q207" s="143"/>
      <c r="R207" s="143"/>
    </row>
    <row r="208" spans="1:18" ht="14.25" customHeight="1">
      <c r="A208" s="143">
        <v>201</v>
      </c>
      <c r="B208" s="143"/>
      <c r="C208" s="143"/>
      <c r="D208" s="144"/>
      <c r="E208" s="144"/>
      <c r="F208" s="143"/>
      <c r="G208" s="143"/>
      <c r="H208" s="143"/>
      <c r="I208" s="143"/>
      <c r="J208" s="143"/>
      <c r="K208" s="143"/>
      <c r="L208" s="143"/>
      <c r="M208" s="143"/>
      <c r="N208" s="144"/>
      <c r="O208" s="145"/>
      <c r="P208" s="143"/>
      <c r="Q208" s="143"/>
      <c r="R208" s="143"/>
    </row>
    <row r="209" spans="1:18" ht="14.25" customHeight="1">
      <c r="A209" s="143">
        <v>202</v>
      </c>
      <c r="B209" s="143"/>
      <c r="C209" s="143"/>
      <c r="D209" s="144"/>
      <c r="E209" s="144"/>
      <c r="F209" s="143"/>
      <c r="G209" s="143"/>
      <c r="H209" s="143"/>
      <c r="I209" s="143"/>
      <c r="J209" s="143"/>
      <c r="K209" s="143"/>
      <c r="L209" s="143"/>
      <c r="M209" s="143"/>
      <c r="N209" s="144"/>
      <c r="O209" s="145"/>
      <c r="P209" s="143"/>
      <c r="Q209" s="143"/>
      <c r="R209" s="143"/>
    </row>
    <row r="210" spans="1:18" ht="14.25" customHeight="1">
      <c r="A210" s="143">
        <v>203</v>
      </c>
      <c r="B210" s="143"/>
      <c r="C210" s="143"/>
      <c r="D210" s="144"/>
      <c r="E210" s="144"/>
      <c r="F210" s="143"/>
      <c r="G210" s="143"/>
      <c r="H210" s="143"/>
      <c r="I210" s="143"/>
      <c r="J210" s="143"/>
      <c r="K210" s="143"/>
      <c r="L210" s="143"/>
      <c r="M210" s="143"/>
      <c r="N210" s="144"/>
      <c r="O210" s="145"/>
      <c r="P210" s="143"/>
      <c r="Q210" s="143"/>
      <c r="R210" s="143"/>
    </row>
    <row r="211" spans="1:18" ht="14.25" customHeight="1">
      <c r="A211" s="143">
        <v>204</v>
      </c>
      <c r="B211" s="143"/>
      <c r="C211" s="143"/>
      <c r="D211" s="144"/>
      <c r="E211" s="144"/>
      <c r="F211" s="143"/>
      <c r="G211" s="143"/>
      <c r="H211" s="143"/>
      <c r="I211" s="143"/>
      <c r="J211" s="143"/>
      <c r="K211" s="143"/>
      <c r="L211" s="143"/>
      <c r="M211" s="143"/>
      <c r="N211" s="144"/>
      <c r="O211" s="145"/>
      <c r="P211" s="143"/>
      <c r="Q211" s="143"/>
      <c r="R211" s="143"/>
    </row>
    <row r="212" spans="1:18" ht="14.25" customHeight="1">
      <c r="A212" s="143">
        <v>205</v>
      </c>
      <c r="B212" s="143"/>
      <c r="C212" s="143"/>
      <c r="D212" s="144"/>
      <c r="E212" s="144"/>
      <c r="F212" s="143"/>
      <c r="G212" s="143"/>
      <c r="H212" s="143"/>
      <c r="I212" s="143"/>
      <c r="J212" s="143"/>
      <c r="K212" s="143"/>
      <c r="L212" s="143"/>
      <c r="M212" s="143"/>
      <c r="N212" s="144"/>
      <c r="O212" s="145"/>
      <c r="P212" s="143"/>
      <c r="Q212" s="143"/>
      <c r="R212" s="143"/>
    </row>
    <row r="213" spans="1:18" ht="14.25" customHeight="1">
      <c r="A213" s="143">
        <v>206</v>
      </c>
      <c r="B213" s="143"/>
      <c r="C213" s="143"/>
      <c r="D213" s="144"/>
      <c r="E213" s="144"/>
      <c r="F213" s="143"/>
      <c r="G213" s="143"/>
      <c r="H213" s="143"/>
      <c r="I213" s="143"/>
      <c r="J213" s="143"/>
      <c r="K213" s="143"/>
      <c r="L213" s="143"/>
      <c r="M213" s="143"/>
      <c r="N213" s="144"/>
      <c r="O213" s="145"/>
      <c r="P213" s="143"/>
      <c r="Q213" s="143"/>
      <c r="R213" s="143"/>
    </row>
    <row r="214" spans="1:18" ht="14.25" customHeight="1">
      <c r="A214" s="143">
        <v>207</v>
      </c>
      <c r="B214" s="143"/>
      <c r="C214" s="143"/>
      <c r="D214" s="144"/>
      <c r="E214" s="144"/>
      <c r="F214" s="143"/>
      <c r="G214" s="143"/>
      <c r="H214" s="143"/>
      <c r="I214" s="143"/>
      <c r="J214" s="143"/>
      <c r="K214" s="143"/>
      <c r="L214" s="143"/>
      <c r="M214" s="143"/>
      <c r="N214" s="144"/>
      <c r="O214" s="145"/>
      <c r="P214" s="143"/>
      <c r="Q214" s="143"/>
      <c r="R214" s="143"/>
    </row>
    <row r="215" spans="1:18" ht="14.25" customHeight="1">
      <c r="A215" s="143">
        <v>208</v>
      </c>
      <c r="B215" s="143"/>
      <c r="C215" s="143"/>
      <c r="D215" s="144"/>
      <c r="E215" s="144"/>
      <c r="F215" s="143"/>
      <c r="G215" s="143"/>
      <c r="H215" s="143"/>
      <c r="I215" s="143"/>
      <c r="J215" s="143"/>
      <c r="K215" s="143"/>
      <c r="L215" s="143"/>
      <c r="M215" s="143"/>
      <c r="N215" s="144"/>
      <c r="O215" s="145"/>
      <c r="P215" s="143"/>
      <c r="Q215" s="143"/>
      <c r="R215" s="143"/>
    </row>
    <row r="216" spans="1:18" ht="14.25" customHeight="1">
      <c r="A216" s="143">
        <v>209</v>
      </c>
      <c r="B216" s="143"/>
      <c r="C216" s="143"/>
      <c r="D216" s="144"/>
      <c r="E216" s="144"/>
      <c r="F216" s="143"/>
      <c r="G216" s="143"/>
      <c r="H216" s="143"/>
      <c r="I216" s="143"/>
      <c r="J216" s="143"/>
      <c r="K216" s="143"/>
      <c r="L216" s="143"/>
      <c r="M216" s="143"/>
      <c r="N216" s="144"/>
      <c r="O216" s="145"/>
      <c r="P216" s="143"/>
      <c r="Q216" s="143"/>
      <c r="R216" s="143"/>
    </row>
    <row r="217" spans="1:18" ht="14.25" customHeight="1">
      <c r="A217" s="143">
        <v>210</v>
      </c>
      <c r="B217" s="143"/>
      <c r="C217" s="143"/>
      <c r="D217" s="144"/>
      <c r="E217" s="144"/>
      <c r="F217" s="143"/>
      <c r="G217" s="143"/>
      <c r="H217" s="143"/>
      <c r="I217" s="143"/>
      <c r="J217" s="143"/>
      <c r="K217" s="143"/>
      <c r="L217" s="143"/>
      <c r="M217" s="143"/>
      <c r="N217" s="144"/>
      <c r="O217" s="145"/>
      <c r="P217" s="143"/>
      <c r="Q217" s="143"/>
      <c r="R217" s="143"/>
    </row>
    <row r="218" spans="1:18" ht="14.25" customHeight="1">
      <c r="A218" s="143">
        <v>211</v>
      </c>
      <c r="B218" s="143"/>
      <c r="C218" s="143"/>
      <c r="D218" s="144"/>
      <c r="E218" s="144"/>
      <c r="F218" s="143"/>
      <c r="G218" s="143"/>
      <c r="H218" s="143"/>
      <c r="I218" s="143"/>
      <c r="J218" s="143"/>
      <c r="K218" s="143"/>
      <c r="L218" s="143"/>
      <c r="M218" s="143"/>
      <c r="N218" s="144"/>
      <c r="O218" s="145"/>
      <c r="P218" s="143"/>
      <c r="Q218" s="143"/>
      <c r="R218" s="143"/>
    </row>
    <row r="219" spans="1:18" ht="14.25" customHeight="1">
      <c r="A219" s="143">
        <v>212</v>
      </c>
      <c r="B219" s="143"/>
      <c r="C219" s="143"/>
      <c r="D219" s="144"/>
      <c r="E219" s="144"/>
      <c r="F219" s="143"/>
      <c r="G219" s="143"/>
      <c r="H219" s="143"/>
      <c r="I219" s="143"/>
      <c r="J219" s="143"/>
      <c r="K219" s="143"/>
      <c r="L219" s="143"/>
      <c r="M219" s="143"/>
      <c r="N219" s="144"/>
      <c r="O219" s="145"/>
      <c r="P219" s="143"/>
      <c r="Q219" s="143"/>
      <c r="R219" s="143"/>
    </row>
    <row r="220" spans="1:18" ht="14.25" customHeight="1">
      <c r="A220" s="143">
        <v>213</v>
      </c>
      <c r="B220" s="143"/>
      <c r="C220" s="143"/>
      <c r="D220" s="144"/>
      <c r="E220" s="144"/>
      <c r="F220" s="143"/>
      <c r="G220" s="143"/>
      <c r="H220" s="143"/>
      <c r="I220" s="143"/>
      <c r="J220" s="143"/>
      <c r="K220" s="143"/>
      <c r="L220" s="143"/>
      <c r="M220" s="143"/>
      <c r="N220" s="144"/>
      <c r="O220" s="145"/>
      <c r="P220" s="143"/>
      <c r="Q220" s="143"/>
      <c r="R220" s="143"/>
    </row>
    <row r="221" spans="1:18" ht="14.25" customHeight="1">
      <c r="A221" s="143">
        <v>214</v>
      </c>
      <c r="B221" s="143"/>
      <c r="C221" s="143"/>
      <c r="D221" s="144"/>
      <c r="E221" s="144"/>
      <c r="F221" s="143"/>
      <c r="G221" s="143"/>
      <c r="H221" s="143"/>
      <c r="I221" s="143"/>
      <c r="J221" s="143"/>
      <c r="K221" s="143"/>
      <c r="L221" s="143"/>
      <c r="M221" s="143"/>
      <c r="N221" s="144"/>
      <c r="O221" s="145"/>
      <c r="P221" s="143"/>
      <c r="Q221" s="143"/>
      <c r="R221" s="143"/>
    </row>
    <row r="222" spans="1:18" ht="14.25" customHeight="1">
      <c r="A222" s="143">
        <v>215</v>
      </c>
      <c r="B222" s="143"/>
      <c r="C222" s="143"/>
      <c r="D222" s="144"/>
      <c r="E222" s="144"/>
      <c r="F222" s="143"/>
      <c r="G222" s="143"/>
      <c r="H222" s="143"/>
      <c r="I222" s="143"/>
      <c r="J222" s="143"/>
      <c r="K222" s="143"/>
      <c r="L222" s="143"/>
      <c r="M222" s="143"/>
      <c r="N222" s="144"/>
      <c r="O222" s="145"/>
      <c r="P222" s="143"/>
      <c r="Q222" s="143"/>
      <c r="R222" s="143"/>
    </row>
    <row r="223" spans="1:18" ht="14.25" customHeight="1">
      <c r="A223" s="143">
        <v>216</v>
      </c>
      <c r="B223" s="143"/>
      <c r="C223" s="143"/>
      <c r="D223" s="144"/>
      <c r="E223" s="144"/>
      <c r="F223" s="143"/>
      <c r="G223" s="143"/>
      <c r="H223" s="143"/>
      <c r="I223" s="143"/>
      <c r="J223" s="143"/>
      <c r="K223" s="143"/>
      <c r="L223" s="143"/>
      <c r="M223" s="143"/>
      <c r="N223" s="144"/>
      <c r="O223" s="145"/>
      <c r="P223" s="143"/>
      <c r="Q223" s="143"/>
      <c r="R223" s="143"/>
    </row>
    <row r="224" spans="1:18" ht="14.25" customHeight="1">
      <c r="A224" s="143">
        <v>217</v>
      </c>
      <c r="B224" s="143"/>
      <c r="C224" s="143"/>
      <c r="D224" s="144"/>
      <c r="E224" s="144"/>
      <c r="F224" s="143"/>
      <c r="G224" s="143"/>
      <c r="H224" s="143"/>
      <c r="I224" s="143"/>
      <c r="J224" s="143"/>
      <c r="K224" s="143"/>
      <c r="L224" s="143"/>
      <c r="M224" s="143"/>
      <c r="N224" s="144"/>
      <c r="O224" s="145"/>
      <c r="P224" s="143"/>
      <c r="Q224" s="143"/>
      <c r="R224" s="143"/>
    </row>
    <row r="225" spans="1:18" ht="14.25" customHeight="1">
      <c r="A225" s="143">
        <v>218</v>
      </c>
      <c r="B225" s="143"/>
      <c r="C225" s="143"/>
      <c r="D225" s="144"/>
      <c r="E225" s="144"/>
      <c r="F225" s="143"/>
      <c r="G225" s="143"/>
      <c r="H225" s="143"/>
      <c r="I225" s="143"/>
      <c r="J225" s="143"/>
      <c r="K225" s="143"/>
      <c r="L225" s="143"/>
      <c r="M225" s="143"/>
      <c r="N225" s="144"/>
      <c r="O225" s="145"/>
      <c r="P225" s="143"/>
      <c r="Q225" s="143"/>
      <c r="R225" s="143"/>
    </row>
    <row r="226" spans="1:18" ht="14.25" customHeight="1">
      <c r="A226" s="143">
        <v>219</v>
      </c>
      <c r="B226" s="143"/>
      <c r="C226" s="143"/>
      <c r="D226" s="144"/>
      <c r="E226" s="144"/>
      <c r="F226" s="143"/>
      <c r="G226" s="143"/>
      <c r="H226" s="143"/>
      <c r="I226" s="143"/>
      <c r="J226" s="143"/>
      <c r="K226" s="143"/>
      <c r="L226" s="143"/>
      <c r="M226" s="143"/>
      <c r="N226" s="144"/>
      <c r="O226" s="145"/>
      <c r="P226" s="143"/>
      <c r="Q226" s="143"/>
      <c r="R226" s="143"/>
    </row>
    <row r="227" spans="1:18" ht="14.25" customHeight="1">
      <c r="A227" s="143">
        <v>220</v>
      </c>
      <c r="B227" s="143"/>
      <c r="C227" s="143"/>
      <c r="D227" s="144"/>
      <c r="E227" s="144"/>
      <c r="F227" s="143"/>
      <c r="G227" s="143"/>
      <c r="H227" s="143"/>
      <c r="I227" s="143"/>
      <c r="J227" s="143"/>
      <c r="K227" s="143"/>
      <c r="L227" s="143"/>
      <c r="M227" s="143"/>
      <c r="N227" s="144"/>
      <c r="O227" s="145"/>
      <c r="P227" s="143"/>
      <c r="Q227" s="143"/>
      <c r="R227" s="143"/>
    </row>
    <row r="228" spans="1:18" ht="14.25" customHeight="1">
      <c r="A228" s="143">
        <v>221</v>
      </c>
      <c r="B228" s="143"/>
      <c r="C228" s="143"/>
      <c r="D228" s="144"/>
      <c r="E228" s="144"/>
      <c r="F228" s="143"/>
      <c r="G228" s="143"/>
      <c r="H228" s="143"/>
      <c r="I228" s="143"/>
      <c r="J228" s="143"/>
      <c r="K228" s="143"/>
      <c r="L228" s="143"/>
      <c r="M228" s="143"/>
      <c r="N228" s="144"/>
      <c r="O228" s="145"/>
      <c r="P228" s="143"/>
      <c r="Q228" s="143"/>
      <c r="R228" s="143"/>
    </row>
    <row r="229" spans="1:18" ht="14.25" customHeight="1">
      <c r="A229" s="143">
        <v>222</v>
      </c>
      <c r="B229" s="143"/>
      <c r="C229" s="143"/>
      <c r="D229" s="144"/>
      <c r="E229" s="144"/>
      <c r="F229" s="143"/>
      <c r="G229" s="143"/>
      <c r="H229" s="143"/>
      <c r="I229" s="143"/>
      <c r="J229" s="143"/>
      <c r="K229" s="143"/>
      <c r="L229" s="143"/>
      <c r="M229" s="143"/>
      <c r="N229" s="144"/>
      <c r="O229" s="145"/>
      <c r="P229" s="143"/>
      <c r="Q229" s="143"/>
      <c r="R229" s="143"/>
    </row>
    <row r="230" spans="1:18" ht="14.25" customHeight="1">
      <c r="A230" s="143">
        <v>223</v>
      </c>
      <c r="B230" s="143"/>
      <c r="C230" s="143"/>
      <c r="D230" s="144"/>
      <c r="E230" s="144"/>
      <c r="F230" s="143"/>
      <c r="G230" s="143"/>
      <c r="H230" s="143"/>
      <c r="I230" s="143"/>
      <c r="J230" s="143"/>
      <c r="K230" s="143"/>
      <c r="L230" s="143"/>
      <c r="M230" s="143"/>
      <c r="N230" s="144"/>
      <c r="O230" s="145"/>
      <c r="P230" s="143"/>
      <c r="Q230" s="143"/>
      <c r="R230" s="143"/>
    </row>
    <row r="231" spans="1:18" ht="14.25" customHeight="1">
      <c r="A231" s="143">
        <v>224</v>
      </c>
      <c r="B231" s="143"/>
      <c r="C231" s="143"/>
      <c r="D231" s="144"/>
      <c r="E231" s="144"/>
      <c r="F231" s="143"/>
      <c r="G231" s="143"/>
      <c r="H231" s="143"/>
      <c r="I231" s="143"/>
      <c r="J231" s="143"/>
      <c r="K231" s="143"/>
      <c r="L231" s="143"/>
      <c r="M231" s="143"/>
      <c r="N231" s="144"/>
      <c r="O231" s="145"/>
      <c r="P231" s="143"/>
      <c r="Q231" s="143"/>
      <c r="R231" s="143"/>
    </row>
    <row r="232" spans="1:18" ht="14.25" customHeight="1">
      <c r="A232" s="143">
        <v>225</v>
      </c>
      <c r="B232" s="143"/>
      <c r="C232" s="143"/>
      <c r="D232" s="144"/>
      <c r="E232" s="144"/>
      <c r="F232" s="143"/>
      <c r="G232" s="143"/>
      <c r="H232" s="143"/>
      <c r="I232" s="143"/>
      <c r="J232" s="143"/>
      <c r="K232" s="143"/>
      <c r="L232" s="143"/>
      <c r="M232" s="143"/>
      <c r="N232" s="144"/>
      <c r="O232" s="145"/>
      <c r="P232" s="143"/>
      <c r="Q232" s="143"/>
      <c r="R232" s="143"/>
    </row>
    <row r="233" spans="1:18" ht="14.25" customHeight="1">
      <c r="A233" s="143">
        <v>226</v>
      </c>
      <c r="B233" s="143"/>
      <c r="C233" s="143"/>
      <c r="D233" s="144"/>
      <c r="E233" s="144"/>
      <c r="F233" s="143"/>
      <c r="G233" s="143"/>
      <c r="H233" s="143"/>
      <c r="I233" s="143"/>
      <c r="J233" s="143"/>
      <c r="K233" s="143"/>
      <c r="L233" s="143"/>
      <c r="M233" s="143"/>
      <c r="N233" s="144"/>
      <c r="O233" s="145"/>
      <c r="P233" s="143"/>
      <c r="Q233" s="143"/>
      <c r="R233" s="143"/>
    </row>
    <row r="234" spans="1:18" ht="14.25" customHeight="1">
      <c r="A234" s="143">
        <v>227</v>
      </c>
      <c r="B234" s="143"/>
      <c r="C234" s="143"/>
      <c r="D234" s="144"/>
      <c r="E234" s="144"/>
      <c r="F234" s="143"/>
      <c r="G234" s="143"/>
      <c r="H234" s="143"/>
      <c r="I234" s="143"/>
      <c r="J234" s="143"/>
      <c r="K234" s="143"/>
      <c r="L234" s="143"/>
      <c r="M234" s="143"/>
      <c r="N234" s="144"/>
      <c r="O234" s="145"/>
      <c r="P234" s="143"/>
      <c r="Q234" s="143"/>
      <c r="R234" s="143"/>
    </row>
    <row r="235" spans="1:18" ht="14.25" customHeight="1">
      <c r="A235" s="143">
        <v>228</v>
      </c>
      <c r="B235" s="143"/>
      <c r="C235" s="143"/>
      <c r="D235" s="144"/>
      <c r="E235" s="144"/>
      <c r="F235" s="143"/>
      <c r="G235" s="143"/>
      <c r="H235" s="143"/>
      <c r="I235" s="143"/>
      <c r="J235" s="143"/>
      <c r="K235" s="143"/>
      <c r="L235" s="143"/>
      <c r="M235" s="143"/>
      <c r="N235" s="144"/>
      <c r="O235" s="145"/>
      <c r="P235" s="143"/>
      <c r="Q235" s="143"/>
      <c r="R235" s="143"/>
    </row>
    <row r="236" spans="1:18" ht="14.25" customHeight="1">
      <c r="A236" s="143">
        <v>229</v>
      </c>
      <c r="B236" s="143"/>
      <c r="C236" s="143"/>
      <c r="D236" s="144"/>
      <c r="E236" s="144"/>
      <c r="F236" s="143"/>
      <c r="G236" s="143"/>
      <c r="H236" s="143"/>
      <c r="I236" s="143"/>
      <c r="J236" s="143"/>
      <c r="K236" s="143"/>
      <c r="L236" s="143"/>
      <c r="M236" s="143"/>
      <c r="N236" s="144"/>
      <c r="O236" s="145"/>
      <c r="P236" s="143"/>
      <c r="Q236" s="143"/>
      <c r="R236" s="143"/>
    </row>
    <row r="237" spans="1:18" ht="14.25" customHeight="1">
      <c r="A237" s="143">
        <v>230</v>
      </c>
      <c r="B237" s="143"/>
      <c r="C237" s="143"/>
      <c r="D237" s="144"/>
      <c r="E237" s="144"/>
      <c r="F237" s="143"/>
      <c r="G237" s="143"/>
      <c r="H237" s="143"/>
      <c r="I237" s="143"/>
      <c r="J237" s="143"/>
      <c r="K237" s="143"/>
      <c r="L237" s="143"/>
      <c r="M237" s="143"/>
      <c r="N237" s="144"/>
      <c r="O237" s="145"/>
      <c r="P237" s="143"/>
      <c r="Q237" s="143"/>
      <c r="R237" s="143"/>
    </row>
    <row r="238" spans="1:18" ht="14.25" customHeight="1">
      <c r="A238" s="143">
        <v>231</v>
      </c>
      <c r="B238" s="143"/>
      <c r="C238" s="143"/>
      <c r="D238" s="144"/>
      <c r="E238" s="144"/>
      <c r="F238" s="143"/>
      <c r="G238" s="143"/>
      <c r="H238" s="143"/>
      <c r="I238" s="143"/>
      <c r="J238" s="143"/>
      <c r="K238" s="143"/>
      <c r="L238" s="143"/>
      <c r="M238" s="143"/>
      <c r="N238" s="144"/>
      <c r="O238" s="145"/>
      <c r="P238" s="143"/>
      <c r="Q238" s="143"/>
      <c r="R238" s="143"/>
    </row>
    <row r="239" spans="1:18" ht="14.25" customHeight="1">
      <c r="A239" s="143">
        <v>232</v>
      </c>
      <c r="B239" s="143"/>
      <c r="C239" s="143"/>
      <c r="D239" s="144"/>
      <c r="E239" s="144"/>
      <c r="F239" s="143"/>
      <c r="G239" s="143"/>
      <c r="H239" s="143"/>
      <c r="I239" s="143"/>
      <c r="J239" s="143"/>
      <c r="K239" s="143"/>
      <c r="L239" s="143"/>
      <c r="M239" s="143"/>
      <c r="N239" s="144"/>
      <c r="O239" s="145"/>
      <c r="P239" s="143"/>
      <c r="Q239" s="143"/>
      <c r="R239" s="143"/>
    </row>
    <row r="240" spans="1:18" ht="14.25" customHeight="1">
      <c r="A240" s="143">
        <v>233</v>
      </c>
      <c r="B240" s="143"/>
      <c r="C240" s="143"/>
      <c r="D240" s="144"/>
      <c r="E240" s="144"/>
      <c r="F240" s="143"/>
      <c r="G240" s="143"/>
      <c r="H240" s="143"/>
      <c r="I240" s="143"/>
      <c r="J240" s="143"/>
      <c r="K240" s="143"/>
      <c r="L240" s="143"/>
      <c r="M240" s="143"/>
      <c r="N240" s="144"/>
      <c r="O240" s="145"/>
      <c r="P240" s="143"/>
      <c r="Q240" s="143"/>
      <c r="R240" s="143"/>
    </row>
    <row r="241" spans="1:18" ht="14.25" customHeight="1">
      <c r="A241" s="143">
        <v>234</v>
      </c>
      <c r="B241" s="143"/>
      <c r="C241" s="143"/>
      <c r="D241" s="144"/>
      <c r="E241" s="144"/>
      <c r="F241" s="143"/>
      <c r="G241" s="143"/>
      <c r="H241" s="143"/>
      <c r="I241" s="143"/>
      <c r="J241" s="143"/>
      <c r="K241" s="143"/>
      <c r="L241" s="143"/>
      <c r="M241" s="143"/>
      <c r="N241" s="144"/>
      <c r="O241" s="145"/>
      <c r="P241" s="143"/>
      <c r="Q241" s="143"/>
      <c r="R241" s="143"/>
    </row>
    <row r="242" spans="1:18" ht="14.25" customHeight="1">
      <c r="A242" s="143">
        <v>235</v>
      </c>
      <c r="B242" s="143"/>
      <c r="C242" s="143"/>
      <c r="D242" s="144"/>
      <c r="E242" s="144"/>
      <c r="F242" s="143"/>
      <c r="G242" s="143"/>
      <c r="H242" s="143"/>
      <c r="I242" s="143"/>
      <c r="J242" s="143"/>
      <c r="K242" s="143"/>
      <c r="L242" s="143"/>
      <c r="M242" s="143"/>
      <c r="N242" s="144"/>
      <c r="O242" s="145"/>
      <c r="P242" s="143"/>
      <c r="Q242" s="143"/>
      <c r="R242" s="143"/>
    </row>
    <row r="243" spans="1:18" ht="14.25" customHeight="1">
      <c r="A243" s="143">
        <v>236</v>
      </c>
      <c r="B243" s="143"/>
      <c r="C243" s="143"/>
      <c r="D243" s="144"/>
      <c r="E243" s="144"/>
      <c r="F243" s="143"/>
      <c r="G243" s="143"/>
      <c r="H243" s="143"/>
      <c r="I243" s="143"/>
      <c r="J243" s="143"/>
      <c r="K243" s="143"/>
      <c r="L243" s="143"/>
      <c r="M243" s="143"/>
      <c r="N243" s="144"/>
      <c r="O243" s="145"/>
      <c r="P243" s="143"/>
      <c r="Q243" s="143"/>
      <c r="R243" s="143"/>
    </row>
    <row r="244" spans="1:18" ht="14.25" customHeight="1">
      <c r="A244" s="143">
        <v>237</v>
      </c>
      <c r="B244" s="143"/>
      <c r="C244" s="143"/>
      <c r="D244" s="144"/>
      <c r="E244" s="144"/>
      <c r="F244" s="143"/>
      <c r="G244" s="143"/>
      <c r="H244" s="143"/>
      <c r="I244" s="143"/>
      <c r="J244" s="143"/>
      <c r="K244" s="143"/>
      <c r="L244" s="143"/>
      <c r="M244" s="143"/>
      <c r="N244" s="144"/>
      <c r="O244" s="145"/>
      <c r="P244" s="143"/>
      <c r="Q244" s="143"/>
      <c r="R244" s="143"/>
    </row>
    <row r="245" spans="1:18" ht="14.25" customHeight="1">
      <c r="A245" s="143">
        <v>238</v>
      </c>
      <c r="B245" s="143"/>
      <c r="C245" s="143"/>
      <c r="D245" s="144"/>
      <c r="E245" s="144"/>
      <c r="F245" s="143"/>
      <c r="G245" s="143"/>
      <c r="H245" s="143"/>
      <c r="I245" s="143"/>
      <c r="J245" s="143"/>
      <c r="K245" s="143"/>
      <c r="L245" s="143"/>
      <c r="M245" s="143"/>
      <c r="N245" s="144"/>
      <c r="O245" s="145"/>
      <c r="P245" s="143"/>
      <c r="Q245" s="143"/>
      <c r="R245" s="143"/>
    </row>
    <row r="246" spans="1:18" ht="14.25" customHeight="1">
      <c r="A246" s="143">
        <v>239</v>
      </c>
      <c r="B246" s="143"/>
      <c r="C246" s="143"/>
      <c r="D246" s="144"/>
      <c r="E246" s="144"/>
      <c r="F246" s="143"/>
      <c r="G246" s="143"/>
      <c r="H246" s="143"/>
      <c r="I246" s="143"/>
      <c r="J246" s="143"/>
      <c r="K246" s="143"/>
      <c r="L246" s="143"/>
      <c r="M246" s="143"/>
      <c r="N246" s="144"/>
      <c r="O246" s="145"/>
      <c r="P246" s="143"/>
      <c r="Q246" s="143"/>
      <c r="R246" s="143"/>
    </row>
    <row r="247" spans="1:18" ht="14.25" customHeight="1">
      <c r="A247" s="143">
        <v>240</v>
      </c>
      <c r="B247" s="143"/>
      <c r="C247" s="143"/>
      <c r="D247" s="144"/>
      <c r="E247" s="144"/>
      <c r="F247" s="143"/>
      <c r="G247" s="143"/>
      <c r="H247" s="143"/>
      <c r="I247" s="143"/>
      <c r="J247" s="143"/>
      <c r="K247" s="143"/>
      <c r="L247" s="143"/>
      <c r="M247" s="143"/>
      <c r="N247" s="144"/>
      <c r="O247" s="145"/>
      <c r="P247" s="143"/>
      <c r="Q247" s="143"/>
      <c r="R247" s="143"/>
    </row>
    <row r="248" spans="1:18" ht="14.25" customHeight="1">
      <c r="A248" s="143">
        <v>241</v>
      </c>
      <c r="B248" s="143"/>
      <c r="C248" s="143"/>
      <c r="D248" s="144"/>
      <c r="E248" s="144"/>
      <c r="F248" s="143"/>
      <c r="G248" s="143"/>
      <c r="H248" s="143"/>
      <c r="I248" s="143"/>
      <c r="J248" s="143"/>
      <c r="K248" s="143"/>
      <c r="L248" s="143"/>
      <c r="M248" s="143"/>
      <c r="N248" s="144"/>
      <c r="O248" s="145"/>
      <c r="P248" s="143"/>
      <c r="Q248" s="143"/>
      <c r="R248" s="143"/>
    </row>
    <row r="249" spans="1:18" ht="14.25" customHeight="1">
      <c r="A249" s="143">
        <v>242</v>
      </c>
      <c r="B249" s="143"/>
      <c r="C249" s="143"/>
      <c r="D249" s="144"/>
      <c r="E249" s="144"/>
      <c r="F249" s="143"/>
      <c r="G249" s="143"/>
      <c r="H249" s="143"/>
      <c r="I249" s="143"/>
      <c r="J249" s="143"/>
      <c r="K249" s="143"/>
      <c r="L249" s="143"/>
      <c r="M249" s="143"/>
      <c r="N249" s="144"/>
      <c r="O249" s="145"/>
      <c r="P249" s="143"/>
      <c r="Q249" s="143"/>
      <c r="R249" s="143"/>
    </row>
    <row r="250" spans="1:18" ht="14.25" customHeight="1">
      <c r="A250" s="143">
        <v>243</v>
      </c>
      <c r="B250" s="143"/>
      <c r="C250" s="143"/>
      <c r="D250" s="144"/>
      <c r="E250" s="144"/>
      <c r="F250" s="143"/>
      <c r="G250" s="143"/>
      <c r="H250" s="143"/>
      <c r="I250" s="143"/>
      <c r="J250" s="143"/>
      <c r="K250" s="143"/>
      <c r="L250" s="143"/>
      <c r="M250" s="143"/>
      <c r="N250" s="144"/>
      <c r="O250" s="145"/>
      <c r="P250" s="143"/>
      <c r="Q250" s="143"/>
      <c r="R250" s="143"/>
    </row>
    <row r="251" spans="1:18" ht="14.25" customHeight="1">
      <c r="A251" s="143">
        <v>244</v>
      </c>
      <c r="B251" s="143"/>
      <c r="C251" s="143"/>
      <c r="D251" s="144"/>
      <c r="E251" s="144"/>
      <c r="F251" s="143"/>
      <c r="G251" s="143"/>
      <c r="H251" s="143"/>
      <c r="I251" s="143"/>
      <c r="J251" s="143"/>
      <c r="K251" s="143"/>
      <c r="L251" s="143"/>
      <c r="M251" s="143"/>
      <c r="N251" s="144"/>
      <c r="O251" s="145"/>
      <c r="P251" s="143"/>
      <c r="Q251" s="143"/>
      <c r="R251" s="143"/>
    </row>
    <row r="252" spans="1:18" ht="14.25" customHeight="1">
      <c r="A252" s="143">
        <v>245</v>
      </c>
      <c r="B252" s="143"/>
      <c r="C252" s="143"/>
      <c r="D252" s="144"/>
      <c r="E252" s="144"/>
      <c r="F252" s="143"/>
      <c r="G252" s="143"/>
      <c r="H252" s="143"/>
      <c r="I252" s="143"/>
      <c r="J252" s="143"/>
      <c r="K252" s="143"/>
      <c r="L252" s="143"/>
      <c r="M252" s="143"/>
      <c r="N252" s="144"/>
      <c r="O252" s="145"/>
      <c r="P252" s="143"/>
      <c r="Q252" s="143"/>
      <c r="R252" s="143"/>
    </row>
    <row r="253" spans="1:18" ht="14.25" customHeight="1">
      <c r="A253" s="143">
        <v>246</v>
      </c>
      <c r="B253" s="143"/>
      <c r="C253" s="143"/>
      <c r="D253" s="144"/>
      <c r="E253" s="144"/>
      <c r="F253" s="143"/>
      <c r="G253" s="143"/>
      <c r="H253" s="143"/>
      <c r="I253" s="143"/>
      <c r="J253" s="143"/>
      <c r="K253" s="143"/>
      <c r="L253" s="143"/>
      <c r="M253" s="143"/>
      <c r="N253" s="144"/>
      <c r="O253" s="145"/>
      <c r="P253" s="143"/>
      <c r="Q253" s="143"/>
      <c r="R253" s="143"/>
    </row>
    <row r="254" spans="1:18" ht="14.25" customHeight="1">
      <c r="A254" s="143">
        <v>247</v>
      </c>
      <c r="B254" s="143"/>
      <c r="C254" s="143"/>
      <c r="D254" s="144"/>
      <c r="E254" s="144"/>
      <c r="F254" s="143"/>
      <c r="G254" s="143"/>
      <c r="H254" s="143"/>
      <c r="I254" s="143"/>
      <c r="J254" s="143"/>
      <c r="K254" s="143"/>
      <c r="L254" s="143"/>
      <c r="M254" s="143"/>
      <c r="N254" s="144"/>
      <c r="O254" s="145"/>
      <c r="P254" s="143"/>
      <c r="Q254" s="143"/>
      <c r="R254" s="143"/>
    </row>
    <row r="255" spans="1:18" ht="14.25" customHeight="1">
      <c r="A255" s="143">
        <v>248</v>
      </c>
      <c r="B255" s="143"/>
      <c r="C255" s="143"/>
      <c r="D255" s="144"/>
      <c r="E255" s="144"/>
      <c r="F255" s="143"/>
      <c r="G255" s="143"/>
      <c r="H255" s="143"/>
      <c r="I255" s="143"/>
      <c r="J255" s="143"/>
      <c r="K255" s="143"/>
      <c r="L255" s="143"/>
      <c r="M255" s="143"/>
      <c r="N255" s="144"/>
      <c r="O255" s="145"/>
      <c r="P255" s="143"/>
      <c r="Q255" s="143"/>
      <c r="R255" s="143"/>
    </row>
    <row r="256" spans="1:18" ht="14.25" customHeight="1">
      <c r="A256" s="143">
        <v>249</v>
      </c>
      <c r="B256" s="143"/>
      <c r="C256" s="143"/>
      <c r="D256" s="144"/>
      <c r="E256" s="144"/>
      <c r="F256" s="143"/>
      <c r="G256" s="143"/>
      <c r="H256" s="143"/>
      <c r="I256" s="143"/>
      <c r="J256" s="143"/>
      <c r="K256" s="143"/>
      <c r="L256" s="143"/>
      <c r="M256" s="143"/>
      <c r="N256" s="144"/>
      <c r="O256" s="145"/>
      <c r="P256" s="143"/>
      <c r="Q256" s="143"/>
      <c r="R256" s="143"/>
    </row>
    <row r="257" spans="1:18" ht="14.25" customHeight="1">
      <c r="A257" s="143">
        <v>250</v>
      </c>
      <c r="B257" s="143"/>
      <c r="C257" s="143"/>
      <c r="D257" s="144"/>
      <c r="E257" s="144"/>
      <c r="F257" s="143"/>
      <c r="G257" s="143"/>
      <c r="H257" s="143"/>
      <c r="I257" s="143"/>
      <c r="J257" s="143"/>
      <c r="K257" s="143"/>
      <c r="L257" s="143"/>
      <c r="M257" s="143"/>
      <c r="N257" s="144"/>
      <c r="O257" s="145"/>
      <c r="P257" s="143"/>
      <c r="Q257" s="143"/>
      <c r="R257" s="143"/>
    </row>
    <row r="258" spans="1:18" ht="14.25" customHeight="1">
      <c r="A258" s="143">
        <v>251</v>
      </c>
      <c r="B258" s="143"/>
      <c r="C258" s="143"/>
      <c r="D258" s="144"/>
      <c r="E258" s="144"/>
      <c r="F258" s="143"/>
      <c r="G258" s="143"/>
      <c r="H258" s="143"/>
      <c r="I258" s="143"/>
      <c r="J258" s="143"/>
      <c r="K258" s="143"/>
      <c r="L258" s="143"/>
      <c r="M258" s="143"/>
      <c r="N258" s="144"/>
      <c r="O258" s="145"/>
      <c r="P258" s="143"/>
      <c r="Q258" s="143"/>
      <c r="R258" s="143"/>
    </row>
    <row r="259" spans="1:18" ht="14.25" customHeight="1">
      <c r="A259" s="143">
        <v>252</v>
      </c>
      <c r="B259" s="143"/>
      <c r="C259" s="143"/>
      <c r="D259" s="144"/>
      <c r="E259" s="144"/>
      <c r="F259" s="143"/>
      <c r="G259" s="143"/>
      <c r="H259" s="143"/>
      <c r="I259" s="143"/>
      <c r="J259" s="143"/>
      <c r="K259" s="143"/>
      <c r="L259" s="143"/>
      <c r="M259" s="143"/>
      <c r="N259" s="144"/>
      <c r="O259" s="145"/>
      <c r="P259" s="143"/>
      <c r="Q259" s="143"/>
      <c r="R259" s="143"/>
    </row>
    <row r="260" spans="1:18" ht="14.25" customHeight="1">
      <c r="A260" s="143">
        <v>253</v>
      </c>
      <c r="B260" s="143"/>
      <c r="C260" s="143"/>
      <c r="D260" s="144"/>
      <c r="E260" s="144"/>
      <c r="F260" s="143"/>
      <c r="G260" s="143"/>
      <c r="H260" s="143"/>
      <c r="I260" s="143"/>
      <c r="J260" s="143"/>
      <c r="K260" s="143"/>
      <c r="L260" s="143"/>
      <c r="M260" s="143"/>
      <c r="N260" s="144"/>
      <c r="O260" s="145"/>
      <c r="P260" s="143"/>
      <c r="Q260" s="143"/>
      <c r="R260" s="143"/>
    </row>
    <row r="261" spans="1:18" ht="14.25" customHeight="1">
      <c r="A261" s="143">
        <v>254</v>
      </c>
      <c r="B261" s="143"/>
      <c r="C261" s="143"/>
      <c r="D261" s="144"/>
      <c r="E261" s="144"/>
      <c r="F261" s="143"/>
      <c r="G261" s="143"/>
      <c r="H261" s="143"/>
      <c r="I261" s="143"/>
      <c r="J261" s="143"/>
      <c r="K261" s="143"/>
      <c r="L261" s="143"/>
      <c r="M261" s="143"/>
      <c r="N261" s="144"/>
      <c r="O261" s="145"/>
      <c r="P261" s="143"/>
      <c r="Q261" s="143"/>
      <c r="R261" s="143"/>
    </row>
    <row r="262" spans="1:18" ht="14.25" customHeight="1">
      <c r="A262" s="143">
        <v>255</v>
      </c>
      <c r="B262" s="143"/>
      <c r="C262" s="143"/>
      <c r="D262" s="144"/>
      <c r="E262" s="144"/>
      <c r="F262" s="143"/>
      <c r="G262" s="143"/>
      <c r="H262" s="143"/>
      <c r="I262" s="143"/>
      <c r="J262" s="143"/>
      <c r="K262" s="143"/>
      <c r="L262" s="143"/>
      <c r="M262" s="143"/>
      <c r="N262" s="144"/>
      <c r="O262" s="145"/>
      <c r="P262" s="143"/>
      <c r="Q262" s="143"/>
      <c r="R262" s="143"/>
    </row>
    <row r="263" spans="1:18" ht="14.25" customHeight="1">
      <c r="A263" s="143">
        <v>256</v>
      </c>
      <c r="B263" s="143"/>
      <c r="C263" s="143"/>
      <c r="D263" s="144"/>
      <c r="E263" s="144"/>
      <c r="F263" s="143"/>
      <c r="G263" s="143"/>
      <c r="H263" s="143"/>
      <c r="I263" s="143"/>
      <c r="J263" s="143"/>
      <c r="K263" s="143"/>
      <c r="L263" s="143"/>
      <c r="M263" s="143"/>
      <c r="N263" s="144"/>
      <c r="O263" s="145"/>
      <c r="P263" s="143"/>
      <c r="Q263" s="143"/>
      <c r="R263" s="143"/>
    </row>
    <row r="264" spans="1:18" ht="14.25" customHeight="1">
      <c r="A264" s="143">
        <v>257</v>
      </c>
      <c r="B264" s="143"/>
      <c r="C264" s="143"/>
      <c r="D264" s="144"/>
      <c r="E264" s="144"/>
      <c r="F264" s="143"/>
      <c r="G264" s="143"/>
      <c r="H264" s="143"/>
      <c r="I264" s="143"/>
      <c r="J264" s="143"/>
      <c r="K264" s="143"/>
      <c r="L264" s="143"/>
      <c r="M264" s="143"/>
      <c r="N264" s="144"/>
      <c r="O264" s="145"/>
      <c r="P264" s="143"/>
      <c r="Q264" s="143"/>
      <c r="R264" s="143"/>
    </row>
    <row r="265" spans="1:18" ht="14.25" customHeight="1">
      <c r="A265" s="143">
        <v>258</v>
      </c>
      <c r="B265" s="143"/>
      <c r="C265" s="143"/>
      <c r="D265" s="144"/>
      <c r="E265" s="144"/>
      <c r="F265" s="143"/>
      <c r="G265" s="143"/>
      <c r="H265" s="143"/>
      <c r="I265" s="143"/>
      <c r="J265" s="143"/>
      <c r="K265" s="143"/>
      <c r="L265" s="143"/>
      <c r="M265" s="143"/>
      <c r="N265" s="144"/>
      <c r="O265" s="145"/>
      <c r="P265" s="143"/>
      <c r="Q265" s="143"/>
      <c r="R265" s="143"/>
    </row>
    <row r="266" spans="1:18" ht="14.25" customHeight="1">
      <c r="A266" s="143">
        <v>259</v>
      </c>
      <c r="B266" s="143"/>
      <c r="C266" s="143"/>
      <c r="D266" s="144"/>
      <c r="E266" s="144"/>
      <c r="F266" s="143"/>
      <c r="G266" s="143"/>
      <c r="H266" s="143"/>
      <c r="I266" s="143"/>
      <c r="J266" s="143"/>
      <c r="K266" s="143"/>
      <c r="L266" s="143"/>
      <c r="M266" s="143"/>
      <c r="N266" s="144"/>
      <c r="O266" s="145"/>
      <c r="P266" s="143"/>
      <c r="Q266" s="143"/>
      <c r="R266" s="143"/>
    </row>
    <row r="267" spans="1:18" ht="14.25" customHeight="1">
      <c r="A267" s="143">
        <v>260</v>
      </c>
      <c r="B267" s="143"/>
      <c r="C267" s="143"/>
      <c r="D267" s="144"/>
      <c r="E267" s="144"/>
      <c r="F267" s="143"/>
      <c r="G267" s="143"/>
      <c r="H267" s="143"/>
      <c r="I267" s="143"/>
      <c r="J267" s="143"/>
      <c r="K267" s="143"/>
      <c r="L267" s="143"/>
      <c r="M267" s="143"/>
      <c r="N267" s="144"/>
      <c r="O267" s="145"/>
      <c r="P267" s="143"/>
      <c r="Q267" s="143"/>
      <c r="R267" s="143"/>
    </row>
    <row r="268" spans="1:18" ht="14.25" customHeight="1">
      <c r="A268" s="143">
        <v>261</v>
      </c>
      <c r="B268" s="143"/>
      <c r="C268" s="143"/>
      <c r="D268" s="144"/>
      <c r="E268" s="144"/>
      <c r="F268" s="143"/>
      <c r="G268" s="143"/>
      <c r="H268" s="143"/>
      <c r="I268" s="143"/>
      <c r="J268" s="143"/>
      <c r="K268" s="143"/>
      <c r="L268" s="143"/>
      <c r="M268" s="143"/>
      <c r="N268" s="144"/>
      <c r="O268" s="145"/>
      <c r="P268" s="143"/>
      <c r="Q268" s="143"/>
      <c r="R268" s="143"/>
    </row>
    <row r="269" spans="1:18" ht="14.25" customHeight="1">
      <c r="A269" s="143">
        <v>262</v>
      </c>
      <c r="B269" s="143"/>
      <c r="C269" s="143"/>
      <c r="D269" s="144"/>
      <c r="E269" s="144"/>
      <c r="F269" s="143"/>
      <c r="G269" s="143"/>
      <c r="H269" s="143"/>
      <c r="I269" s="143"/>
      <c r="J269" s="143"/>
      <c r="K269" s="143"/>
      <c r="L269" s="143"/>
      <c r="M269" s="143"/>
      <c r="N269" s="144"/>
      <c r="O269" s="145"/>
      <c r="P269" s="143"/>
      <c r="Q269" s="143"/>
      <c r="R269" s="143"/>
    </row>
    <row r="270" spans="1:18" ht="14.25" customHeight="1">
      <c r="A270" s="143">
        <v>263</v>
      </c>
      <c r="B270" s="143"/>
      <c r="C270" s="143"/>
      <c r="D270" s="144"/>
      <c r="E270" s="144"/>
      <c r="F270" s="143"/>
      <c r="G270" s="143"/>
      <c r="H270" s="143"/>
      <c r="I270" s="143"/>
      <c r="J270" s="143"/>
      <c r="K270" s="143"/>
      <c r="L270" s="143"/>
      <c r="M270" s="143"/>
      <c r="N270" s="144"/>
      <c r="O270" s="145"/>
      <c r="P270" s="143"/>
      <c r="Q270" s="143"/>
      <c r="R270" s="143"/>
    </row>
    <row r="271" spans="1:18" ht="14.25" customHeight="1">
      <c r="A271" s="143">
        <v>264</v>
      </c>
      <c r="B271" s="143"/>
      <c r="C271" s="143"/>
      <c r="D271" s="144"/>
      <c r="E271" s="144"/>
      <c r="F271" s="143"/>
      <c r="G271" s="143"/>
      <c r="H271" s="143"/>
      <c r="I271" s="143"/>
      <c r="J271" s="143"/>
      <c r="K271" s="143"/>
      <c r="L271" s="143"/>
      <c r="M271" s="143"/>
      <c r="N271" s="144"/>
      <c r="O271" s="145"/>
      <c r="P271" s="143"/>
      <c r="Q271" s="143"/>
      <c r="R271" s="143"/>
    </row>
    <row r="272" spans="1:18" ht="14.25" customHeight="1">
      <c r="A272" s="143">
        <v>265</v>
      </c>
      <c r="B272" s="143"/>
      <c r="C272" s="143"/>
      <c r="D272" s="144"/>
      <c r="E272" s="144"/>
      <c r="F272" s="143"/>
      <c r="G272" s="143"/>
      <c r="H272" s="143"/>
      <c r="I272" s="143"/>
      <c r="J272" s="143"/>
      <c r="K272" s="143"/>
      <c r="L272" s="143"/>
      <c r="M272" s="143"/>
      <c r="N272" s="144"/>
      <c r="O272" s="145"/>
      <c r="P272" s="143"/>
      <c r="Q272" s="143"/>
      <c r="R272" s="143"/>
    </row>
    <row r="273" spans="1:18" ht="14.25" customHeight="1">
      <c r="A273" s="143">
        <v>266</v>
      </c>
      <c r="B273" s="143"/>
      <c r="C273" s="143"/>
      <c r="D273" s="144"/>
      <c r="E273" s="144"/>
      <c r="F273" s="143"/>
      <c r="G273" s="143"/>
      <c r="H273" s="143"/>
      <c r="I273" s="143"/>
      <c r="J273" s="143"/>
      <c r="K273" s="143"/>
      <c r="L273" s="143"/>
      <c r="M273" s="143"/>
      <c r="N273" s="144"/>
      <c r="O273" s="145"/>
      <c r="P273" s="143"/>
      <c r="Q273" s="143"/>
      <c r="R273" s="143"/>
    </row>
    <row r="274" spans="1:18" ht="14.25" customHeight="1">
      <c r="A274" s="143">
        <v>267</v>
      </c>
      <c r="B274" s="143"/>
      <c r="C274" s="143"/>
      <c r="D274" s="144"/>
      <c r="E274" s="144"/>
      <c r="F274" s="143"/>
      <c r="G274" s="143"/>
      <c r="H274" s="143"/>
      <c r="I274" s="143"/>
      <c r="J274" s="143"/>
      <c r="K274" s="143"/>
      <c r="L274" s="143"/>
      <c r="M274" s="143"/>
      <c r="N274" s="144"/>
      <c r="O274" s="145"/>
      <c r="P274" s="143"/>
      <c r="Q274" s="143"/>
      <c r="R274" s="143"/>
    </row>
    <row r="275" spans="1:18" ht="14.25" customHeight="1">
      <c r="A275" s="143">
        <v>268</v>
      </c>
      <c r="B275" s="143"/>
      <c r="C275" s="143"/>
      <c r="D275" s="144"/>
      <c r="E275" s="144"/>
      <c r="F275" s="143"/>
      <c r="G275" s="143"/>
      <c r="H275" s="143"/>
      <c r="I275" s="143"/>
      <c r="J275" s="143"/>
      <c r="K275" s="143"/>
      <c r="L275" s="143"/>
      <c r="M275" s="143"/>
      <c r="N275" s="144"/>
      <c r="O275" s="145"/>
      <c r="P275" s="143"/>
      <c r="Q275" s="143"/>
      <c r="R275" s="143"/>
    </row>
    <row r="276" spans="1:18" ht="14.25" customHeight="1">
      <c r="A276" s="143">
        <v>269</v>
      </c>
      <c r="B276" s="143"/>
      <c r="C276" s="143"/>
      <c r="D276" s="144"/>
      <c r="E276" s="144"/>
      <c r="F276" s="143"/>
      <c r="G276" s="143"/>
      <c r="H276" s="143"/>
      <c r="I276" s="143"/>
      <c r="J276" s="143"/>
      <c r="K276" s="143"/>
      <c r="L276" s="143"/>
      <c r="M276" s="143"/>
      <c r="N276" s="144"/>
      <c r="O276" s="145"/>
      <c r="P276" s="143"/>
      <c r="Q276" s="143"/>
      <c r="R276" s="143"/>
    </row>
    <row r="277" spans="1:18" ht="14.25" customHeight="1">
      <c r="A277" s="143">
        <v>270</v>
      </c>
      <c r="B277" s="143"/>
      <c r="C277" s="143"/>
      <c r="D277" s="144"/>
      <c r="E277" s="144"/>
      <c r="F277" s="143"/>
      <c r="G277" s="143"/>
      <c r="H277" s="143"/>
      <c r="I277" s="143"/>
      <c r="J277" s="143"/>
      <c r="K277" s="143"/>
      <c r="L277" s="143"/>
      <c r="M277" s="143"/>
      <c r="N277" s="144"/>
      <c r="O277" s="145"/>
      <c r="P277" s="143"/>
      <c r="Q277" s="143"/>
      <c r="R277" s="143"/>
    </row>
    <row r="278" spans="1:18" ht="14.25" customHeight="1">
      <c r="A278" s="143">
        <v>271</v>
      </c>
      <c r="B278" s="143"/>
      <c r="C278" s="143"/>
      <c r="D278" s="144"/>
      <c r="E278" s="144"/>
      <c r="F278" s="143"/>
      <c r="G278" s="143"/>
      <c r="H278" s="143"/>
      <c r="I278" s="143"/>
      <c r="J278" s="143"/>
      <c r="K278" s="143"/>
      <c r="L278" s="143"/>
      <c r="M278" s="143"/>
      <c r="N278" s="144"/>
      <c r="O278" s="145"/>
      <c r="P278" s="143"/>
      <c r="Q278" s="143"/>
      <c r="R278" s="143"/>
    </row>
    <row r="279" spans="1:18" ht="14.25" customHeight="1">
      <c r="A279" s="143">
        <v>272</v>
      </c>
      <c r="B279" s="143"/>
      <c r="C279" s="143"/>
      <c r="D279" s="144"/>
      <c r="E279" s="144"/>
      <c r="F279" s="143"/>
      <c r="G279" s="143"/>
      <c r="H279" s="143"/>
      <c r="I279" s="143"/>
      <c r="J279" s="143"/>
      <c r="K279" s="143"/>
      <c r="L279" s="143"/>
      <c r="M279" s="143"/>
      <c r="N279" s="144"/>
      <c r="O279" s="145"/>
      <c r="P279" s="143"/>
      <c r="Q279" s="143"/>
      <c r="R279" s="143"/>
    </row>
    <row r="280" spans="1:18" ht="14.25" customHeight="1">
      <c r="A280" s="143">
        <v>273</v>
      </c>
      <c r="B280" s="143"/>
      <c r="C280" s="143"/>
      <c r="D280" s="144"/>
      <c r="E280" s="144"/>
      <c r="F280" s="143"/>
      <c r="G280" s="143"/>
      <c r="H280" s="143"/>
      <c r="I280" s="143"/>
      <c r="J280" s="143"/>
      <c r="K280" s="143"/>
      <c r="L280" s="143"/>
      <c r="M280" s="143"/>
      <c r="N280" s="144"/>
      <c r="O280" s="145"/>
      <c r="P280" s="143"/>
      <c r="Q280" s="143"/>
      <c r="R280" s="143"/>
    </row>
    <row r="281" spans="1:18" ht="14.25" customHeight="1">
      <c r="A281" s="143">
        <v>274</v>
      </c>
      <c r="B281" s="143"/>
      <c r="C281" s="143"/>
      <c r="D281" s="144"/>
      <c r="E281" s="144"/>
      <c r="F281" s="143"/>
      <c r="G281" s="143"/>
      <c r="H281" s="143"/>
      <c r="I281" s="143"/>
      <c r="J281" s="143"/>
      <c r="K281" s="143"/>
      <c r="L281" s="143"/>
      <c r="M281" s="143"/>
      <c r="N281" s="144"/>
      <c r="O281" s="145"/>
      <c r="P281" s="143"/>
      <c r="Q281" s="143"/>
      <c r="R281" s="143"/>
    </row>
    <row r="282" spans="1:18" ht="14.25" customHeight="1">
      <c r="A282" s="143">
        <v>275</v>
      </c>
      <c r="B282" s="143"/>
      <c r="C282" s="143"/>
      <c r="D282" s="144"/>
      <c r="E282" s="144"/>
      <c r="F282" s="143"/>
      <c r="G282" s="143"/>
      <c r="H282" s="143"/>
      <c r="I282" s="143"/>
      <c r="J282" s="143"/>
      <c r="K282" s="143"/>
      <c r="L282" s="143"/>
      <c r="M282" s="143"/>
      <c r="N282" s="144"/>
      <c r="O282" s="145"/>
      <c r="P282" s="143"/>
      <c r="Q282" s="143"/>
      <c r="R282" s="143"/>
    </row>
    <row r="283" spans="1:18" ht="14.25" customHeight="1">
      <c r="A283" s="143">
        <v>276</v>
      </c>
      <c r="B283" s="143"/>
      <c r="C283" s="143"/>
      <c r="D283" s="144"/>
      <c r="E283" s="144"/>
      <c r="F283" s="143"/>
      <c r="G283" s="143"/>
      <c r="H283" s="143"/>
      <c r="I283" s="143"/>
      <c r="J283" s="143"/>
      <c r="K283" s="143"/>
      <c r="L283" s="143"/>
      <c r="M283" s="143"/>
      <c r="N283" s="144"/>
      <c r="O283" s="145"/>
      <c r="P283" s="143"/>
      <c r="Q283" s="143"/>
      <c r="R283" s="143"/>
    </row>
    <row r="284" spans="1:18" ht="14.25" customHeight="1">
      <c r="A284" s="143">
        <v>277</v>
      </c>
      <c r="B284" s="143"/>
      <c r="C284" s="143"/>
      <c r="D284" s="144"/>
      <c r="E284" s="144"/>
      <c r="F284" s="143"/>
      <c r="G284" s="143"/>
      <c r="H284" s="143"/>
      <c r="I284" s="143"/>
      <c r="J284" s="143"/>
      <c r="K284" s="143"/>
      <c r="L284" s="143"/>
      <c r="M284" s="143"/>
      <c r="N284" s="144"/>
      <c r="O284" s="145"/>
      <c r="P284" s="143"/>
      <c r="Q284" s="143"/>
      <c r="R284" s="143"/>
    </row>
    <row r="285" spans="1:18" ht="14.25" customHeight="1">
      <c r="A285" s="143">
        <v>278</v>
      </c>
      <c r="B285" s="143"/>
      <c r="C285" s="143"/>
      <c r="D285" s="144"/>
      <c r="E285" s="144"/>
      <c r="F285" s="143"/>
      <c r="G285" s="143"/>
      <c r="H285" s="143"/>
      <c r="I285" s="143"/>
      <c r="J285" s="143"/>
      <c r="K285" s="143"/>
      <c r="L285" s="143"/>
      <c r="M285" s="143"/>
      <c r="N285" s="144"/>
      <c r="O285" s="145"/>
      <c r="P285" s="143"/>
      <c r="Q285" s="143"/>
      <c r="R285" s="143"/>
    </row>
    <row r="286" spans="1:18" ht="14.25" customHeight="1">
      <c r="A286" s="143">
        <v>279</v>
      </c>
      <c r="B286" s="143"/>
      <c r="C286" s="143"/>
      <c r="D286" s="144"/>
      <c r="E286" s="144"/>
      <c r="F286" s="143"/>
      <c r="G286" s="143"/>
      <c r="H286" s="143"/>
      <c r="I286" s="143"/>
      <c r="J286" s="143"/>
      <c r="K286" s="143"/>
      <c r="L286" s="143"/>
      <c r="M286" s="143"/>
      <c r="N286" s="144"/>
      <c r="O286" s="145"/>
      <c r="P286" s="143"/>
      <c r="Q286" s="143"/>
      <c r="R286" s="143"/>
    </row>
    <row r="287" spans="1:18" ht="14.25" customHeight="1">
      <c r="A287" s="143">
        <v>280</v>
      </c>
      <c r="B287" s="143"/>
      <c r="C287" s="143"/>
      <c r="D287" s="144"/>
      <c r="E287" s="144"/>
      <c r="F287" s="143"/>
      <c r="G287" s="143"/>
      <c r="H287" s="143"/>
      <c r="I287" s="143"/>
      <c r="J287" s="143"/>
      <c r="K287" s="143"/>
      <c r="L287" s="143"/>
      <c r="M287" s="143"/>
      <c r="N287" s="144"/>
      <c r="O287" s="145"/>
      <c r="P287" s="143"/>
      <c r="Q287" s="143"/>
      <c r="R287" s="143"/>
    </row>
    <row r="288" spans="1:18" ht="14.25" customHeight="1">
      <c r="A288" s="143">
        <v>281</v>
      </c>
      <c r="B288" s="143"/>
      <c r="C288" s="143"/>
      <c r="D288" s="144"/>
      <c r="E288" s="144"/>
      <c r="F288" s="143"/>
      <c r="G288" s="143"/>
      <c r="H288" s="143"/>
      <c r="I288" s="143"/>
      <c r="J288" s="143"/>
      <c r="K288" s="143"/>
      <c r="L288" s="143"/>
      <c r="M288" s="143"/>
      <c r="N288" s="144"/>
      <c r="O288" s="145"/>
      <c r="P288" s="143"/>
      <c r="Q288" s="143"/>
      <c r="R288" s="143"/>
    </row>
    <row r="289" spans="1:18" ht="14.25" customHeight="1">
      <c r="A289" s="143">
        <v>282</v>
      </c>
      <c r="B289" s="143"/>
      <c r="C289" s="143"/>
      <c r="D289" s="144"/>
      <c r="E289" s="144"/>
      <c r="F289" s="143"/>
      <c r="G289" s="143"/>
      <c r="H289" s="143"/>
      <c r="I289" s="143"/>
      <c r="J289" s="143"/>
      <c r="K289" s="143"/>
      <c r="L289" s="143"/>
      <c r="M289" s="143"/>
      <c r="N289" s="144"/>
      <c r="O289" s="145"/>
      <c r="P289" s="143"/>
      <c r="Q289" s="143"/>
      <c r="R289" s="143"/>
    </row>
    <row r="290" spans="1:18" ht="14.25" customHeight="1">
      <c r="A290" s="143">
        <v>283</v>
      </c>
      <c r="B290" s="143"/>
      <c r="C290" s="143"/>
      <c r="D290" s="144"/>
      <c r="E290" s="144"/>
      <c r="F290" s="143"/>
      <c r="G290" s="143"/>
      <c r="H290" s="143"/>
      <c r="I290" s="143"/>
      <c r="J290" s="143"/>
      <c r="K290" s="143"/>
      <c r="L290" s="143"/>
      <c r="M290" s="143"/>
      <c r="N290" s="144"/>
      <c r="O290" s="145"/>
      <c r="P290" s="143"/>
      <c r="Q290" s="143"/>
      <c r="R290" s="143"/>
    </row>
    <row r="291" spans="1:18" ht="14.25" customHeight="1">
      <c r="A291" s="143">
        <v>284</v>
      </c>
      <c r="B291" s="143"/>
      <c r="C291" s="143"/>
      <c r="D291" s="144"/>
      <c r="E291" s="144"/>
      <c r="F291" s="143"/>
      <c r="G291" s="143"/>
      <c r="H291" s="143"/>
      <c r="I291" s="143"/>
      <c r="J291" s="143"/>
      <c r="K291" s="143"/>
      <c r="L291" s="143"/>
      <c r="M291" s="143"/>
      <c r="N291" s="144"/>
      <c r="O291" s="145"/>
      <c r="P291" s="143"/>
      <c r="Q291" s="143"/>
      <c r="R291" s="143"/>
    </row>
    <row r="292" spans="1:18" ht="14.25" customHeight="1">
      <c r="A292" s="143">
        <v>285</v>
      </c>
      <c r="B292" s="143"/>
      <c r="C292" s="143"/>
      <c r="D292" s="144"/>
      <c r="E292" s="144"/>
      <c r="F292" s="143"/>
      <c r="G292" s="143"/>
      <c r="H292" s="143"/>
      <c r="I292" s="143"/>
      <c r="J292" s="143"/>
      <c r="K292" s="143"/>
      <c r="L292" s="143"/>
      <c r="M292" s="143"/>
      <c r="N292" s="144"/>
      <c r="O292" s="145"/>
      <c r="P292" s="143"/>
      <c r="Q292" s="143"/>
      <c r="R292" s="143"/>
    </row>
    <row r="293" spans="1:18" ht="14.25" customHeight="1">
      <c r="A293" s="143">
        <v>286</v>
      </c>
      <c r="B293" s="143"/>
      <c r="C293" s="143"/>
      <c r="D293" s="144"/>
      <c r="E293" s="144"/>
      <c r="F293" s="143"/>
      <c r="G293" s="143"/>
      <c r="H293" s="143"/>
      <c r="I293" s="143"/>
      <c r="J293" s="143"/>
      <c r="K293" s="143"/>
      <c r="L293" s="143"/>
      <c r="M293" s="143"/>
      <c r="N293" s="144"/>
      <c r="O293" s="145"/>
      <c r="P293" s="143"/>
      <c r="Q293" s="143"/>
      <c r="R293" s="143"/>
    </row>
    <row r="294" spans="1:18" ht="14.25" customHeight="1">
      <c r="A294" s="143">
        <v>287</v>
      </c>
      <c r="B294" s="143"/>
      <c r="C294" s="143"/>
      <c r="D294" s="144"/>
      <c r="E294" s="144"/>
      <c r="F294" s="143"/>
      <c r="G294" s="143"/>
      <c r="H294" s="143"/>
      <c r="I294" s="143"/>
      <c r="J294" s="143"/>
      <c r="K294" s="143"/>
      <c r="L294" s="143"/>
      <c r="M294" s="143"/>
      <c r="N294" s="144"/>
      <c r="O294" s="145"/>
      <c r="P294" s="143"/>
      <c r="Q294" s="143"/>
      <c r="R294" s="143"/>
    </row>
    <row r="295" spans="1:18" ht="14.25" customHeight="1">
      <c r="A295" s="143">
        <v>288</v>
      </c>
      <c r="B295" s="143"/>
      <c r="C295" s="143"/>
      <c r="D295" s="144"/>
      <c r="E295" s="144"/>
      <c r="F295" s="143"/>
      <c r="G295" s="143"/>
      <c r="H295" s="143"/>
      <c r="I295" s="143"/>
      <c r="J295" s="143"/>
      <c r="K295" s="143"/>
      <c r="L295" s="143"/>
      <c r="M295" s="143"/>
      <c r="N295" s="144"/>
      <c r="O295" s="145"/>
      <c r="P295" s="143"/>
      <c r="Q295" s="143"/>
      <c r="R295" s="143"/>
    </row>
    <row r="296" spans="1:18" ht="14.25" customHeight="1">
      <c r="A296" s="143">
        <v>289</v>
      </c>
      <c r="B296" s="143"/>
      <c r="C296" s="143"/>
      <c r="D296" s="144"/>
      <c r="E296" s="144"/>
      <c r="F296" s="143"/>
      <c r="G296" s="143"/>
      <c r="H296" s="143"/>
      <c r="I296" s="143"/>
      <c r="J296" s="143"/>
      <c r="K296" s="143"/>
      <c r="L296" s="143"/>
      <c r="M296" s="143"/>
      <c r="N296" s="144"/>
      <c r="O296" s="145"/>
      <c r="P296" s="143"/>
      <c r="Q296" s="143"/>
      <c r="R296" s="143"/>
    </row>
    <row r="297" spans="1:18" ht="14.25" customHeight="1">
      <c r="A297" s="143">
        <v>290</v>
      </c>
      <c r="B297" s="143"/>
      <c r="C297" s="143"/>
      <c r="D297" s="144"/>
      <c r="E297" s="144"/>
      <c r="F297" s="143"/>
      <c r="G297" s="143"/>
      <c r="H297" s="143"/>
      <c r="I297" s="143"/>
      <c r="J297" s="143"/>
      <c r="K297" s="143"/>
      <c r="L297" s="143"/>
      <c r="M297" s="143"/>
      <c r="N297" s="144"/>
      <c r="O297" s="145"/>
      <c r="P297" s="143"/>
      <c r="Q297" s="143"/>
      <c r="R297" s="143"/>
    </row>
    <row r="298" spans="1:18" ht="14.25" customHeight="1">
      <c r="A298" s="143">
        <v>291</v>
      </c>
      <c r="B298" s="143"/>
      <c r="C298" s="143"/>
      <c r="D298" s="144"/>
      <c r="E298" s="144"/>
      <c r="F298" s="143"/>
      <c r="G298" s="143"/>
      <c r="H298" s="143"/>
      <c r="I298" s="143"/>
      <c r="J298" s="143"/>
      <c r="K298" s="143"/>
      <c r="L298" s="143"/>
      <c r="M298" s="143"/>
      <c r="N298" s="144"/>
      <c r="O298" s="145"/>
      <c r="P298" s="143"/>
      <c r="Q298" s="143"/>
      <c r="R298" s="143"/>
    </row>
    <row r="299" spans="1:18" ht="14.25" customHeight="1">
      <c r="A299" s="143">
        <v>292</v>
      </c>
      <c r="B299" s="143"/>
      <c r="C299" s="143"/>
      <c r="D299" s="144"/>
      <c r="E299" s="144"/>
      <c r="F299" s="143"/>
      <c r="G299" s="143"/>
      <c r="H299" s="143"/>
      <c r="I299" s="143"/>
      <c r="J299" s="143"/>
      <c r="K299" s="143"/>
      <c r="L299" s="143"/>
      <c r="M299" s="143"/>
      <c r="N299" s="144"/>
      <c r="O299" s="145"/>
      <c r="P299" s="143"/>
      <c r="Q299" s="143"/>
      <c r="R299" s="143"/>
    </row>
    <row r="300" spans="1:18" ht="14.25" customHeight="1">
      <c r="A300" s="143">
        <v>293</v>
      </c>
      <c r="B300" s="143"/>
      <c r="C300" s="143"/>
      <c r="D300" s="144"/>
      <c r="E300" s="144"/>
      <c r="F300" s="143"/>
      <c r="G300" s="143"/>
      <c r="H300" s="143"/>
      <c r="I300" s="143"/>
      <c r="J300" s="143"/>
      <c r="K300" s="143"/>
      <c r="L300" s="143"/>
      <c r="M300" s="143"/>
      <c r="N300" s="144"/>
      <c r="O300" s="145"/>
      <c r="P300" s="143"/>
      <c r="Q300" s="143"/>
      <c r="R300" s="143"/>
    </row>
    <row r="301" spans="1:18" ht="14.25" customHeight="1">
      <c r="A301" s="143">
        <v>294</v>
      </c>
      <c r="B301" s="143"/>
      <c r="C301" s="143"/>
      <c r="D301" s="144"/>
      <c r="E301" s="144"/>
      <c r="F301" s="143"/>
      <c r="G301" s="143"/>
      <c r="H301" s="143"/>
      <c r="I301" s="143"/>
      <c r="J301" s="143"/>
      <c r="K301" s="143"/>
      <c r="L301" s="143"/>
      <c r="M301" s="143"/>
      <c r="N301" s="144"/>
      <c r="O301" s="145"/>
      <c r="P301" s="143"/>
      <c r="Q301" s="143"/>
      <c r="R301" s="143"/>
    </row>
    <row r="302" spans="1:18" ht="14.25" customHeight="1">
      <c r="A302" s="143">
        <v>295</v>
      </c>
      <c r="B302" s="143"/>
      <c r="C302" s="143"/>
      <c r="D302" s="144"/>
      <c r="E302" s="144"/>
      <c r="F302" s="143"/>
      <c r="G302" s="143"/>
      <c r="H302" s="143"/>
      <c r="I302" s="143"/>
      <c r="J302" s="143"/>
      <c r="K302" s="143"/>
      <c r="L302" s="143"/>
      <c r="M302" s="143"/>
      <c r="N302" s="144"/>
      <c r="O302" s="145"/>
      <c r="P302" s="143"/>
      <c r="Q302" s="143"/>
      <c r="R302" s="143"/>
    </row>
    <row r="303" spans="1:18" ht="14.25" customHeight="1">
      <c r="A303" s="143">
        <v>296</v>
      </c>
      <c r="B303" s="143"/>
      <c r="C303" s="143"/>
      <c r="D303" s="144"/>
      <c r="E303" s="144"/>
      <c r="F303" s="143"/>
      <c r="G303" s="143"/>
      <c r="H303" s="143"/>
      <c r="I303" s="143"/>
      <c r="J303" s="143"/>
      <c r="K303" s="143"/>
      <c r="L303" s="143"/>
      <c r="M303" s="143"/>
      <c r="N303" s="144"/>
      <c r="O303" s="145"/>
      <c r="P303" s="143"/>
      <c r="Q303" s="143"/>
      <c r="R303" s="143"/>
    </row>
    <row r="304" spans="1:18" ht="14.25" customHeight="1">
      <c r="A304" s="143">
        <v>297</v>
      </c>
      <c r="B304" s="143"/>
      <c r="C304" s="143"/>
      <c r="D304" s="144"/>
      <c r="E304" s="144"/>
      <c r="F304" s="143"/>
      <c r="G304" s="143"/>
      <c r="H304" s="143"/>
      <c r="I304" s="143"/>
      <c r="J304" s="143"/>
      <c r="K304" s="143"/>
      <c r="L304" s="143"/>
      <c r="M304" s="143"/>
      <c r="N304" s="144"/>
      <c r="O304" s="145"/>
      <c r="P304" s="143"/>
      <c r="Q304" s="143"/>
      <c r="R304" s="143"/>
    </row>
    <row r="305" spans="1:18" ht="14.25" customHeight="1">
      <c r="A305" s="143">
        <v>298</v>
      </c>
      <c r="B305" s="143"/>
      <c r="C305" s="143"/>
      <c r="D305" s="144"/>
      <c r="E305" s="144"/>
      <c r="F305" s="143"/>
      <c r="G305" s="143"/>
      <c r="H305" s="143"/>
      <c r="I305" s="143"/>
      <c r="J305" s="143"/>
      <c r="K305" s="143"/>
      <c r="L305" s="143"/>
      <c r="M305" s="143"/>
      <c r="N305" s="144"/>
      <c r="O305" s="145"/>
      <c r="P305" s="143"/>
      <c r="Q305" s="143"/>
      <c r="R305" s="143"/>
    </row>
    <row r="306" spans="1:18" ht="14.25" customHeight="1">
      <c r="A306" s="143">
        <v>299</v>
      </c>
      <c r="B306" s="143"/>
      <c r="C306" s="143"/>
      <c r="D306" s="144"/>
      <c r="E306" s="144"/>
      <c r="F306" s="143"/>
      <c r="G306" s="143"/>
      <c r="H306" s="143"/>
      <c r="I306" s="143"/>
      <c r="J306" s="143"/>
      <c r="K306" s="143"/>
      <c r="L306" s="143"/>
      <c r="M306" s="143"/>
      <c r="N306" s="144"/>
      <c r="O306" s="145"/>
      <c r="P306" s="143"/>
      <c r="Q306" s="143"/>
      <c r="R306" s="143"/>
    </row>
    <row r="307" spans="1:18" ht="14.25" customHeight="1">
      <c r="A307" s="143">
        <v>300</v>
      </c>
      <c r="B307" s="143"/>
      <c r="C307" s="143"/>
      <c r="D307" s="144"/>
      <c r="E307" s="144"/>
      <c r="F307" s="143"/>
      <c r="G307" s="143"/>
      <c r="H307" s="143"/>
      <c r="I307" s="143"/>
      <c r="J307" s="143"/>
      <c r="K307" s="143"/>
      <c r="L307" s="143"/>
      <c r="M307" s="143"/>
      <c r="N307" s="144"/>
      <c r="O307" s="145"/>
      <c r="P307" s="143"/>
      <c r="Q307" s="143"/>
      <c r="R307" s="143"/>
    </row>
    <row r="308" spans="1:18" ht="14.25" customHeight="1">
      <c r="A308" s="143">
        <v>301</v>
      </c>
      <c r="B308" s="143"/>
      <c r="C308" s="143"/>
      <c r="D308" s="144"/>
      <c r="E308" s="144"/>
      <c r="F308" s="143"/>
      <c r="G308" s="143"/>
      <c r="H308" s="143"/>
      <c r="I308" s="143"/>
      <c r="J308" s="143"/>
      <c r="K308" s="143"/>
      <c r="L308" s="143"/>
      <c r="M308" s="143"/>
      <c r="N308" s="144"/>
      <c r="O308" s="145"/>
      <c r="P308" s="143"/>
      <c r="Q308" s="143"/>
      <c r="R308" s="143"/>
    </row>
    <row r="309" spans="1:18" ht="14.25" customHeight="1">
      <c r="A309" s="143">
        <v>302</v>
      </c>
      <c r="B309" s="143"/>
      <c r="C309" s="143"/>
      <c r="D309" s="144"/>
      <c r="E309" s="144"/>
      <c r="F309" s="143"/>
      <c r="G309" s="143"/>
      <c r="H309" s="143"/>
      <c r="I309" s="143"/>
      <c r="J309" s="143"/>
      <c r="K309" s="143"/>
      <c r="L309" s="143"/>
      <c r="M309" s="143"/>
      <c r="N309" s="144"/>
      <c r="O309" s="145"/>
      <c r="P309" s="143"/>
      <c r="Q309" s="143"/>
      <c r="R309" s="143"/>
    </row>
    <row r="310" spans="1:18" ht="14.25" customHeight="1">
      <c r="A310" s="143">
        <v>303</v>
      </c>
      <c r="B310" s="143"/>
      <c r="C310" s="143"/>
      <c r="D310" s="144"/>
      <c r="E310" s="144"/>
      <c r="F310" s="143"/>
      <c r="G310" s="143"/>
      <c r="H310" s="143"/>
      <c r="I310" s="143"/>
      <c r="J310" s="143"/>
      <c r="K310" s="143"/>
      <c r="L310" s="143"/>
      <c r="M310" s="143"/>
      <c r="N310" s="144"/>
      <c r="O310" s="145"/>
      <c r="P310" s="143"/>
      <c r="Q310" s="143"/>
      <c r="R310" s="143"/>
    </row>
    <row r="311" spans="1:18" ht="14.25" customHeight="1">
      <c r="A311" s="143">
        <v>304</v>
      </c>
      <c r="B311" s="143"/>
      <c r="C311" s="143"/>
      <c r="D311" s="144"/>
      <c r="E311" s="144"/>
      <c r="F311" s="143"/>
      <c r="G311" s="143"/>
      <c r="H311" s="143"/>
      <c r="I311" s="143"/>
      <c r="J311" s="143"/>
      <c r="K311" s="143"/>
      <c r="L311" s="143"/>
      <c r="M311" s="143"/>
      <c r="N311" s="144"/>
      <c r="O311" s="145"/>
      <c r="P311" s="143"/>
      <c r="Q311" s="143"/>
      <c r="R311" s="143"/>
    </row>
    <row r="312" spans="1:18" ht="14.25" customHeight="1">
      <c r="A312" s="143">
        <v>305</v>
      </c>
      <c r="B312" s="143"/>
      <c r="C312" s="143"/>
      <c r="D312" s="144"/>
      <c r="E312" s="144"/>
      <c r="F312" s="143"/>
      <c r="G312" s="143"/>
      <c r="H312" s="143"/>
      <c r="I312" s="143"/>
      <c r="J312" s="143"/>
      <c r="K312" s="143"/>
      <c r="L312" s="143"/>
      <c r="M312" s="143"/>
      <c r="N312" s="144"/>
      <c r="O312" s="145"/>
      <c r="P312" s="143"/>
      <c r="Q312" s="143"/>
      <c r="R312" s="143"/>
    </row>
    <row r="313" spans="1:18" ht="14.25" customHeight="1">
      <c r="A313" s="143">
        <v>306</v>
      </c>
      <c r="B313" s="143"/>
      <c r="C313" s="143"/>
      <c r="D313" s="144"/>
      <c r="E313" s="144"/>
      <c r="F313" s="143"/>
      <c r="G313" s="143"/>
      <c r="H313" s="143"/>
      <c r="I313" s="143"/>
      <c r="J313" s="143"/>
      <c r="K313" s="143"/>
      <c r="L313" s="143"/>
      <c r="M313" s="143"/>
      <c r="N313" s="144"/>
      <c r="O313" s="145"/>
      <c r="P313" s="143"/>
      <c r="Q313" s="143"/>
      <c r="R313" s="143"/>
    </row>
    <row r="314" spans="1:18" ht="14.25" customHeight="1">
      <c r="A314" s="143">
        <v>307</v>
      </c>
      <c r="B314" s="143"/>
      <c r="C314" s="143"/>
      <c r="D314" s="144"/>
      <c r="E314" s="144"/>
      <c r="F314" s="143"/>
      <c r="G314" s="143"/>
      <c r="H314" s="143"/>
      <c r="I314" s="143"/>
      <c r="J314" s="143"/>
      <c r="K314" s="143"/>
      <c r="L314" s="143"/>
      <c r="M314" s="143"/>
      <c r="N314" s="144"/>
      <c r="O314" s="145"/>
      <c r="P314" s="143"/>
      <c r="Q314" s="143"/>
      <c r="R314" s="143"/>
    </row>
    <row r="315" spans="1:18" ht="14.25" customHeight="1">
      <c r="A315" s="143">
        <v>308</v>
      </c>
      <c r="B315" s="143"/>
      <c r="C315" s="143"/>
      <c r="D315" s="144"/>
      <c r="E315" s="144"/>
      <c r="F315" s="143"/>
      <c r="G315" s="143"/>
      <c r="H315" s="143"/>
      <c r="I315" s="143"/>
      <c r="J315" s="143"/>
      <c r="K315" s="143"/>
      <c r="L315" s="143"/>
      <c r="M315" s="143"/>
      <c r="N315" s="144"/>
      <c r="O315" s="145"/>
      <c r="P315" s="143"/>
      <c r="Q315" s="143"/>
      <c r="R315" s="143"/>
    </row>
    <row r="316" spans="1:18" ht="14.25" customHeight="1">
      <c r="A316" s="143">
        <v>309</v>
      </c>
      <c r="B316" s="143"/>
      <c r="C316" s="143"/>
      <c r="D316" s="144"/>
      <c r="E316" s="144"/>
      <c r="F316" s="143"/>
      <c r="G316" s="143"/>
      <c r="H316" s="143"/>
      <c r="I316" s="143"/>
      <c r="J316" s="143"/>
      <c r="K316" s="143"/>
      <c r="L316" s="143"/>
      <c r="M316" s="143"/>
      <c r="N316" s="144"/>
      <c r="O316" s="145"/>
      <c r="P316" s="143"/>
      <c r="Q316" s="143"/>
      <c r="R316" s="143"/>
    </row>
    <row r="317" spans="1:18" ht="14.25" customHeight="1">
      <c r="A317" s="143">
        <v>310</v>
      </c>
      <c r="B317" s="143"/>
      <c r="C317" s="143"/>
      <c r="D317" s="144"/>
      <c r="E317" s="144"/>
      <c r="F317" s="143"/>
      <c r="G317" s="143"/>
      <c r="H317" s="143"/>
      <c r="I317" s="143"/>
      <c r="J317" s="143"/>
      <c r="K317" s="143"/>
      <c r="L317" s="143"/>
      <c r="M317" s="143"/>
      <c r="N317" s="144"/>
      <c r="O317" s="145"/>
      <c r="P317" s="143"/>
      <c r="Q317" s="143"/>
      <c r="R317" s="143"/>
    </row>
    <row r="318" spans="1:18" ht="14.25" customHeight="1">
      <c r="A318" s="143">
        <v>311</v>
      </c>
      <c r="B318" s="143"/>
      <c r="C318" s="143"/>
      <c r="D318" s="144"/>
      <c r="E318" s="144"/>
      <c r="F318" s="143"/>
      <c r="G318" s="143"/>
      <c r="H318" s="143"/>
      <c r="I318" s="143"/>
      <c r="J318" s="143"/>
      <c r="K318" s="143"/>
      <c r="L318" s="143"/>
      <c r="M318" s="143"/>
      <c r="N318" s="144"/>
      <c r="O318" s="145"/>
      <c r="P318" s="143"/>
      <c r="Q318" s="143"/>
      <c r="R318" s="143"/>
    </row>
    <row r="319" spans="1:18" ht="14.25" customHeight="1">
      <c r="A319" s="143">
        <v>312</v>
      </c>
      <c r="B319" s="143"/>
      <c r="C319" s="143"/>
      <c r="D319" s="144"/>
      <c r="E319" s="144"/>
      <c r="F319" s="143"/>
      <c r="G319" s="143"/>
      <c r="H319" s="143"/>
      <c r="I319" s="143"/>
      <c r="J319" s="143"/>
      <c r="K319" s="143"/>
      <c r="L319" s="143"/>
      <c r="M319" s="143"/>
      <c r="N319" s="144"/>
      <c r="O319" s="145"/>
      <c r="P319" s="143"/>
      <c r="Q319" s="143"/>
      <c r="R319" s="143"/>
    </row>
    <row r="320" spans="1:18" ht="14.25" customHeight="1">
      <c r="A320" s="143">
        <v>313</v>
      </c>
      <c r="B320" s="143"/>
      <c r="C320" s="143"/>
      <c r="D320" s="144"/>
      <c r="E320" s="144"/>
      <c r="F320" s="143"/>
      <c r="G320" s="143"/>
      <c r="H320" s="143"/>
      <c r="I320" s="143"/>
      <c r="J320" s="143"/>
      <c r="K320" s="143"/>
      <c r="L320" s="143"/>
      <c r="M320" s="143"/>
      <c r="N320" s="144"/>
      <c r="O320" s="145"/>
      <c r="P320" s="143"/>
      <c r="Q320" s="143"/>
      <c r="R320" s="143"/>
    </row>
    <row r="321" spans="1:18" ht="14.25" customHeight="1">
      <c r="A321" s="143">
        <v>314</v>
      </c>
      <c r="B321" s="143"/>
      <c r="C321" s="143"/>
      <c r="D321" s="144"/>
      <c r="E321" s="144"/>
      <c r="F321" s="143"/>
      <c r="G321" s="143"/>
      <c r="H321" s="143"/>
      <c r="I321" s="143"/>
      <c r="J321" s="143"/>
      <c r="K321" s="143"/>
      <c r="L321" s="143"/>
      <c r="M321" s="143"/>
      <c r="N321" s="144"/>
      <c r="O321" s="145"/>
      <c r="P321" s="143"/>
      <c r="Q321" s="143"/>
      <c r="R321" s="143"/>
    </row>
    <row r="322" spans="1:18" ht="14.25" customHeight="1">
      <c r="A322" s="143">
        <v>315</v>
      </c>
      <c r="B322" s="143"/>
      <c r="C322" s="143"/>
      <c r="D322" s="144"/>
      <c r="E322" s="144"/>
      <c r="F322" s="143"/>
      <c r="G322" s="143"/>
      <c r="H322" s="143"/>
      <c r="I322" s="143"/>
      <c r="J322" s="143"/>
      <c r="K322" s="143"/>
      <c r="L322" s="143"/>
      <c r="M322" s="143"/>
      <c r="N322" s="144"/>
      <c r="O322" s="145"/>
      <c r="P322" s="143"/>
      <c r="Q322" s="143"/>
      <c r="R322" s="143"/>
    </row>
    <row r="323" spans="1:18" ht="14.25" customHeight="1">
      <c r="A323" s="143">
        <v>316</v>
      </c>
      <c r="B323" s="143"/>
      <c r="C323" s="143"/>
      <c r="D323" s="144"/>
      <c r="E323" s="144"/>
      <c r="F323" s="143"/>
      <c r="G323" s="143"/>
      <c r="H323" s="143"/>
      <c r="I323" s="143"/>
      <c r="J323" s="143"/>
      <c r="K323" s="143"/>
      <c r="L323" s="143"/>
      <c r="M323" s="143"/>
      <c r="N323" s="144"/>
      <c r="O323" s="145"/>
      <c r="P323" s="143"/>
      <c r="Q323" s="143"/>
      <c r="R323" s="143"/>
    </row>
    <row r="324" spans="1:18" ht="14.25" customHeight="1">
      <c r="A324" s="143">
        <v>317</v>
      </c>
      <c r="B324" s="143"/>
      <c r="C324" s="143"/>
      <c r="D324" s="144"/>
      <c r="E324" s="144"/>
      <c r="F324" s="143"/>
      <c r="G324" s="143"/>
      <c r="H324" s="143"/>
      <c r="I324" s="143"/>
      <c r="J324" s="143"/>
      <c r="K324" s="143"/>
      <c r="L324" s="143"/>
      <c r="M324" s="143"/>
      <c r="N324" s="144"/>
      <c r="O324" s="145"/>
      <c r="P324" s="143"/>
      <c r="Q324" s="143"/>
      <c r="R324" s="143"/>
    </row>
    <row r="325" spans="1:18" ht="14.25" customHeight="1">
      <c r="A325" s="143">
        <v>318</v>
      </c>
      <c r="B325" s="143"/>
      <c r="C325" s="143"/>
      <c r="D325" s="144"/>
      <c r="E325" s="144"/>
      <c r="F325" s="143"/>
      <c r="G325" s="143"/>
      <c r="H325" s="143"/>
      <c r="I325" s="143"/>
      <c r="J325" s="143"/>
      <c r="K325" s="143"/>
      <c r="L325" s="143"/>
      <c r="M325" s="143"/>
      <c r="N325" s="144"/>
      <c r="O325" s="145"/>
      <c r="P325" s="143"/>
      <c r="Q325" s="143"/>
      <c r="R325" s="143"/>
    </row>
    <row r="326" spans="1:18" ht="14.25" customHeight="1">
      <c r="A326" s="143">
        <v>319</v>
      </c>
      <c r="B326" s="143"/>
      <c r="C326" s="143"/>
      <c r="D326" s="144"/>
      <c r="E326" s="144"/>
      <c r="F326" s="143"/>
      <c r="G326" s="143"/>
      <c r="H326" s="143"/>
      <c r="I326" s="143"/>
      <c r="J326" s="143"/>
      <c r="K326" s="143"/>
      <c r="L326" s="143"/>
      <c r="M326" s="143"/>
      <c r="N326" s="144"/>
      <c r="O326" s="145"/>
      <c r="P326" s="143"/>
      <c r="Q326" s="143"/>
      <c r="R326" s="143"/>
    </row>
    <row r="327" spans="1:18" ht="14.25" customHeight="1">
      <c r="A327" s="143">
        <v>320</v>
      </c>
      <c r="B327" s="143"/>
      <c r="C327" s="143"/>
      <c r="D327" s="144"/>
      <c r="E327" s="144"/>
      <c r="F327" s="143"/>
      <c r="G327" s="143"/>
      <c r="H327" s="143"/>
      <c r="I327" s="143"/>
      <c r="J327" s="143"/>
      <c r="K327" s="143"/>
      <c r="L327" s="143"/>
      <c r="M327" s="143"/>
      <c r="N327" s="144"/>
      <c r="O327" s="145"/>
      <c r="P327" s="143"/>
      <c r="Q327" s="143"/>
      <c r="R327" s="143"/>
    </row>
    <row r="328" spans="1:18" ht="14.25" customHeight="1">
      <c r="A328" s="143">
        <v>321</v>
      </c>
      <c r="B328" s="143"/>
      <c r="C328" s="143"/>
      <c r="D328" s="144"/>
      <c r="E328" s="144"/>
      <c r="F328" s="143"/>
      <c r="G328" s="143"/>
      <c r="H328" s="143"/>
      <c r="I328" s="143"/>
      <c r="J328" s="143"/>
      <c r="K328" s="143"/>
      <c r="L328" s="143"/>
      <c r="M328" s="143"/>
      <c r="N328" s="144"/>
      <c r="O328" s="145"/>
      <c r="P328" s="143"/>
      <c r="Q328" s="143"/>
      <c r="R328" s="143"/>
    </row>
    <row r="329" spans="1:18" ht="14.25" customHeight="1">
      <c r="A329" s="143">
        <v>322</v>
      </c>
      <c r="B329" s="143"/>
      <c r="C329" s="143"/>
      <c r="D329" s="144"/>
      <c r="E329" s="144"/>
      <c r="F329" s="143"/>
      <c r="G329" s="143"/>
      <c r="H329" s="143"/>
      <c r="I329" s="143"/>
      <c r="J329" s="143"/>
      <c r="K329" s="143"/>
      <c r="L329" s="143"/>
      <c r="M329" s="143"/>
      <c r="N329" s="144"/>
      <c r="O329" s="145"/>
      <c r="P329" s="143"/>
      <c r="Q329" s="143"/>
      <c r="R329" s="143"/>
    </row>
    <row r="330" spans="1:18" ht="14.25" customHeight="1">
      <c r="A330" s="143">
        <v>323</v>
      </c>
      <c r="B330" s="143"/>
      <c r="C330" s="143"/>
      <c r="D330" s="144"/>
      <c r="E330" s="144"/>
      <c r="F330" s="143"/>
      <c r="G330" s="143"/>
      <c r="H330" s="143"/>
      <c r="I330" s="143"/>
      <c r="J330" s="143"/>
      <c r="K330" s="143"/>
      <c r="L330" s="143"/>
      <c r="M330" s="143"/>
      <c r="N330" s="144"/>
      <c r="O330" s="145"/>
      <c r="P330" s="143"/>
      <c r="Q330" s="143"/>
      <c r="R330" s="143"/>
    </row>
    <row r="331" spans="1:18" ht="14.25" customHeight="1">
      <c r="A331" s="143">
        <v>324</v>
      </c>
      <c r="B331" s="143"/>
      <c r="C331" s="143"/>
      <c r="D331" s="144"/>
      <c r="E331" s="144"/>
      <c r="F331" s="143"/>
      <c r="G331" s="143"/>
      <c r="H331" s="143"/>
      <c r="I331" s="143"/>
      <c r="J331" s="143"/>
      <c r="K331" s="143"/>
      <c r="L331" s="143"/>
      <c r="M331" s="143"/>
      <c r="N331" s="144"/>
      <c r="O331" s="145"/>
      <c r="P331" s="143"/>
      <c r="Q331" s="143"/>
      <c r="R331" s="143"/>
    </row>
    <row r="332" spans="1:18" ht="14.25" customHeight="1">
      <c r="A332" s="143">
        <v>325</v>
      </c>
      <c r="B332" s="143"/>
      <c r="C332" s="143"/>
      <c r="D332" s="144"/>
      <c r="E332" s="144"/>
      <c r="F332" s="143"/>
      <c r="G332" s="143"/>
      <c r="H332" s="143"/>
      <c r="I332" s="143"/>
      <c r="J332" s="143"/>
      <c r="K332" s="143"/>
      <c r="L332" s="143"/>
      <c r="M332" s="143"/>
      <c r="N332" s="144"/>
      <c r="O332" s="145"/>
      <c r="P332" s="143"/>
      <c r="Q332" s="143"/>
      <c r="R332" s="143"/>
    </row>
    <row r="333" spans="1:18" ht="14.25" customHeight="1">
      <c r="A333" s="143">
        <v>326</v>
      </c>
      <c r="B333" s="143"/>
      <c r="C333" s="143"/>
      <c r="D333" s="144"/>
      <c r="E333" s="144"/>
      <c r="F333" s="143"/>
      <c r="G333" s="143"/>
      <c r="H333" s="143"/>
      <c r="I333" s="143"/>
      <c r="J333" s="143"/>
      <c r="K333" s="143"/>
      <c r="L333" s="143"/>
      <c r="M333" s="143"/>
      <c r="N333" s="144"/>
      <c r="O333" s="145"/>
      <c r="P333" s="143"/>
      <c r="Q333" s="143"/>
      <c r="R333" s="143"/>
    </row>
    <row r="334" spans="1:18" ht="14.25" customHeight="1">
      <c r="A334" s="143">
        <v>327</v>
      </c>
      <c r="B334" s="143"/>
      <c r="C334" s="143"/>
      <c r="D334" s="144"/>
      <c r="E334" s="144"/>
      <c r="F334" s="143"/>
      <c r="G334" s="143"/>
      <c r="H334" s="143"/>
      <c r="I334" s="143"/>
      <c r="J334" s="143"/>
      <c r="K334" s="143"/>
      <c r="L334" s="143"/>
      <c r="M334" s="143"/>
      <c r="N334" s="144"/>
      <c r="O334" s="145"/>
      <c r="P334" s="143"/>
      <c r="Q334" s="143"/>
      <c r="R334" s="143"/>
    </row>
    <row r="335" spans="1:18" ht="14.25" customHeight="1">
      <c r="A335" s="143">
        <v>328</v>
      </c>
      <c r="B335" s="143"/>
      <c r="C335" s="143"/>
      <c r="D335" s="144"/>
      <c r="E335" s="144"/>
      <c r="F335" s="143"/>
      <c r="G335" s="143"/>
      <c r="H335" s="143"/>
      <c r="I335" s="143"/>
      <c r="J335" s="143"/>
      <c r="K335" s="143"/>
      <c r="L335" s="143"/>
      <c r="M335" s="143"/>
      <c r="N335" s="144"/>
      <c r="O335" s="145"/>
      <c r="P335" s="143"/>
      <c r="Q335" s="143"/>
      <c r="R335" s="143"/>
    </row>
    <row r="336" spans="1:18" ht="14.25" customHeight="1">
      <c r="A336" s="143">
        <v>329</v>
      </c>
      <c r="B336" s="143"/>
      <c r="C336" s="143"/>
      <c r="D336" s="144"/>
      <c r="E336" s="144"/>
      <c r="F336" s="143"/>
      <c r="G336" s="143"/>
      <c r="H336" s="143"/>
      <c r="I336" s="143"/>
      <c r="J336" s="143"/>
      <c r="K336" s="143"/>
      <c r="L336" s="143"/>
      <c r="M336" s="143"/>
      <c r="N336" s="144"/>
      <c r="O336" s="145"/>
      <c r="P336" s="143"/>
      <c r="Q336" s="143"/>
      <c r="R336" s="143"/>
    </row>
    <row r="337" spans="1:18" ht="14.25" customHeight="1">
      <c r="A337" s="143">
        <v>330</v>
      </c>
      <c r="B337" s="143"/>
      <c r="C337" s="143"/>
      <c r="D337" s="144"/>
      <c r="E337" s="144"/>
      <c r="F337" s="143"/>
      <c r="G337" s="143"/>
      <c r="H337" s="143"/>
      <c r="I337" s="143"/>
      <c r="J337" s="143"/>
      <c r="K337" s="143"/>
      <c r="L337" s="143"/>
      <c r="M337" s="143"/>
      <c r="N337" s="144"/>
      <c r="O337" s="145"/>
      <c r="P337" s="143"/>
      <c r="Q337" s="143"/>
      <c r="R337" s="143"/>
    </row>
    <row r="338" spans="1:18" ht="14.25" customHeight="1">
      <c r="A338" s="143">
        <v>331</v>
      </c>
      <c r="B338" s="143"/>
      <c r="C338" s="143"/>
      <c r="D338" s="144"/>
      <c r="E338" s="144"/>
      <c r="F338" s="143"/>
      <c r="G338" s="143"/>
      <c r="H338" s="143"/>
      <c r="I338" s="143"/>
      <c r="J338" s="143"/>
      <c r="K338" s="143"/>
      <c r="L338" s="143"/>
      <c r="M338" s="143"/>
      <c r="N338" s="144"/>
      <c r="O338" s="145"/>
      <c r="P338" s="143"/>
      <c r="Q338" s="143"/>
      <c r="R338" s="143"/>
    </row>
    <row r="339" spans="1:18" ht="14.25" customHeight="1">
      <c r="A339" s="143">
        <v>332</v>
      </c>
      <c r="B339" s="143"/>
      <c r="C339" s="143"/>
      <c r="D339" s="144"/>
      <c r="E339" s="144"/>
      <c r="F339" s="143"/>
      <c r="G339" s="143"/>
      <c r="H339" s="143"/>
      <c r="I339" s="143"/>
      <c r="J339" s="143"/>
      <c r="K339" s="143"/>
      <c r="L339" s="143"/>
      <c r="M339" s="143"/>
      <c r="N339" s="144"/>
      <c r="O339" s="145"/>
      <c r="P339" s="143"/>
      <c r="Q339" s="143"/>
      <c r="R339" s="143"/>
    </row>
    <row r="340" spans="1:18" ht="14.25" customHeight="1">
      <c r="A340" s="143">
        <v>333</v>
      </c>
      <c r="B340" s="143"/>
      <c r="C340" s="143"/>
      <c r="D340" s="144"/>
      <c r="E340" s="144"/>
      <c r="F340" s="143"/>
      <c r="G340" s="143"/>
      <c r="H340" s="143"/>
      <c r="I340" s="143"/>
      <c r="J340" s="143"/>
      <c r="K340" s="143"/>
      <c r="L340" s="143"/>
      <c r="M340" s="143"/>
      <c r="N340" s="144"/>
      <c r="O340" s="145"/>
      <c r="P340" s="143"/>
      <c r="Q340" s="143"/>
      <c r="R340" s="143"/>
    </row>
    <row r="341" spans="1:18" ht="14.25" customHeight="1">
      <c r="A341" s="143">
        <v>334</v>
      </c>
      <c r="B341" s="143"/>
      <c r="C341" s="143"/>
      <c r="D341" s="144"/>
      <c r="E341" s="144"/>
      <c r="F341" s="143"/>
      <c r="G341" s="143"/>
      <c r="H341" s="143"/>
      <c r="I341" s="143"/>
      <c r="J341" s="143"/>
      <c r="K341" s="143"/>
      <c r="L341" s="143"/>
      <c r="M341" s="143"/>
      <c r="N341" s="144"/>
      <c r="O341" s="145"/>
      <c r="P341" s="143"/>
      <c r="Q341" s="143"/>
      <c r="R341" s="143"/>
    </row>
    <row r="342" spans="1:18" ht="14.25" customHeight="1">
      <c r="A342" s="143">
        <v>335</v>
      </c>
      <c r="B342" s="143"/>
      <c r="C342" s="143"/>
      <c r="D342" s="144"/>
      <c r="E342" s="144"/>
      <c r="F342" s="143"/>
      <c r="G342" s="143"/>
      <c r="H342" s="143"/>
      <c r="I342" s="143"/>
      <c r="J342" s="143"/>
      <c r="K342" s="143"/>
      <c r="L342" s="143"/>
      <c r="M342" s="143"/>
      <c r="N342" s="144"/>
      <c r="O342" s="145"/>
      <c r="P342" s="143"/>
      <c r="Q342" s="143"/>
      <c r="R342" s="143"/>
    </row>
    <row r="343" spans="1:18" ht="14.25" customHeight="1">
      <c r="A343" s="143">
        <v>336</v>
      </c>
      <c r="B343" s="143"/>
      <c r="C343" s="143"/>
      <c r="D343" s="144"/>
      <c r="E343" s="144"/>
      <c r="F343" s="143"/>
      <c r="G343" s="143"/>
      <c r="H343" s="143"/>
      <c r="I343" s="143"/>
      <c r="J343" s="143"/>
      <c r="K343" s="143"/>
      <c r="L343" s="143"/>
      <c r="M343" s="143"/>
      <c r="N343" s="144"/>
      <c r="O343" s="145"/>
      <c r="P343" s="143"/>
      <c r="Q343" s="143"/>
      <c r="R343" s="143"/>
    </row>
    <row r="344" spans="1:18" ht="14.25" customHeight="1">
      <c r="A344" s="143">
        <v>337</v>
      </c>
      <c r="B344" s="143"/>
      <c r="C344" s="143"/>
      <c r="D344" s="144"/>
      <c r="E344" s="144"/>
      <c r="F344" s="143"/>
      <c r="G344" s="143"/>
      <c r="H344" s="143"/>
      <c r="I344" s="143"/>
      <c r="J344" s="143"/>
      <c r="K344" s="143"/>
      <c r="L344" s="143"/>
      <c r="M344" s="143"/>
      <c r="N344" s="144"/>
      <c r="O344" s="145"/>
      <c r="P344" s="143"/>
      <c r="Q344" s="143"/>
      <c r="R344" s="143"/>
    </row>
    <row r="345" spans="1:18" ht="14.25" customHeight="1">
      <c r="A345" s="143">
        <v>338</v>
      </c>
      <c r="B345" s="143"/>
      <c r="C345" s="143"/>
      <c r="D345" s="144"/>
      <c r="E345" s="144"/>
      <c r="F345" s="143"/>
      <c r="G345" s="143"/>
      <c r="H345" s="143"/>
      <c r="I345" s="143"/>
      <c r="J345" s="143"/>
      <c r="K345" s="143"/>
      <c r="L345" s="143"/>
      <c r="M345" s="143"/>
      <c r="N345" s="144"/>
      <c r="O345" s="145"/>
      <c r="P345" s="143"/>
      <c r="Q345" s="143"/>
      <c r="R345" s="143"/>
    </row>
    <row r="346" spans="1:18" ht="14.25" customHeight="1">
      <c r="A346" s="143">
        <v>339</v>
      </c>
      <c r="B346" s="143"/>
      <c r="C346" s="143"/>
      <c r="D346" s="144"/>
      <c r="E346" s="144"/>
      <c r="F346" s="143"/>
      <c r="G346" s="143"/>
      <c r="H346" s="143"/>
      <c r="I346" s="143"/>
      <c r="J346" s="143"/>
      <c r="K346" s="143"/>
      <c r="L346" s="143"/>
      <c r="M346" s="143"/>
      <c r="N346" s="144"/>
      <c r="O346" s="145"/>
      <c r="P346" s="143"/>
      <c r="Q346" s="143"/>
      <c r="R346" s="143"/>
    </row>
    <row r="347" spans="1:18" ht="14.25" customHeight="1">
      <c r="A347" s="143">
        <v>340</v>
      </c>
      <c r="B347" s="143"/>
      <c r="C347" s="143"/>
      <c r="D347" s="144"/>
      <c r="E347" s="144"/>
      <c r="F347" s="143"/>
      <c r="G347" s="143"/>
      <c r="H347" s="143"/>
      <c r="I347" s="143"/>
      <c r="J347" s="143"/>
      <c r="K347" s="143"/>
      <c r="L347" s="143"/>
      <c r="M347" s="143"/>
      <c r="N347" s="144"/>
      <c r="O347" s="145"/>
      <c r="P347" s="143"/>
      <c r="Q347" s="143"/>
      <c r="R347" s="143"/>
    </row>
    <row r="348" spans="1:18" ht="14.25" customHeight="1">
      <c r="A348" s="143">
        <v>341</v>
      </c>
      <c r="B348" s="143"/>
      <c r="C348" s="143"/>
      <c r="D348" s="144"/>
      <c r="E348" s="144"/>
      <c r="F348" s="143"/>
      <c r="G348" s="143"/>
      <c r="H348" s="143"/>
      <c r="I348" s="143"/>
      <c r="J348" s="143"/>
      <c r="K348" s="143"/>
      <c r="L348" s="143"/>
      <c r="M348" s="143"/>
      <c r="N348" s="144"/>
      <c r="O348" s="145"/>
      <c r="P348" s="143"/>
      <c r="Q348" s="143"/>
      <c r="R348" s="143"/>
    </row>
    <row r="349" spans="1:18" ht="14.25" customHeight="1">
      <c r="A349" s="143">
        <v>342</v>
      </c>
      <c r="B349" s="143"/>
      <c r="C349" s="143"/>
      <c r="D349" s="144"/>
      <c r="E349" s="144"/>
      <c r="F349" s="143"/>
      <c r="G349" s="143"/>
      <c r="H349" s="143"/>
      <c r="I349" s="143"/>
      <c r="J349" s="143"/>
      <c r="K349" s="143"/>
      <c r="L349" s="143"/>
      <c r="M349" s="143"/>
      <c r="N349" s="144"/>
      <c r="O349" s="145"/>
      <c r="P349" s="143"/>
      <c r="Q349" s="143"/>
      <c r="R349" s="143"/>
    </row>
    <row r="350" spans="1:18" ht="14.25" customHeight="1">
      <c r="A350" s="143">
        <v>343</v>
      </c>
      <c r="B350" s="143"/>
      <c r="C350" s="143"/>
      <c r="D350" s="144"/>
      <c r="E350" s="144"/>
      <c r="F350" s="143"/>
      <c r="G350" s="143"/>
      <c r="H350" s="143"/>
      <c r="I350" s="143"/>
      <c r="J350" s="143"/>
      <c r="K350" s="143"/>
      <c r="L350" s="143"/>
      <c r="M350" s="143"/>
      <c r="N350" s="144"/>
      <c r="O350" s="145"/>
      <c r="P350" s="143"/>
      <c r="Q350" s="143"/>
      <c r="R350" s="143"/>
    </row>
  </sheetData>
  <autoFilter ref="A5:R350" xr:uid="{00000000-0009-0000-0000-000007000000}"/>
  <mergeCells count="1">
    <mergeCell ref="A2:R2"/>
  </mergeCells>
  <pageMargins left="0.7" right="0.7" top="0.75" bottom="0.75" header="0.3" footer="0.511811023622047"/>
  <pageSetup orientation="portrait" horizontalDpi="300" verticalDpi="300"/>
  <headerFooter>
    <oddHeader>&amp;R&amp;"arial,Regular"&amp;1 &amp;K696969NON CLASSIFIÉ / UNCLASSIFIED#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H65"/>
  <sheetViews>
    <sheetView zoomScale="79" zoomScaleNormal="79" workbookViewId="0"/>
  </sheetViews>
  <sheetFormatPr defaultColWidth="8.7109375" defaultRowHeight="15"/>
  <cols>
    <col min="1" max="1" width="9.140625" customWidth="1"/>
    <col min="2" max="3" width="22" customWidth="1"/>
    <col min="4" max="4" width="21.28515625" customWidth="1"/>
    <col min="5" max="5" width="20" customWidth="1"/>
    <col min="6" max="6" width="36.140625" customWidth="1"/>
    <col min="7" max="9" width="21.28515625" customWidth="1"/>
    <col min="10" max="10" width="20" customWidth="1"/>
    <col min="11" max="11" width="17.5703125" customWidth="1"/>
    <col min="12" max="14" width="15.5703125" customWidth="1"/>
    <col min="15" max="15" width="17.5703125" customWidth="1"/>
    <col min="16" max="16" width="16.42578125" customWidth="1"/>
    <col min="17" max="23" width="11" customWidth="1"/>
    <col min="24" max="24" width="12" customWidth="1"/>
    <col min="25" max="60" width="12.42578125" customWidth="1"/>
  </cols>
  <sheetData>
    <row r="3" spans="1:25" ht="27.75" customHeight="1">
      <c r="A3" s="155" t="s">
        <v>1000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</row>
    <row r="4" spans="1:25" ht="19.5" customHeight="1">
      <c r="A4" s="157" t="s">
        <v>1001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</row>
    <row r="5" spans="1:25" ht="60" customHeight="1">
      <c r="B5" s="249" t="s">
        <v>1002</v>
      </c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</row>
    <row r="6" spans="1:25" ht="15" customHeight="1"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</row>
    <row r="7" spans="1:25" ht="15" customHeight="1"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</row>
    <row r="10" spans="1:25" ht="15" customHeight="1">
      <c r="B10" s="159" t="s">
        <v>1003</v>
      </c>
      <c r="C10" s="160">
        <v>1</v>
      </c>
    </row>
    <row r="11" spans="1:25" ht="15" customHeight="1">
      <c r="B11" s="159" t="s">
        <v>570</v>
      </c>
      <c r="C11" s="160" t="s">
        <v>1004</v>
      </c>
    </row>
    <row r="12" spans="1:25" ht="45" customHeight="1">
      <c r="B12" s="159" t="s">
        <v>572</v>
      </c>
      <c r="C12" s="160" t="s">
        <v>1005</v>
      </c>
    </row>
    <row r="13" spans="1:25" ht="75" customHeight="1">
      <c r="B13" s="159" t="s">
        <v>574</v>
      </c>
      <c r="C13" s="160" t="s">
        <v>1006</v>
      </c>
    </row>
    <row r="14" spans="1:25" ht="45" customHeight="1">
      <c r="B14" s="161" t="s">
        <v>1007</v>
      </c>
      <c r="C14" s="162" t="s">
        <v>1008</v>
      </c>
    </row>
    <row r="16" spans="1:25" ht="15" customHeight="1">
      <c r="A16" s="163" t="s">
        <v>1009</v>
      </c>
      <c r="J16" s="163" t="s">
        <v>1010</v>
      </c>
      <c r="Q16" s="163" t="s">
        <v>1011</v>
      </c>
      <c r="X16" s="163" t="s">
        <v>1012</v>
      </c>
      <c r="Y16" s="163" t="s">
        <v>1013</v>
      </c>
    </row>
    <row r="17" spans="1:60" ht="31.5" customHeight="1">
      <c r="A17" s="164" t="s">
        <v>1014</v>
      </c>
      <c r="B17" s="164" t="s">
        <v>1015</v>
      </c>
      <c r="C17" s="164" t="s">
        <v>1016</v>
      </c>
      <c r="D17" s="164" t="s">
        <v>1017</v>
      </c>
      <c r="E17" s="164" t="s">
        <v>1018</v>
      </c>
      <c r="F17" s="164" t="s">
        <v>1019</v>
      </c>
      <c r="G17" s="164" t="s">
        <v>1020</v>
      </c>
      <c r="H17" s="164" t="s">
        <v>1021</v>
      </c>
      <c r="I17" s="164" t="s">
        <v>1022</v>
      </c>
      <c r="J17" s="164" t="s">
        <v>1023</v>
      </c>
      <c r="K17" s="164" t="s">
        <v>1024</v>
      </c>
      <c r="L17" s="164" t="s">
        <v>1025</v>
      </c>
      <c r="M17" s="164" t="s">
        <v>1026</v>
      </c>
      <c r="N17" s="164" t="s">
        <v>1027</v>
      </c>
      <c r="O17" s="164" t="s">
        <v>1028</v>
      </c>
      <c r="P17" s="164" t="s">
        <v>1029</v>
      </c>
      <c r="Q17" s="164" t="s">
        <v>529</v>
      </c>
      <c r="R17" s="164" t="s">
        <v>535</v>
      </c>
      <c r="S17" s="164" t="s">
        <v>539</v>
      </c>
      <c r="T17" s="164" t="s">
        <v>542</v>
      </c>
      <c r="U17" s="164" t="s">
        <v>546</v>
      </c>
      <c r="V17" s="164" t="s">
        <v>556</v>
      </c>
      <c r="W17" s="164" t="s">
        <v>561</v>
      </c>
      <c r="X17" s="164" t="s">
        <v>1030</v>
      </c>
      <c r="Y17" s="165">
        <v>2026</v>
      </c>
      <c r="Z17" s="165">
        <v>2027</v>
      </c>
      <c r="AA17" s="165">
        <v>2028</v>
      </c>
      <c r="AB17" s="165">
        <v>2029</v>
      </c>
      <c r="AC17" s="165">
        <v>2030</v>
      </c>
      <c r="AD17" s="165">
        <v>2031</v>
      </c>
      <c r="AE17" s="165">
        <v>2032</v>
      </c>
      <c r="AF17" s="165">
        <v>2033</v>
      </c>
      <c r="AG17" s="165">
        <v>2034</v>
      </c>
      <c r="AH17" s="165">
        <v>2035</v>
      </c>
      <c r="AI17" s="165">
        <v>2036</v>
      </c>
      <c r="AJ17" s="165">
        <v>2037</v>
      </c>
      <c r="AK17" s="165">
        <v>2038</v>
      </c>
      <c r="AL17" s="165">
        <v>2039</v>
      </c>
      <c r="AM17" s="165">
        <v>2040</v>
      </c>
      <c r="AN17" s="165">
        <v>2041</v>
      </c>
      <c r="AO17" s="165">
        <v>2042</v>
      </c>
      <c r="AP17" s="165">
        <v>2043</v>
      </c>
      <c r="AQ17" s="165">
        <v>2044</v>
      </c>
      <c r="AR17" s="165">
        <v>2045</v>
      </c>
      <c r="AS17" s="165">
        <v>2046</v>
      </c>
      <c r="AT17" s="165">
        <v>2047</v>
      </c>
      <c r="AU17" s="165">
        <v>2048</v>
      </c>
      <c r="AV17" s="165">
        <v>2049</v>
      </c>
      <c r="AW17" s="165">
        <v>2050</v>
      </c>
      <c r="AX17" s="165">
        <v>2051</v>
      </c>
      <c r="AY17" s="165">
        <v>2052</v>
      </c>
      <c r="AZ17" s="165">
        <v>2053</v>
      </c>
      <c r="BA17" s="165">
        <v>2054</v>
      </c>
      <c r="BB17" s="165">
        <v>2055</v>
      </c>
      <c r="BC17" s="165">
        <v>2056</v>
      </c>
      <c r="BD17" s="165">
        <v>2057</v>
      </c>
      <c r="BE17" s="165">
        <v>2058</v>
      </c>
      <c r="BF17" s="165">
        <v>2059</v>
      </c>
      <c r="BG17" s="165">
        <v>2060</v>
      </c>
      <c r="BH17" s="166" t="s">
        <v>1031</v>
      </c>
    </row>
    <row r="18" spans="1:60" ht="30" customHeight="1">
      <c r="A18" s="167">
        <v>1</v>
      </c>
      <c r="B18" s="168" t="s">
        <v>1032</v>
      </c>
      <c r="C18" s="168" t="s">
        <v>1033</v>
      </c>
      <c r="D18" s="168" t="s">
        <v>1034</v>
      </c>
      <c r="E18" s="168" t="s">
        <v>520</v>
      </c>
      <c r="F18" s="169" t="s">
        <v>1035</v>
      </c>
      <c r="G18" s="168" t="s">
        <v>1036</v>
      </c>
      <c r="H18" s="168" t="s">
        <v>1037</v>
      </c>
      <c r="I18" s="168" t="s">
        <v>1038</v>
      </c>
      <c r="J18" s="168" t="s">
        <v>1039</v>
      </c>
      <c r="K18" s="167" t="s">
        <v>1040</v>
      </c>
      <c r="L18" s="167" t="s">
        <v>1041</v>
      </c>
      <c r="M18" s="167" t="s">
        <v>1042</v>
      </c>
      <c r="N18" s="167" t="s">
        <v>1043</v>
      </c>
      <c r="O18" s="169" t="s">
        <v>1044</v>
      </c>
      <c r="P18" s="167" t="s">
        <v>1045</v>
      </c>
      <c r="Q18" s="170">
        <v>0</v>
      </c>
      <c r="R18" s="170">
        <v>0</v>
      </c>
      <c r="S18" s="170">
        <v>0.21</v>
      </c>
      <c r="T18" s="170">
        <v>0</v>
      </c>
      <c r="U18" s="170">
        <v>0.42</v>
      </c>
      <c r="V18" s="170">
        <v>1</v>
      </c>
      <c r="W18" s="170">
        <v>0</v>
      </c>
      <c r="X18" s="171">
        <f>IFERROR(VLOOKUP($M18,'Labour Rates lookup'!$A:$B,2,FALSE()),0)</f>
        <v>165000</v>
      </c>
      <c r="Y18" s="172">
        <f>($Q18*'3 - Phase Durations'!$G$16+$R18*'3 - Phase Durations'!$G$17+$S18*('3 - Phase Durations'!$G$18+'3 - Phase Durations'!$G$19)+$T18*'3 - Phase Durations'!$G$20+$U18*'3 - Phase Durations'!$G$21+$V18*('3 - Phase Durations'!$G$22+'3 - Phase Durations'!$G$23)+$W18*'3 - Phase Durations'!$G$24)/12</f>
        <v>0</v>
      </c>
      <c r="Z18" s="172">
        <f>($Q18*'3 - Phase Durations'!$H$16+$R18*'3 - Phase Durations'!$H$17+$S18*('3 - Phase Durations'!$H$18+'3 - Phase Durations'!$H$19)+$T18*'3 - Phase Durations'!$H$20+$U18*'3 - Phase Durations'!$H$21+$V18*('3 - Phase Durations'!$H$22+'3 - Phase Durations'!$H$23)+$W18*'3 - Phase Durations'!$H$24)/12</f>
        <v>0</v>
      </c>
      <c r="AA18" s="172">
        <f>($Q18*'3 - Phase Durations'!$I$16+$R18*'3 - Phase Durations'!$I$17+$S18*('3 - Phase Durations'!$I$18+'3 - Phase Durations'!$I$19)+$T18*'3 - Phase Durations'!$I$20+$U18*'3 - Phase Durations'!$I$21+$V18*('3 - Phase Durations'!$I$22+'3 - Phase Durations'!$I$23)+$W18*'3 - Phase Durations'!$I$24)/12</f>
        <v>0</v>
      </c>
      <c r="AB18" s="172">
        <f>($Q18*'3 - Phase Durations'!$J$16+$R18*'3 - Phase Durations'!$J$17+$S18*('3 - Phase Durations'!$J$18+'3 - Phase Durations'!$J$19)+$T18*'3 - Phase Durations'!$J$20+$U18*'3 - Phase Durations'!$J$21+$V18*('3 - Phase Durations'!$J$22+'3 - Phase Durations'!$J$23)+$W18*'3 - Phase Durations'!$J$24)/12</f>
        <v>0</v>
      </c>
      <c r="AC18" s="172">
        <f>($Q18*'3 - Phase Durations'!$K$16+$R18*'3 - Phase Durations'!$K$17+$S18*('3 - Phase Durations'!$K$18+'3 - Phase Durations'!$K$19)+$T18*'3 - Phase Durations'!$K$20+$U18*'3 - Phase Durations'!$K$21+$V18*('3 - Phase Durations'!$K$22+'3 - Phase Durations'!$K$23)+$W18*'3 - Phase Durations'!$K$24)/12</f>
        <v>5.1780821917808216E-2</v>
      </c>
      <c r="AD18" s="172">
        <f>($Q18*'3 - Phase Durations'!$L$16+$R18*'3 - Phase Durations'!$L$17+$S18*('3 - Phase Durations'!$L$18+'3 - Phase Durations'!$L$19)+$T18*'3 - Phase Durations'!$L$20+$U18*'3 - Phase Durations'!$L$21+$V18*('3 - Phase Durations'!$L$22+'3 - Phase Durations'!$L$23)+$W18*'3 - Phase Durations'!$L$24)/12</f>
        <v>0.21</v>
      </c>
      <c r="AE18" s="172">
        <f>($Q18*'3 - Phase Durations'!$M$16+$R18*'3 - Phase Durations'!$M$17+$S18*('3 - Phase Durations'!$M$18+'3 - Phase Durations'!$M$19)+$T18*'3 - Phase Durations'!$M$20+$U18*'3 - Phase Durations'!$M$21+$V18*('3 - Phase Durations'!$M$22+'3 - Phase Durations'!$M$23)+$W18*'3 - Phase Durations'!$M$24)/12</f>
        <v>0.1582191780821918</v>
      </c>
      <c r="AF18" s="172">
        <f>($Q18*'3 - Phase Durations'!$N$16+$R18*'3 - Phase Durations'!$N$17+$S18*('3 - Phase Durations'!$N$18+'3 - Phase Durations'!$N$19)+$T18*'3 - Phase Durations'!$N$20+$U18*'3 - Phase Durations'!$N$21+$V18*('3 - Phase Durations'!$N$22+'3 - Phase Durations'!$N$23)+$W18*'3 - Phase Durations'!$N$24)/12</f>
        <v>0</v>
      </c>
      <c r="AG18" s="172">
        <f>($Q18*'3 - Phase Durations'!$O$16+$R18*'3 - Phase Durations'!$O$17+$S18*('3 - Phase Durations'!$O$18+'3 - Phase Durations'!$O$19)+$T18*'3 - Phase Durations'!$O$20+$U18*'3 - Phase Durations'!$O$21+$V18*('3 - Phase Durations'!$O$22+'3 - Phase Durations'!$O$23)+$W18*'3 - Phase Durations'!$O$24)/12</f>
        <v>0.10356164383561643</v>
      </c>
      <c r="AH18" s="172">
        <f>($Q18*'3 - Phase Durations'!$P$16+$R18*'3 - Phase Durations'!$P$17+$S18*('3 - Phase Durations'!$P$18+'3 - Phase Durations'!$P$19)+$T18*'3 - Phase Durations'!$P$20+$U18*'3 - Phase Durations'!$P$21+$V18*('3 - Phase Durations'!$P$22+'3 - Phase Durations'!$P$23)+$W18*'3 - Phase Durations'!$P$24)/12</f>
        <v>0.42</v>
      </c>
      <c r="AI18" s="172">
        <f>($Q18*'3 - Phase Durations'!$Q$16+$R18*'3 - Phase Durations'!$Q$17+$S18*('3 - Phase Durations'!$Q$18+'3 - Phase Durations'!$Q$19)+$T18*'3 - Phase Durations'!$Q$20+$U18*'3 - Phase Durations'!$Q$21+$V18*('3 - Phase Durations'!$Q$22+'3 - Phase Durations'!$Q$23)+$W18*'3 - Phase Durations'!$Q$24)/12</f>
        <v>0.42115068493150692</v>
      </c>
      <c r="AJ18" s="172">
        <f>($Q18*'3 - Phase Durations'!$R$16+$R18*'3 - Phase Durations'!$R$17+$S18*('3 - Phase Durations'!$R$18+'3 - Phase Durations'!$R$19)+$T18*'3 - Phase Durations'!$R$20+$U18*'3 - Phase Durations'!$R$21+$V18*('3 - Phase Durations'!$R$22+'3 - Phase Durations'!$R$23)+$W18*'3 - Phase Durations'!$R$24)/12</f>
        <v>0.42</v>
      </c>
      <c r="AK18" s="172">
        <f>($Q18*'3 - Phase Durations'!$S$16+$R18*'3 - Phase Durations'!$S$17+$S18*('3 - Phase Durations'!$S$18+'3 - Phase Durations'!$S$19)+$T18*'3 - Phase Durations'!$S$20+$U18*'3 - Phase Durations'!$S$21+$V18*('3 - Phase Durations'!$S$22+'3 - Phase Durations'!$S$23)+$W18*'3 - Phase Durations'!$S$24)/12</f>
        <v>0.42</v>
      </c>
      <c r="AL18" s="172">
        <f>($Q18*'3 - Phase Durations'!$T$16+$R18*'3 - Phase Durations'!$T$17+$S18*('3 - Phase Durations'!$T$18+'3 - Phase Durations'!$T$19)+$T18*'3 - Phase Durations'!$T$20+$U18*'3 - Phase Durations'!$T$21+$V18*('3 - Phase Durations'!$T$22+'3 - Phase Durations'!$T$23)+$W18*'3 - Phase Durations'!$T$24)/12</f>
        <v>0.42</v>
      </c>
      <c r="AM18" s="172">
        <f>($Q18*'3 - Phase Durations'!$U$16+$R18*'3 - Phase Durations'!$U$17+$S18*('3 - Phase Durations'!$U$18+'3 - Phase Durations'!$U$19)+$T18*'3 - Phase Durations'!$U$20+$U18*'3 - Phase Durations'!$U$21+$V18*('3 - Phase Durations'!$U$22+'3 - Phase Durations'!$U$23)+$W18*'3 - Phase Durations'!$U$24)/12</f>
        <v>0.42115068493150692</v>
      </c>
      <c r="AN18" s="172">
        <f>($Q18*'3 - Phase Durations'!$V$16+$R18*'3 - Phase Durations'!$V$17+$S18*('3 - Phase Durations'!$V$18+'3 - Phase Durations'!$V$19)+$T18*'3 - Phase Durations'!$V$20+$U18*'3 - Phase Durations'!$V$21+$V18*('3 - Phase Durations'!$V$22+'3 - Phase Durations'!$V$23)+$W18*'3 - Phase Durations'!$V$24)/12</f>
        <v>0.56301369863013695</v>
      </c>
      <c r="AO18" s="172">
        <f>($Q18*'3 - Phase Durations'!$W$16+$R18*'3 - Phase Durations'!$W$17+$S18*('3 - Phase Durations'!$W$18+'3 - Phase Durations'!$W$19)+$T18*'3 - Phase Durations'!$W$20+$U18*'3 - Phase Durations'!$W$21+$V18*('3 - Phase Durations'!$W$22+'3 - Phase Durations'!$W$23)+$W18*'3 - Phase Durations'!$W$24)/12</f>
        <v>1</v>
      </c>
      <c r="AP18" s="172">
        <f>($Q18*'3 - Phase Durations'!$X$16+$R18*'3 - Phase Durations'!$X$17+$S18*('3 - Phase Durations'!$X$18+'3 - Phase Durations'!$X$19)+$T18*'3 - Phase Durations'!$X$20+$U18*'3 - Phase Durations'!$X$21+$V18*('3 - Phase Durations'!$X$22+'3 - Phase Durations'!$X$23)+$W18*'3 - Phase Durations'!$X$24)/12</f>
        <v>1</v>
      </c>
      <c r="AQ18" s="172">
        <f>($Q18*'3 - Phase Durations'!$Y$16+$R18*'3 - Phase Durations'!$Y$17+$S18*('3 - Phase Durations'!$Y$18+'3 - Phase Durations'!$Y$19)+$T18*'3 - Phase Durations'!$Y$20+$U18*'3 - Phase Durations'!$Y$21+$V18*('3 - Phase Durations'!$Y$22+'3 - Phase Durations'!$Y$23)+$W18*'3 - Phase Durations'!$Y$24)/12</f>
        <v>1.0027397260273974</v>
      </c>
      <c r="AR18" s="172">
        <f>($Q18*'3 - Phase Durations'!$Z$16+$R18*'3 - Phase Durations'!$Z$17+$S18*('3 - Phase Durations'!$Z$18+'3 - Phase Durations'!$Z$19)+$T18*'3 - Phase Durations'!$Z$20+$U18*'3 - Phase Durations'!$Z$21+$V18*('3 - Phase Durations'!$Z$22+'3 - Phase Durations'!$Z$23)+$W18*'3 - Phase Durations'!$Z$24)/12</f>
        <v>1</v>
      </c>
      <c r="AS18" s="172">
        <f>($Q18*'3 - Phase Durations'!$AA$16+$R18*'3 - Phase Durations'!$AA$17+$S18*('3 - Phase Durations'!$AA$18+'3 - Phase Durations'!$AA$19)+$T18*'3 - Phase Durations'!$AA$20+$U18*'3 - Phase Durations'!$AA$21+$V18*('3 - Phase Durations'!$AA$22+'3 - Phase Durations'!$AA$23)+$W18*'3 - Phase Durations'!$AA$24)/12</f>
        <v>1</v>
      </c>
      <c r="AT18" s="172">
        <f>($Q18*'3 - Phase Durations'!$AB$16+$R18*'3 - Phase Durations'!$AB$17+$S18*('3 - Phase Durations'!$AB$18+'3 - Phase Durations'!$AB$19)+$T18*'3 - Phase Durations'!$AB$20+$U18*'3 - Phase Durations'!$AB$21+$V18*('3 - Phase Durations'!$AB$22+'3 - Phase Durations'!$AB$23)+$W18*'3 - Phase Durations'!$AB$24)/12</f>
        <v>1</v>
      </c>
      <c r="AU18" s="172">
        <f>($Q18*'3 - Phase Durations'!$AC$16+$R18*'3 - Phase Durations'!$AC$17+$S18*('3 - Phase Durations'!$AC$18+'3 - Phase Durations'!$AC$19)+$T18*'3 - Phase Durations'!$AC$20+$U18*'3 - Phase Durations'!$AC$21+$V18*('3 - Phase Durations'!$AC$22+'3 - Phase Durations'!$AC$23)+$W18*'3 - Phase Durations'!$AC$24)/12</f>
        <v>1.0027397260273974</v>
      </c>
      <c r="AV18" s="172">
        <f>($Q18*'3 - Phase Durations'!$AD$16+$R18*'3 - Phase Durations'!$AD$17+$S18*('3 - Phase Durations'!$AD$18+'3 - Phase Durations'!$AD$19)+$T18*'3 - Phase Durations'!$AD$20+$U18*'3 - Phase Durations'!$AD$21+$V18*('3 - Phase Durations'!$AD$22+'3 - Phase Durations'!$AD$23)+$W18*'3 - Phase Durations'!$AD$24)/12</f>
        <v>1</v>
      </c>
      <c r="AW18" s="172">
        <f>($Q18*'3 - Phase Durations'!$AE$16+$R18*'3 - Phase Durations'!$AE$17+$S18*('3 - Phase Durations'!$AE$18+'3 - Phase Durations'!$AE$19)+$T18*'3 - Phase Durations'!$AE$20+$U18*'3 - Phase Durations'!$AE$21+$V18*('3 - Phase Durations'!$AE$22+'3 - Phase Durations'!$AE$23)+$W18*'3 - Phase Durations'!$AE$24)/12</f>
        <v>1</v>
      </c>
      <c r="AX18" s="172">
        <f>($Q18*'3 - Phase Durations'!$AF$16+$R18*'3 - Phase Durations'!$AF$17+$S18*('3 - Phase Durations'!$AF$18+'3 - Phase Durations'!$AF$19)+$T18*'3 - Phase Durations'!$AF$20+$U18*'3 - Phase Durations'!$AF$21+$V18*('3 - Phase Durations'!$AF$22+'3 - Phase Durations'!$AF$23)+$W18*'3 - Phase Durations'!$AF$24)/12</f>
        <v>1</v>
      </c>
      <c r="AY18" s="172">
        <f>($Q18*'3 - Phase Durations'!$AG$16+$R18*'3 - Phase Durations'!$AG$17+$S18*('3 - Phase Durations'!$AG$18+'3 - Phase Durations'!$AG$19)+$T18*'3 - Phase Durations'!$AG$20+$U18*'3 - Phase Durations'!$AG$21+$V18*('3 - Phase Durations'!$AG$22+'3 - Phase Durations'!$AG$23)+$W18*'3 - Phase Durations'!$AG$24)/12</f>
        <v>1.0027397260273974</v>
      </c>
      <c r="AZ18" s="172">
        <f>($Q18*'3 - Phase Durations'!$AH$16+$R18*'3 - Phase Durations'!$AH$17+$S18*('3 - Phase Durations'!$AH$18+'3 - Phase Durations'!$AH$19)+$T18*'3 - Phase Durations'!$AH$20+$U18*'3 - Phase Durations'!$AH$21+$V18*('3 - Phase Durations'!$AH$22+'3 - Phase Durations'!$AH$23)+$W18*'3 - Phase Durations'!$AH$24)/12</f>
        <v>1</v>
      </c>
      <c r="BA18" s="172">
        <f>($Q18*'3 - Phase Durations'!$AI$16+$R18*'3 - Phase Durations'!$AI$17+$S18*('3 - Phase Durations'!$AI$18+'3 - Phase Durations'!$AI$19)+$T18*'3 - Phase Durations'!$AI$20+$U18*'3 - Phase Durations'!$AI$21+$V18*('3 - Phase Durations'!$AI$22+'3 - Phase Durations'!$AI$23)+$W18*'3 - Phase Durations'!$AI$24)/12</f>
        <v>1</v>
      </c>
      <c r="BB18" s="172">
        <f>($Q18*'3 - Phase Durations'!$AJ$16+$R18*'3 - Phase Durations'!$AJ$17+$S18*('3 - Phase Durations'!$AJ$18+'3 - Phase Durations'!$AJ$19)+$T18*'3 - Phase Durations'!$AJ$20+$U18*'3 - Phase Durations'!$AJ$21+$V18*('3 - Phase Durations'!$AJ$22+'3 - Phase Durations'!$AJ$23)+$W18*'3 - Phase Durations'!$AJ$24)/12</f>
        <v>1</v>
      </c>
      <c r="BC18" s="172">
        <f>($Q18*'3 - Phase Durations'!$AK$16+$R18*'3 - Phase Durations'!$AK$17+$S18*('3 - Phase Durations'!$AK$18+'3 - Phase Durations'!$AK$19)+$T18*'3 - Phase Durations'!$AK$20+$U18*'3 - Phase Durations'!$AK$21+$V18*('3 - Phase Durations'!$AK$22+'3 - Phase Durations'!$AK$23)+$W18*'3 - Phase Durations'!$AK$24)/12</f>
        <v>1.0027397260273974</v>
      </c>
      <c r="BD18" s="172">
        <f>($Q18*'3 - Phase Durations'!$AL$16+$R18*'3 - Phase Durations'!$AL$17+$S18*('3 - Phase Durations'!$AL$18+'3 - Phase Durations'!$AL$19)+$T18*'3 - Phase Durations'!$AL$20+$U18*'3 - Phase Durations'!$AL$21+$V18*('3 - Phase Durations'!$AL$22+'3 - Phase Durations'!$AL$23)+$W18*'3 - Phase Durations'!$AL$24)/12</f>
        <v>1</v>
      </c>
      <c r="BE18" s="172">
        <f>($Q18*'3 - Phase Durations'!$AM$16+$R18*'3 - Phase Durations'!$AM$17+$S18*('3 - Phase Durations'!$AM$18+'3 - Phase Durations'!$AM$19)+$T18*'3 - Phase Durations'!$AM$20+$U18*'3 - Phase Durations'!$AM$21+$V18*('3 - Phase Durations'!$AM$22+'3 - Phase Durations'!$AM$23)+$W18*'3 - Phase Durations'!$AM$24)/12</f>
        <v>1</v>
      </c>
      <c r="BF18" s="172">
        <f>($Q18*'3 - Phase Durations'!$AN$16+$R18*'3 - Phase Durations'!$AN$17+$S18*('3 - Phase Durations'!$AN$18+'3 - Phase Durations'!$AN$19)+$T18*'3 - Phase Durations'!$AN$20+$U18*'3 - Phase Durations'!$AN$21+$V18*('3 - Phase Durations'!$AN$22+'3 - Phase Durations'!$AN$23)+$W18*'3 - Phase Durations'!$AN$24)/12</f>
        <v>1</v>
      </c>
      <c r="BG18" s="172">
        <f>($Q18*'3 - Phase Durations'!$AO$16+$R18*'3 - Phase Durations'!$AO$17+$S18*('3 - Phase Durations'!$AO$18+'3 - Phase Durations'!$AO$19)+$T18*'3 - Phase Durations'!$AO$20+$U18*'3 - Phase Durations'!$AO$21+$V18*('3 - Phase Durations'!$AO$22+'3 - Phase Durations'!$AO$23)+$W18*'3 - Phase Durations'!$AO$24)/12</f>
        <v>0.24931506849315069</v>
      </c>
      <c r="BH18" s="173">
        <f t="shared" ref="BH18:BH48" si="0">SUM(Y18:BG18)</f>
        <v>21.869150684931505</v>
      </c>
    </row>
    <row r="19" spans="1:60" ht="30" customHeight="1">
      <c r="A19" s="174">
        <v>2</v>
      </c>
      <c r="B19" s="175" t="s">
        <v>1032</v>
      </c>
      <c r="C19" s="175" t="s">
        <v>1033</v>
      </c>
      <c r="D19" s="175" t="s">
        <v>1034</v>
      </c>
      <c r="E19" s="175" t="s">
        <v>1046</v>
      </c>
      <c r="F19" s="176" t="s">
        <v>1047</v>
      </c>
      <c r="G19" s="175" t="s">
        <v>1036</v>
      </c>
      <c r="H19" s="175" t="s">
        <v>1037</v>
      </c>
      <c r="I19" s="175" t="s">
        <v>1038</v>
      </c>
      <c r="J19" s="175" t="s">
        <v>1048</v>
      </c>
      <c r="K19" s="174" t="s">
        <v>1049</v>
      </c>
      <c r="L19" s="174" t="s">
        <v>1041</v>
      </c>
      <c r="M19" s="174" t="s">
        <v>1050</v>
      </c>
      <c r="N19" s="174" t="s">
        <v>1043</v>
      </c>
      <c r="O19" s="176" t="s">
        <v>1044</v>
      </c>
      <c r="P19" s="174" t="s">
        <v>1045</v>
      </c>
      <c r="Q19" s="177">
        <v>0</v>
      </c>
      <c r="R19" s="177">
        <v>1</v>
      </c>
      <c r="S19" s="177">
        <v>0.05</v>
      </c>
      <c r="T19" s="177">
        <v>0.1</v>
      </c>
      <c r="U19" s="177">
        <v>0.67</v>
      </c>
      <c r="V19" s="177">
        <v>1</v>
      </c>
      <c r="W19" s="177">
        <v>0</v>
      </c>
      <c r="X19" s="178">
        <f>IFERROR(VLOOKUP($M19,'Labour Rates lookup'!$A:$B,2,FALSE()),0)</f>
        <v>122000</v>
      </c>
      <c r="Y19" s="179">
        <f>($Q19*'3 - Phase Durations'!$G$16+$R19*'3 - Phase Durations'!$G$17+$S19*('3 - Phase Durations'!$G$18+'3 - Phase Durations'!$G$19)+$T19*'3 - Phase Durations'!$G$20+$U19*'3 - Phase Durations'!$G$21+$V19*('3 - Phase Durations'!$G$22+'3 - Phase Durations'!$G$23)+$W19*'3 - Phase Durations'!$G$24)/12</f>
        <v>0</v>
      </c>
      <c r="Z19" s="179">
        <f>($Q19*'3 - Phase Durations'!$H$16+$R19*'3 - Phase Durations'!$H$17+$S19*('3 - Phase Durations'!$H$18+'3 - Phase Durations'!$H$19)+$T19*'3 - Phase Durations'!$H$20+$U19*'3 - Phase Durations'!$H$21+$V19*('3 - Phase Durations'!$H$22+'3 - Phase Durations'!$H$23)+$W19*'3 - Phase Durations'!$H$24)/12</f>
        <v>0</v>
      </c>
      <c r="AA19" s="179">
        <f>($Q19*'3 - Phase Durations'!$I$16+$R19*'3 - Phase Durations'!$I$17+$S19*('3 - Phase Durations'!$I$18+'3 - Phase Durations'!$I$19)+$T19*'3 - Phase Durations'!$I$20+$U19*'3 - Phase Durations'!$I$21+$V19*('3 - Phase Durations'!$I$22+'3 - Phase Durations'!$I$23)+$W19*'3 - Phase Durations'!$I$24)/12</f>
        <v>0.24931506849315069</v>
      </c>
      <c r="AB19" s="179">
        <f>($Q19*'3 - Phase Durations'!$J$16+$R19*'3 - Phase Durations'!$J$17+$S19*('3 - Phase Durations'!$J$18+'3 - Phase Durations'!$J$19)+$T19*'3 - Phase Durations'!$J$20+$U19*'3 - Phase Durations'!$J$21+$V19*('3 - Phase Durations'!$J$22+'3 - Phase Durations'!$J$23)+$W19*'3 - Phase Durations'!$J$24)/12</f>
        <v>1</v>
      </c>
      <c r="AC19" s="179">
        <f>($Q19*'3 - Phase Durations'!$K$16+$R19*'3 - Phase Durations'!$K$17+$S19*('3 - Phase Durations'!$K$18+'3 - Phase Durations'!$K$19)+$T19*'3 - Phase Durations'!$K$20+$U19*'3 - Phase Durations'!$K$21+$V19*('3 - Phase Durations'!$K$22+'3 - Phase Durations'!$K$23)+$W19*'3 - Phase Durations'!$K$24)/12</f>
        <v>0.76575342465753427</v>
      </c>
      <c r="AD19" s="179">
        <f>($Q19*'3 - Phase Durations'!$L$16+$R19*'3 - Phase Durations'!$L$17+$S19*('3 - Phase Durations'!$L$18+'3 - Phase Durations'!$L$19)+$T19*'3 - Phase Durations'!$L$20+$U19*'3 - Phase Durations'!$L$21+$V19*('3 - Phase Durations'!$L$22+'3 - Phase Durations'!$L$23)+$W19*'3 - Phase Durations'!$L$24)/12</f>
        <v>5.000000000000001E-2</v>
      </c>
      <c r="AE19" s="179">
        <f>($Q19*'3 - Phase Durations'!$M$16+$R19*'3 - Phase Durations'!$M$17+$S19*('3 - Phase Durations'!$M$18+'3 - Phase Durations'!$M$19)+$T19*'3 - Phase Durations'!$M$20+$U19*'3 - Phase Durations'!$M$21+$V19*('3 - Phase Durations'!$M$22+'3 - Phase Durations'!$M$23)+$W19*'3 - Phase Durations'!$M$24)/12</f>
        <v>6.2602739726027409E-2</v>
      </c>
      <c r="AF19" s="179">
        <f>($Q19*'3 - Phase Durations'!$N$16+$R19*'3 - Phase Durations'!$N$17+$S19*('3 - Phase Durations'!$N$18+'3 - Phase Durations'!$N$19)+$T19*'3 - Phase Durations'!$N$20+$U19*'3 - Phase Durations'!$N$21+$V19*('3 - Phase Durations'!$N$22+'3 - Phase Durations'!$N$23)+$W19*'3 - Phase Durations'!$N$24)/12</f>
        <v>0.10000000000000002</v>
      </c>
      <c r="AG19" s="179">
        <f>($Q19*'3 - Phase Durations'!$O$16+$R19*'3 - Phase Durations'!$O$17+$S19*('3 - Phase Durations'!$O$18+'3 - Phase Durations'!$O$19)+$T19*'3 - Phase Durations'!$O$20+$U19*'3 - Phase Durations'!$O$21+$V19*('3 - Phase Durations'!$O$22+'3 - Phase Durations'!$O$23)+$W19*'3 - Phase Durations'!$O$24)/12</f>
        <v>0.24054794520547942</v>
      </c>
      <c r="AH19" s="179">
        <f>($Q19*'3 - Phase Durations'!$P$16+$R19*'3 - Phase Durations'!$P$17+$S19*('3 - Phase Durations'!$P$18+'3 - Phase Durations'!$P$19)+$T19*'3 - Phase Durations'!$P$20+$U19*'3 - Phase Durations'!$P$21+$V19*('3 - Phase Durations'!$P$22+'3 - Phase Durations'!$P$23)+$W19*'3 - Phase Durations'!$P$24)/12</f>
        <v>0.67</v>
      </c>
      <c r="AI19" s="179">
        <f>($Q19*'3 - Phase Durations'!$Q$16+$R19*'3 - Phase Durations'!$Q$17+$S19*('3 - Phase Durations'!$Q$18+'3 - Phase Durations'!$Q$19)+$T19*'3 - Phase Durations'!$Q$20+$U19*'3 - Phase Durations'!$Q$21+$V19*('3 - Phase Durations'!$Q$22+'3 - Phase Durations'!$Q$23)+$W19*'3 - Phase Durations'!$Q$24)/12</f>
        <v>0.67183561643835621</v>
      </c>
      <c r="AJ19" s="179">
        <f>($Q19*'3 - Phase Durations'!$R$16+$R19*'3 - Phase Durations'!$R$17+$S19*('3 - Phase Durations'!$R$18+'3 - Phase Durations'!$R$19)+$T19*'3 - Phase Durations'!$R$20+$U19*'3 - Phase Durations'!$R$21+$V19*('3 - Phase Durations'!$R$22+'3 - Phase Durations'!$R$23)+$W19*'3 - Phase Durations'!$R$24)/12</f>
        <v>0.67</v>
      </c>
      <c r="AK19" s="179">
        <f>($Q19*'3 - Phase Durations'!$S$16+$R19*'3 - Phase Durations'!$S$17+$S19*('3 - Phase Durations'!$S$18+'3 - Phase Durations'!$S$19)+$T19*'3 - Phase Durations'!$S$20+$U19*'3 - Phase Durations'!$S$21+$V19*('3 - Phase Durations'!$S$22+'3 - Phase Durations'!$S$23)+$W19*'3 - Phase Durations'!$S$24)/12</f>
        <v>0.67</v>
      </c>
      <c r="AL19" s="179">
        <f>($Q19*'3 - Phase Durations'!$T$16+$R19*'3 - Phase Durations'!$T$17+$S19*('3 - Phase Durations'!$T$18+'3 - Phase Durations'!$T$19)+$T19*'3 - Phase Durations'!$T$20+$U19*'3 - Phase Durations'!$T$21+$V19*('3 - Phase Durations'!$T$22+'3 - Phase Durations'!$T$23)+$W19*'3 - Phase Durations'!$T$24)/12</f>
        <v>0.67</v>
      </c>
      <c r="AM19" s="179">
        <f>($Q19*'3 - Phase Durations'!$U$16+$R19*'3 - Phase Durations'!$U$17+$S19*('3 - Phase Durations'!$U$18+'3 - Phase Durations'!$U$19)+$T19*'3 - Phase Durations'!$U$20+$U19*'3 - Phase Durations'!$U$21+$V19*('3 - Phase Durations'!$U$22+'3 - Phase Durations'!$U$23)+$W19*'3 - Phase Durations'!$U$24)/12</f>
        <v>0.67183561643835621</v>
      </c>
      <c r="AN19" s="179">
        <f>($Q19*'3 - Phase Durations'!$V$16+$R19*'3 - Phase Durations'!$V$17+$S19*('3 - Phase Durations'!$V$18+'3 - Phase Durations'!$V$19)+$T19*'3 - Phase Durations'!$V$20+$U19*'3 - Phase Durations'!$V$21+$V19*('3 - Phase Durations'!$V$22+'3 - Phase Durations'!$V$23)+$W19*'3 - Phase Durations'!$V$24)/12</f>
        <v>0.75136986301369868</v>
      </c>
      <c r="AO19" s="179">
        <f>($Q19*'3 - Phase Durations'!$W$16+$R19*'3 - Phase Durations'!$W$17+$S19*('3 - Phase Durations'!$W$18+'3 - Phase Durations'!$W$19)+$T19*'3 - Phase Durations'!$W$20+$U19*'3 - Phase Durations'!$W$21+$V19*('3 - Phase Durations'!$W$22+'3 - Phase Durations'!$W$23)+$W19*'3 - Phase Durations'!$W$24)/12</f>
        <v>1</v>
      </c>
      <c r="AP19" s="179">
        <f>($Q19*'3 - Phase Durations'!$X$16+$R19*'3 - Phase Durations'!$X$17+$S19*('3 - Phase Durations'!$X$18+'3 - Phase Durations'!$X$19)+$T19*'3 - Phase Durations'!$X$20+$U19*'3 - Phase Durations'!$X$21+$V19*('3 - Phase Durations'!$X$22+'3 - Phase Durations'!$X$23)+$W19*'3 - Phase Durations'!$X$24)/12</f>
        <v>1</v>
      </c>
      <c r="AQ19" s="179">
        <f>($Q19*'3 - Phase Durations'!$Y$16+$R19*'3 - Phase Durations'!$Y$17+$S19*('3 - Phase Durations'!$Y$18+'3 - Phase Durations'!$Y$19)+$T19*'3 - Phase Durations'!$Y$20+$U19*'3 - Phase Durations'!$Y$21+$V19*('3 - Phase Durations'!$Y$22+'3 - Phase Durations'!$Y$23)+$W19*'3 - Phase Durations'!$Y$24)/12</f>
        <v>1.0027397260273974</v>
      </c>
      <c r="AR19" s="179">
        <f>($Q19*'3 - Phase Durations'!$Z$16+$R19*'3 - Phase Durations'!$Z$17+$S19*('3 - Phase Durations'!$Z$18+'3 - Phase Durations'!$Z$19)+$T19*'3 - Phase Durations'!$Z$20+$U19*'3 - Phase Durations'!$Z$21+$V19*('3 - Phase Durations'!$Z$22+'3 - Phase Durations'!$Z$23)+$W19*'3 - Phase Durations'!$Z$24)/12</f>
        <v>1</v>
      </c>
      <c r="AS19" s="179">
        <f>($Q19*'3 - Phase Durations'!$AA$16+$R19*'3 - Phase Durations'!$AA$17+$S19*('3 - Phase Durations'!$AA$18+'3 - Phase Durations'!$AA$19)+$T19*'3 - Phase Durations'!$AA$20+$U19*'3 - Phase Durations'!$AA$21+$V19*('3 - Phase Durations'!$AA$22+'3 - Phase Durations'!$AA$23)+$W19*'3 - Phase Durations'!$AA$24)/12</f>
        <v>1</v>
      </c>
      <c r="AT19" s="179">
        <f>($Q19*'3 - Phase Durations'!$AB$16+$R19*'3 - Phase Durations'!$AB$17+$S19*('3 - Phase Durations'!$AB$18+'3 - Phase Durations'!$AB$19)+$T19*'3 - Phase Durations'!$AB$20+$U19*'3 - Phase Durations'!$AB$21+$V19*('3 - Phase Durations'!$AB$22+'3 - Phase Durations'!$AB$23)+$W19*'3 - Phase Durations'!$AB$24)/12</f>
        <v>1</v>
      </c>
      <c r="AU19" s="179">
        <f>($Q19*'3 - Phase Durations'!$AC$16+$R19*'3 - Phase Durations'!$AC$17+$S19*('3 - Phase Durations'!$AC$18+'3 - Phase Durations'!$AC$19)+$T19*'3 - Phase Durations'!$AC$20+$U19*'3 - Phase Durations'!$AC$21+$V19*('3 - Phase Durations'!$AC$22+'3 - Phase Durations'!$AC$23)+$W19*'3 - Phase Durations'!$AC$24)/12</f>
        <v>1.0027397260273974</v>
      </c>
      <c r="AV19" s="179">
        <f>($Q19*'3 - Phase Durations'!$AD$16+$R19*'3 - Phase Durations'!$AD$17+$S19*('3 - Phase Durations'!$AD$18+'3 - Phase Durations'!$AD$19)+$T19*'3 - Phase Durations'!$AD$20+$U19*'3 - Phase Durations'!$AD$21+$V19*('3 - Phase Durations'!$AD$22+'3 - Phase Durations'!$AD$23)+$W19*'3 - Phase Durations'!$AD$24)/12</f>
        <v>1</v>
      </c>
      <c r="AW19" s="179">
        <f>($Q19*'3 - Phase Durations'!$AE$16+$R19*'3 - Phase Durations'!$AE$17+$S19*('3 - Phase Durations'!$AE$18+'3 - Phase Durations'!$AE$19)+$T19*'3 - Phase Durations'!$AE$20+$U19*'3 - Phase Durations'!$AE$21+$V19*('3 - Phase Durations'!$AE$22+'3 - Phase Durations'!$AE$23)+$W19*'3 - Phase Durations'!$AE$24)/12</f>
        <v>1</v>
      </c>
      <c r="AX19" s="179">
        <f>($Q19*'3 - Phase Durations'!$AF$16+$R19*'3 - Phase Durations'!$AF$17+$S19*('3 - Phase Durations'!$AF$18+'3 - Phase Durations'!$AF$19)+$T19*'3 - Phase Durations'!$AF$20+$U19*'3 - Phase Durations'!$AF$21+$V19*('3 - Phase Durations'!$AF$22+'3 - Phase Durations'!$AF$23)+$W19*'3 - Phase Durations'!$AF$24)/12</f>
        <v>1</v>
      </c>
      <c r="AY19" s="179">
        <f>($Q19*'3 - Phase Durations'!$AG$16+$R19*'3 - Phase Durations'!$AG$17+$S19*('3 - Phase Durations'!$AG$18+'3 - Phase Durations'!$AG$19)+$T19*'3 - Phase Durations'!$AG$20+$U19*'3 - Phase Durations'!$AG$21+$V19*('3 - Phase Durations'!$AG$22+'3 - Phase Durations'!$AG$23)+$W19*'3 - Phase Durations'!$AG$24)/12</f>
        <v>1.0027397260273974</v>
      </c>
      <c r="AZ19" s="179">
        <f>($Q19*'3 - Phase Durations'!$AH$16+$R19*'3 - Phase Durations'!$AH$17+$S19*('3 - Phase Durations'!$AH$18+'3 - Phase Durations'!$AH$19)+$T19*'3 - Phase Durations'!$AH$20+$U19*'3 - Phase Durations'!$AH$21+$V19*('3 - Phase Durations'!$AH$22+'3 - Phase Durations'!$AH$23)+$W19*'3 - Phase Durations'!$AH$24)/12</f>
        <v>1</v>
      </c>
      <c r="BA19" s="179">
        <f>($Q19*'3 - Phase Durations'!$AI$16+$R19*'3 - Phase Durations'!$AI$17+$S19*('3 - Phase Durations'!$AI$18+'3 - Phase Durations'!$AI$19)+$T19*'3 - Phase Durations'!$AI$20+$U19*'3 - Phase Durations'!$AI$21+$V19*('3 - Phase Durations'!$AI$22+'3 - Phase Durations'!$AI$23)+$W19*'3 - Phase Durations'!$AI$24)/12</f>
        <v>1</v>
      </c>
      <c r="BB19" s="179">
        <f>($Q19*'3 - Phase Durations'!$AJ$16+$R19*'3 - Phase Durations'!$AJ$17+$S19*('3 - Phase Durations'!$AJ$18+'3 - Phase Durations'!$AJ$19)+$T19*'3 - Phase Durations'!$AJ$20+$U19*'3 - Phase Durations'!$AJ$21+$V19*('3 - Phase Durations'!$AJ$22+'3 - Phase Durations'!$AJ$23)+$W19*'3 - Phase Durations'!$AJ$24)/12</f>
        <v>1</v>
      </c>
      <c r="BC19" s="179">
        <f>($Q19*'3 - Phase Durations'!$AK$16+$R19*'3 - Phase Durations'!$AK$17+$S19*('3 - Phase Durations'!$AK$18+'3 - Phase Durations'!$AK$19)+$T19*'3 - Phase Durations'!$AK$20+$U19*'3 - Phase Durations'!$AK$21+$V19*('3 - Phase Durations'!$AK$22+'3 - Phase Durations'!$AK$23)+$W19*'3 - Phase Durations'!$AK$24)/12</f>
        <v>1.0027397260273974</v>
      </c>
      <c r="BD19" s="179">
        <f>($Q19*'3 - Phase Durations'!$AL$16+$R19*'3 - Phase Durations'!$AL$17+$S19*('3 - Phase Durations'!$AL$18+'3 - Phase Durations'!$AL$19)+$T19*'3 - Phase Durations'!$AL$20+$U19*'3 - Phase Durations'!$AL$21+$V19*('3 - Phase Durations'!$AL$22+'3 - Phase Durations'!$AL$23)+$W19*'3 - Phase Durations'!$AL$24)/12</f>
        <v>1</v>
      </c>
      <c r="BE19" s="179">
        <f>($Q19*'3 - Phase Durations'!$AM$16+$R19*'3 - Phase Durations'!$AM$17+$S19*('3 - Phase Durations'!$AM$18+'3 - Phase Durations'!$AM$19)+$T19*'3 - Phase Durations'!$AM$20+$U19*'3 - Phase Durations'!$AM$21+$V19*('3 - Phase Durations'!$AM$22+'3 - Phase Durations'!$AM$23)+$W19*'3 - Phase Durations'!$AM$24)/12</f>
        <v>1</v>
      </c>
      <c r="BF19" s="179">
        <f>($Q19*'3 - Phase Durations'!$AN$16+$R19*'3 - Phase Durations'!$AN$17+$S19*('3 - Phase Durations'!$AN$18+'3 - Phase Durations'!$AN$19)+$T19*'3 - Phase Durations'!$AN$20+$U19*'3 - Phase Durations'!$AN$21+$V19*('3 - Phase Durations'!$AN$22+'3 - Phase Durations'!$AN$23)+$W19*'3 - Phase Durations'!$AN$24)/12</f>
        <v>1</v>
      </c>
      <c r="BG19" s="179">
        <f>($Q19*'3 - Phase Durations'!$AO$16+$R19*'3 - Phase Durations'!$AO$17+$S19*('3 - Phase Durations'!$AO$18+'3 - Phase Durations'!$AO$19)+$T19*'3 - Phase Durations'!$AO$20+$U19*'3 - Phase Durations'!$AO$21+$V19*('3 - Phase Durations'!$AO$22+'3 - Phase Durations'!$AO$23)+$W19*'3 - Phase Durations'!$AO$24)/12</f>
        <v>0.24931506849315069</v>
      </c>
      <c r="BH19" s="180">
        <f t="shared" si="0"/>
        <v>25.503534246575338</v>
      </c>
    </row>
    <row r="20" spans="1:60" ht="30" customHeight="1">
      <c r="A20" s="167">
        <v>3</v>
      </c>
      <c r="B20" s="168" t="s">
        <v>1032</v>
      </c>
      <c r="C20" s="168" t="s">
        <v>1033</v>
      </c>
      <c r="D20" s="168" t="s">
        <v>1051</v>
      </c>
      <c r="E20" s="168" t="s">
        <v>1052</v>
      </c>
      <c r="F20" s="169" t="s">
        <v>1053</v>
      </c>
      <c r="G20" s="168" t="s">
        <v>117</v>
      </c>
      <c r="H20" s="168" t="s">
        <v>1037</v>
      </c>
      <c r="I20" s="168" t="s">
        <v>1054</v>
      </c>
      <c r="J20" s="168" t="s">
        <v>1055</v>
      </c>
      <c r="K20" s="167" t="s">
        <v>1056</v>
      </c>
      <c r="L20" s="167" t="s">
        <v>1057</v>
      </c>
      <c r="M20" s="167" t="s">
        <v>1058</v>
      </c>
      <c r="N20" s="167" t="s">
        <v>1043</v>
      </c>
      <c r="O20" s="169" t="s">
        <v>1044</v>
      </c>
      <c r="P20" s="167" t="s">
        <v>1045</v>
      </c>
      <c r="Q20" s="170">
        <v>0</v>
      </c>
      <c r="R20" s="170">
        <v>1</v>
      </c>
      <c r="S20" s="170">
        <v>1</v>
      </c>
      <c r="T20" s="170">
        <v>0</v>
      </c>
      <c r="U20" s="170">
        <v>0.73</v>
      </c>
      <c r="V20" s="170">
        <v>0</v>
      </c>
      <c r="W20" s="170">
        <v>0</v>
      </c>
      <c r="X20" s="171">
        <f>IFERROR(VLOOKUP($M20,'Labour Rates lookup'!$A:$B,2,FALSE()),0)</f>
        <v>105000</v>
      </c>
      <c r="Y20" s="172">
        <f>($Q20*'3 - Phase Durations'!$G$16+$R20*'3 - Phase Durations'!$G$17+$S20*('3 - Phase Durations'!$G$18+'3 - Phase Durations'!$G$19)+$T20*'3 - Phase Durations'!$G$20+$U20*'3 - Phase Durations'!$G$21+$V20*('3 - Phase Durations'!$G$22+'3 - Phase Durations'!$G$23)+$W20*'3 - Phase Durations'!$G$24)/12</f>
        <v>0</v>
      </c>
      <c r="Z20" s="172">
        <f>($Q20*'3 - Phase Durations'!$H$16+$R20*'3 - Phase Durations'!$H$17+$S20*('3 - Phase Durations'!$H$18+'3 - Phase Durations'!$H$19)+$T20*'3 - Phase Durations'!$H$20+$U20*'3 - Phase Durations'!$H$21+$V20*('3 - Phase Durations'!$H$22+'3 - Phase Durations'!$H$23)+$W20*'3 - Phase Durations'!$H$24)/12</f>
        <v>0</v>
      </c>
      <c r="AA20" s="172">
        <f>($Q20*'3 - Phase Durations'!$I$16+$R20*'3 - Phase Durations'!$I$17+$S20*('3 - Phase Durations'!$I$18+'3 - Phase Durations'!$I$19)+$T20*'3 - Phase Durations'!$I$20+$U20*'3 - Phase Durations'!$I$21+$V20*('3 - Phase Durations'!$I$22+'3 - Phase Durations'!$I$23)+$W20*'3 - Phase Durations'!$I$24)/12</f>
        <v>0.24931506849315069</v>
      </c>
      <c r="AB20" s="172">
        <f>($Q20*'3 - Phase Durations'!$J$16+$R20*'3 - Phase Durations'!$J$17+$S20*('3 - Phase Durations'!$J$18+'3 - Phase Durations'!$J$19)+$T20*'3 - Phase Durations'!$J$20+$U20*'3 - Phase Durations'!$J$21+$V20*('3 - Phase Durations'!$J$22+'3 - Phase Durations'!$J$23)+$W20*'3 - Phase Durations'!$J$24)/12</f>
        <v>1</v>
      </c>
      <c r="AC20" s="172">
        <f>($Q20*'3 - Phase Durations'!$K$16+$R20*'3 - Phase Durations'!$K$17+$S20*('3 - Phase Durations'!$K$18+'3 - Phase Durations'!$K$19)+$T20*'3 - Phase Durations'!$K$20+$U20*'3 - Phase Durations'!$K$21+$V20*('3 - Phase Durations'!$K$22+'3 - Phase Durations'!$K$23)+$W20*'3 - Phase Durations'!$K$24)/12</f>
        <v>1</v>
      </c>
      <c r="AD20" s="172">
        <f>($Q20*'3 - Phase Durations'!$L$16+$R20*'3 - Phase Durations'!$L$17+$S20*('3 - Phase Durations'!$L$18+'3 - Phase Durations'!$L$19)+$T20*'3 - Phase Durations'!$L$20+$U20*'3 - Phase Durations'!$L$21+$V20*('3 - Phase Durations'!$L$22+'3 - Phase Durations'!$L$23)+$W20*'3 - Phase Durations'!$L$24)/12</f>
        <v>1</v>
      </c>
      <c r="AE20" s="172">
        <f>($Q20*'3 - Phase Durations'!$M$16+$R20*'3 - Phase Durations'!$M$17+$S20*('3 - Phase Durations'!$M$18+'3 - Phase Durations'!$M$19)+$T20*'3 - Phase Durations'!$M$20+$U20*'3 - Phase Durations'!$M$21+$V20*('3 - Phase Durations'!$M$22+'3 - Phase Durations'!$M$23)+$W20*'3 - Phase Durations'!$M$24)/12</f>
        <v>0.75342465753424659</v>
      </c>
      <c r="AF20" s="172">
        <f>($Q20*'3 - Phase Durations'!$N$16+$R20*'3 - Phase Durations'!$N$17+$S20*('3 - Phase Durations'!$N$18+'3 - Phase Durations'!$N$19)+$T20*'3 - Phase Durations'!$N$20+$U20*'3 - Phase Durations'!$N$21+$V20*('3 - Phase Durations'!$N$22+'3 - Phase Durations'!$N$23)+$W20*'3 - Phase Durations'!$N$24)/12</f>
        <v>0</v>
      </c>
      <c r="AG20" s="172">
        <f>($Q20*'3 - Phase Durations'!$O$16+$R20*'3 - Phase Durations'!$O$17+$S20*('3 - Phase Durations'!$O$18+'3 - Phase Durations'!$O$19)+$T20*'3 - Phase Durations'!$O$20+$U20*'3 - Phase Durations'!$O$21+$V20*('3 - Phase Durations'!$O$22+'3 - Phase Durations'!$O$23)+$W20*'3 - Phase Durations'!$O$24)/12</f>
        <v>0.17999999999999997</v>
      </c>
      <c r="AH20" s="172">
        <f>($Q20*'3 - Phase Durations'!$P$16+$R20*'3 - Phase Durations'!$P$17+$S20*('3 - Phase Durations'!$P$18+'3 - Phase Durations'!$P$19)+$T20*'3 - Phase Durations'!$P$20+$U20*'3 - Phase Durations'!$P$21+$V20*('3 - Phase Durations'!$P$22+'3 - Phase Durations'!$P$23)+$W20*'3 - Phase Durations'!$P$24)/12</f>
        <v>0.73</v>
      </c>
      <c r="AI20" s="172">
        <f>($Q20*'3 - Phase Durations'!$Q$16+$R20*'3 - Phase Durations'!$Q$17+$S20*('3 - Phase Durations'!$Q$18+'3 - Phase Durations'!$Q$19)+$T20*'3 - Phase Durations'!$Q$20+$U20*'3 - Phase Durations'!$Q$21+$V20*('3 - Phase Durations'!$Q$22+'3 - Phase Durations'!$Q$23)+$W20*'3 - Phase Durations'!$Q$24)/12</f>
        <v>0.7320000000000001</v>
      </c>
      <c r="AJ20" s="172">
        <f>($Q20*'3 - Phase Durations'!$R$16+$R20*'3 - Phase Durations'!$R$17+$S20*('3 - Phase Durations'!$R$18+'3 - Phase Durations'!$R$19)+$T20*'3 - Phase Durations'!$R$20+$U20*'3 - Phase Durations'!$R$21+$V20*('3 - Phase Durations'!$R$22+'3 - Phase Durations'!$R$23)+$W20*'3 - Phase Durations'!$R$24)/12</f>
        <v>0.73</v>
      </c>
      <c r="AK20" s="172">
        <f>($Q20*'3 - Phase Durations'!$S$16+$R20*'3 - Phase Durations'!$S$17+$S20*('3 - Phase Durations'!$S$18+'3 - Phase Durations'!$S$19)+$T20*'3 - Phase Durations'!$S$20+$U20*'3 - Phase Durations'!$S$21+$V20*('3 - Phase Durations'!$S$22+'3 - Phase Durations'!$S$23)+$W20*'3 - Phase Durations'!$S$24)/12</f>
        <v>0.73</v>
      </c>
      <c r="AL20" s="172">
        <f>($Q20*'3 - Phase Durations'!$T$16+$R20*'3 - Phase Durations'!$T$17+$S20*('3 - Phase Durations'!$T$18+'3 - Phase Durations'!$T$19)+$T20*'3 - Phase Durations'!$T$20+$U20*'3 - Phase Durations'!$T$21+$V20*('3 - Phase Durations'!$T$22+'3 - Phase Durations'!$T$23)+$W20*'3 - Phase Durations'!$T$24)/12</f>
        <v>0.73</v>
      </c>
      <c r="AM20" s="172">
        <f>($Q20*'3 - Phase Durations'!$U$16+$R20*'3 - Phase Durations'!$U$17+$S20*('3 - Phase Durations'!$U$18+'3 - Phase Durations'!$U$19)+$T20*'3 - Phase Durations'!$U$20+$U20*'3 - Phase Durations'!$U$21+$V20*('3 - Phase Durations'!$U$22+'3 - Phase Durations'!$U$23)+$W20*'3 - Phase Durations'!$U$24)/12</f>
        <v>0.7320000000000001</v>
      </c>
      <c r="AN20" s="172">
        <f>($Q20*'3 - Phase Durations'!$V$16+$R20*'3 - Phase Durations'!$V$17+$S20*('3 - Phase Durations'!$V$18+'3 - Phase Durations'!$V$19)+$T20*'3 - Phase Durations'!$V$20+$U20*'3 - Phase Durations'!$V$21+$V20*('3 - Phase Durations'!$V$22+'3 - Phase Durations'!$V$23)+$W20*'3 - Phase Durations'!$V$24)/12</f>
        <v>0.55000000000000004</v>
      </c>
      <c r="AO20" s="172">
        <f>($Q20*'3 - Phase Durations'!$W$16+$R20*'3 - Phase Durations'!$W$17+$S20*('3 - Phase Durations'!$W$18+'3 - Phase Durations'!$W$19)+$T20*'3 - Phase Durations'!$W$20+$U20*'3 - Phase Durations'!$W$21+$V20*('3 - Phase Durations'!$W$22+'3 - Phase Durations'!$W$23)+$W20*'3 - Phase Durations'!$W$24)/12</f>
        <v>0</v>
      </c>
      <c r="AP20" s="172">
        <f>($Q20*'3 - Phase Durations'!$X$16+$R20*'3 - Phase Durations'!$X$17+$S20*('3 - Phase Durations'!$X$18+'3 - Phase Durations'!$X$19)+$T20*'3 - Phase Durations'!$X$20+$U20*'3 - Phase Durations'!$X$21+$V20*('3 - Phase Durations'!$X$22+'3 - Phase Durations'!$X$23)+$W20*'3 - Phase Durations'!$X$24)/12</f>
        <v>0</v>
      </c>
      <c r="AQ20" s="172">
        <f>($Q20*'3 - Phase Durations'!$Y$16+$R20*'3 - Phase Durations'!$Y$17+$S20*('3 - Phase Durations'!$Y$18+'3 - Phase Durations'!$Y$19)+$T20*'3 - Phase Durations'!$Y$20+$U20*'3 - Phase Durations'!$Y$21+$V20*('3 - Phase Durations'!$Y$22+'3 - Phase Durations'!$Y$23)+$W20*'3 - Phase Durations'!$Y$24)/12</f>
        <v>0</v>
      </c>
      <c r="AR20" s="172">
        <f>($Q20*'3 - Phase Durations'!$Z$16+$R20*'3 - Phase Durations'!$Z$17+$S20*('3 - Phase Durations'!$Z$18+'3 - Phase Durations'!$Z$19)+$T20*'3 - Phase Durations'!$Z$20+$U20*'3 - Phase Durations'!$Z$21+$V20*('3 - Phase Durations'!$Z$22+'3 - Phase Durations'!$Z$23)+$W20*'3 - Phase Durations'!$Z$24)/12</f>
        <v>0</v>
      </c>
      <c r="AS20" s="172">
        <f>($Q20*'3 - Phase Durations'!$AA$16+$R20*'3 - Phase Durations'!$AA$17+$S20*('3 - Phase Durations'!$AA$18+'3 - Phase Durations'!$AA$19)+$T20*'3 - Phase Durations'!$AA$20+$U20*'3 - Phase Durations'!$AA$21+$V20*('3 - Phase Durations'!$AA$22+'3 - Phase Durations'!$AA$23)+$W20*'3 - Phase Durations'!$AA$24)/12</f>
        <v>0</v>
      </c>
      <c r="AT20" s="172">
        <f>($Q20*'3 - Phase Durations'!$AB$16+$R20*'3 - Phase Durations'!$AB$17+$S20*('3 - Phase Durations'!$AB$18+'3 - Phase Durations'!$AB$19)+$T20*'3 - Phase Durations'!$AB$20+$U20*'3 - Phase Durations'!$AB$21+$V20*('3 - Phase Durations'!$AB$22+'3 - Phase Durations'!$AB$23)+$W20*'3 - Phase Durations'!$AB$24)/12</f>
        <v>0</v>
      </c>
      <c r="AU20" s="172">
        <f>($Q20*'3 - Phase Durations'!$AC$16+$R20*'3 - Phase Durations'!$AC$17+$S20*('3 - Phase Durations'!$AC$18+'3 - Phase Durations'!$AC$19)+$T20*'3 - Phase Durations'!$AC$20+$U20*'3 - Phase Durations'!$AC$21+$V20*('3 - Phase Durations'!$AC$22+'3 - Phase Durations'!$AC$23)+$W20*'3 - Phase Durations'!$AC$24)/12</f>
        <v>0</v>
      </c>
      <c r="AV20" s="172">
        <f>($Q20*'3 - Phase Durations'!$AD$16+$R20*'3 - Phase Durations'!$AD$17+$S20*('3 - Phase Durations'!$AD$18+'3 - Phase Durations'!$AD$19)+$T20*'3 - Phase Durations'!$AD$20+$U20*'3 - Phase Durations'!$AD$21+$V20*('3 - Phase Durations'!$AD$22+'3 - Phase Durations'!$AD$23)+$W20*'3 - Phase Durations'!$AD$24)/12</f>
        <v>0</v>
      </c>
      <c r="AW20" s="172">
        <f>($Q20*'3 - Phase Durations'!$AE$16+$R20*'3 - Phase Durations'!$AE$17+$S20*('3 - Phase Durations'!$AE$18+'3 - Phase Durations'!$AE$19)+$T20*'3 - Phase Durations'!$AE$20+$U20*'3 - Phase Durations'!$AE$21+$V20*('3 - Phase Durations'!$AE$22+'3 - Phase Durations'!$AE$23)+$W20*'3 - Phase Durations'!$AE$24)/12</f>
        <v>0</v>
      </c>
      <c r="AX20" s="172">
        <f>($Q20*'3 - Phase Durations'!$AF$16+$R20*'3 - Phase Durations'!$AF$17+$S20*('3 - Phase Durations'!$AF$18+'3 - Phase Durations'!$AF$19)+$T20*'3 - Phase Durations'!$AF$20+$U20*'3 - Phase Durations'!$AF$21+$V20*('3 - Phase Durations'!$AF$22+'3 - Phase Durations'!$AF$23)+$W20*'3 - Phase Durations'!$AF$24)/12</f>
        <v>0</v>
      </c>
      <c r="AY20" s="172">
        <f>($Q20*'3 - Phase Durations'!$AG$16+$R20*'3 - Phase Durations'!$AG$17+$S20*('3 - Phase Durations'!$AG$18+'3 - Phase Durations'!$AG$19)+$T20*'3 - Phase Durations'!$AG$20+$U20*'3 - Phase Durations'!$AG$21+$V20*('3 - Phase Durations'!$AG$22+'3 - Phase Durations'!$AG$23)+$W20*'3 - Phase Durations'!$AG$24)/12</f>
        <v>0</v>
      </c>
      <c r="AZ20" s="172">
        <f>($Q20*'3 - Phase Durations'!$AH$16+$R20*'3 - Phase Durations'!$AH$17+$S20*('3 - Phase Durations'!$AH$18+'3 - Phase Durations'!$AH$19)+$T20*'3 - Phase Durations'!$AH$20+$U20*'3 - Phase Durations'!$AH$21+$V20*('3 - Phase Durations'!$AH$22+'3 - Phase Durations'!$AH$23)+$W20*'3 - Phase Durations'!$AH$24)/12</f>
        <v>0</v>
      </c>
      <c r="BA20" s="172">
        <f>($Q20*'3 - Phase Durations'!$AI$16+$R20*'3 - Phase Durations'!$AI$17+$S20*('3 - Phase Durations'!$AI$18+'3 - Phase Durations'!$AI$19)+$T20*'3 - Phase Durations'!$AI$20+$U20*'3 - Phase Durations'!$AI$21+$V20*('3 - Phase Durations'!$AI$22+'3 - Phase Durations'!$AI$23)+$W20*'3 - Phase Durations'!$AI$24)/12</f>
        <v>0</v>
      </c>
      <c r="BB20" s="172">
        <f>($Q20*'3 - Phase Durations'!$AJ$16+$R20*'3 - Phase Durations'!$AJ$17+$S20*('3 - Phase Durations'!$AJ$18+'3 - Phase Durations'!$AJ$19)+$T20*'3 - Phase Durations'!$AJ$20+$U20*'3 - Phase Durations'!$AJ$21+$V20*('3 - Phase Durations'!$AJ$22+'3 - Phase Durations'!$AJ$23)+$W20*'3 - Phase Durations'!$AJ$24)/12</f>
        <v>0</v>
      </c>
      <c r="BC20" s="172">
        <f>($Q20*'3 - Phase Durations'!$AK$16+$R20*'3 - Phase Durations'!$AK$17+$S20*('3 - Phase Durations'!$AK$18+'3 - Phase Durations'!$AK$19)+$T20*'3 - Phase Durations'!$AK$20+$U20*'3 - Phase Durations'!$AK$21+$V20*('3 - Phase Durations'!$AK$22+'3 - Phase Durations'!$AK$23)+$W20*'3 - Phase Durations'!$AK$24)/12</f>
        <v>0</v>
      </c>
      <c r="BD20" s="172">
        <f>($Q20*'3 - Phase Durations'!$AL$16+$R20*'3 - Phase Durations'!$AL$17+$S20*('3 - Phase Durations'!$AL$18+'3 - Phase Durations'!$AL$19)+$T20*'3 - Phase Durations'!$AL$20+$U20*'3 - Phase Durations'!$AL$21+$V20*('3 - Phase Durations'!$AL$22+'3 - Phase Durations'!$AL$23)+$W20*'3 - Phase Durations'!$AL$24)/12</f>
        <v>0</v>
      </c>
      <c r="BE20" s="172">
        <f>($Q20*'3 - Phase Durations'!$AM$16+$R20*'3 - Phase Durations'!$AM$17+$S20*('3 - Phase Durations'!$AM$18+'3 - Phase Durations'!$AM$19)+$T20*'3 - Phase Durations'!$AM$20+$U20*'3 - Phase Durations'!$AM$21+$V20*('3 - Phase Durations'!$AM$22+'3 - Phase Durations'!$AM$23)+$W20*'3 - Phase Durations'!$AM$24)/12</f>
        <v>0</v>
      </c>
      <c r="BF20" s="172">
        <f>($Q20*'3 - Phase Durations'!$AN$16+$R20*'3 - Phase Durations'!$AN$17+$S20*('3 - Phase Durations'!$AN$18+'3 - Phase Durations'!$AN$19)+$T20*'3 - Phase Durations'!$AN$20+$U20*'3 - Phase Durations'!$AN$21+$V20*('3 - Phase Durations'!$AN$22+'3 - Phase Durations'!$AN$23)+$W20*'3 - Phase Durations'!$AN$24)/12</f>
        <v>0</v>
      </c>
      <c r="BG20" s="172">
        <f>($Q20*'3 - Phase Durations'!$AO$16+$R20*'3 - Phase Durations'!$AO$17+$S20*('3 - Phase Durations'!$AO$18+'3 - Phase Durations'!$AO$19)+$T20*'3 - Phase Durations'!$AO$20+$U20*'3 - Phase Durations'!$AO$21+$V20*('3 - Phase Durations'!$AO$22+'3 - Phase Durations'!$AO$23)+$W20*'3 - Phase Durations'!$AO$24)/12</f>
        <v>0</v>
      </c>
      <c r="BH20" s="173">
        <f t="shared" si="0"/>
        <v>9.1167397260273972</v>
      </c>
    </row>
    <row r="21" spans="1:60" ht="30" customHeight="1">
      <c r="A21" s="174">
        <v>4</v>
      </c>
      <c r="B21" s="175" t="s">
        <v>1032</v>
      </c>
      <c r="C21" s="175" t="s">
        <v>1033</v>
      </c>
      <c r="D21" s="175" t="s">
        <v>1034</v>
      </c>
      <c r="E21" s="175" t="s">
        <v>520</v>
      </c>
      <c r="F21" s="176" t="s">
        <v>1059</v>
      </c>
      <c r="G21" s="175" t="s">
        <v>1036</v>
      </c>
      <c r="H21" s="175" t="s">
        <v>1037</v>
      </c>
      <c r="I21" s="175" t="s">
        <v>1038</v>
      </c>
      <c r="J21" s="175" t="s">
        <v>1060</v>
      </c>
      <c r="K21" s="174" t="s">
        <v>1061</v>
      </c>
      <c r="L21" s="174" t="s">
        <v>1057</v>
      </c>
      <c r="M21" s="174" t="s">
        <v>1062</v>
      </c>
      <c r="N21" s="174" t="s">
        <v>1043</v>
      </c>
      <c r="O21" s="176" t="s">
        <v>1044</v>
      </c>
      <c r="P21" s="174" t="s">
        <v>1045</v>
      </c>
      <c r="Q21" s="177">
        <v>0</v>
      </c>
      <c r="R21" s="177">
        <v>1</v>
      </c>
      <c r="S21" s="177">
        <v>0.25</v>
      </c>
      <c r="T21" s="177">
        <v>0.25</v>
      </c>
      <c r="U21" s="177">
        <v>0.27</v>
      </c>
      <c r="V21" s="177">
        <v>1</v>
      </c>
      <c r="W21" s="177">
        <v>0</v>
      </c>
      <c r="X21" s="178">
        <f>IFERROR(VLOOKUP($M21,'Labour Rates lookup'!$A:$B,2,FALSE()),0)</f>
        <v>145000</v>
      </c>
      <c r="Y21" s="179">
        <f>($Q21*'3 - Phase Durations'!$G$16+$R21*'3 - Phase Durations'!$G$17+$S21*('3 - Phase Durations'!$G$18+'3 - Phase Durations'!$G$19)+$T21*'3 - Phase Durations'!$G$20+$U21*'3 - Phase Durations'!$G$21+$V21*('3 - Phase Durations'!$G$22+'3 - Phase Durations'!$G$23)+$W21*'3 - Phase Durations'!$G$24)/12</f>
        <v>0</v>
      </c>
      <c r="Z21" s="179">
        <f>($Q21*'3 - Phase Durations'!$H$16+$R21*'3 - Phase Durations'!$H$17+$S21*('3 - Phase Durations'!$H$18+'3 - Phase Durations'!$H$19)+$T21*'3 - Phase Durations'!$H$20+$U21*'3 - Phase Durations'!$H$21+$V21*('3 - Phase Durations'!$H$22+'3 - Phase Durations'!$H$23)+$W21*'3 - Phase Durations'!$H$24)/12</f>
        <v>0</v>
      </c>
      <c r="AA21" s="179">
        <f>($Q21*'3 - Phase Durations'!$I$16+$R21*'3 - Phase Durations'!$I$17+$S21*('3 - Phase Durations'!$I$18+'3 - Phase Durations'!$I$19)+$T21*'3 - Phase Durations'!$I$20+$U21*'3 - Phase Durations'!$I$21+$V21*('3 - Phase Durations'!$I$22+'3 - Phase Durations'!$I$23)+$W21*'3 - Phase Durations'!$I$24)/12</f>
        <v>0.24931506849315069</v>
      </c>
      <c r="AB21" s="179">
        <f>($Q21*'3 - Phase Durations'!$J$16+$R21*'3 - Phase Durations'!$J$17+$S21*('3 - Phase Durations'!$J$18+'3 - Phase Durations'!$J$19)+$T21*'3 - Phase Durations'!$J$20+$U21*'3 - Phase Durations'!$J$21+$V21*('3 - Phase Durations'!$J$22+'3 - Phase Durations'!$J$23)+$W21*'3 - Phase Durations'!$J$24)/12</f>
        <v>1</v>
      </c>
      <c r="AC21" s="179">
        <f>($Q21*'3 - Phase Durations'!$K$16+$R21*'3 - Phase Durations'!$K$17+$S21*('3 - Phase Durations'!$K$18+'3 - Phase Durations'!$K$19)+$T21*'3 - Phase Durations'!$K$20+$U21*'3 - Phase Durations'!$K$21+$V21*('3 - Phase Durations'!$K$22+'3 - Phase Durations'!$K$23)+$W21*'3 - Phase Durations'!$K$24)/12</f>
        <v>0.81506849315068497</v>
      </c>
      <c r="AD21" s="179">
        <f>($Q21*'3 - Phase Durations'!$L$16+$R21*'3 - Phase Durations'!$L$17+$S21*('3 - Phase Durations'!$L$18+'3 - Phase Durations'!$L$19)+$T21*'3 - Phase Durations'!$L$20+$U21*'3 - Phase Durations'!$L$21+$V21*('3 - Phase Durations'!$L$22+'3 - Phase Durations'!$L$23)+$W21*'3 - Phase Durations'!$L$24)/12</f>
        <v>0.25</v>
      </c>
      <c r="AE21" s="179">
        <f>($Q21*'3 - Phase Durations'!$M$16+$R21*'3 - Phase Durations'!$M$17+$S21*('3 - Phase Durations'!$M$18+'3 - Phase Durations'!$M$19)+$T21*'3 - Phase Durations'!$M$20+$U21*'3 - Phase Durations'!$M$21+$V21*('3 - Phase Durations'!$M$22+'3 - Phase Durations'!$M$23)+$W21*'3 - Phase Durations'!$M$24)/12</f>
        <v>0.25068493150684934</v>
      </c>
      <c r="AF21" s="179">
        <f>($Q21*'3 - Phase Durations'!$N$16+$R21*'3 - Phase Durations'!$N$17+$S21*('3 - Phase Durations'!$N$18+'3 - Phase Durations'!$N$19)+$T21*'3 - Phase Durations'!$N$20+$U21*'3 - Phase Durations'!$N$21+$V21*('3 - Phase Durations'!$N$22+'3 - Phase Durations'!$N$23)+$W21*'3 - Phase Durations'!$N$24)/12</f>
        <v>0.25</v>
      </c>
      <c r="AG21" s="179">
        <f>($Q21*'3 - Phase Durations'!$O$16+$R21*'3 - Phase Durations'!$O$17+$S21*('3 - Phase Durations'!$O$18+'3 - Phase Durations'!$O$19)+$T21*'3 - Phase Durations'!$O$20+$U21*'3 - Phase Durations'!$O$21+$V21*('3 - Phase Durations'!$O$22+'3 - Phase Durations'!$O$23)+$W21*'3 - Phase Durations'!$O$24)/12</f>
        <v>0.25493150684931509</v>
      </c>
      <c r="AH21" s="179">
        <f>($Q21*'3 - Phase Durations'!$P$16+$R21*'3 - Phase Durations'!$P$17+$S21*('3 - Phase Durations'!$P$18+'3 - Phase Durations'!$P$19)+$T21*'3 - Phase Durations'!$P$20+$U21*'3 - Phase Durations'!$P$21+$V21*('3 - Phase Durations'!$P$22+'3 - Phase Durations'!$P$23)+$W21*'3 - Phase Durations'!$P$24)/12</f>
        <v>0.27</v>
      </c>
      <c r="AI21" s="179">
        <f>($Q21*'3 - Phase Durations'!$Q$16+$R21*'3 - Phase Durations'!$Q$17+$S21*('3 - Phase Durations'!$Q$18+'3 - Phase Durations'!$Q$19)+$T21*'3 - Phase Durations'!$Q$20+$U21*'3 - Phase Durations'!$Q$21+$V21*('3 - Phase Durations'!$Q$22+'3 - Phase Durations'!$Q$23)+$W21*'3 - Phase Durations'!$Q$24)/12</f>
        <v>0.27073972602739732</v>
      </c>
      <c r="AJ21" s="179">
        <f>($Q21*'3 - Phase Durations'!$R$16+$R21*'3 - Phase Durations'!$R$17+$S21*('3 - Phase Durations'!$R$18+'3 - Phase Durations'!$R$19)+$T21*'3 - Phase Durations'!$R$20+$U21*'3 - Phase Durations'!$R$21+$V21*('3 - Phase Durations'!$R$22+'3 - Phase Durations'!$R$23)+$W21*'3 - Phase Durations'!$R$24)/12</f>
        <v>0.27</v>
      </c>
      <c r="AK21" s="179">
        <f>($Q21*'3 - Phase Durations'!$S$16+$R21*'3 - Phase Durations'!$S$17+$S21*('3 - Phase Durations'!$S$18+'3 - Phase Durations'!$S$19)+$T21*'3 - Phase Durations'!$S$20+$U21*'3 - Phase Durations'!$S$21+$V21*('3 - Phase Durations'!$S$22+'3 - Phase Durations'!$S$23)+$W21*'3 - Phase Durations'!$S$24)/12</f>
        <v>0.27</v>
      </c>
      <c r="AL21" s="179">
        <f>($Q21*'3 - Phase Durations'!$T$16+$R21*'3 - Phase Durations'!$T$17+$S21*('3 - Phase Durations'!$T$18+'3 - Phase Durations'!$T$19)+$T21*'3 - Phase Durations'!$T$20+$U21*'3 - Phase Durations'!$T$21+$V21*('3 - Phase Durations'!$T$22+'3 - Phase Durations'!$T$23)+$W21*'3 - Phase Durations'!$T$24)/12</f>
        <v>0.27</v>
      </c>
      <c r="AM21" s="179">
        <f>($Q21*'3 - Phase Durations'!$U$16+$R21*'3 - Phase Durations'!$U$17+$S21*('3 - Phase Durations'!$U$18+'3 - Phase Durations'!$U$19)+$T21*'3 - Phase Durations'!$U$20+$U21*'3 - Phase Durations'!$U$21+$V21*('3 - Phase Durations'!$U$22+'3 - Phase Durations'!$U$23)+$W21*'3 - Phase Durations'!$U$24)/12</f>
        <v>0.27073972602739732</v>
      </c>
      <c r="AN21" s="179">
        <f>($Q21*'3 - Phase Durations'!$V$16+$R21*'3 - Phase Durations'!$V$17+$S21*('3 - Phase Durations'!$V$18+'3 - Phase Durations'!$V$19)+$T21*'3 - Phase Durations'!$V$20+$U21*'3 - Phase Durations'!$V$21+$V21*('3 - Phase Durations'!$V$22+'3 - Phase Durations'!$V$23)+$W21*'3 - Phase Durations'!$V$24)/12</f>
        <v>0.45</v>
      </c>
      <c r="AO21" s="179">
        <f>($Q21*'3 - Phase Durations'!$W$16+$R21*'3 - Phase Durations'!$W$17+$S21*('3 - Phase Durations'!$W$18+'3 - Phase Durations'!$W$19)+$T21*'3 - Phase Durations'!$W$20+$U21*'3 - Phase Durations'!$W$21+$V21*('3 - Phase Durations'!$W$22+'3 - Phase Durations'!$W$23)+$W21*'3 - Phase Durations'!$W$24)/12</f>
        <v>1</v>
      </c>
      <c r="AP21" s="179">
        <f>($Q21*'3 - Phase Durations'!$X$16+$R21*'3 - Phase Durations'!$X$17+$S21*('3 - Phase Durations'!$X$18+'3 - Phase Durations'!$X$19)+$T21*'3 - Phase Durations'!$X$20+$U21*'3 - Phase Durations'!$X$21+$V21*('3 - Phase Durations'!$X$22+'3 - Phase Durations'!$X$23)+$W21*'3 - Phase Durations'!$X$24)/12</f>
        <v>1</v>
      </c>
      <c r="AQ21" s="179">
        <f>($Q21*'3 - Phase Durations'!$Y$16+$R21*'3 - Phase Durations'!$Y$17+$S21*('3 - Phase Durations'!$Y$18+'3 - Phase Durations'!$Y$19)+$T21*'3 - Phase Durations'!$Y$20+$U21*'3 - Phase Durations'!$Y$21+$V21*('3 - Phase Durations'!$Y$22+'3 - Phase Durations'!$Y$23)+$W21*'3 - Phase Durations'!$Y$24)/12</f>
        <v>1.0027397260273974</v>
      </c>
      <c r="AR21" s="179">
        <f>($Q21*'3 - Phase Durations'!$Z$16+$R21*'3 - Phase Durations'!$Z$17+$S21*('3 - Phase Durations'!$Z$18+'3 - Phase Durations'!$Z$19)+$T21*'3 - Phase Durations'!$Z$20+$U21*'3 - Phase Durations'!$Z$21+$V21*('3 - Phase Durations'!$Z$22+'3 - Phase Durations'!$Z$23)+$W21*'3 - Phase Durations'!$Z$24)/12</f>
        <v>1</v>
      </c>
      <c r="AS21" s="179">
        <f>($Q21*'3 - Phase Durations'!$AA$16+$R21*'3 - Phase Durations'!$AA$17+$S21*('3 - Phase Durations'!$AA$18+'3 - Phase Durations'!$AA$19)+$T21*'3 - Phase Durations'!$AA$20+$U21*'3 - Phase Durations'!$AA$21+$V21*('3 - Phase Durations'!$AA$22+'3 - Phase Durations'!$AA$23)+$W21*'3 - Phase Durations'!$AA$24)/12</f>
        <v>1</v>
      </c>
      <c r="AT21" s="179">
        <f>($Q21*'3 - Phase Durations'!$AB$16+$R21*'3 - Phase Durations'!$AB$17+$S21*('3 - Phase Durations'!$AB$18+'3 - Phase Durations'!$AB$19)+$T21*'3 - Phase Durations'!$AB$20+$U21*'3 - Phase Durations'!$AB$21+$V21*('3 - Phase Durations'!$AB$22+'3 - Phase Durations'!$AB$23)+$W21*'3 - Phase Durations'!$AB$24)/12</f>
        <v>1</v>
      </c>
      <c r="AU21" s="179">
        <f>($Q21*'3 - Phase Durations'!$AC$16+$R21*'3 - Phase Durations'!$AC$17+$S21*('3 - Phase Durations'!$AC$18+'3 - Phase Durations'!$AC$19)+$T21*'3 - Phase Durations'!$AC$20+$U21*'3 - Phase Durations'!$AC$21+$V21*('3 - Phase Durations'!$AC$22+'3 - Phase Durations'!$AC$23)+$W21*'3 - Phase Durations'!$AC$24)/12</f>
        <v>1.0027397260273974</v>
      </c>
      <c r="AV21" s="179">
        <f>($Q21*'3 - Phase Durations'!$AD$16+$R21*'3 - Phase Durations'!$AD$17+$S21*('3 - Phase Durations'!$AD$18+'3 - Phase Durations'!$AD$19)+$T21*'3 - Phase Durations'!$AD$20+$U21*'3 - Phase Durations'!$AD$21+$V21*('3 - Phase Durations'!$AD$22+'3 - Phase Durations'!$AD$23)+$W21*'3 - Phase Durations'!$AD$24)/12</f>
        <v>1</v>
      </c>
      <c r="AW21" s="179">
        <f>($Q21*'3 - Phase Durations'!$AE$16+$R21*'3 - Phase Durations'!$AE$17+$S21*('3 - Phase Durations'!$AE$18+'3 - Phase Durations'!$AE$19)+$T21*'3 - Phase Durations'!$AE$20+$U21*'3 - Phase Durations'!$AE$21+$V21*('3 - Phase Durations'!$AE$22+'3 - Phase Durations'!$AE$23)+$W21*'3 - Phase Durations'!$AE$24)/12</f>
        <v>1</v>
      </c>
      <c r="AX21" s="179">
        <f>($Q21*'3 - Phase Durations'!$AF$16+$R21*'3 - Phase Durations'!$AF$17+$S21*('3 - Phase Durations'!$AF$18+'3 - Phase Durations'!$AF$19)+$T21*'3 - Phase Durations'!$AF$20+$U21*'3 - Phase Durations'!$AF$21+$V21*('3 - Phase Durations'!$AF$22+'3 - Phase Durations'!$AF$23)+$W21*'3 - Phase Durations'!$AF$24)/12</f>
        <v>1</v>
      </c>
      <c r="AY21" s="179">
        <f>($Q21*'3 - Phase Durations'!$AG$16+$R21*'3 - Phase Durations'!$AG$17+$S21*('3 - Phase Durations'!$AG$18+'3 - Phase Durations'!$AG$19)+$T21*'3 - Phase Durations'!$AG$20+$U21*'3 - Phase Durations'!$AG$21+$V21*('3 - Phase Durations'!$AG$22+'3 - Phase Durations'!$AG$23)+$W21*'3 - Phase Durations'!$AG$24)/12</f>
        <v>1.0027397260273974</v>
      </c>
      <c r="AZ21" s="179">
        <f>($Q21*'3 - Phase Durations'!$AH$16+$R21*'3 - Phase Durations'!$AH$17+$S21*('3 - Phase Durations'!$AH$18+'3 - Phase Durations'!$AH$19)+$T21*'3 - Phase Durations'!$AH$20+$U21*'3 - Phase Durations'!$AH$21+$V21*('3 - Phase Durations'!$AH$22+'3 - Phase Durations'!$AH$23)+$W21*'3 - Phase Durations'!$AH$24)/12</f>
        <v>1</v>
      </c>
      <c r="BA21" s="179">
        <f>($Q21*'3 - Phase Durations'!$AI$16+$R21*'3 - Phase Durations'!$AI$17+$S21*('3 - Phase Durations'!$AI$18+'3 - Phase Durations'!$AI$19)+$T21*'3 - Phase Durations'!$AI$20+$U21*'3 - Phase Durations'!$AI$21+$V21*('3 - Phase Durations'!$AI$22+'3 - Phase Durations'!$AI$23)+$W21*'3 - Phase Durations'!$AI$24)/12</f>
        <v>1</v>
      </c>
      <c r="BB21" s="179">
        <f>($Q21*'3 - Phase Durations'!$AJ$16+$R21*'3 - Phase Durations'!$AJ$17+$S21*('3 - Phase Durations'!$AJ$18+'3 - Phase Durations'!$AJ$19)+$T21*'3 - Phase Durations'!$AJ$20+$U21*'3 - Phase Durations'!$AJ$21+$V21*('3 - Phase Durations'!$AJ$22+'3 - Phase Durations'!$AJ$23)+$W21*'3 - Phase Durations'!$AJ$24)/12</f>
        <v>1</v>
      </c>
      <c r="BC21" s="179">
        <f>($Q21*'3 - Phase Durations'!$AK$16+$R21*'3 - Phase Durations'!$AK$17+$S21*('3 - Phase Durations'!$AK$18+'3 - Phase Durations'!$AK$19)+$T21*'3 - Phase Durations'!$AK$20+$U21*'3 - Phase Durations'!$AK$21+$V21*('3 - Phase Durations'!$AK$22+'3 - Phase Durations'!$AK$23)+$W21*'3 - Phase Durations'!$AK$24)/12</f>
        <v>1.0027397260273974</v>
      </c>
      <c r="BD21" s="179">
        <f>($Q21*'3 - Phase Durations'!$AL$16+$R21*'3 - Phase Durations'!$AL$17+$S21*('3 - Phase Durations'!$AL$18+'3 - Phase Durations'!$AL$19)+$T21*'3 - Phase Durations'!$AL$20+$U21*'3 - Phase Durations'!$AL$21+$V21*('3 - Phase Durations'!$AL$22+'3 - Phase Durations'!$AL$23)+$W21*'3 - Phase Durations'!$AL$24)/12</f>
        <v>1</v>
      </c>
      <c r="BE21" s="179">
        <f>($Q21*'3 - Phase Durations'!$AM$16+$R21*'3 - Phase Durations'!$AM$17+$S21*('3 - Phase Durations'!$AM$18+'3 - Phase Durations'!$AM$19)+$T21*'3 - Phase Durations'!$AM$20+$U21*'3 - Phase Durations'!$AM$21+$V21*('3 - Phase Durations'!$AM$22+'3 - Phase Durations'!$AM$23)+$W21*'3 - Phase Durations'!$AM$24)/12</f>
        <v>1</v>
      </c>
      <c r="BF21" s="179">
        <f>($Q21*'3 - Phase Durations'!$AN$16+$R21*'3 - Phase Durations'!$AN$17+$S21*('3 - Phase Durations'!$AN$18+'3 - Phase Durations'!$AN$19)+$T21*'3 - Phase Durations'!$AN$20+$U21*'3 - Phase Durations'!$AN$21+$V21*('3 - Phase Durations'!$AN$22+'3 - Phase Durations'!$AN$23)+$W21*'3 - Phase Durations'!$AN$24)/12</f>
        <v>1</v>
      </c>
      <c r="BG21" s="179">
        <f>($Q21*'3 - Phase Durations'!$AO$16+$R21*'3 - Phase Durations'!$AO$17+$S21*('3 - Phase Durations'!$AO$18+'3 - Phase Durations'!$AO$19)+$T21*'3 - Phase Durations'!$AO$20+$U21*'3 - Phase Durations'!$AO$21+$V21*('3 - Phase Durations'!$AO$22+'3 - Phase Durations'!$AO$23)+$W21*'3 - Phase Durations'!$AO$24)/12</f>
        <v>0.24931506849315069</v>
      </c>
      <c r="BH21" s="180">
        <f t="shared" si="0"/>
        <v>23.401753424657532</v>
      </c>
    </row>
    <row r="22" spans="1:60" ht="30" customHeight="1">
      <c r="A22" s="167">
        <v>5</v>
      </c>
      <c r="B22" s="168" t="s">
        <v>1032</v>
      </c>
      <c r="C22" s="168" t="s">
        <v>1033</v>
      </c>
      <c r="D22" s="168" t="s">
        <v>1034</v>
      </c>
      <c r="E22" s="168" t="s">
        <v>520</v>
      </c>
      <c r="F22" s="169" t="s">
        <v>1063</v>
      </c>
      <c r="G22" s="168" t="s">
        <v>1036</v>
      </c>
      <c r="H22" s="168" t="s">
        <v>1037</v>
      </c>
      <c r="I22" s="168" t="s">
        <v>1038</v>
      </c>
      <c r="J22" s="168" t="s">
        <v>1064</v>
      </c>
      <c r="K22" s="167" t="s">
        <v>1065</v>
      </c>
      <c r="L22" s="167" t="s">
        <v>1057</v>
      </c>
      <c r="M22" s="167" t="s">
        <v>1066</v>
      </c>
      <c r="N22" s="167" t="s">
        <v>1043</v>
      </c>
      <c r="O22" s="169" t="s">
        <v>1044</v>
      </c>
      <c r="P22" s="167" t="s">
        <v>1045</v>
      </c>
      <c r="Q22" s="170">
        <v>0</v>
      </c>
      <c r="R22" s="170">
        <v>0.15</v>
      </c>
      <c r="S22" s="170">
        <v>0</v>
      </c>
      <c r="T22" s="170">
        <v>0</v>
      </c>
      <c r="U22" s="170">
        <v>0.7</v>
      </c>
      <c r="V22" s="170">
        <v>0</v>
      </c>
      <c r="W22" s="170">
        <v>0</v>
      </c>
      <c r="X22" s="171">
        <f>IFERROR(VLOOKUP($M22,'Labour Rates lookup'!$A:$B,2,FALSE()),0)</f>
        <v>128000</v>
      </c>
      <c r="Y22" s="172">
        <f>($Q22*'3 - Phase Durations'!$G$16+$R22*'3 - Phase Durations'!$G$17+$S22*('3 - Phase Durations'!$G$18+'3 - Phase Durations'!$G$19)+$T22*'3 - Phase Durations'!$G$20+$U22*'3 - Phase Durations'!$G$21+$V22*('3 - Phase Durations'!$G$22+'3 - Phase Durations'!$G$23)+$W22*'3 - Phase Durations'!$G$24)/12</f>
        <v>0</v>
      </c>
      <c r="Z22" s="172">
        <f>($Q22*'3 - Phase Durations'!$H$16+$R22*'3 - Phase Durations'!$H$17+$S22*('3 - Phase Durations'!$H$18+'3 - Phase Durations'!$H$19)+$T22*'3 - Phase Durations'!$H$20+$U22*'3 - Phase Durations'!$H$21+$V22*('3 - Phase Durations'!$H$22+'3 - Phase Durations'!$H$23)+$W22*'3 - Phase Durations'!$H$24)/12</f>
        <v>0</v>
      </c>
      <c r="AA22" s="172">
        <f>($Q22*'3 - Phase Durations'!$I$16+$R22*'3 - Phase Durations'!$I$17+$S22*('3 - Phase Durations'!$I$18+'3 - Phase Durations'!$I$19)+$T22*'3 - Phase Durations'!$I$20+$U22*'3 - Phase Durations'!$I$21+$V22*('3 - Phase Durations'!$I$22+'3 - Phase Durations'!$I$23)+$W22*'3 - Phase Durations'!$I$24)/12</f>
        <v>3.7397260273972603E-2</v>
      </c>
      <c r="AB22" s="172">
        <f>($Q22*'3 - Phase Durations'!$J$16+$R22*'3 - Phase Durations'!$J$17+$S22*('3 - Phase Durations'!$J$18+'3 - Phase Durations'!$J$19)+$T22*'3 - Phase Durations'!$J$20+$U22*'3 - Phase Durations'!$J$21+$V22*('3 - Phase Durations'!$J$22+'3 - Phase Durations'!$J$23)+$W22*'3 - Phase Durations'!$J$24)/12</f>
        <v>0.15</v>
      </c>
      <c r="AC22" s="172">
        <f>($Q22*'3 - Phase Durations'!$K$16+$R22*'3 - Phase Durations'!$K$17+$S22*('3 - Phase Durations'!$K$18+'3 - Phase Durations'!$K$19)+$T22*'3 - Phase Durations'!$K$20+$U22*'3 - Phase Durations'!$K$21+$V22*('3 - Phase Durations'!$K$22+'3 - Phase Durations'!$K$23)+$W22*'3 - Phase Durations'!$K$24)/12</f>
        <v>0.11301369863013699</v>
      </c>
      <c r="AD22" s="172">
        <f>($Q22*'3 - Phase Durations'!$L$16+$R22*'3 - Phase Durations'!$L$17+$S22*('3 - Phase Durations'!$L$18+'3 - Phase Durations'!$L$19)+$T22*'3 - Phase Durations'!$L$20+$U22*'3 - Phase Durations'!$L$21+$V22*('3 - Phase Durations'!$L$22+'3 - Phase Durations'!$L$23)+$W22*'3 - Phase Durations'!$L$24)/12</f>
        <v>0</v>
      </c>
      <c r="AE22" s="172">
        <f>($Q22*'3 - Phase Durations'!$M$16+$R22*'3 - Phase Durations'!$M$17+$S22*('3 - Phase Durations'!$M$18+'3 - Phase Durations'!$M$19)+$T22*'3 - Phase Durations'!$M$20+$U22*'3 - Phase Durations'!$M$21+$V22*('3 - Phase Durations'!$M$22+'3 - Phase Durations'!$M$23)+$W22*'3 - Phase Durations'!$M$24)/12</f>
        <v>0</v>
      </c>
      <c r="AF22" s="172">
        <f>($Q22*'3 - Phase Durations'!$N$16+$R22*'3 - Phase Durations'!$N$17+$S22*('3 - Phase Durations'!$N$18+'3 - Phase Durations'!$N$19)+$T22*'3 - Phase Durations'!$N$20+$U22*'3 - Phase Durations'!$N$21+$V22*('3 - Phase Durations'!$N$22+'3 - Phase Durations'!$N$23)+$W22*'3 - Phase Durations'!$N$24)/12</f>
        <v>0</v>
      </c>
      <c r="AG22" s="172">
        <f>($Q22*'3 - Phase Durations'!$O$16+$R22*'3 - Phase Durations'!$O$17+$S22*('3 - Phase Durations'!$O$18+'3 - Phase Durations'!$O$19)+$T22*'3 - Phase Durations'!$O$20+$U22*'3 - Phase Durations'!$O$21+$V22*('3 - Phase Durations'!$O$22+'3 - Phase Durations'!$O$23)+$W22*'3 - Phase Durations'!$O$24)/12</f>
        <v>0.17260273972602738</v>
      </c>
      <c r="AH22" s="172">
        <f>($Q22*'3 - Phase Durations'!$P$16+$R22*'3 - Phase Durations'!$P$17+$S22*('3 - Phase Durations'!$P$18+'3 - Phase Durations'!$P$19)+$T22*'3 - Phase Durations'!$P$20+$U22*'3 - Phase Durations'!$P$21+$V22*('3 - Phase Durations'!$P$22+'3 - Phase Durations'!$P$23)+$W22*'3 - Phase Durations'!$P$24)/12</f>
        <v>0.69999999999999984</v>
      </c>
      <c r="AI22" s="172">
        <f>($Q22*'3 - Phase Durations'!$Q$16+$R22*'3 - Phase Durations'!$Q$17+$S22*('3 - Phase Durations'!$Q$18+'3 - Phase Durations'!$Q$19)+$T22*'3 - Phase Durations'!$Q$20+$U22*'3 - Phase Durations'!$Q$21+$V22*('3 - Phase Durations'!$Q$22+'3 - Phase Durations'!$Q$23)+$W22*'3 - Phase Durations'!$Q$24)/12</f>
        <v>0.70191780821917815</v>
      </c>
      <c r="AJ22" s="172">
        <f>($Q22*'3 - Phase Durations'!$R$16+$R22*'3 - Phase Durations'!$R$17+$S22*('3 - Phase Durations'!$R$18+'3 - Phase Durations'!$R$19)+$T22*'3 - Phase Durations'!$R$20+$U22*'3 - Phase Durations'!$R$21+$V22*('3 - Phase Durations'!$R$22+'3 - Phase Durations'!$R$23)+$W22*'3 - Phase Durations'!$R$24)/12</f>
        <v>0.69999999999999984</v>
      </c>
      <c r="AK22" s="172">
        <f>($Q22*'3 - Phase Durations'!$S$16+$R22*'3 - Phase Durations'!$S$17+$S22*('3 - Phase Durations'!$S$18+'3 - Phase Durations'!$S$19)+$T22*'3 - Phase Durations'!$S$20+$U22*'3 - Phase Durations'!$S$21+$V22*('3 - Phase Durations'!$S$22+'3 - Phase Durations'!$S$23)+$W22*'3 - Phase Durations'!$S$24)/12</f>
        <v>0.69999999999999984</v>
      </c>
      <c r="AL22" s="172">
        <f>($Q22*'3 - Phase Durations'!$T$16+$R22*'3 - Phase Durations'!$T$17+$S22*('3 - Phase Durations'!$T$18+'3 - Phase Durations'!$T$19)+$T22*'3 - Phase Durations'!$T$20+$U22*'3 - Phase Durations'!$T$21+$V22*('3 - Phase Durations'!$T$22+'3 - Phase Durations'!$T$23)+$W22*'3 - Phase Durations'!$T$24)/12</f>
        <v>0.69999999999999984</v>
      </c>
      <c r="AM22" s="172">
        <f>($Q22*'3 - Phase Durations'!$U$16+$R22*'3 - Phase Durations'!$U$17+$S22*('3 - Phase Durations'!$U$18+'3 - Phase Durations'!$U$19)+$T22*'3 - Phase Durations'!$U$20+$U22*'3 - Phase Durations'!$U$21+$V22*('3 - Phase Durations'!$U$22+'3 - Phase Durations'!$U$23)+$W22*'3 - Phase Durations'!$U$24)/12</f>
        <v>0.70191780821917815</v>
      </c>
      <c r="AN22" s="172">
        <f>($Q22*'3 - Phase Durations'!$V$16+$R22*'3 - Phase Durations'!$V$17+$S22*('3 - Phase Durations'!$V$18+'3 - Phase Durations'!$V$19)+$T22*'3 - Phase Durations'!$V$20+$U22*'3 - Phase Durations'!$V$21+$V22*('3 - Phase Durations'!$V$22+'3 - Phase Durations'!$V$23)+$W22*'3 - Phase Durations'!$V$24)/12</f>
        <v>0.5273972602739726</v>
      </c>
      <c r="AO22" s="172">
        <f>($Q22*'3 - Phase Durations'!$W$16+$R22*'3 - Phase Durations'!$W$17+$S22*('3 - Phase Durations'!$W$18+'3 - Phase Durations'!$W$19)+$T22*'3 - Phase Durations'!$W$20+$U22*'3 - Phase Durations'!$W$21+$V22*('3 - Phase Durations'!$W$22+'3 - Phase Durations'!$W$23)+$W22*'3 - Phase Durations'!$W$24)/12</f>
        <v>0</v>
      </c>
      <c r="AP22" s="172">
        <f>($Q22*'3 - Phase Durations'!$X$16+$R22*'3 - Phase Durations'!$X$17+$S22*('3 - Phase Durations'!$X$18+'3 - Phase Durations'!$X$19)+$T22*'3 - Phase Durations'!$X$20+$U22*'3 - Phase Durations'!$X$21+$V22*('3 - Phase Durations'!$X$22+'3 - Phase Durations'!$X$23)+$W22*'3 - Phase Durations'!$X$24)/12</f>
        <v>0</v>
      </c>
      <c r="AQ22" s="172">
        <f>($Q22*'3 - Phase Durations'!$Y$16+$R22*'3 - Phase Durations'!$Y$17+$S22*('3 - Phase Durations'!$Y$18+'3 - Phase Durations'!$Y$19)+$T22*'3 - Phase Durations'!$Y$20+$U22*'3 - Phase Durations'!$Y$21+$V22*('3 - Phase Durations'!$Y$22+'3 - Phase Durations'!$Y$23)+$W22*'3 - Phase Durations'!$Y$24)/12</f>
        <v>0</v>
      </c>
      <c r="AR22" s="172">
        <f>($Q22*'3 - Phase Durations'!$Z$16+$R22*'3 - Phase Durations'!$Z$17+$S22*('3 - Phase Durations'!$Z$18+'3 - Phase Durations'!$Z$19)+$T22*'3 - Phase Durations'!$Z$20+$U22*'3 - Phase Durations'!$Z$21+$V22*('3 - Phase Durations'!$Z$22+'3 - Phase Durations'!$Z$23)+$W22*'3 - Phase Durations'!$Z$24)/12</f>
        <v>0</v>
      </c>
      <c r="AS22" s="172">
        <f>($Q22*'3 - Phase Durations'!$AA$16+$R22*'3 - Phase Durations'!$AA$17+$S22*('3 - Phase Durations'!$AA$18+'3 - Phase Durations'!$AA$19)+$T22*'3 - Phase Durations'!$AA$20+$U22*'3 - Phase Durations'!$AA$21+$V22*('3 - Phase Durations'!$AA$22+'3 - Phase Durations'!$AA$23)+$W22*'3 - Phase Durations'!$AA$24)/12</f>
        <v>0</v>
      </c>
      <c r="AT22" s="172">
        <f>($Q22*'3 - Phase Durations'!$AB$16+$R22*'3 - Phase Durations'!$AB$17+$S22*('3 - Phase Durations'!$AB$18+'3 - Phase Durations'!$AB$19)+$T22*'3 - Phase Durations'!$AB$20+$U22*'3 - Phase Durations'!$AB$21+$V22*('3 - Phase Durations'!$AB$22+'3 - Phase Durations'!$AB$23)+$W22*'3 - Phase Durations'!$AB$24)/12</f>
        <v>0</v>
      </c>
      <c r="AU22" s="172">
        <f>($Q22*'3 - Phase Durations'!$AC$16+$R22*'3 - Phase Durations'!$AC$17+$S22*('3 - Phase Durations'!$AC$18+'3 - Phase Durations'!$AC$19)+$T22*'3 - Phase Durations'!$AC$20+$U22*'3 - Phase Durations'!$AC$21+$V22*('3 - Phase Durations'!$AC$22+'3 - Phase Durations'!$AC$23)+$W22*'3 - Phase Durations'!$AC$24)/12</f>
        <v>0</v>
      </c>
      <c r="AV22" s="172">
        <f>($Q22*'3 - Phase Durations'!$AD$16+$R22*'3 - Phase Durations'!$AD$17+$S22*('3 - Phase Durations'!$AD$18+'3 - Phase Durations'!$AD$19)+$T22*'3 - Phase Durations'!$AD$20+$U22*'3 - Phase Durations'!$AD$21+$V22*('3 - Phase Durations'!$AD$22+'3 - Phase Durations'!$AD$23)+$W22*'3 - Phase Durations'!$AD$24)/12</f>
        <v>0</v>
      </c>
      <c r="AW22" s="172">
        <f>($Q22*'3 - Phase Durations'!$AE$16+$R22*'3 - Phase Durations'!$AE$17+$S22*('3 - Phase Durations'!$AE$18+'3 - Phase Durations'!$AE$19)+$T22*'3 - Phase Durations'!$AE$20+$U22*'3 - Phase Durations'!$AE$21+$V22*('3 - Phase Durations'!$AE$22+'3 - Phase Durations'!$AE$23)+$W22*'3 - Phase Durations'!$AE$24)/12</f>
        <v>0</v>
      </c>
      <c r="AX22" s="172">
        <f>($Q22*'3 - Phase Durations'!$AF$16+$R22*'3 - Phase Durations'!$AF$17+$S22*('3 - Phase Durations'!$AF$18+'3 - Phase Durations'!$AF$19)+$T22*'3 - Phase Durations'!$AF$20+$U22*'3 - Phase Durations'!$AF$21+$V22*('3 - Phase Durations'!$AF$22+'3 - Phase Durations'!$AF$23)+$W22*'3 - Phase Durations'!$AF$24)/12</f>
        <v>0</v>
      </c>
      <c r="AY22" s="172">
        <f>($Q22*'3 - Phase Durations'!$AG$16+$R22*'3 - Phase Durations'!$AG$17+$S22*('3 - Phase Durations'!$AG$18+'3 - Phase Durations'!$AG$19)+$T22*'3 - Phase Durations'!$AG$20+$U22*'3 - Phase Durations'!$AG$21+$V22*('3 - Phase Durations'!$AG$22+'3 - Phase Durations'!$AG$23)+$W22*'3 - Phase Durations'!$AG$24)/12</f>
        <v>0</v>
      </c>
      <c r="AZ22" s="172">
        <f>($Q22*'3 - Phase Durations'!$AH$16+$R22*'3 - Phase Durations'!$AH$17+$S22*('3 - Phase Durations'!$AH$18+'3 - Phase Durations'!$AH$19)+$T22*'3 - Phase Durations'!$AH$20+$U22*'3 - Phase Durations'!$AH$21+$V22*('3 - Phase Durations'!$AH$22+'3 - Phase Durations'!$AH$23)+$W22*'3 - Phase Durations'!$AH$24)/12</f>
        <v>0</v>
      </c>
      <c r="BA22" s="172">
        <f>($Q22*'3 - Phase Durations'!$AI$16+$R22*'3 - Phase Durations'!$AI$17+$S22*('3 - Phase Durations'!$AI$18+'3 - Phase Durations'!$AI$19)+$T22*'3 - Phase Durations'!$AI$20+$U22*'3 - Phase Durations'!$AI$21+$V22*('3 - Phase Durations'!$AI$22+'3 - Phase Durations'!$AI$23)+$W22*'3 - Phase Durations'!$AI$24)/12</f>
        <v>0</v>
      </c>
      <c r="BB22" s="172">
        <f>($Q22*'3 - Phase Durations'!$AJ$16+$R22*'3 - Phase Durations'!$AJ$17+$S22*('3 - Phase Durations'!$AJ$18+'3 - Phase Durations'!$AJ$19)+$T22*'3 - Phase Durations'!$AJ$20+$U22*'3 - Phase Durations'!$AJ$21+$V22*('3 - Phase Durations'!$AJ$22+'3 - Phase Durations'!$AJ$23)+$W22*'3 - Phase Durations'!$AJ$24)/12</f>
        <v>0</v>
      </c>
      <c r="BC22" s="172">
        <f>($Q22*'3 - Phase Durations'!$AK$16+$R22*'3 - Phase Durations'!$AK$17+$S22*('3 - Phase Durations'!$AK$18+'3 - Phase Durations'!$AK$19)+$T22*'3 - Phase Durations'!$AK$20+$U22*'3 - Phase Durations'!$AK$21+$V22*('3 - Phase Durations'!$AK$22+'3 - Phase Durations'!$AK$23)+$W22*'3 - Phase Durations'!$AK$24)/12</f>
        <v>0</v>
      </c>
      <c r="BD22" s="172">
        <f>($Q22*'3 - Phase Durations'!$AL$16+$R22*'3 - Phase Durations'!$AL$17+$S22*('3 - Phase Durations'!$AL$18+'3 - Phase Durations'!$AL$19)+$T22*'3 - Phase Durations'!$AL$20+$U22*'3 - Phase Durations'!$AL$21+$V22*('3 - Phase Durations'!$AL$22+'3 - Phase Durations'!$AL$23)+$W22*'3 - Phase Durations'!$AL$24)/12</f>
        <v>0</v>
      </c>
      <c r="BE22" s="172">
        <f>($Q22*'3 - Phase Durations'!$AM$16+$R22*'3 - Phase Durations'!$AM$17+$S22*('3 - Phase Durations'!$AM$18+'3 - Phase Durations'!$AM$19)+$T22*'3 - Phase Durations'!$AM$20+$U22*'3 - Phase Durations'!$AM$21+$V22*('3 - Phase Durations'!$AM$22+'3 - Phase Durations'!$AM$23)+$W22*'3 - Phase Durations'!$AM$24)/12</f>
        <v>0</v>
      </c>
      <c r="BF22" s="172">
        <f>($Q22*'3 - Phase Durations'!$AN$16+$R22*'3 - Phase Durations'!$AN$17+$S22*('3 - Phase Durations'!$AN$18+'3 - Phase Durations'!$AN$19)+$T22*'3 - Phase Durations'!$AN$20+$U22*'3 - Phase Durations'!$AN$21+$V22*('3 - Phase Durations'!$AN$22+'3 - Phase Durations'!$AN$23)+$W22*'3 - Phase Durations'!$AN$24)/12</f>
        <v>0</v>
      </c>
      <c r="BG22" s="172">
        <f>($Q22*'3 - Phase Durations'!$AO$16+$R22*'3 - Phase Durations'!$AO$17+$S22*('3 - Phase Durations'!$AO$18+'3 - Phase Durations'!$AO$19)+$T22*'3 - Phase Durations'!$AO$20+$U22*'3 - Phase Durations'!$AO$21+$V22*('3 - Phase Durations'!$AO$22+'3 - Phase Durations'!$AO$23)+$W22*'3 - Phase Durations'!$AO$24)/12</f>
        <v>0</v>
      </c>
      <c r="BH22" s="173">
        <f t="shared" si="0"/>
        <v>5.2042465753424656</v>
      </c>
    </row>
    <row r="23" spans="1:60" ht="30" customHeight="1">
      <c r="A23" s="174">
        <v>6</v>
      </c>
      <c r="B23" s="175" t="s">
        <v>1032</v>
      </c>
      <c r="C23" s="175" t="s">
        <v>1033</v>
      </c>
      <c r="D23" s="175" t="s">
        <v>1034</v>
      </c>
      <c r="E23" s="175" t="s">
        <v>1067</v>
      </c>
      <c r="F23" s="176" t="s">
        <v>1068</v>
      </c>
      <c r="G23" s="175" t="s">
        <v>1036</v>
      </c>
      <c r="H23" s="175" t="s">
        <v>1037</v>
      </c>
      <c r="I23" s="175" t="s">
        <v>1038</v>
      </c>
      <c r="J23" s="175" t="s">
        <v>1069</v>
      </c>
      <c r="K23" s="174" t="s">
        <v>1070</v>
      </c>
      <c r="L23" s="174" t="s">
        <v>1057</v>
      </c>
      <c r="M23" s="174" t="s">
        <v>1066</v>
      </c>
      <c r="N23" s="174" t="s">
        <v>1043</v>
      </c>
      <c r="O23" s="176" t="s">
        <v>1044</v>
      </c>
      <c r="P23" s="174" t="s">
        <v>1045</v>
      </c>
      <c r="Q23" s="177">
        <v>0</v>
      </c>
      <c r="R23" s="177">
        <v>0.2</v>
      </c>
      <c r="S23" s="177">
        <v>0.1</v>
      </c>
      <c r="T23" s="177">
        <v>0</v>
      </c>
      <c r="U23" s="177">
        <v>0.48</v>
      </c>
      <c r="V23" s="177">
        <v>0.1</v>
      </c>
      <c r="W23" s="177">
        <v>0</v>
      </c>
      <c r="X23" s="178">
        <f>IFERROR(VLOOKUP($M23,'Labour Rates lookup'!$A:$B,2,FALSE()),0)</f>
        <v>128000</v>
      </c>
      <c r="Y23" s="179">
        <f>($Q23*'3 - Phase Durations'!$G$16+$R23*'3 - Phase Durations'!$G$17+$S23*('3 - Phase Durations'!$G$18+'3 - Phase Durations'!$G$19)+$T23*'3 - Phase Durations'!$G$20+$U23*'3 - Phase Durations'!$G$21+$V23*('3 - Phase Durations'!$G$22+'3 - Phase Durations'!$G$23)+$W23*'3 - Phase Durations'!$G$24)/12</f>
        <v>0</v>
      </c>
      <c r="Z23" s="179">
        <f>($Q23*'3 - Phase Durations'!$H$16+$R23*'3 - Phase Durations'!$H$17+$S23*('3 - Phase Durations'!$H$18+'3 - Phase Durations'!$H$19)+$T23*'3 - Phase Durations'!$H$20+$U23*'3 - Phase Durations'!$H$21+$V23*('3 - Phase Durations'!$H$22+'3 - Phase Durations'!$H$23)+$W23*'3 - Phase Durations'!$H$24)/12</f>
        <v>0</v>
      </c>
      <c r="AA23" s="179">
        <f>($Q23*'3 - Phase Durations'!$I$16+$R23*'3 - Phase Durations'!$I$17+$S23*('3 - Phase Durations'!$I$18+'3 - Phase Durations'!$I$19)+$T23*'3 - Phase Durations'!$I$20+$U23*'3 - Phase Durations'!$I$21+$V23*('3 - Phase Durations'!$I$22+'3 - Phase Durations'!$I$23)+$W23*'3 - Phase Durations'!$I$24)/12</f>
        <v>4.9863013698630138E-2</v>
      </c>
      <c r="AB23" s="179">
        <f>($Q23*'3 - Phase Durations'!$J$16+$R23*'3 - Phase Durations'!$J$17+$S23*('3 - Phase Durations'!$J$18+'3 - Phase Durations'!$J$19)+$T23*'3 - Phase Durations'!$J$20+$U23*'3 - Phase Durations'!$J$21+$V23*('3 - Phase Durations'!$J$22+'3 - Phase Durations'!$J$23)+$W23*'3 - Phase Durations'!$J$24)/12</f>
        <v>0.20000000000000004</v>
      </c>
      <c r="AC23" s="179">
        <f>($Q23*'3 - Phase Durations'!$K$16+$R23*'3 - Phase Durations'!$K$17+$S23*('3 - Phase Durations'!$K$18+'3 - Phase Durations'!$K$19)+$T23*'3 - Phase Durations'!$K$20+$U23*'3 - Phase Durations'!$K$21+$V23*('3 - Phase Durations'!$K$22+'3 - Phase Durations'!$K$23)+$W23*'3 - Phase Durations'!$K$24)/12</f>
        <v>0.17534246575342469</v>
      </c>
      <c r="AD23" s="179">
        <f>($Q23*'3 - Phase Durations'!$L$16+$R23*'3 - Phase Durations'!$L$17+$S23*('3 - Phase Durations'!$L$18+'3 - Phase Durations'!$L$19)+$T23*'3 - Phase Durations'!$L$20+$U23*'3 - Phase Durations'!$L$21+$V23*('3 - Phase Durations'!$L$22+'3 - Phase Durations'!$L$23)+$W23*'3 - Phase Durations'!$L$24)/12</f>
        <v>0.10000000000000002</v>
      </c>
      <c r="AE23" s="179">
        <f>($Q23*'3 - Phase Durations'!$M$16+$R23*'3 - Phase Durations'!$M$17+$S23*('3 - Phase Durations'!$M$18+'3 - Phase Durations'!$M$19)+$T23*'3 - Phase Durations'!$M$20+$U23*'3 - Phase Durations'!$M$21+$V23*('3 - Phase Durations'!$M$22+'3 - Phase Durations'!$M$23)+$W23*'3 - Phase Durations'!$M$24)/12</f>
        <v>7.5342465753424667E-2</v>
      </c>
      <c r="AF23" s="179">
        <f>($Q23*'3 - Phase Durations'!$N$16+$R23*'3 - Phase Durations'!$N$17+$S23*('3 - Phase Durations'!$N$18+'3 - Phase Durations'!$N$19)+$T23*'3 - Phase Durations'!$N$20+$U23*'3 - Phase Durations'!$N$21+$V23*('3 - Phase Durations'!$N$22+'3 - Phase Durations'!$N$23)+$W23*'3 - Phase Durations'!$N$24)/12</f>
        <v>0</v>
      </c>
      <c r="AG23" s="179">
        <f>($Q23*'3 - Phase Durations'!$O$16+$R23*'3 - Phase Durations'!$O$17+$S23*('3 - Phase Durations'!$O$18+'3 - Phase Durations'!$O$19)+$T23*'3 - Phase Durations'!$O$20+$U23*'3 - Phase Durations'!$O$21+$V23*('3 - Phase Durations'!$O$22+'3 - Phase Durations'!$O$23)+$W23*'3 - Phase Durations'!$O$24)/12</f>
        <v>0.11835616438356163</v>
      </c>
      <c r="AH23" s="179">
        <f>($Q23*'3 - Phase Durations'!$P$16+$R23*'3 - Phase Durations'!$P$17+$S23*('3 - Phase Durations'!$P$18+'3 - Phase Durations'!$P$19)+$T23*'3 - Phase Durations'!$P$20+$U23*'3 - Phase Durations'!$P$21+$V23*('3 - Phase Durations'!$P$22+'3 - Phase Durations'!$P$23)+$W23*'3 - Phase Durations'!$P$24)/12</f>
        <v>0.48</v>
      </c>
      <c r="AI23" s="179">
        <f>($Q23*'3 - Phase Durations'!$Q$16+$R23*'3 - Phase Durations'!$Q$17+$S23*('3 - Phase Durations'!$Q$18+'3 - Phase Durations'!$Q$19)+$T23*'3 - Phase Durations'!$Q$20+$U23*'3 - Phase Durations'!$Q$21+$V23*('3 - Phase Durations'!$Q$22+'3 - Phase Durations'!$Q$23)+$W23*'3 - Phase Durations'!$Q$24)/12</f>
        <v>0.4813150684931507</v>
      </c>
      <c r="AJ23" s="179">
        <f>($Q23*'3 - Phase Durations'!$R$16+$R23*'3 - Phase Durations'!$R$17+$S23*('3 - Phase Durations'!$R$18+'3 - Phase Durations'!$R$19)+$T23*'3 - Phase Durations'!$R$20+$U23*'3 - Phase Durations'!$R$21+$V23*('3 - Phase Durations'!$R$22+'3 - Phase Durations'!$R$23)+$W23*'3 - Phase Durations'!$R$24)/12</f>
        <v>0.48</v>
      </c>
      <c r="AK23" s="179">
        <f>($Q23*'3 - Phase Durations'!$S$16+$R23*'3 - Phase Durations'!$S$17+$S23*('3 - Phase Durations'!$S$18+'3 - Phase Durations'!$S$19)+$T23*'3 - Phase Durations'!$S$20+$U23*'3 - Phase Durations'!$S$21+$V23*('3 - Phase Durations'!$S$22+'3 - Phase Durations'!$S$23)+$W23*'3 - Phase Durations'!$S$24)/12</f>
        <v>0.48</v>
      </c>
      <c r="AL23" s="179">
        <f>($Q23*'3 - Phase Durations'!$T$16+$R23*'3 - Phase Durations'!$T$17+$S23*('3 - Phase Durations'!$T$18+'3 - Phase Durations'!$T$19)+$T23*'3 - Phase Durations'!$T$20+$U23*'3 - Phase Durations'!$T$21+$V23*('3 - Phase Durations'!$T$22+'3 - Phase Durations'!$T$23)+$W23*'3 - Phase Durations'!$T$24)/12</f>
        <v>0.48</v>
      </c>
      <c r="AM23" s="179">
        <f>($Q23*'3 - Phase Durations'!$U$16+$R23*'3 - Phase Durations'!$U$17+$S23*('3 - Phase Durations'!$U$18+'3 - Phase Durations'!$U$19)+$T23*'3 - Phase Durations'!$U$20+$U23*'3 - Phase Durations'!$U$21+$V23*('3 - Phase Durations'!$U$22+'3 - Phase Durations'!$U$23)+$W23*'3 - Phase Durations'!$U$24)/12</f>
        <v>0.4813150684931507</v>
      </c>
      <c r="AN23" s="179">
        <f>($Q23*'3 - Phase Durations'!$V$16+$R23*'3 - Phase Durations'!$V$17+$S23*('3 - Phase Durations'!$V$18+'3 - Phase Durations'!$V$19)+$T23*'3 - Phase Durations'!$V$20+$U23*'3 - Phase Durations'!$V$21+$V23*('3 - Phase Durations'!$V$22+'3 - Phase Durations'!$V$23)+$W23*'3 - Phase Durations'!$V$24)/12</f>
        <v>0.38630136986301372</v>
      </c>
      <c r="AO23" s="179">
        <f>($Q23*'3 - Phase Durations'!$W$16+$R23*'3 - Phase Durations'!$W$17+$S23*('3 - Phase Durations'!$W$18+'3 - Phase Durations'!$W$19)+$T23*'3 - Phase Durations'!$W$20+$U23*'3 - Phase Durations'!$W$21+$V23*('3 - Phase Durations'!$W$22+'3 - Phase Durations'!$W$23)+$W23*'3 - Phase Durations'!$W$24)/12</f>
        <v>0.10000000000000002</v>
      </c>
      <c r="AP23" s="179">
        <f>($Q23*'3 - Phase Durations'!$X$16+$R23*'3 - Phase Durations'!$X$17+$S23*('3 - Phase Durations'!$X$18+'3 - Phase Durations'!$X$19)+$T23*'3 - Phase Durations'!$X$20+$U23*'3 - Phase Durations'!$X$21+$V23*('3 - Phase Durations'!$X$22+'3 - Phase Durations'!$X$23)+$W23*'3 - Phase Durations'!$X$24)/12</f>
        <v>0.10000000000000002</v>
      </c>
      <c r="AQ23" s="179">
        <f>($Q23*'3 - Phase Durations'!$Y$16+$R23*'3 - Phase Durations'!$Y$17+$S23*('3 - Phase Durations'!$Y$18+'3 - Phase Durations'!$Y$19)+$T23*'3 - Phase Durations'!$Y$20+$U23*'3 - Phase Durations'!$Y$21+$V23*('3 - Phase Durations'!$Y$22+'3 - Phase Durations'!$Y$23)+$W23*'3 - Phase Durations'!$Y$24)/12</f>
        <v>0.10027397260273974</v>
      </c>
      <c r="AR23" s="179">
        <f>($Q23*'3 - Phase Durations'!$Z$16+$R23*'3 - Phase Durations'!$Z$17+$S23*('3 - Phase Durations'!$Z$18+'3 - Phase Durations'!$Z$19)+$T23*'3 - Phase Durations'!$Z$20+$U23*'3 - Phase Durations'!$Z$21+$V23*('3 - Phase Durations'!$Z$22+'3 - Phase Durations'!$Z$23)+$W23*'3 - Phase Durations'!$Z$24)/12</f>
        <v>0.10000000000000002</v>
      </c>
      <c r="AS23" s="179">
        <f>($Q23*'3 - Phase Durations'!$AA$16+$R23*'3 - Phase Durations'!$AA$17+$S23*('3 - Phase Durations'!$AA$18+'3 - Phase Durations'!$AA$19)+$T23*'3 - Phase Durations'!$AA$20+$U23*'3 - Phase Durations'!$AA$21+$V23*('3 - Phase Durations'!$AA$22+'3 - Phase Durations'!$AA$23)+$W23*'3 - Phase Durations'!$AA$24)/12</f>
        <v>0.10000000000000002</v>
      </c>
      <c r="AT23" s="179">
        <f>($Q23*'3 - Phase Durations'!$AB$16+$R23*'3 - Phase Durations'!$AB$17+$S23*('3 - Phase Durations'!$AB$18+'3 - Phase Durations'!$AB$19)+$T23*'3 - Phase Durations'!$AB$20+$U23*'3 - Phase Durations'!$AB$21+$V23*('3 - Phase Durations'!$AB$22+'3 - Phase Durations'!$AB$23)+$W23*'3 - Phase Durations'!$AB$24)/12</f>
        <v>0.10000000000000002</v>
      </c>
      <c r="AU23" s="179">
        <f>($Q23*'3 - Phase Durations'!$AC$16+$R23*'3 - Phase Durations'!$AC$17+$S23*('3 - Phase Durations'!$AC$18+'3 - Phase Durations'!$AC$19)+$T23*'3 - Phase Durations'!$AC$20+$U23*'3 - Phase Durations'!$AC$21+$V23*('3 - Phase Durations'!$AC$22+'3 - Phase Durations'!$AC$23)+$W23*'3 - Phase Durations'!$AC$24)/12</f>
        <v>0.10027397260273974</v>
      </c>
      <c r="AV23" s="179">
        <f>($Q23*'3 - Phase Durations'!$AD$16+$R23*'3 - Phase Durations'!$AD$17+$S23*('3 - Phase Durations'!$AD$18+'3 - Phase Durations'!$AD$19)+$T23*'3 - Phase Durations'!$AD$20+$U23*'3 - Phase Durations'!$AD$21+$V23*('3 - Phase Durations'!$AD$22+'3 - Phase Durations'!$AD$23)+$W23*'3 - Phase Durations'!$AD$24)/12</f>
        <v>0.10000000000000002</v>
      </c>
      <c r="AW23" s="179">
        <f>($Q23*'3 - Phase Durations'!$AE$16+$R23*'3 - Phase Durations'!$AE$17+$S23*('3 - Phase Durations'!$AE$18+'3 - Phase Durations'!$AE$19)+$T23*'3 - Phase Durations'!$AE$20+$U23*'3 - Phase Durations'!$AE$21+$V23*('3 - Phase Durations'!$AE$22+'3 - Phase Durations'!$AE$23)+$W23*'3 - Phase Durations'!$AE$24)/12</f>
        <v>0.10000000000000002</v>
      </c>
      <c r="AX23" s="179">
        <f>($Q23*'3 - Phase Durations'!$AF$16+$R23*'3 - Phase Durations'!$AF$17+$S23*('3 - Phase Durations'!$AF$18+'3 - Phase Durations'!$AF$19)+$T23*'3 - Phase Durations'!$AF$20+$U23*'3 - Phase Durations'!$AF$21+$V23*('3 - Phase Durations'!$AF$22+'3 - Phase Durations'!$AF$23)+$W23*'3 - Phase Durations'!$AF$24)/12</f>
        <v>0.10000000000000002</v>
      </c>
      <c r="AY23" s="179">
        <f>($Q23*'3 - Phase Durations'!$AG$16+$R23*'3 - Phase Durations'!$AG$17+$S23*('3 - Phase Durations'!$AG$18+'3 - Phase Durations'!$AG$19)+$T23*'3 - Phase Durations'!$AG$20+$U23*'3 - Phase Durations'!$AG$21+$V23*('3 - Phase Durations'!$AG$22+'3 - Phase Durations'!$AG$23)+$W23*'3 - Phase Durations'!$AG$24)/12</f>
        <v>0.10027397260273974</v>
      </c>
      <c r="AZ23" s="179">
        <f>($Q23*'3 - Phase Durations'!$AH$16+$R23*'3 - Phase Durations'!$AH$17+$S23*('3 - Phase Durations'!$AH$18+'3 - Phase Durations'!$AH$19)+$T23*'3 - Phase Durations'!$AH$20+$U23*'3 - Phase Durations'!$AH$21+$V23*('3 - Phase Durations'!$AH$22+'3 - Phase Durations'!$AH$23)+$W23*'3 - Phase Durations'!$AH$24)/12</f>
        <v>0.10000000000000002</v>
      </c>
      <c r="BA23" s="179">
        <f>($Q23*'3 - Phase Durations'!$AI$16+$R23*'3 - Phase Durations'!$AI$17+$S23*('3 - Phase Durations'!$AI$18+'3 - Phase Durations'!$AI$19)+$T23*'3 - Phase Durations'!$AI$20+$U23*'3 - Phase Durations'!$AI$21+$V23*('3 - Phase Durations'!$AI$22+'3 - Phase Durations'!$AI$23)+$W23*'3 - Phase Durations'!$AI$24)/12</f>
        <v>0.10000000000000002</v>
      </c>
      <c r="BB23" s="179">
        <f>($Q23*'3 - Phase Durations'!$AJ$16+$R23*'3 - Phase Durations'!$AJ$17+$S23*('3 - Phase Durations'!$AJ$18+'3 - Phase Durations'!$AJ$19)+$T23*'3 - Phase Durations'!$AJ$20+$U23*'3 - Phase Durations'!$AJ$21+$V23*('3 - Phase Durations'!$AJ$22+'3 - Phase Durations'!$AJ$23)+$W23*'3 - Phase Durations'!$AJ$24)/12</f>
        <v>0.10000000000000002</v>
      </c>
      <c r="BC23" s="179">
        <f>($Q23*'3 - Phase Durations'!$AK$16+$R23*'3 - Phase Durations'!$AK$17+$S23*('3 - Phase Durations'!$AK$18+'3 - Phase Durations'!$AK$19)+$T23*'3 - Phase Durations'!$AK$20+$U23*'3 - Phase Durations'!$AK$21+$V23*('3 - Phase Durations'!$AK$22+'3 - Phase Durations'!$AK$23)+$W23*'3 - Phase Durations'!$AK$24)/12</f>
        <v>0.10027397260273974</v>
      </c>
      <c r="BD23" s="179">
        <f>($Q23*'3 - Phase Durations'!$AL$16+$R23*'3 - Phase Durations'!$AL$17+$S23*('3 - Phase Durations'!$AL$18+'3 - Phase Durations'!$AL$19)+$T23*'3 - Phase Durations'!$AL$20+$U23*'3 - Phase Durations'!$AL$21+$V23*('3 - Phase Durations'!$AL$22+'3 - Phase Durations'!$AL$23)+$W23*'3 - Phase Durations'!$AL$24)/12</f>
        <v>0.10000000000000002</v>
      </c>
      <c r="BE23" s="179">
        <f>($Q23*'3 - Phase Durations'!$AM$16+$R23*'3 - Phase Durations'!$AM$17+$S23*('3 - Phase Durations'!$AM$18+'3 - Phase Durations'!$AM$19)+$T23*'3 - Phase Durations'!$AM$20+$U23*'3 - Phase Durations'!$AM$21+$V23*('3 - Phase Durations'!$AM$22+'3 - Phase Durations'!$AM$23)+$W23*'3 - Phase Durations'!$AM$24)/12</f>
        <v>0.10000000000000002</v>
      </c>
      <c r="BF23" s="179">
        <f>($Q23*'3 - Phase Durations'!$AN$16+$R23*'3 - Phase Durations'!$AN$17+$S23*('3 - Phase Durations'!$AN$18+'3 - Phase Durations'!$AN$19)+$T23*'3 - Phase Durations'!$AN$20+$U23*'3 - Phase Durations'!$AN$21+$V23*('3 - Phase Durations'!$AN$22+'3 - Phase Durations'!$AN$23)+$W23*'3 - Phase Durations'!$AN$24)/12</f>
        <v>0.10000000000000002</v>
      </c>
      <c r="BG23" s="179">
        <f>($Q23*'3 - Phase Durations'!$AO$16+$R23*'3 - Phase Durations'!$AO$17+$S23*('3 - Phase Durations'!$AO$18+'3 - Phase Durations'!$AO$19)+$T23*'3 - Phase Durations'!$AO$20+$U23*'3 - Phase Durations'!$AO$21+$V23*('3 - Phase Durations'!$AO$22+'3 - Phase Durations'!$AO$23)+$W23*'3 - Phase Durations'!$AO$24)/12</f>
        <v>2.4931506849315069E-2</v>
      </c>
      <c r="BH23" s="180">
        <f t="shared" si="0"/>
        <v>5.813863013698624</v>
      </c>
    </row>
    <row r="24" spans="1:60" ht="30" customHeight="1">
      <c r="A24" s="167">
        <v>7</v>
      </c>
      <c r="B24" s="168" t="s">
        <v>1032</v>
      </c>
      <c r="C24" s="168" t="s">
        <v>1033</v>
      </c>
      <c r="D24" s="168" t="s">
        <v>1034</v>
      </c>
      <c r="E24" s="168" t="s">
        <v>1071</v>
      </c>
      <c r="F24" s="169" t="s">
        <v>1072</v>
      </c>
      <c r="G24" s="168" t="s">
        <v>1036</v>
      </c>
      <c r="H24" s="168" t="s">
        <v>1037</v>
      </c>
      <c r="I24" s="168" t="s">
        <v>1038</v>
      </c>
      <c r="J24" s="168" t="s">
        <v>1073</v>
      </c>
      <c r="K24" s="167" t="s">
        <v>1074</v>
      </c>
      <c r="L24" s="167" t="s">
        <v>1057</v>
      </c>
      <c r="M24" s="167" t="s">
        <v>1066</v>
      </c>
      <c r="N24" s="167" t="s">
        <v>1043</v>
      </c>
      <c r="O24" s="169" t="s">
        <v>1044</v>
      </c>
      <c r="P24" s="167" t="s">
        <v>1045</v>
      </c>
      <c r="Q24" s="170">
        <v>0</v>
      </c>
      <c r="R24" s="170">
        <v>1</v>
      </c>
      <c r="S24" s="170">
        <v>0.1</v>
      </c>
      <c r="T24" s="170">
        <v>1</v>
      </c>
      <c r="U24" s="170">
        <v>0.45</v>
      </c>
      <c r="V24" s="170">
        <v>1</v>
      </c>
      <c r="W24" s="170">
        <v>0</v>
      </c>
      <c r="X24" s="171">
        <f>IFERROR(VLOOKUP($M24,'Labour Rates lookup'!$A:$B,2,FALSE()),0)</f>
        <v>128000</v>
      </c>
      <c r="Y24" s="172">
        <f>($Q24*'3 - Phase Durations'!$G$16+$R24*'3 - Phase Durations'!$G$17+$S24*('3 - Phase Durations'!$G$18+'3 - Phase Durations'!$G$19)+$T24*'3 - Phase Durations'!$G$20+$U24*'3 - Phase Durations'!$G$21+$V24*('3 - Phase Durations'!$G$22+'3 - Phase Durations'!$G$23)+$W24*'3 - Phase Durations'!$G$24)/12</f>
        <v>0</v>
      </c>
      <c r="Z24" s="172">
        <f>($Q24*'3 - Phase Durations'!$H$16+$R24*'3 - Phase Durations'!$H$17+$S24*('3 - Phase Durations'!$H$18+'3 - Phase Durations'!$H$19)+$T24*'3 - Phase Durations'!$H$20+$U24*'3 - Phase Durations'!$H$21+$V24*('3 - Phase Durations'!$H$22+'3 - Phase Durations'!$H$23)+$W24*'3 - Phase Durations'!$H$24)/12</f>
        <v>0</v>
      </c>
      <c r="AA24" s="172">
        <f>($Q24*'3 - Phase Durations'!$I$16+$R24*'3 - Phase Durations'!$I$17+$S24*('3 - Phase Durations'!$I$18+'3 - Phase Durations'!$I$19)+$T24*'3 - Phase Durations'!$I$20+$U24*'3 - Phase Durations'!$I$21+$V24*('3 - Phase Durations'!$I$22+'3 - Phase Durations'!$I$23)+$W24*'3 - Phase Durations'!$I$24)/12</f>
        <v>0.24931506849315069</v>
      </c>
      <c r="AB24" s="172">
        <f>($Q24*'3 - Phase Durations'!$J$16+$R24*'3 - Phase Durations'!$J$17+$S24*('3 - Phase Durations'!$J$18+'3 - Phase Durations'!$J$19)+$T24*'3 - Phase Durations'!$J$20+$U24*'3 - Phase Durations'!$J$21+$V24*('3 - Phase Durations'!$J$22+'3 - Phase Durations'!$J$23)+$W24*'3 - Phase Durations'!$J$24)/12</f>
        <v>1</v>
      </c>
      <c r="AC24" s="172">
        <f>($Q24*'3 - Phase Durations'!$K$16+$R24*'3 - Phase Durations'!$K$17+$S24*('3 - Phase Durations'!$K$18+'3 - Phase Durations'!$K$19)+$T24*'3 - Phase Durations'!$K$20+$U24*'3 - Phase Durations'!$K$21+$V24*('3 - Phase Durations'!$K$22+'3 - Phase Durations'!$K$23)+$W24*'3 - Phase Durations'!$K$24)/12</f>
        <v>0.77808219178082194</v>
      </c>
      <c r="AD24" s="172">
        <f>($Q24*'3 - Phase Durations'!$L$16+$R24*'3 - Phase Durations'!$L$17+$S24*('3 - Phase Durations'!$L$18+'3 - Phase Durations'!$L$19)+$T24*'3 - Phase Durations'!$L$20+$U24*'3 - Phase Durations'!$L$21+$V24*('3 - Phase Durations'!$L$22+'3 - Phase Durations'!$L$23)+$W24*'3 - Phase Durations'!$L$24)/12</f>
        <v>0.10000000000000002</v>
      </c>
      <c r="AE24" s="172">
        <f>($Q24*'3 - Phase Durations'!$M$16+$R24*'3 - Phase Durations'!$M$17+$S24*('3 - Phase Durations'!$M$18+'3 - Phase Durations'!$M$19)+$T24*'3 - Phase Durations'!$M$20+$U24*'3 - Phase Durations'!$M$21+$V24*('3 - Phase Durations'!$M$22+'3 - Phase Durations'!$M$23)+$W24*'3 - Phase Durations'!$M$24)/12</f>
        <v>0.32465753424657534</v>
      </c>
      <c r="AF24" s="172">
        <f>($Q24*'3 - Phase Durations'!$N$16+$R24*'3 - Phase Durations'!$N$17+$S24*('3 - Phase Durations'!$N$18+'3 - Phase Durations'!$N$19)+$T24*'3 - Phase Durations'!$N$20+$U24*'3 - Phase Durations'!$N$21+$V24*('3 - Phase Durations'!$N$22+'3 - Phase Durations'!$N$23)+$W24*'3 - Phase Durations'!$N$24)/12</f>
        <v>1</v>
      </c>
      <c r="AG24" s="172">
        <f>($Q24*'3 - Phase Durations'!$O$16+$R24*'3 - Phase Durations'!$O$17+$S24*('3 - Phase Durations'!$O$18+'3 - Phase Durations'!$O$19)+$T24*'3 - Phase Durations'!$O$20+$U24*'3 - Phase Durations'!$O$21+$V24*('3 - Phase Durations'!$O$22+'3 - Phase Durations'!$O$23)+$W24*'3 - Phase Durations'!$O$24)/12</f>
        <v>0.86438356164383567</v>
      </c>
      <c r="AH24" s="172">
        <f>($Q24*'3 - Phase Durations'!$P$16+$R24*'3 - Phase Durations'!$P$17+$S24*('3 - Phase Durations'!$P$18+'3 - Phase Durations'!$P$19)+$T24*'3 - Phase Durations'!$P$20+$U24*'3 - Phase Durations'!$P$21+$V24*('3 - Phase Durations'!$P$22+'3 - Phase Durations'!$P$23)+$W24*'3 - Phase Durations'!$P$24)/12</f>
        <v>0.45</v>
      </c>
      <c r="AI24" s="172">
        <f>($Q24*'3 - Phase Durations'!$Q$16+$R24*'3 - Phase Durations'!$Q$17+$S24*('3 - Phase Durations'!$Q$18+'3 - Phase Durations'!$Q$19)+$T24*'3 - Phase Durations'!$Q$20+$U24*'3 - Phase Durations'!$Q$21+$V24*('3 - Phase Durations'!$Q$22+'3 - Phase Durations'!$Q$23)+$W24*'3 - Phase Durations'!$Q$24)/12</f>
        <v>0.45123287671232881</v>
      </c>
      <c r="AJ24" s="172">
        <f>($Q24*'3 - Phase Durations'!$R$16+$R24*'3 - Phase Durations'!$R$17+$S24*('3 - Phase Durations'!$R$18+'3 - Phase Durations'!$R$19)+$T24*'3 - Phase Durations'!$R$20+$U24*'3 - Phase Durations'!$R$21+$V24*('3 - Phase Durations'!$R$22+'3 - Phase Durations'!$R$23)+$W24*'3 - Phase Durations'!$R$24)/12</f>
        <v>0.45</v>
      </c>
      <c r="AK24" s="172">
        <f>($Q24*'3 - Phase Durations'!$S$16+$R24*'3 - Phase Durations'!$S$17+$S24*('3 - Phase Durations'!$S$18+'3 - Phase Durations'!$S$19)+$T24*'3 - Phase Durations'!$S$20+$U24*'3 - Phase Durations'!$S$21+$V24*('3 - Phase Durations'!$S$22+'3 - Phase Durations'!$S$23)+$W24*'3 - Phase Durations'!$S$24)/12</f>
        <v>0.45</v>
      </c>
      <c r="AL24" s="172">
        <f>($Q24*'3 - Phase Durations'!$T$16+$R24*'3 - Phase Durations'!$T$17+$S24*('3 - Phase Durations'!$T$18+'3 - Phase Durations'!$T$19)+$T24*'3 - Phase Durations'!$T$20+$U24*'3 - Phase Durations'!$T$21+$V24*('3 - Phase Durations'!$T$22+'3 - Phase Durations'!$T$23)+$W24*'3 - Phase Durations'!$T$24)/12</f>
        <v>0.45</v>
      </c>
      <c r="AM24" s="172">
        <f>($Q24*'3 - Phase Durations'!$U$16+$R24*'3 - Phase Durations'!$U$17+$S24*('3 - Phase Durations'!$U$18+'3 - Phase Durations'!$U$19)+$T24*'3 - Phase Durations'!$U$20+$U24*'3 - Phase Durations'!$U$21+$V24*('3 - Phase Durations'!$U$22+'3 - Phase Durations'!$U$23)+$W24*'3 - Phase Durations'!$U$24)/12</f>
        <v>0.45123287671232881</v>
      </c>
      <c r="AN24" s="172">
        <f>($Q24*'3 - Phase Durations'!$V$16+$R24*'3 - Phase Durations'!$V$17+$S24*('3 - Phase Durations'!$V$18+'3 - Phase Durations'!$V$19)+$T24*'3 - Phase Durations'!$V$20+$U24*'3 - Phase Durations'!$V$21+$V24*('3 - Phase Durations'!$V$22+'3 - Phase Durations'!$V$23)+$W24*'3 - Phase Durations'!$V$24)/12</f>
        <v>0.5856164383561645</v>
      </c>
      <c r="AO24" s="172">
        <f>($Q24*'3 - Phase Durations'!$W$16+$R24*'3 - Phase Durations'!$W$17+$S24*('3 - Phase Durations'!$W$18+'3 - Phase Durations'!$W$19)+$T24*'3 - Phase Durations'!$W$20+$U24*'3 - Phase Durations'!$W$21+$V24*('3 - Phase Durations'!$W$22+'3 - Phase Durations'!$W$23)+$W24*'3 - Phase Durations'!$W$24)/12</f>
        <v>1</v>
      </c>
      <c r="AP24" s="172">
        <f>($Q24*'3 - Phase Durations'!$X$16+$R24*'3 - Phase Durations'!$X$17+$S24*('3 - Phase Durations'!$X$18+'3 - Phase Durations'!$X$19)+$T24*'3 - Phase Durations'!$X$20+$U24*'3 - Phase Durations'!$X$21+$V24*('3 - Phase Durations'!$X$22+'3 - Phase Durations'!$X$23)+$W24*'3 - Phase Durations'!$X$24)/12</f>
        <v>1</v>
      </c>
      <c r="AQ24" s="172">
        <f>($Q24*'3 - Phase Durations'!$Y$16+$R24*'3 - Phase Durations'!$Y$17+$S24*('3 - Phase Durations'!$Y$18+'3 - Phase Durations'!$Y$19)+$T24*'3 - Phase Durations'!$Y$20+$U24*'3 - Phase Durations'!$Y$21+$V24*('3 - Phase Durations'!$Y$22+'3 - Phase Durations'!$Y$23)+$W24*'3 - Phase Durations'!$Y$24)/12</f>
        <v>1.0027397260273974</v>
      </c>
      <c r="AR24" s="172">
        <f>($Q24*'3 - Phase Durations'!$Z$16+$R24*'3 - Phase Durations'!$Z$17+$S24*('3 - Phase Durations'!$Z$18+'3 - Phase Durations'!$Z$19)+$T24*'3 - Phase Durations'!$Z$20+$U24*'3 - Phase Durations'!$Z$21+$V24*('3 - Phase Durations'!$Z$22+'3 - Phase Durations'!$Z$23)+$W24*'3 - Phase Durations'!$Z$24)/12</f>
        <v>1</v>
      </c>
      <c r="AS24" s="172">
        <f>($Q24*'3 - Phase Durations'!$AA$16+$R24*'3 - Phase Durations'!$AA$17+$S24*('3 - Phase Durations'!$AA$18+'3 - Phase Durations'!$AA$19)+$T24*'3 - Phase Durations'!$AA$20+$U24*'3 - Phase Durations'!$AA$21+$V24*('3 - Phase Durations'!$AA$22+'3 - Phase Durations'!$AA$23)+$W24*'3 - Phase Durations'!$AA$24)/12</f>
        <v>1</v>
      </c>
      <c r="AT24" s="172">
        <f>($Q24*'3 - Phase Durations'!$AB$16+$R24*'3 - Phase Durations'!$AB$17+$S24*('3 - Phase Durations'!$AB$18+'3 - Phase Durations'!$AB$19)+$T24*'3 - Phase Durations'!$AB$20+$U24*'3 - Phase Durations'!$AB$21+$V24*('3 - Phase Durations'!$AB$22+'3 - Phase Durations'!$AB$23)+$W24*'3 - Phase Durations'!$AB$24)/12</f>
        <v>1</v>
      </c>
      <c r="AU24" s="172">
        <f>($Q24*'3 - Phase Durations'!$AC$16+$R24*'3 - Phase Durations'!$AC$17+$S24*('3 - Phase Durations'!$AC$18+'3 - Phase Durations'!$AC$19)+$T24*'3 - Phase Durations'!$AC$20+$U24*'3 - Phase Durations'!$AC$21+$V24*('3 - Phase Durations'!$AC$22+'3 - Phase Durations'!$AC$23)+$W24*'3 - Phase Durations'!$AC$24)/12</f>
        <v>1.0027397260273974</v>
      </c>
      <c r="AV24" s="172">
        <f>($Q24*'3 - Phase Durations'!$AD$16+$R24*'3 - Phase Durations'!$AD$17+$S24*('3 - Phase Durations'!$AD$18+'3 - Phase Durations'!$AD$19)+$T24*'3 - Phase Durations'!$AD$20+$U24*'3 - Phase Durations'!$AD$21+$V24*('3 - Phase Durations'!$AD$22+'3 - Phase Durations'!$AD$23)+$W24*'3 - Phase Durations'!$AD$24)/12</f>
        <v>1</v>
      </c>
      <c r="AW24" s="172">
        <f>($Q24*'3 - Phase Durations'!$AE$16+$R24*'3 - Phase Durations'!$AE$17+$S24*('3 - Phase Durations'!$AE$18+'3 - Phase Durations'!$AE$19)+$T24*'3 - Phase Durations'!$AE$20+$U24*'3 - Phase Durations'!$AE$21+$V24*('3 - Phase Durations'!$AE$22+'3 - Phase Durations'!$AE$23)+$W24*'3 - Phase Durations'!$AE$24)/12</f>
        <v>1</v>
      </c>
      <c r="AX24" s="172">
        <f>($Q24*'3 - Phase Durations'!$AF$16+$R24*'3 - Phase Durations'!$AF$17+$S24*('3 - Phase Durations'!$AF$18+'3 - Phase Durations'!$AF$19)+$T24*'3 - Phase Durations'!$AF$20+$U24*'3 - Phase Durations'!$AF$21+$V24*('3 - Phase Durations'!$AF$22+'3 - Phase Durations'!$AF$23)+$W24*'3 - Phase Durations'!$AF$24)/12</f>
        <v>1</v>
      </c>
      <c r="AY24" s="172">
        <f>($Q24*'3 - Phase Durations'!$AG$16+$R24*'3 - Phase Durations'!$AG$17+$S24*('3 - Phase Durations'!$AG$18+'3 - Phase Durations'!$AG$19)+$T24*'3 - Phase Durations'!$AG$20+$U24*'3 - Phase Durations'!$AG$21+$V24*('3 - Phase Durations'!$AG$22+'3 - Phase Durations'!$AG$23)+$W24*'3 - Phase Durations'!$AG$24)/12</f>
        <v>1.0027397260273974</v>
      </c>
      <c r="AZ24" s="172">
        <f>($Q24*'3 - Phase Durations'!$AH$16+$R24*'3 - Phase Durations'!$AH$17+$S24*('3 - Phase Durations'!$AH$18+'3 - Phase Durations'!$AH$19)+$T24*'3 - Phase Durations'!$AH$20+$U24*'3 - Phase Durations'!$AH$21+$V24*('3 - Phase Durations'!$AH$22+'3 - Phase Durations'!$AH$23)+$W24*'3 - Phase Durations'!$AH$24)/12</f>
        <v>1</v>
      </c>
      <c r="BA24" s="172">
        <f>($Q24*'3 - Phase Durations'!$AI$16+$R24*'3 - Phase Durations'!$AI$17+$S24*('3 - Phase Durations'!$AI$18+'3 - Phase Durations'!$AI$19)+$T24*'3 - Phase Durations'!$AI$20+$U24*'3 - Phase Durations'!$AI$21+$V24*('3 - Phase Durations'!$AI$22+'3 - Phase Durations'!$AI$23)+$W24*'3 - Phase Durations'!$AI$24)/12</f>
        <v>1</v>
      </c>
      <c r="BB24" s="172">
        <f>($Q24*'3 - Phase Durations'!$AJ$16+$R24*'3 - Phase Durations'!$AJ$17+$S24*('3 - Phase Durations'!$AJ$18+'3 - Phase Durations'!$AJ$19)+$T24*'3 - Phase Durations'!$AJ$20+$U24*'3 - Phase Durations'!$AJ$21+$V24*('3 - Phase Durations'!$AJ$22+'3 - Phase Durations'!$AJ$23)+$W24*'3 - Phase Durations'!$AJ$24)/12</f>
        <v>1</v>
      </c>
      <c r="BC24" s="172">
        <f>($Q24*'3 - Phase Durations'!$AK$16+$R24*'3 - Phase Durations'!$AK$17+$S24*('3 - Phase Durations'!$AK$18+'3 - Phase Durations'!$AK$19)+$T24*'3 - Phase Durations'!$AK$20+$U24*'3 - Phase Durations'!$AK$21+$V24*('3 - Phase Durations'!$AK$22+'3 - Phase Durations'!$AK$23)+$W24*'3 - Phase Durations'!$AK$24)/12</f>
        <v>1.0027397260273974</v>
      </c>
      <c r="BD24" s="172">
        <f>($Q24*'3 - Phase Durations'!$AL$16+$R24*'3 - Phase Durations'!$AL$17+$S24*('3 - Phase Durations'!$AL$18+'3 - Phase Durations'!$AL$19)+$T24*'3 - Phase Durations'!$AL$20+$U24*'3 - Phase Durations'!$AL$21+$V24*('3 - Phase Durations'!$AL$22+'3 - Phase Durations'!$AL$23)+$W24*'3 - Phase Durations'!$AL$24)/12</f>
        <v>1</v>
      </c>
      <c r="BE24" s="172">
        <f>($Q24*'3 - Phase Durations'!$AM$16+$R24*'3 - Phase Durations'!$AM$17+$S24*('3 - Phase Durations'!$AM$18+'3 - Phase Durations'!$AM$19)+$T24*'3 - Phase Durations'!$AM$20+$U24*'3 - Phase Durations'!$AM$21+$V24*('3 - Phase Durations'!$AM$22+'3 - Phase Durations'!$AM$23)+$W24*'3 - Phase Durations'!$AM$24)/12</f>
        <v>1</v>
      </c>
      <c r="BF24" s="172">
        <f>($Q24*'3 - Phase Durations'!$AN$16+$R24*'3 - Phase Durations'!$AN$17+$S24*('3 - Phase Durations'!$AN$18+'3 - Phase Durations'!$AN$19)+$T24*'3 - Phase Durations'!$AN$20+$U24*'3 - Phase Durations'!$AN$21+$V24*('3 - Phase Durations'!$AN$22+'3 - Phase Durations'!$AN$23)+$W24*'3 - Phase Durations'!$AN$24)/12</f>
        <v>1</v>
      </c>
      <c r="BG24" s="172">
        <f>($Q24*'3 - Phase Durations'!$AO$16+$R24*'3 - Phase Durations'!$AO$17+$S24*('3 - Phase Durations'!$AO$18+'3 - Phase Durations'!$AO$19)+$T24*'3 - Phase Durations'!$AO$20+$U24*'3 - Phase Durations'!$AO$21+$V24*('3 - Phase Durations'!$AO$22+'3 - Phase Durations'!$AO$23)+$W24*'3 - Phase Durations'!$AO$24)/12</f>
        <v>0.24931506849315069</v>
      </c>
      <c r="BH24" s="173">
        <f t="shared" si="0"/>
        <v>25.864794520547942</v>
      </c>
    </row>
    <row r="25" spans="1:60" ht="30" customHeight="1">
      <c r="A25" s="174">
        <v>8</v>
      </c>
      <c r="B25" s="175" t="s">
        <v>1032</v>
      </c>
      <c r="C25" s="175" t="s">
        <v>1033</v>
      </c>
      <c r="D25" s="175" t="s">
        <v>1075</v>
      </c>
      <c r="E25" s="175" t="s">
        <v>196</v>
      </c>
      <c r="F25" s="176" t="s">
        <v>1076</v>
      </c>
      <c r="G25" s="175" t="s">
        <v>1077</v>
      </c>
      <c r="H25" s="175" t="s">
        <v>1037</v>
      </c>
      <c r="I25" s="175" t="s">
        <v>1078</v>
      </c>
      <c r="J25" s="175" t="s">
        <v>1079</v>
      </c>
      <c r="K25" s="174" t="s">
        <v>1080</v>
      </c>
      <c r="L25" s="174" t="s">
        <v>1057</v>
      </c>
      <c r="M25" s="174" t="s">
        <v>1062</v>
      </c>
      <c r="N25" s="174" t="s">
        <v>1043</v>
      </c>
      <c r="O25" s="176" t="s">
        <v>1044</v>
      </c>
      <c r="P25" s="174" t="s">
        <v>1045</v>
      </c>
      <c r="Q25" s="177">
        <v>0</v>
      </c>
      <c r="R25" s="177">
        <v>0.3</v>
      </c>
      <c r="S25" s="177">
        <v>0</v>
      </c>
      <c r="T25" s="177">
        <v>0.25</v>
      </c>
      <c r="U25" s="177">
        <v>0.37</v>
      </c>
      <c r="V25" s="177">
        <v>0.05</v>
      </c>
      <c r="W25" s="177">
        <v>0</v>
      </c>
      <c r="X25" s="178">
        <f>IFERROR(VLOOKUP($M25,'Labour Rates lookup'!$A:$B,2,FALSE()),0)</f>
        <v>145000</v>
      </c>
      <c r="Y25" s="179">
        <f>($Q25*'3 - Phase Durations'!$G$16+$R25*'3 - Phase Durations'!$G$17+$S25*('3 - Phase Durations'!$G$18+'3 - Phase Durations'!$G$19)+$T25*'3 - Phase Durations'!$G$20+$U25*'3 - Phase Durations'!$G$21+$V25*('3 - Phase Durations'!$G$22+'3 - Phase Durations'!$G$23)+$W25*'3 - Phase Durations'!$G$24)/12</f>
        <v>0</v>
      </c>
      <c r="Z25" s="179">
        <f>($Q25*'3 - Phase Durations'!$H$16+$R25*'3 - Phase Durations'!$H$17+$S25*('3 - Phase Durations'!$H$18+'3 - Phase Durations'!$H$19)+$T25*'3 - Phase Durations'!$H$20+$U25*'3 - Phase Durations'!$H$21+$V25*('3 - Phase Durations'!$H$22+'3 - Phase Durations'!$H$23)+$W25*'3 - Phase Durations'!$H$24)/12</f>
        <v>0</v>
      </c>
      <c r="AA25" s="179">
        <f>($Q25*'3 - Phase Durations'!$I$16+$R25*'3 - Phase Durations'!$I$17+$S25*('3 - Phase Durations'!$I$18+'3 - Phase Durations'!$I$19)+$T25*'3 - Phase Durations'!$I$20+$U25*'3 - Phase Durations'!$I$21+$V25*('3 - Phase Durations'!$I$22+'3 - Phase Durations'!$I$23)+$W25*'3 - Phase Durations'!$I$24)/12</f>
        <v>7.4794520547945206E-2</v>
      </c>
      <c r="AB25" s="179">
        <f>($Q25*'3 - Phase Durations'!$J$16+$R25*'3 - Phase Durations'!$J$17+$S25*('3 - Phase Durations'!$J$18+'3 - Phase Durations'!$J$19)+$T25*'3 - Phase Durations'!$J$20+$U25*'3 - Phase Durations'!$J$21+$V25*('3 - Phase Durations'!$J$22+'3 - Phase Durations'!$J$23)+$W25*'3 - Phase Durations'!$J$24)/12</f>
        <v>0.3</v>
      </c>
      <c r="AC25" s="179">
        <f>($Q25*'3 - Phase Durations'!$K$16+$R25*'3 - Phase Durations'!$K$17+$S25*('3 - Phase Durations'!$K$18+'3 - Phase Durations'!$K$19)+$T25*'3 - Phase Durations'!$K$20+$U25*'3 - Phase Durations'!$K$21+$V25*('3 - Phase Durations'!$K$22+'3 - Phase Durations'!$K$23)+$W25*'3 - Phase Durations'!$K$24)/12</f>
        <v>0.22602739726027399</v>
      </c>
      <c r="AD25" s="179">
        <f>($Q25*'3 - Phase Durations'!$L$16+$R25*'3 - Phase Durations'!$L$17+$S25*('3 - Phase Durations'!$L$18+'3 - Phase Durations'!$L$19)+$T25*'3 - Phase Durations'!$L$20+$U25*'3 - Phase Durations'!$L$21+$V25*('3 - Phase Durations'!$L$22+'3 - Phase Durations'!$L$23)+$W25*'3 - Phase Durations'!$L$24)/12</f>
        <v>0</v>
      </c>
      <c r="AE25" s="179">
        <f>($Q25*'3 - Phase Durations'!$M$16+$R25*'3 - Phase Durations'!$M$17+$S25*('3 - Phase Durations'!$M$18+'3 - Phase Durations'!$M$19)+$T25*'3 - Phase Durations'!$M$20+$U25*'3 - Phase Durations'!$M$21+$V25*('3 - Phase Durations'!$M$22+'3 - Phase Durations'!$M$23)+$W25*'3 - Phase Durations'!$M$24)/12</f>
        <v>6.2328767123287672E-2</v>
      </c>
      <c r="AF25" s="179">
        <f>($Q25*'3 - Phase Durations'!$N$16+$R25*'3 - Phase Durations'!$N$17+$S25*('3 - Phase Durations'!$N$18+'3 - Phase Durations'!$N$19)+$T25*'3 - Phase Durations'!$N$20+$U25*'3 - Phase Durations'!$N$21+$V25*('3 - Phase Durations'!$N$22+'3 - Phase Durations'!$N$23)+$W25*'3 - Phase Durations'!$N$24)/12</f>
        <v>0.25</v>
      </c>
      <c r="AG25" s="179">
        <f>($Q25*'3 - Phase Durations'!$O$16+$R25*'3 - Phase Durations'!$O$17+$S25*('3 - Phase Durations'!$O$18+'3 - Phase Durations'!$O$19)+$T25*'3 - Phase Durations'!$O$20+$U25*'3 - Phase Durations'!$O$21+$V25*('3 - Phase Durations'!$O$22+'3 - Phase Durations'!$O$23)+$W25*'3 - Phase Durations'!$O$24)/12</f>
        <v>0.27958904109589039</v>
      </c>
      <c r="AH25" s="179">
        <f>($Q25*'3 - Phase Durations'!$P$16+$R25*'3 - Phase Durations'!$P$17+$S25*('3 - Phase Durations'!$P$18+'3 - Phase Durations'!$P$19)+$T25*'3 - Phase Durations'!$P$20+$U25*'3 - Phase Durations'!$P$21+$V25*('3 - Phase Durations'!$P$22+'3 - Phase Durations'!$P$23)+$W25*'3 - Phase Durations'!$P$24)/12</f>
        <v>0.36999999999999994</v>
      </c>
      <c r="AI25" s="179">
        <f>($Q25*'3 - Phase Durations'!$Q$16+$R25*'3 - Phase Durations'!$Q$17+$S25*('3 - Phase Durations'!$Q$18+'3 - Phase Durations'!$Q$19)+$T25*'3 - Phase Durations'!$Q$20+$U25*'3 - Phase Durations'!$Q$21+$V25*('3 - Phase Durations'!$Q$22+'3 - Phase Durations'!$Q$23)+$W25*'3 - Phase Durations'!$Q$24)/12</f>
        <v>0.37101369863013706</v>
      </c>
      <c r="AJ25" s="179">
        <f>($Q25*'3 - Phase Durations'!$R$16+$R25*'3 - Phase Durations'!$R$17+$S25*('3 - Phase Durations'!$R$18+'3 - Phase Durations'!$R$19)+$T25*'3 - Phase Durations'!$R$20+$U25*'3 - Phase Durations'!$R$21+$V25*('3 - Phase Durations'!$R$22+'3 - Phase Durations'!$R$23)+$W25*'3 - Phase Durations'!$R$24)/12</f>
        <v>0.36999999999999994</v>
      </c>
      <c r="AK25" s="179">
        <f>($Q25*'3 - Phase Durations'!$S$16+$R25*'3 - Phase Durations'!$S$17+$S25*('3 - Phase Durations'!$S$18+'3 - Phase Durations'!$S$19)+$T25*'3 - Phase Durations'!$S$20+$U25*'3 - Phase Durations'!$S$21+$V25*('3 - Phase Durations'!$S$22+'3 - Phase Durations'!$S$23)+$W25*'3 - Phase Durations'!$S$24)/12</f>
        <v>0.36999999999999994</v>
      </c>
      <c r="AL25" s="179">
        <f>($Q25*'3 - Phase Durations'!$T$16+$R25*'3 - Phase Durations'!$T$17+$S25*('3 - Phase Durations'!$T$18+'3 - Phase Durations'!$T$19)+$T25*'3 - Phase Durations'!$T$20+$U25*'3 - Phase Durations'!$T$21+$V25*('3 - Phase Durations'!$T$22+'3 - Phase Durations'!$T$23)+$W25*'3 - Phase Durations'!$T$24)/12</f>
        <v>0.36999999999999994</v>
      </c>
      <c r="AM25" s="179">
        <f>($Q25*'3 - Phase Durations'!$U$16+$R25*'3 - Phase Durations'!$U$17+$S25*('3 - Phase Durations'!$U$18+'3 - Phase Durations'!$U$19)+$T25*'3 - Phase Durations'!$U$20+$U25*'3 - Phase Durations'!$U$21+$V25*('3 - Phase Durations'!$U$22+'3 - Phase Durations'!$U$23)+$W25*'3 - Phase Durations'!$U$24)/12</f>
        <v>0.37101369863013706</v>
      </c>
      <c r="AN25" s="179">
        <f>($Q25*'3 - Phase Durations'!$V$16+$R25*'3 - Phase Durations'!$V$17+$S25*('3 - Phase Durations'!$V$18+'3 - Phase Durations'!$V$19)+$T25*'3 - Phase Durations'!$V$20+$U25*'3 - Phase Durations'!$V$21+$V25*('3 - Phase Durations'!$V$22+'3 - Phase Durations'!$V$23)+$W25*'3 - Phase Durations'!$V$24)/12</f>
        <v>0.2910958904109589</v>
      </c>
      <c r="AO25" s="179">
        <f>($Q25*'3 - Phase Durations'!$W$16+$R25*'3 - Phase Durations'!$W$17+$S25*('3 - Phase Durations'!$W$18+'3 - Phase Durations'!$W$19)+$T25*'3 - Phase Durations'!$W$20+$U25*'3 - Phase Durations'!$W$21+$V25*('3 - Phase Durations'!$W$22+'3 - Phase Durations'!$W$23)+$W25*'3 - Phase Durations'!$W$24)/12</f>
        <v>5.000000000000001E-2</v>
      </c>
      <c r="AP25" s="179">
        <f>($Q25*'3 - Phase Durations'!$X$16+$R25*'3 - Phase Durations'!$X$17+$S25*('3 - Phase Durations'!$X$18+'3 - Phase Durations'!$X$19)+$T25*'3 - Phase Durations'!$X$20+$U25*'3 - Phase Durations'!$X$21+$V25*('3 - Phase Durations'!$X$22+'3 - Phase Durations'!$X$23)+$W25*'3 - Phase Durations'!$X$24)/12</f>
        <v>5.000000000000001E-2</v>
      </c>
      <c r="AQ25" s="179">
        <f>($Q25*'3 - Phase Durations'!$Y$16+$R25*'3 - Phase Durations'!$Y$17+$S25*('3 - Phase Durations'!$Y$18+'3 - Phase Durations'!$Y$19)+$T25*'3 - Phase Durations'!$Y$20+$U25*'3 - Phase Durations'!$Y$21+$V25*('3 - Phase Durations'!$Y$22+'3 - Phase Durations'!$Y$23)+$W25*'3 - Phase Durations'!$Y$24)/12</f>
        <v>5.0136986301369868E-2</v>
      </c>
      <c r="AR25" s="179">
        <f>($Q25*'3 - Phase Durations'!$Z$16+$R25*'3 - Phase Durations'!$Z$17+$S25*('3 - Phase Durations'!$Z$18+'3 - Phase Durations'!$Z$19)+$T25*'3 - Phase Durations'!$Z$20+$U25*'3 - Phase Durations'!$Z$21+$V25*('3 - Phase Durations'!$Z$22+'3 - Phase Durations'!$Z$23)+$W25*'3 - Phase Durations'!$Z$24)/12</f>
        <v>5.000000000000001E-2</v>
      </c>
      <c r="AS25" s="179">
        <f>($Q25*'3 - Phase Durations'!$AA$16+$R25*'3 - Phase Durations'!$AA$17+$S25*('3 - Phase Durations'!$AA$18+'3 - Phase Durations'!$AA$19)+$T25*'3 - Phase Durations'!$AA$20+$U25*'3 - Phase Durations'!$AA$21+$V25*('3 - Phase Durations'!$AA$22+'3 - Phase Durations'!$AA$23)+$W25*'3 - Phase Durations'!$AA$24)/12</f>
        <v>5.000000000000001E-2</v>
      </c>
      <c r="AT25" s="179">
        <f>($Q25*'3 - Phase Durations'!$AB$16+$R25*'3 - Phase Durations'!$AB$17+$S25*('3 - Phase Durations'!$AB$18+'3 - Phase Durations'!$AB$19)+$T25*'3 - Phase Durations'!$AB$20+$U25*'3 - Phase Durations'!$AB$21+$V25*('3 - Phase Durations'!$AB$22+'3 - Phase Durations'!$AB$23)+$W25*'3 - Phase Durations'!$AB$24)/12</f>
        <v>5.000000000000001E-2</v>
      </c>
      <c r="AU25" s="179">
        <f>($Q25*'3 - Phase Durations'!$AC$16+$R25*'3 - Phase Durations'!$AC$17+$S25*('3 - Phase Durations'!$AC$18+'3 - Phase Durations'!$AC$19)+$T25*'3 - Phase Durations'!$AC$20+$U25*'3 - Phase Durations'!$AC$21+$V25*('3 - Phase Durations'!$AC$22+'3 - Phase Durations'!$AC$23)+$W25*'3 - Phase Durations'!$AC$24)/12</f>
        <v>5.0136986301369868E-2</v>
      </c>
      <c r="AV25" s="179">
        <f>($Q25*'3 - Phase Durations'!$AD$16+$R25*'3 - Phase Durations'!$AD$17+$S25*('3 - Phase Durations'!$AD$18+'3 - Phase Durations'!$AD$19)+$T25*'3 - Phase Durations'!$AD$20+$U25*'3 - Phase Durations'!$AD$21+$V25*('3 - Phase Durations'!$AD$22+'3 - Phase Durations'!$AD$23)+$W25*'3 - Phase Durations'!$AD$24)/12</f>
        <v>5.000000000000001E-2</v>
      </c>
      <c r="AW25" s="179">
        <f>($Q25*'3 - Phase Durations'!$AE$16+$R25*'3 - Phase Durations'!$AE$17+$S25*('3 - Phase Durations'!$AE$18+'3 - Phase Durations'!$AE$19)+$T25*'3 - Phase Durations'!$AE$20+$U25*'3 - Phase Durations'!$AE$21+$V25*('3 - Phase Durations'!$AE$22+'3 - Phase Durations'!$AE$23)+$W25*'3 - Phase Durations'!$AE$24)/12</f>
        <v>5.000000000000001E-2</v>
      </c>
      <c r="AX25" s="179">
        <f>($Q25*'3 - Phase Durations'!$AF$16+$R25*'3 - Phase Durations'!$AF$17+$S25*('3 - Phase Durations'!$AF$18+'3 - Phase Durations'!$AF$19)+$T25*'3 - Phase Durations'!$AF$20+$U25*'3 - Phase Durations'!$AF$21+$V25*('3 - Phase Durations'!$AF$22+'3 - Phase Durations'!$AF$23)+$W25*'3 - Phase Durations'!$AF$24)/12</f>
        <v>5.000000000000001E-2</v>
      </c>
      <c r="AY25" s="179">
        <f>($Q25*'3 - Phase Durations'!$AG$16+$R25*'3 - Phase Durations'!$AG$17+$S25*('3 - Phase Durations'!$AG$18+'3 - Phase Durations'!$AG$19)+$T25*'3 - Phase Durations'!$AG$20+$U25*'3 - Phase Durations'!$AG$21+$V25*('3 - Phase Durations'!$AG$22+'3 - Phase Durations'!$AG$23)+$W25*'3 - Phase Durations'!$AG$24)/12</f>
        <v>5.0136986301369868E-2</v>
      </c>
      <c r="AZ25" s="179">
        <f>($Q25*'3 - Phase Durations'!$AH$16+$R25*'3 - Phase Durations'!$AH$17+$S25*('3 - Phase Durations'!$AH$18+'3 - Phase Durations'!$AH$19)+$T25*'3 - Phase Durations'!$AH$20+$U25*'3 - Phase Durations'!$AH$21+$V25*('3 - Phase Durations'!$AH$22+'3 - Phase Durations'!$AH$23)+$W25*'3 - Phase Durations'!$AH$24)/12</f>
        <v>5.000000000000001E-2</v>
      </c>
      <c r="BA25" s="179">
        <f>($Q25*'3 - Phase Durations'!$AI$16+$R25*'3 - Phase Durations'!$AI$17+$S25*('3 - Phase Durations'!$AI$18+'3 - Phase Durations'!$AI$19)+$T25*'3 - Phase Durations'!$AI$20+$U25*'3 - Phase Durations'!$AI$21+$V25*('3 - Phase Durations'!$AI$22+'3 - Phase Durations'!$AI$23)+$W25*'3 - Phase Durations'!$AI$24)/12</f>
        <v>5.000000000000001E-2</v>
      </c>
      <c r="BB25" s="179">
        <f>($Q25*'3 - Phase Durations'!$AJ$16+$R25*'3 - Phase Durations'!$AJ$17+$S25*('3 - Phase Durations'!$AJ$18+'3 - Phase Durations'!$AJ$19)+$T25*'3 - Phase Durations'!$AJ$20+$U25*'3 - Phase Durations'!$AJ$21+$V25*('3 - Phase Durations'!$AJ$22+'3 - Phase Durations'!$AJ$23)+$W25*'3 - Phase Durations'!$AJ$24)/12</f>
        <v>5.000000000000001E-2</v>
      </c>
      <c r="BC25" s="179">
        <f>($Q25*'3 - Phase Durations'!$AK$16+$R25*'3 - Phase Durations'!$AK$17+$S25*('3 - Phase Durations'!$AK$18+'3 - Phase Durations'!$AK$19)+$T25*'3 - Phase Durations'!$AK$20+$U25*'3 - Phase Durations'!$AK$21+$V25*('3 - Phase Durations'!$AK$22+'3 - Phase Durations'!$AK$23)+$W25*'3 - Phase Durations'!$AK$24)/12</f>
        <v>5.0136986301369868E-2</v>
      </c>
      <c r="BD25" s="179">
        <f>($Q25*'3 - Phase Durations'!$AL$16+$R25*'3 - Phase Durations'!$AL$17+$S25*('3 - Phase Durations'!$AL$18+'3 - Phase Durations'!$AL$19)+$T25*'3 - Phase Durations'!$AL$20+$U25*'3 - Phase Durations'!$AL$21+$V25*('3 - Phase Durations'!$AL$22+'3 - Phase Durations'!$AL$23)+$W25*'3 - Phase Durations'!$AL$24)/12</f>
        <v>5.000000000000001E-2</v>
      </c>
      <c r="BE25" s="179">
        <f>($Q25*'3 - Phase Durations'!$AM$16+$R25*'3 - Phase Durations'!$AM$17+$S25*('3 - Phase Durations'!$AM$18+'3 - Phase Durations'!$AM$19)+$T25*'3 - Phase Durations'!$AM$20+$U25*'3 - Phase Durations'!$AM$21+$V25*('3 - Phase Durations'!$AM$22+'3 - Phase Durations'!$AM$23)+$W25*'3 - Phase Durations'!$AM$24)/12</f>
        <v>5.000000000000001E-2</v>
      </c>
      <c r="BF25" s="179">
        <f>($Q25*'3 - Phase Durations'!$AN$16+$R25*'3 - Phase Durations'!$AN$17+$S25*('3 - Phase Durations'!$AN$18+'3 - Phase Durations'!$AN$19)+$T25*'3 - Phase Durations'!$AN$20+$U25*'3 - Phase Durations'!$AN$21+$V25*('3 - Phase Durations'!$AN$22+'3 - Phase Durations'!$AN$23)+$W25*'3 - Phase Durations'!$AN$24)/12</f>
        <v>5.000000000000001E-2</v>
      </c>
      <c r="BG25" s="179">
        <f>($Q25*'3 - Phase Durations'!$AO$16+$R25*'3 - Phase Durations'!$AO$17+$S25*('3 - Phase Durations'!$AO$18+'3 - Phase Durations'!$AO$19)+$T25*'3 - Phase Durations'!$AO$20+$U25*'3 - Phase Durations'!$AO$21+$V25*('3 - Phase Durations'!$AO$22+'3 - Phase Durations'!$AO$23)+$W25*'3 - Phase Durations'!$AO$24)/12</f>
        <v>1.2465753424657534E-2</v>
      </c>
      <c r="BH25" s="180">
        <f t="shared" si="0"/>
        <v>4.6188767123287642</v>
      </c>
    </row>
    <row r="26" spans="1:60" ht="30" customHeight="1">
      <c r="A26" s="167">
        <v>9</v>
      </c>
      <c r="B26" s="168" t="s">
        <v>1032</v>
      </c>
      <c r="C26" s="168" t="s">
        <v>1033</v>
      </c>
      <c r="D26" s="168" t="s">
        <v>1075</v>
      </c>
      <c r="E26" s="168" t="s">
        <v>196</v>
      </c>
      <c r="F26" s="169" t="s">
        <v>1081</v>
      </c>
      <c r="G26" s="168" t="s">
        <v>1077</v>
      </c>
      <c r="H26" s="168" t="s">
        <v>1037</v>
      </c>
      <c r="I26" s="168" t="s">
        <v>1078</v>
      </c>
      <c r="J26" s="168" t="s">
        <v>1082</v>
      </c>
      <c r="K26" s="167" t="s">
        <v>1083</v>
      </c>
      <c r="L26" s="167" t="s">
        <v>1057</v>
      </c>
      <c r="M26" s="167" t="s">
        <v>1066</v>
      </c>
      <c r="N26" s="167" t="s">
        <v>1043</v>
      </c>
      <c r="O26" s="169" t="s">
        <v>1044</v>
      </c>
      <c r="P26" s="167" t="s">
        <v>1045</v>
      </c>
      <c r="Q26" s="170">
        <v>0</v>
      </c>
      <c r="R26" s="170">
        <v>0.1</v>
      </c>
      <c r="S26" s="170">
        <v>0.05</v>
      </c>
      <c r="T26" s="170">
        <v>1</v>
      </c>
      <c r="U26" s="170">
        <v>0.05</v>
      </c>
      <c r="V26" s="170">
        <v>0.21</v>
      </c>
      <c r="W26" s="170">
        <v>0</v>
      </c>
      <c r="X26" s="171">
        <f>IFERROR(VLOOKUP($M26,'Labour Rates lookup'!$A:$B,2,FALSE()),0)</f>
        <v>128000</v>
      </c>
      <c r="Y26" s="172">
        <f>($Q26*'3 - Phase Durations'!$G$16+$R26*'3 - Phase Durations'!$G$17+$S26*('3 - Phase Durations'!$G$18+'3 - Phase Durations'!$G$19)+$T26*'3 - Phase Durations'!$G$20+$U26*'3 - Phase Durations'!$G$21+$V26*('3 - Phase Durations'!$G$22+'3 - Phase Durations'!$G$23)+$W26*'3 - Phase Durations'!$G$24)/12</f>
        <v>0</v>
      </c>
      <c r="Z26" s="172">
        <f>($Q26*'3 - Phase Durations'!$H$16+$R26*'3 - Phase Durations'!$H$17+$S26*('3 - Phase Durations'!$H$18+'3 - Phase Durations'!$H$19)+$T26*'3 - Phase Durations'!$H$20+$U26*'3 - Phase Durations'!$H$21+$V26*('3 - Phase Durations'!$H$22+'3 - Phase Durations'!$H$23)+$W26*'3 - Phase Durations'!$H$24)/12</f>
        <v>0</v>
      </c>
      <c r="AA26" s="172">
        <f>($Q26*'3 - Phase Durations'!$I$16+$R26*'3 - Phase Durations'!$I$17+$S26*('3 - Phase Durations'!$I$18+'3 - Phase Durations'!$I$19)+$T26*'3 - Phase Durations'!$I$20+$U26*'3 - Phase Durations'!$I$21+$V26*('3 - Phase Durations'!$I$22+'3 - Phase Durations'!$I$23)+$W26*'3 - Phase Durations'!$I$24)/12</f>
        <v>2.4931506849315069E-2</v>
      </c>
      <c r="AB26" s="172">
        <f>($Q26*'3 - Phase Durations'!$J$16+$R26*'3 - Phase Durations'!$J$17+$S26*('3 - Phase Durations'!$J$18+'3 - Phase Durations'!$J$19)+$T26*'3 - Phase Durations'!$J$20+$U26*'3 - Phase Durations'!$J$21+$V26*('3 - Phase Durations'!$J$22+'3 - Phase Durations'!$J$23)+$W26*'3 - Phase Durations'!$J$24)/12</f>
        <v>0.10000000000000002</v>
      </c>
      <c r="AC26" s="172">
        <f>($Q26*'3 - Phase Durations'!$K$16+$R26*'3 - Phase Durations'!$K$17+$S26*('3 - Phase Durations'!$K$18+'3 - Phase Durations'!$K$19)+$T26*'3 - Phase Durations'!$K$20+$U26*'3 - Phase Durations'!$K$21+$V26*('3 - Phase Durations'!$K$22+'3 - Phase Durations'!$K$23)+$W26*'3 - Phase Durations'!$K$24)/12</f>
        <v>8.7671232876712343E-2</v>
      </c>
      <c r="AD26" s="172">
        <f>($Q26*'3 - Phase Durations'!$L$16+$R26*'3 - Phase Durations'!$L$17+$S26*('3 - Phase Durations'!$L$18+'3 - Phase Durations'!$L$19)+$T26*'3 - Phase Durations'!$L$20+$U26*'3 - Phase Durations'!$L$21+$V26*('3 - Phase Durations'!$L$22+'3 - Phase Durations'!$L$23)+$W26*'3 - Phase Durations'!$L$24)/12</f>
        <v>5.000000000000001E-2</v>
      </c>
      <c r="AE26" s="172">
        <f>($Q26*'3 - Phase Durations'!$M$16+$R26*'3 - Phase Durations'!$M$17+$S26*('3 - Phase Durations'!$M$18+'3 - Phase Durations'!$M$19)+$T26*'3 - Phase Durations'!$M$20+$U26*'3 - Phase Durations'!$M$21+$V26*('3 - Phase Durations'!$M$22+'3 - Phase Durations'!$M$23)+$W26*'3 - Phase Durations'!$M$24)/12</f>
        <v>0.28698630136986303</v>
      </c>
      <c r="AF26" s="172">
        <f>($Q26*'3 - Phase Durations'!$N$16+$R26*'3 - Phase Durations'!$N$17+$S26*('3 - Phase Durations'!$N$18+'3 - Phase Durations'!$N$19)+$T26*'3 - Phase Durations'!$N$20+$U26*'3 - Phase Durations'!$N$21+$V26*('3 - Phase Durations'!$N$22+'3 - Phase Durations'!$N$23)+$W26*'3 - Phase Durations'!$N$24)/12</f>
        <v>1</v>
      </c>
      <c r="AG26" s="172">
        <f>($Q26*'3 - Phase Durations'!$O$16+$R26*'3 - Phase Durations'!$O$17+$S26*('3 - Phase Durations'!$O$18+'3 - Phase Durations'!$O$19)+$T26*'3 - Phase Durations'!$O$20+$U26*'3 - Phase Durations'!$O$21+$V26*('3 - Phase Durations'!$O$22+'3 - Phase Durations'!$O$23)+$W26*'3 - Phase Durations'!$O$24)/12</f>
        <v>0.76575342465753427</v>
      </c>
      <c r="AH26" s="172">
        <f>($Q26*'3 - Phase Durations'!$P$16+$R26*'3 - Phase Durations'!$P$17+$S26*('3 - Phase Durations'!$P$18+'3 - Phase Durations'!$P$19)+$T26*'3 - Phase Durations'!$P$20+$U26*'3 - Phase Durations'!$P$21+$V26*('3 - Phase Durations'!$P$22+'3 - Phase Durations'!$P$23)+$W26*'3 - Phase Durations'!$P$24)/12</f>
        <v>5.000000000000001E-2</v>
      </c>
      <c r="AI26" s="172">
        <f>($Q26*'3 - Phase Durations'!$Q$16+$R26*'3 - Phase Durations'!$Q$17+$S26*('3 - Phase Durations'!$Q$18+'3 - Phase Durations'!$Q$19)+$T26*'3 - Phase Durations'!$Q$20+$U26*'3 - Phase Durations'!$Q$21+$V26*('3 - Phase Durations'!$Q$22+'3 - Phase Durations'!$Q$23)+$W26*'3 - Phase Durations'!$Q$24)/12</f>
        <v>5.0136986301369868E-2</v>
      </c>
      <c r="AJ26" s="172">
        <f>($Q26*'3 - Phase Durations'!$R$16+$R26*'3 - Phase Durations'!$R$17+$S26*('3 - Phase Durations'!$R$18+'3 - Phase Durations'!$R$19)+$T26*'3 - Phase Durations'!$R$20+$U26*'3 - Phase Durations'!$R$21+$V26*('3 - Phase Durations'!$R$22+'3 - Phase Durations'!$R$23)+$W26*'3 - Phase Durations'!$R$24)/12</f>
        <v>5.000000000000001E-2</v>
      </c>
      <c r="AK26" s="172">
        <f>($Q26*'3 - Phase Durations'!$S$16+$R26*'3 - Phase Durations'!$S$17+$S26*('3 - Phase Durations'!$S$18+'3 - Phase Durations'!$S$19)+$T26*'3 - Phase Durations'!$S$20+$U26*'3 - Phase Durations'!$S$21+$V26*('3 - Phase Durations'!$S$22+'3 - Phase Durations'!$S$23)+$W26*'3 - Phase Durations'!$S$24)/12</f>
        <v>5.000000000000001E-2</v>
      </c>
      <c r="AL26" s="172">
        <f>($Q26*'3 - Phase Durations'!$T$16+$R26*'3 - Phase Durations'!$T$17+$S26*('3 - Phase Durations'!$T$18+'3 - Phase Durations'!$T$19)+$T26*'3 - Phase Durations'!$T$20+$U26*'3 - Phase Durations'!$T$21+$V26*('3 - Phase Durations'!$T$22+'3 - Phase Durations'!$T$23)+$W26*'3 - Phase Durations'!$T$24)/12</f>
        <v>5.000000000000001E-2</v>
      </c>
      <c r="AM26" s="172">
        <f>($Q26*'3 - Phase Durations'!$U$16+$R26*'3 - Phase Durations'!$U$17+$S26*('3 - Phase Durations'!$U$18+'3 - Phase Durations'!$U$19)+$T26*'3 - Phase Durations'!$U$20+$U26*'3 - Phase Durations'!$U$21+$V26*('3 - Phase Durations'!$U$22+'3 - Phase Durations'!$U$23)+$W26*'3 - Phase Durations'!$U$24)/12</f>
        <v>5.0136986301369868E-2</v>
      </c>
      <c r="AN26" s="172">
        <f>($Q26*'3 - Phase Durations'!$V$16+$R26*'3 - Phase Durations'!$V$17+$S26*('3 - Phase Durations'!$V$18+'3 - Phase Durations'!$V$19)+$T26*'3 - Phase Durations'!$V$20+$U26*'3 - Phase Durations'!$V$21+$V26*('3 - Phase Durations'!$V$22+'3 - Phase Durations'!$V$23)+$W26*'3 - Phase Durations'!$V$24)/12</f>
        <v>8.945205479452055E-2</v>
      </c>
      <c r="AO26" s="172">
        <f>($Q26*'3 - Phase Durations'!$W$16+$R26*'3 - Phase Durations'!$W$17+$S26*('3 - Phase Durations'!$W$18+'3 - Phase Durations'!$W$19)+$T26*'3 - Phase Durations'!$W$20+$U26*'3 - Phase Durations'!$W$21+$V26*('3 - Phase Durations'!$W$22+'3 - Phase Durations'!$W$23)+$W26*'3 - Phase Durations'!$W$24)/12</f>
        <v>0.21</v>
      </c>
      <c r="AP26" s="172">
        <f>($Q26*'3 - Phase Durations'!$X$16+$R26*'3 - Phase Durations'!$X$17+$S26*('3 - Phase Durations'!$X$18+'3 - Phase Durations'!$X$19)+$T26*'3 - Phase Durations'!$X$20+$U26*'3 - Phase Durations'!$X$21+$V26*('3 - Phase Durations'!$X$22+'3 - Phase Durations'!$X$23)+$W26*'3 - Phase Durations'!$X$24)/12</f>
        <v>0.21</v>
      </c>
      <c r="AQ26" s="172">
        <f>($Q26*'3 - Phase Durations'!$Y$16+$R26*'3 - Phase Durations'!$Y$17+$S26*('3 - Phase Durations'!$Y$18+'3 - Phase Durations'!$Y$19)+$T26*'3 - Phase Durations'!$Y$20+$U26*'3 - Phase Durations'!$Y$21+$V26*('3 - Phase Durations'!$Y$22+'3 - Phase Durations'!$Y$23)+$W26*'3 - Phase Durations'!$Y$24)/12</f>
        <v>0.21057534246575346</v>
      </c>
      <c r="AR26" s="172">
        <f>($Q26*'3 - Phase Durations'!$Z$16+$R26*'3 - Phase Durations'!$Z$17+$S26*('3 - Phase Durations'!$Z$18+'3 - Phase Durations'!$Z$19)+$T26*'3 - Phase Durations'!$Z$20+$U26*'3 - Phase Durations'!$Z$21+$V26*('3 - Phase Durations'!$Z$22+'3 - Phase Durations'!$Z$23)+$W26*'3 - Phase Durations'!$Z$24)/12</f>
        <v>0.21</v>
      </c>
      <c r="AS26" s="172">
        <f>($Q26*'3 - Phase Durations'!$AA$16+$R26*'3 - Phase Durations'!$AA$17+$S26*('3 - Phase Durations'!$AA$18+'3 - Phase Durations'!$AA$19)+$T26*'3 - Phase Durations'!$AA$20+$U26*'3 - Phase Durations'!$AA$21+$V26*('3 - Phase Durations'!$AA$22+'3 - Phase Durations'!$AA$23)+$W26*'3 - Phase Durations'!$AA$24)/12</f>
        <v>0.21</v>
      </c>
      <c r="AT26" s="172">
        <f>($Q26*'3 - Phase Durations'!$AB$16+$R26*'3 - Phase Durations'!$AB$17+$S26*('3 - Phase Durations'!$AB$18+'3 - Phase Durations'!$AB$19)+$T26*'3 - Phase Durations'!$AB$20+$U26*'3 - Phase Durations'!$AB$21+$V26*('3 - Phase Durations'!$AB$22+'3 - Phase Durations'!$AB$23)+$W26*'3 - Phase Durations'!$AB$24)/12</f>
        <v>0.21</v>
      </c>
      <c r="AU26" s="172">
        <f>($Q26*'3 - Phase Durations'!$AC$16+$R26*'3 - Phase Durations'!$AC$17+$S26*('3 - Phase Durations'!$AC$18+'3 - Phase Durations'!$AC$19)+$T26*'3 - Phase Durations'!$AC$20+$U26*'3 - Phase Durations'!$AC$21+$V26*('3 - Phase Durations'!$AC$22+'3 - Phase Durations'!$AC$23)+$W26*'3 - Phase Durations'!$AC$24)/12</f>
        <v>0.21057534246575346</v>
      </c>
      <c r="AV26" s="172">
        <f>($Q26*'3 - Phase Durations'!$AD$16+$R26*'3 - Phase Durations'!$AD$17+$S26*('3 - Phase Durations'!$AD$18+'3 - Phase Durations'!$AD$19)+$T26*'3 - Phase Durations'!$AD$20+$U26*'3 - Phase Durations'!$AD$21+$V26*('3 - Phase Durations'!$AD$22+'3 - Phase Durations'!$AD$23)+$W26*'3 - Phase Durations'!$AD$24)/12</f>
        <v>0.21</v>
      </c>
      <c r="AW26" s="172">
        <f>($Q26*'3 - Phase Durations'!$AE$16+$R26*'3 - Phase Durations'!$AE$17+$S26*('3 - Phase Durations'!$AE$18+'3 - Phase Durations'!$AE$19)+$T26*'3 - Phase Durations'!$AE$20+$U26*'3 - Phase Durations'!$AE$21+$V26*('3 - Phase Durations'!$AE$22+'3 - Phase Durations'!$AE$23)+$W26*'3 - Phase Durations'!$AE$24)/12</f>
        <v>0.21</v>
      </c>
      <c r="AX26" s="172">
        <f>($Q26*'3 - Phase Durations'!$AF$16+$R26*'3 - Phase Durations'!$AF$17+$S26*('3 - Phase Durations'!$AF$18+'3 - Phase Durations'!$AF$19)+$T26*'3 - Phase Durations'!$AF$20+$U26*'3 - Phase Durations'!$AF$21+$V26*('3 - Phase Durations'!$AF$22+'3 - Phase Durations'!$AF$23)+$W26*'3 - Phase Durations'!$AF$24)/12</f>
        <v>0.21</v>
      </c>
      <c r="AY26" s="172">
        <f>($Q26*'3 - Phase Durations'!$AG$16+$R26*'3 - Phase Durations'!$AG$17+$S26*('3 - Phase Durations'!$AG$18+'3 - Phase Durations'!$AG$19)+$T26*'3 - Phase Durations'!$AG$20+$U26*'3 - Phase Durations'!$AG$21+$V26*('3 - Phase Durations'!$AG$22+'3 - Phase Durations'!$AG$23)+$W26*'3 - Phase Durations'!$AG$24)/12</f>
        <v>0.21057534246575346</v>
      </c>
      <c r="AZ26" s="172">
        <f>($Q26*'3 - Phase Durations'!$AH$16+$R26*'3 - Phase Durations'!$AH$17+$S26*('3 - Phase Durations'!$AH$18+'3 - Phase Durations'!$AH$19)+$T26*'3 - Phase Durations'!$AH$20+$U26*'3 - Phase Durations'!$AH$21+$V26*('3 - Phase Durations'!$AH$22+'3 - Phase Durations'!$AH$23)+$W26*'3 - Phase Durations'!$AH$24)/12</f>
        <v>0.21</v>
      </c>
      <c r="BA26" s="172">
        <f>($Q26*'3 - Phase Durations'!$AI$16+$R26*'3 - Phase Durations'!$AI$17+$S26*('3 - Phase Durations'!$AI$18+'3 - Phase Durations'!$AI$19)+$T26*'3 - Phase Durations'!$AI$20+$U26*'3 - Phase Durations'!$AI$21+$V26*('3 - Phase Durations'!$AI$22+'3 - Phase Durations'!$AI$23)+$W26*'3 - Phase Durations'!$AI$24)/12</f>
        <v>0.21</v>
      </c>
      <c r="BB26" s="172">
        <f>($Q26*'3 - Phase Durations'!$AJ$16+$R26*'3 - Phase Durations'!$AJ$17+$S26*('3 - Phase Durations'!$AJ$18+'3 - Phase Durations'!$AJ$19)+$T26*'3 - Phase Durations'!$AJ$20+$U26*'3 - Phase Durations'!$AJ$21+$V26*('3 - Phase Durations'!$AJ$22+'3 - Phase Durations'!$AJ$23)+$W26*'3 - Phase Durations'!$AJ$24)/12</f>
        <v>0.21</v>
      </c>
      <c r="BC26" s="172">
        <f>($Q26*'3 - Phase Durations'!$AK$16+$R26*'3 - Phase Durations'!$AK$17+$S26*('3 - Phase Durations'!$AK$18+'3 - Phase Durations'!$AK$19)+$T26*'3 - Phase Durations'!$AK$20+$U26*'3 - Phase Durations'!$AK$21+$V26*('3 - Phase Durations'!$AK$22+'3 - Phase Durations'!$AK$23)+$W26*'3 - Phase Durations'!$AK$24)/12</f>
        <v>0.21057534246575346</v>
      </c>
      <c r="BD26" s="172">
        <f>($Q26*'3 - Phase Durations'!$AL$16+$R26*'3 - Phase Durations'!$AL$17+$S26*('3 - Phase Durations'!$AL$18+'3 - Phase Durations'!$AL$19)+$T26*'3 - Phase Durations'!$AL$20+$U26*'3 - Phase Durations'!$AL$21+$V26*('3 - Phase Durations'!$AL$22+'3 - Phase Durations'!$AL$23)+$W26*'3 - Phase Durations'!$AL$24)/12</f>
        <v>0.21</v>
      </c>
      <c r="BE26" s="172">
        <f>($Q26*'3 - Phase Durations'!$AM$16+$R26*'3 - Phase Durations'!$AM$17+$S26*('3 - Phase Durations'!$AM$18+'3 - Phase Durations'!$AM$19)+$T26*'3 - Phase Durations'!$AM$20+$U26*'3 - Phase Durations'!$AM$21+$V26*('3 - Phase Durations'!$AM$22+'3 - Phase Durations'!$AM$23)+$W26*'3 - Phase Durations'!$AM$24)/12</f>
        <v>0.21</v>
      </c>
      <c r="BF26" s="172">
        <f>($Q26*'3 - Phase Durations'!$AN$16+$R26*'3 - Phase Durations'!$AN$17+$S26*('3 - Phase Durations'!$AN$18+'3 - Phase Durations'!$AN$19)+$T26*'3 - Phase Durations'!$AN$20+$U26*'3 - Phase Durations'!$AN$21+$V26*('3 - Phase Durations'!$AN$22+'3 - Phase Durations'!$AN$23)+$W26*'3 - Phase Durations'!$AN$24)/12</f>
        <v>0.21</v>
      </c>
      <c r="BG26" s="172">
        <f>($Q26*'3 - Phase Durations'!$AO$16+$R26*'3 - Phase Durations'!$AO$17+$S26*('3 - Phase Durations'!$AO$18+'3 - Phase Durations'!$AO$19)+$T26*'3 - Phase Durations'!$AO$20+$U26*'3 - Phase Durations'!$AO$21+$V26*('3 - Phase Durations'!$AO$22+'3 - Phase Durations'!$AO$23)+$W26*'3 - Phase Durations'!$AO$24)/12</f>
        <v>5.2356164383561644E-2</v>
      </c>
      <c r="BH26" s="173">
        <f t="shared" si="0"/>
        <v>6.5397260273972577</v>
      </c>
    </row>
    <row r="27" spans="1:60" ht="30" customHeight="1">
      <c r="A27" s="174">
        <v>10</v>
      </c>
      <c r="B27" s="175" t="s">
        <v>1032</v>
      </c>
      <c r="C27" s="175" t="s">
        <v>1033</v>
      </c>
      <c r="D27" s="175" t="s">
        <v>1084</v>
      </c>
      <c r="E27" s="175" t="s">
        <v>1085</v>
      </c>
      <c r="F27" s="176" t="s">
        <v>1086</v>
      </c>
      <c r="G27" s="175" t="s">
        <v>1077</v>
      </c>
      <c r="H27" s="175" t="s">
        <v>1037</v>
      </c>
      <c r="I27" s="175" t="s">
        <v>1078</v>
      </c>
      <c r="J27" s="175" t="s">
        <v>1087</v>
      </c>
      <c r="K27" s="174" t="s">
        <v>1088</v>
      </c>
      <c r="L27" s="174" t="s">
        <v>1057</v>
      </c>
      <c r="M27" s="174" t="s">
        <v>1066</v>
      </c>
      <c r="N27" s="174" t="s">
        <v>1043</v>
      </c>
      <c r="O27" s="176" t="s">
        <v>1044</v>
      </c>
      <c r="P27" s="174" t="s">
        <v>1045</v>
      </c>
      <c r="Q27" s="177">
        <v>0</v>
      </c>
      <c r="R27" s="177">
        <v>0</v>
      </c>
      <c r="S27" s="177">
        <v>0</v>
      </c>
      <c r="T27" s="177">
        <v>0</v>
      </c>
      <c r="U27" s="177">
        <v>0.02</v>
      </c>
      <c r="V27" s="177">
        <v>0</v>
      </c>
      <c r="W27" s="177">
        <v>0</v>
      </c>
      <c r="X27" s="178">
        <f>IFERROR(VLOOKUP($M27,'Labour Rates lookup'!$A:$B,2,FALSE()),0)</f>
        <v>128000</v>
      </c>
      <c r="Y27" s="179">
        <f>($Q27*'3 - Phase Durations'!$G$16+$R27*'3 - Phase Durations'!$G$17+$S27*('3 - Phase Durations'!$G$18+'3 - Phase Durations'!$G$19)+$T27*'3 - Phase Durations'!$G$20+$U27*'3 - Phase Durations'!$G$21+$V27*('3 - Phase Durations'!$G$22+'3 - Phase Durations'!$G$23)+$W27*'3 - Phase Durations'!$G$24)/12</f>
        <v>0</v>
      </c>
      <c r="Z27" s="179">
        <f>($Q27*'3 - Phase Durations'!$H$16+$R27*'3 - Phase Durations'!$H$17+$S27*('3 - Phase Durations'!$H$18+'3 - Phase Durations'!$H$19)+$T27*'3 - Phase Durations'!$H$20+$U27*'3 - Phase Durations'!$H$21+$V27*('3 - Phase Durations'!$H$22+'3 - Phase Durations'!$H$23)+$W27*'3 - Phase Durations'!$H$24)/12</f>
        <v>0</v>
      </c>
      <c r="AA27" s="179">
        <f>($Q27*'3 - Phase Durations'!$I$16+$R27*'3 - Phase Durations'!$I$17+$S27*('3 - Phase Durations'!$I$18+'3 - Phase Durations'!$I$19)+$T27*'3 - Phase Durations'!$I$20+$U27*'3 - Phase Durations'!$I$21+$V27*('3 - Phase Durations'!$I$22+'3 - Phase Durations'!$I$23)+$W27*'3 - Phase Durations'!$I$24)/12</f>
        <v>0</v>
      </c>
      <c r="AB27" s="179">
        <f>($Q27*'3 - Phase Durations'!$J$16+$R27*'3 - Phase Durations'!$J$17+$S27*('3 - Phase Durations'!$J$18+'3 - Phase Durations'!$J$19)+$T27*'3 - Phase Durations'!$J$20+$U27*'3 - Phase Durations'!$J$21+$V27*('3 - Phase Durations'!$J$22+'3 - Phase Durations'!$J$23)+$W27*'3 - Phase Durations'!$J$24)/12</f>
        <v>0</v>
      </c>
      <c r="AC27" s="179">
        <f>($Q27*'3 - Phase Durations'!$K$16+$R27*'3 - Phase Durations'!$K$17+$S27*('3 - Phase Durations'!$K$18+'3 - Phase Durations'!$K$19)+$T27*'3 - Phase Durations'!$K$20+$U27*'3 - Phase Durations'!$K$21+$V27*('3 - Phase Durations'!$K$22+'3 - Phase Durations'!$K$23)+$W27*'3 - Phase Durations'!$K$24)/12</f>
        <v>0</v>
      </c>
      <c r="AD27" s="179">
        <f>($Q27*'3 - Phase Durations'!$L$16+$R27*'3 - Phase Durations'!$L$17+$S27*('3 - Phase Durations'!$L$18+'3 - Phase Durations'!$L$19)+$T27*'3 - Phase Durations'!$L$20+$U27*'3 - Phase Durations'!$L$21+$V27*('3 - Phase Durations'!$L$22+'3 - Phase Durations'!$L$23)+$W27*'3 - Phase Durations'!$L$24)/12</f>
        <v>0</v>
      </c>
      <c r="AE27" s="179">
        <f>($Q27*'3 - Phase Durations'!$M$16+$R27*'3 - Phase Durations'!$M$17+$S27*('3 - Phase Durations'!$M$18+'3 - Phase Durations'!$M$19)+$T27*'3 - Phase Durations'!$M$20+$U27*'3 - Phase Durations'!$M$21+$V27*('3 - Phase Durations'!$M$22+'3 - Phase Durations'!$M$23)+$W27*'3 - Phase Durations'!$M$24)/12</f>
        <v>0</v>
      </c>
      <c r="AF27" s="179">
        <f>($Q27*'3 - Phase Durations'!$N$16+$R27*'3 - Phase Durations'!$N$17+$S27*('3 - Phase Durations'!$N$18+'3 - Phase Durations'!$N$19)+$T27*'3 - Phase Durations'!$N$20+$U27*'3 - Phase Durations'!$N$21+$V27*('3 - Phase Durations'!$N$22+'3 - Phase Durations'!$N$23)+$W27*'3 - Phase Durations'!$N$24)/12</f>
        <v>0</v>
      </c>
      <c r="AG27" s="179">
        <f>($Q27*'3 - Phase Durations'!$O$16+$R27*'3 - Phase Durations'!$O$17+$S27*('3 - Phase Durations'!$O$18+'3 - Phase Durations'!$O$19)+$T27*'3 - Phase Durations'!$O$20+$U27*'3 - Phase Durations'!$O$21+$V27*('3 - Phase Durations'!$O$22+'3 - Phase Durations'!$O$23)+$W27*'3 - Phase Durations'!$O$24)/12</f>
        <v>4.9315068493150684E-3</v>
      </c>
      <c r="AH27" s="179">
        <f>($Q27*'3 - Phase Durations'!$P$16+$R27*'3 - Phase Durations'!$P$17+$S27*('3 - Phase Durations'!$P$18+'3 - Phase Durations'!$P$19)+$T27*'3 - Phase Durations'!$P$20+$U27*'3 - Phase Durations'!$P$21+$V27*('3 - Phase Durations'!$P$22+'3 - Phase Durations'!$P$23)+$W27*'3 - Phase Durations'!$P$24)/12</f>
        <v>0.02</v>
      </c>
      <c r="AI27" s="179">
        <f>($Q27*'3 - Phase Durations'!$Q$16+$R27*'3 - Phase Durations'!$Q$17+$S27*('3 - Phase Durations'!$Q$18+'3 - Phase Durations'!$Q$19)+$T27*'3 - Phase Durations'!$Q$20+$U27*'3 - Phase Durations'!$Q$21+$V27*('3 - Phase Durations'!$Q$22+'3 - Phase Durations'!$Q$23)+$W27*'3 - Phase Durations'!$Q$24)/12</f>
        <v>2.0054794520547949E-2</v>
      </c>
      <c r="AJ27" s="179">
        <f>($Q27*'3 - Phase Durations'!$R$16+$R27*'3 - Phase Durations'!$R$17+$S27*('3 - Phase Durations'!$R$18+'3 - Phase Durations'!$R$19)+$T27*'3 - Phase Durations'!$R$20+$U27*'3 - Phase Durations'!$R$21+$V27*('3 - Phase Durations'!$R$22+'3 - Phase Durations'!$R$23)+$W27*'3 - Phase Durations'!$R$24)/12</f>
        <v>0.02</v>
      </c>
      <c r="AK27" s="179">
        <f>($Q27*'3 - Phase Durations'!$S$16+$R27*'3 - Phase Durations'!$S$17+$S27*('3 - Phase Durations'!$S$18+'3 - Phase Durations'!$S$19)+$T27*'3 - Phase Durations'!$S$20+$U27*'3 - Phase Durations'!$S$21+$V27*('3 - Phase Durations'!$S$22+'3 - Phase Durations'!$S$23)+$W27*'3 - Phase Durations'!$S$24)/12</f>
        <v>0.02</v>
      </c>
      <c r="AL27" s="179">
        <f>($Q27*'3 - Phase Durations'!$T$16+$R27*'3 - Phase Durations'!$T$17+$S27*('3 - Phase Durations'!$T$18+'3 - Phase Durations'!$T$19)+$T27*'3 - Phase Durations'!$T$20+$U27*'3 - Phase Durations'!$T$21+$V27*('3 - Phase Durations'!$T$22+'3 - Phase Durations'!$T$23)+$W27*'3 - Phase Durations'!$T$24)/12</f>
        <v>0.02</v>
      </c>
      <c r="AM27" s="179">
        <f>($Q27*'3 - Phase Durations'!$U$16+$R27*'3 - Phase Durations'!$U$17+$S27*('3 - Phase Durations'!$U$18+'3 - Phase Durations'!$U$19)+$T27*'3 - Phase Durations'!$U$20+$U27*'3 - Phase Durations'!$U$21+$V27*('3 - Phase Durations'!$U$22+'3 - Phase Durations'!$U$23)+$W27*'3 - Phase Durations'!$U$24)/12</f>
        <v>2.0054794520547949E-2</v>
      </c>
      <c r="AN27" s="179">
        <f>($Q27*'3 - Phase Durations'!$V$16+$R27*'3 - Phase Durations'!$V$17+$S27*('3 - Phase Durations'!$V$18+'3 - Phase Durations'!$V$19)+$T27*'3 - Phase Durations'!$V$20+$U27*'3 - Phase Durations'!$V$21+$V27*('3 - Phase Durations'!$V$22+'3 - Phase Durations'!$V$23)+$W27*'3 - Phase Durations'!$V$24)/12</f>
        <v>1.5068493150684932E-2</v>
      </c>
      <c r="AO27" s="179">
        <f>($Q27*'3 - Phase Durations'!$W$16+$R27*'3 - Phase Durations'!$W$17+$S27*('3 - Phase Durations'!$W$18+'3 - Phase Durations'!$W$19)+$T27*'3 - Phase Durations'!$W$20+$U27*'3 - Phase Durations'!$W$21+$V27*('3 - Phase Durations'!$W$22+'3 - Phase Durations'!$W$23)+$W27*'3 - Phase Durations'!$W$24)/12</f>
        <v>0</v>
      </c>
      <c r="AP27" s="179">
        <f>($Q27*'3 - Phase Durations'!$X$16+$R27*'3 - Phase Durations'!$X$17+$S27*('3 - Phase Durations'!$X$18+'3 - Phase Durations'!$X$19)+$T27*'3 - Phase Durations'!$X$20+$U27*'3 - Phase Durations'!$X$21+$V27*('3 - Phase Durations'!$X$22+'3 - Phase Durations'!$X$23)+$W27*'3 - Phase Durations'!$X$24)/12</f>
        <v>0</v>
      </c>
      <c r="AQ27" s="179">
        <f>($Q27*'3 - Phase Durations'!$Y$16+$R27*'3 - Phase Durations'!$Y$17+$S27*('3 - Phase Durations'!$Y$18+'3 - Phase Durations'!$Y$19)+$T27*'3 - Phase Durations'!$Y$20+$U27*'3 - Phase Durations'!$Y$21+$V27*('3 - Phase Durations'!$Y$22+'3 - Phase Durations'!$Y$23)+$W27*'3 - Phase Durations'!$Y$24)/12</f>
        <v>0</v>
      </c>
      <c r="AR27" s="179">
        <f>($Q27*'3 - Phase Durations'!$Z$16+$R27*'3 - Phase Durations'!$Z$17+$S27*('3 - Phase Durations'!$Z$18+'3 - Phase Durations'!$Z$19)+$T27*'3 - Phase Durations'!$Z$20+$U27*'3 - Phase Durations'!$Z$21+$V27*('3 - Phase Durations'!$Z$22+'3 - Phase Durations'!$Z$23)+$W27*'3 - Phase Durations'!$Z$24)/12</f>
        <v>0</v>
      </c>
      <c r="AS27" s="179">
        <f>($Q27*'3 - Phase Durations'!$AA$16+$R27*'3 - Phase Durations'!$AA$17+$S27*('3 - Phase Durations'!$AA$18+'3 - Phase Durations'!$AA$19)+$T27*'3 - Phase Durations'!$AA$20+$U27*'3 - Phase Durations'!$AA$21+$V27*('3 - Phase Durations'!$AA$22+'3 - Phase Durations'!$AA$23)+$W27*'3 - Phase Durations'!$AA$24)/12</f>
        <v>0</v>
      </c>
      <c r="AT27" s="179">
        <f>($Q27*'3 - Phase Durations'!$AB$16+$R27*'3 - Phase Durations'!$AB$17+$S27*('3 - Phase Durations'!$AB$18+'3 - Phase Durations'!$AB$19)+$T27*'3 - Phase Durations'!$AB$20+$U27*'3 - Phase Durations'!$AB$21+$V27*('3 - Phase Durations'!$AB$22+'3 - Phase Durations'!$AB$23)+$W27*'3 - Phase Durations'!$AB$24)/12</f>
        <v>0</v>
      </c>
      <c r="AU27" s="179">
        <f>($Q27*'3 - Phase Durations'!$AC$16+$R27*'3 - Phase Durations'!$AC$17+$S27*('3 - Phase Durations'!$AC$18+'3 - Phase Durations'!$AC$19)+$T27*'3 - Phase Durations'!$AC$20+$U27*'3 - Phase Durations'!$AC$21+$V27*('3 - Phase Durations'!$AC$22+'3 - Phase Durations'!$AC$23)+$W27*'3 - Phase Durations'!$AC$24)/12</f>
        <v>0</v>
      </c>
      <c r="AV27" s="179">
        <f>($Q27*'3 - Phase Durations'!$AD$16+$R27*'3 - Phase Durations'!$AD$17+$S27*('3 - Phase Durations'!$AD$18+'3 - Phase Durations'!$AD$19)+$T27*'3 - Phase Durations'!$AD$20+$U27*'3 - Phase Durations'!$AD$21+$V27*('3 - Phase Durations'!$AD$22+'3 - Phase Durations'!$AD$23)+$W27*'3 - Phase Durations'!$AD$24)/12</f>
        <v>0</v>
      </c>
      <c r="AW27" s="179">
        <f>($Q27*'3 - Phase Durations'!$AE$16+$R27*'3 - Phase Durations'!$AE$17+$S27*('3 - Phase Durations'!$AE$18+'3 - Phase Durations'!$AE$19)+$T27*'3 - Phase Durations'!$AE$20+$U27*'3 - Phase Durations'!$AE$21+$V27*('3 - Phase Durations'!$AE$22+'3 - Phase Durations'!$AE$23)+$W27*'3 - Phase Durations'!$AE$24)/12</f>
        <v>0</v>
      </c>
      <c r="AX27" s="179">
        <f>($Q27*'3 - Phase Durations'!$AF$16+$R27*'3 - Phase Durations'!$AF$17+$S27*('3 - Phase Durations'!$AF$18+'3 - Phase Durations'!$AF$19)+$T27*'3 - Phase Durations'!$AF$20+$U27*'3 - Phase Durations'!$AF$21+$V27*('3 - Phase Durations'!$AF$22+'3 - Phase Durations'!$AF$23)+$W27*'3 - Phase Durations'!$AF$24)/12</f>
        <v>0</v>
      </c>
      <c r="AY27" s="179">
        <f>($Q27*'3 - Phase Durations'!$AG$16+$R27*'3 - Phase Durations'!$AG$17+$S27*('3 - Phase Durations'!$AG$18+'3 - Phase Durations'!$AG$19)+$T27*'3 - Phase Durations'!$AG$20+$U27*'3 - Phase Durations'!$AG$21+$V27*('3 - Phase Durations'!$AG$22+'3 - Phase Durations'!$AG$23)+$W27*'3 - Phase Durations'!$AG$24)/12</f>
        <v>0</v>
      </c>
      <c r="AZ27" s="179">
        <f>($Q27*'3 - Phase Durations'!$AH$16+$R27*'3 - Phase Durations'!$AH$17+$S27*('3 - Phase Durations'!$AH$18+'3 - Phase Durations'!$AH$19)+$T27*'3 - Phase Durations'!$AH$20+$U27*'3 - Phase Durations'!$AH$21+$V27*('3 - Phase Durations'!$AH$22+'3 - Phase Durations'!$AH$23)+$W27*'3 - Phase Durations'!$AH$24)/12</f>
        <v>0</v>
      </c>
      <c r="BA27" s="179">
        <f>($Q27*'3 - Phase Durations'!$AI$16+$R27*'3 - Phase Durations'!$AI$17+$S27*('3 - Phase Durations'!$AI$18+'3 - Phase Durations'!$AI$19)+$T27*'3 - Phase Durations'!$AI$20+$U27*'3 - Phase Durations'!$AI$21+$V27*('3 - Phase Durations'!$AI$22+'3 - Phase Durations'!$AI$23)+$W27*'3 - Phase Durations'!$AI$24)/12</f>
        <v>0</v>
      </c>
      <c r="BB27" s="179">
        <f>($Q27*'3 - Phase Durations'!$AJ$16+$R27*'3 - Phase Durations'!$AJ$17+$S27*('3 - Phase Durations'!$AJ$18+'3 - Phase Durations'!$AJ$19)+$T27*'3 - Phase Durations'!$AJ$20+$U27*'3 - Phase Durations'!$AJ$21+$V27*('3 - Phase Durations'!$AJ$22+'3 - Phase Durations'!$AJ$23)+$W27*'3 - Phase Durations'!$AJ$24)/12</f>
        <v>0</v>
      </c>
      <c r="BC27" s="179">
        <f>($Q27*'3 - Phase Durations'!$AK$16+$R27*'3 - Phase Durations'!$AK$17+$S27*('3 - Phase Durations'!$AK$18+'3 - Phase Durations'!$AK$19)+$T27*'3 - Phase Durations'!$AK$20+$U27*'3 - Phase Durations'!$AK$21+$V27*('3 - Phase Durations'!$AK$22+'3 - Phase Durations'!$AK$23)+$W27*'3 - Phase Durations'!$AK$24)/12</f>
        <v>0</v>
      </c>
      <c r="BD27" s="179">
        <f>($Q27*'3 - Phase Durations'!$AL$16+$R27*'3 - Phase Durations'!$AL$17+$S27*('3 - Phase Durations'!$AL$18+'3 - Phase Durations'!$AL$19)+$T27*'3 - Phase Durations'!$AL$20+$U27*'3 - Phase Durations'!$AL$21+$V27*('3 - Phase Durations'!$AL$22+'3 - Phase Durations'!$AL$23)+$W27*'3 - Phase Durations'!$AL$24)/12</f>
        <v>0</v>
      </c>
      <c r="BE27" s="179">
        <f>($Q27*'3 - Phase Durations'!$AM$16+$R27*'3 - Phase Durations'!$AM$17+$S27*('3 - Phase Durations'!$AM$18+'3 - Phase Durations'!$AM$19)+$T27*'3 - Phase Durations'!$AM$20+$U27*'3 - Phase Durations'!$AM$21+$V27*('3 - Phase Durations'!$AM$22+'3 - Phase Durations'!$AM$23)+$W27*'3 - Phase Durations'!$AM$24)/12</f>
        <v>0</v>
      </c>
      <c r="BF27" s="179">
        <f>($Q27*'3 - Phase Durations'!$AN$16+$R27*'3 - Phase Durations'!$AN$17+$S27*('3 - Phase Durations'!$AN$18+'3 - Phase Durations'!$AN$19)+$T27*'3 - Phase Durations'!$AN$20+$U27*'3 - Phase Durations'!$AN$21+$V27*('3 - Phase Durations'!$AN$22+'3 - Phase Durations'!$AN$23)+$W27*'3 - Phase Durations'!$AN$24)/12</f>
        <v>0</v>
      </c>
      <c r="BG27" s="179">
        <f>($Q27*'3 - Phase Durations'!$AO$16+$R27*'3 - Phase Durations'!$AO$17+$S27*('3 - Phase Durations'!$AO$18+'3 - Phase Durations'!$AO$19)+$T27*'3 - Phase Durations'!$AO$20+$U27*'3 - Phase Durations'!$AO$21+$V27*('3 - Phase Durations'!$AO$22+'3 - Phase Durations'!$AO$23)+$W27*'3 - Phase Durations'!$AO$24)/12</f>
        <v>0</v>
      </c>
      <c r="BH27" s="180">
        <f t="shared" si="0"/>
        <v>0.14010958904109591</v>
      </c>
    </row>
    <row r="28" spans="1:60" ht="30" customHeight="1">
      <c r="A28" s="167">
        <v>11</v>
      </c>
      <c r="B28" s="168" t="s">
        <v>1032</v>
      </c>
      <c r="C28" s="168" t="s">
        <v>1033</v>
      </c>
      <c r="D28" s="168" t="s">
        <v>1084</v>
      </c>
      <c r="E28" s="168" t="s">
        <v>1089</v>
      </c>
      <c r="F28" s="169" t="s">
        <v>1090</v>
      </c>
      <c r="G28" s="168" t="s">
        <v>1077</v>
      </c>
      <c r="H28" s="168" t="s">
        <v>1037</v>
      </c>
      <c r="I28" s="168" t="s">
        <v>1078</v>
      </c>
      <c r="J28" s="168" t="s">
        <v>1091</v>
      </c>
      <c r="K28" s="167" t="s">
        <v>1092</v>
      </c>
      <c r="L28" s="167" t="s">
        <v>1057</v>
      </c>
      <c r="M28" s="167" t="s">
        <v>1066</v>
      </c>
      <c r="N28" s="167" t="s">
        <v>1043</v>
      </c>
      <c r="O28" s="169" t="s">
        <v>1044</v>
      </c>
      <c r="P28" s="167" t="s">
        <v>1045</v>
      </c>
      <c r="Q28" s="170">
        <v>0</v>
      </c>
      <c r="R28" s="170">
        <v>0</v>
      </c>
      <c r="S28" s="170">
        <v>0</v>
      </c>
      <c r="T28" s="170">
        <v>0.55000000000000004</v>
      </c>
      <c r="U28" s="170">
        <v>7.0000000000000007E-2</v>
      </c>
      <c r="V28" s="170">
        <v>0.55000000000000004</v>
      </c>
      <c r="W28" s="170">
        <v>0</v>
      </c>
      <c r="X28" s="171">
        <f>IFERROR(VLOOKUP($M28,'Labour Rates lookup'!$A:$B,2,FALSE()),0)</f>
        <v>128000</v>
      </c>
      <c r="Y28" s="172">
        <f>($Q28*'3 - Phase Durations'!$G$16+$R28*'3 - Phase Durations'!$G$17+$S28*('3 - Phase Durations'!$G$18+'3 - Phase Durations'!$G$19)+$T28*'3 - Phase Durations'!$G$20+$U28*'3 - Phase Durations'!$G$21+$V28*('3 - Phase Durations'!$G$22+'3 - Phase Durations'!$G$23)+$W28*'3 - Phase Durations'!$G$24)/12</f>
        <v>0</v>
      </c>
      <c r="Z28" s="172">
        <f>($Q28*'3 - Phase Durations'!$H$16+$R28*'3 - Phase Durations'!$H$17+$S28*('3 - Phase Durations'!$H$18+'3 - Phase Durations'!$H$19)+$T28*'3 - Phase Durations'!$H$20+$U28*'3 - Phase Durations'!$H$21+$V28*('3 - Phase Durations'!$H$22+'3 - Phase Durations'!$H$23)+$W28*'3 - Phase Durations'!$H$24)/12</f>
        <v>0</v>
      </c>
      <c r="AA28" s="172">
        <f>($Q28*'3 - Phase Durations'!$I$16+$R28*'3 - Phase Durations'!$I$17+$S28*('3 - Phase Durations'!$I$18+'3 - Phase Durations'!$I$19)+$T28*'3 - Phase Durations'!$I$20+$U28*'3 - Phase Durations'!$I$21+$V28*('3 - Phase Durations'!$I$22+'3 - Phase Durations'!$I$23)+$W28*'3 - Phase Durations'!$I$24)/12</f>
        <v>0</v>
      </c>
      <c r="AB28" s="172">
        <f>($Q28*'3 - Phase Durations'!$J$16+$R28*'3 - Phase Durations'!$J$17+$S28*('3 - Phase Durations'!$J$18+'3 - Phase Durations'!$J$19)+$T28*'3 - Phase Durations'!$J$20+$U28*'3 - Phase Durations'!$J$21+$V28*('3 - Phase Durations'!$J$22+'3 - Phase Durations'!$J$23)+$W28*'3 - Phase Durations'!$J$24)/12</f>
        <v>0</v>
      </c>
      <c r="AC28" s="172">
        <f>($Q28*'3 - Phase Durations'!$K$16+$R28*'3 - Phase Durations'!$K$17+$S28*('3 - Phase Durations'!$K$18+'3 - Phase Durations'!$K$19)+$T28*'3 - Phase Durations'!$K$20+$U28*'3 - Phase Durations'!$K$21+$V28*('3 - Phase Durations'!$K$22+'3 - Phase Durations'!$K$23)+$W28*'3 - Phase Durations'!$K$24)/12</f>
        <v>0</v>
      </c>
      <c r="AD28" s="172">
        <f>($Q28*'3 - Phase Durations'!$L$16+$R28*'3 - Phase Durations'!$L$17+$S28*('3 - Phase Durations'!$L$18+'3 - Phase Durations'!$L$19)+$T28*'3 - Phase Durations'!$L$20+$U28*'3 - Phase Durations'!$L$21+$V28*('3 - Phase Durations'!$L$22+'3 - Phase Durations'!$L$23)+$W28*'3 - Phase Durations'!$L$24)/12</f>
        <v>0</v>
      </c>
      <c r="AE28" s="172">
        <f>($Q28*'3 - Phase Durations'!$M$16+$R28*'3 - Phase Durations'!$M$17+$S28*('3 - Phase Durations'!$M$18+'3 - Phase Durations'!$M$19)+$T28*'3 - Phase Durations'!$M$20+$U28*'3 - Phase Durations'!$M$21+$V28*('3 - Phase Durations'!$M$22+'3 - Phase Durations'!$M$23)+$W28*'3 - Phase Durations'!$M$24)/12</f>
        <v>0.13712328767123289</v>
      </c>
      <c r="AF28" s="172">
        <f>($Q28*'3 - Phase Durations'!$N$16+$R28*'3 - Phase Durations'!$N$17+$S28*('3 - Phase Durations'!$N$18+'3 - Phase Durations'!$N$19)+$T28*'3 - Phase Durations'!$N$20+$U28*'3 - Phase Durations'!$N$21+$V28*('3 - Phase Durations'!$N$22+'3 - Phase Durations'!$N$23)+$W28*'3 - Phase Durations'!$N$24)/12</f>
        <v>0.55000000000000004</v>
      </c>
      <c r="AG28" s="172">
        <f>($Q28*'3 - Phase Durations'!$O$16+$R28*'3 - Phase Durations'!$O$17+$S28*('3 - Phase Durations'!$O$18+'3 - Phase Durations'!$O$19)+$T28*'3 - Phase Durations'!$O$20+$U28*'3 - Phase Durations'!$O$21+$V28*('3 - Phase Durations'!$O$22+'3 - Phase Durations'!$O$23)+$W28*'3 - Phase Durations'!$O$24)/12</f>
        <v>0.43164383561643843</v>
      </c>
      <c r="AH28" s="172">
        <f>($Q28*'3 - Phase Durations'!$P$16+$R28*'3 - Phase Durations'!$P$17+$S28*('3 - Phase Durations'!$P$18+'3 - Phase Durations'!$P$19)+$T28*'3 - Phase Durations'!$P$20+$U28*'3 - Phase Durations'!$P$21+$V28*('3 - Phase Durations'!$P$22+'3 - Phase Durations'!$P$23)+$W28*'3 - Phase Durations'!$P$24)/12</f>
        <v>7.0000000000000007E-2</v>
      </c>
      <c r="AI28" s="172">
        <f>($Q28*'3 - Phase Durations'!$Q$16+$R28*'3 - Phase Durations'!$Q$17+$S28*('3 - Phase Durations'!$Q$18+'3 - Phase Durations'!$Q$19)+$T28*'3 - Phase Durations'!$Q$20+$U28*'3 - Phase Durations'!$Q$21+$V28*('3 - Phase Durations'!$Q$22+'3 - Phase Durations'!$Q$23)+$W28*'3 - Phase Durations'!$Q$24)/12</f>
        <v>7.0191780821917821E-2</v>
      </c>
      <c r="AJ28" s="172">
        <f>($Q28*'3 - Phase Durations'!$R$16+$R28*'3 - Phase Durations'!$R$17+$S28*('3 - Phase Durations'!$R$18+'3 - Phase Durations'!$R$19)+$T28*'3 - Phase Durations'!$R$20+$U28*'3 - Phase Durations'!$R$21+$V28*('3 - Phase Durations'!$R$22+'3 - Phase Durations'!$R$23)+$W28*'3 - Phase Durations'!$R$24)/12</f>
        <v>7.0000000000000007E-2</v>
      </c>
      <c r="AK28" s="172">
        <f>($Q28*'3 - Phase Durations'!$S$16+$R28*'3 - Phase Durations'!$S$17+$S28*('3 - Phase Durations'!$S$18+'3 - Phase Durations'!$S$19)+$T28*'3 - Phase Durations'!$S$20+$U28*'3 - Phase Durations'!$S$21+$V28*('3 - Phase Durations'!$S$22+'3 - Phase Durations'!$S$23)+$W28*'3 - Phase Durations'!$S$24)/12</f>
        <v>7.0000000000000007E-2</v>
      </c>
      <c r="AL28" s="172">
        <f>($Q28*'3 - Phase Durations'!$T$16+$R28*'3 - Phase Durations'!$T$17+$S28*('3 - Phase Durations'!$T$18+'3 - Phase Durations'!$T$19)+$T28*'3 - Phase Durations'!$T$20+$U28*'3 - Phase Durations'!$T$21+$V28*('3 - Phase Durations'!$T$22+'3 - Phase Durations'!$T$23)+$W28*'3 - Phase Durations'!$T$24)/12</f>
        <v>7.0000000000000007E-2</v>
      </c>
      <c r="AM28" s="172">
        <f>($Q28*'3 - Phase Durations'!$U$16+$R28*'3 - Phase Durations'!$U$17+$S28*('3 - Phase Durations'!$U$18+'3 - Phase Durations'!$U$19)+$T28*'3 - Phase Durations'!$U$20+$U28*'3 - Phase Durations'!$U$21+$V28*('3 - Phase Durations'!$U$22+'3 - Phase Durations'!$U$23)+$W28*'3 - Phase Durations'!$U$24)/12</f>
        <v>7.0191780821917821E-2</v>
      </c>
      <c r="AN28" s="172">
        <f>($Q28*'3 - Phase Durations'!$V$16+$R28*'3 - Phase Durations'!$V$17+$S28*('3 - Phase Durations'!$V$18+'3 - Phase Durations'!$V$19)+$T28*'3 - Phase Durations'!$V$20+$U28*'3 - Phase Durations'!$V$21+$V28*('3 - Phase Durations'!$V$22+'3 - Phase Durations'!$V$23)+$W28*'3 - Phase Durations'!$V$24)/12</f>
        <v>0.18835616438356165</v>
      </c>
      <c r="AO28" s="172">
        <f>($Q28*'3 - Phase Durations'!$W$16+$R28*'3 - Phase Durations'!$W$17+$S28*('3 - Phase Durations'!$W$18+'3 - Phase Durations'!$W$19)+$T28*'3 - Phase Durations'!$W$20+$U28*'3 - Phase Durations'!$W$21+$V28*('3 - Phase Durations'!$W$22+'3 - Phase Durations'!$W$23)+$W28*'3 - Phase Durations'!$W$24)/12</f>
        <v>0.55000000000000004</v>
      </c>
      <c r="AP28" s="172">
        <f>($Q28*'3 - Phase Durations'!$X$16+$R28*'3 - Phase Durations'!$X$17+$S28*('3 - Phase Durations'!$X$18+'3 - Phase Durations'!$X$19)+$T28*'3 - Phase Durations'!$X$20+$U28*'3 - Phase Durations'!$X$21+$V28*('3 - Phase Durations'!$X$22+'3 - Phase Durations'!$X$23)+$W28*'3 - Phase Durations'!$X$24)/12</f>
        <v>0.55000000000000004</v>
      </c>
      <c r="AQ28" s="172">
        <f>($Q28*'3 - Phase Durations'!$Y$16+$R28*'3 - Phase Durations'!$Y$17+$S28*('3 - Phase Durations'!$Y$18+'3 - Phase Durations'!$Y$19)+$T28*'3 - Phase Durations'!$Y$20+$U28*'3 - Phase Durations'!$Y$21+$V28*('3 - Phase Durations'!$Y$22+'3 - Phase Durations'!$Y$23)+$W28*'3 - Phase Durations'!$Y$24)/12</f>
        <v>0.55150684931506866</v>
      </c>
      <c r="AR28" s="172">
        <f>($Q28*'3 - Phase Durations'!$Z$16+$R28*'3 - Phase Durations'!$Z$17+$S28*('3 - Phase Durations'!$Z$18+'3 - Phase Durations'!$Z$19)+$T28*'3 - Phase Durations'!$Z$20+$U28*'3 - Phase Durations'!$Z$21+$V28*('3 - Phase Durations'!$Z$22+'3 - Phase Durations'!$Z$23)+$W28*'3 - Phase Durations'!$Z$24)/12</f>
        <v>0.55000000000000004</v>
      </c>
      <c r="AS28" s="172">
        <f>($Q28*'3 - Phase Durations'!$AA$16+$R28*'3 - Phase Durations'!$AA$17+$S28*('3 - Phase Durations'!$AA$18+'3 - Phase Durations'!$AA$19)+$T28*'3 - Phase Durations'!$AA$20+$U28*'3 - Phase Durations'!$AA$21+$V28*('3 - Phase Durations'!$AA$22+'3 - Phase Durations'!$AA$23)+$W28*'3 - Phase Durations'!$AA$24)/12</f>
        <v>0.55000000000000004</v>
      </c>
      <c r="AT28" s="172">
        <f>($Q28*'3 - Phase Durations'!$AB$16+$R28*'3 - Phase Durations'!$AB$17+$S28*('3 - Phase Durations'!$AB$18+'3 - Phase Durations'!$AB$19)+$T28*'3 - Phase Durations'!$AB$20+$U28*'3 - Phase Durations'!$AB$21+$V28*('3 - Phase Durations'!$AB$22+'3 - Phase Durations'!$AB$23)+$W28*'3 - Phase Durations'!$AB$24)/12</f>
        <v>0.55000000000000004</v>
      </c>
      <c r="AU28" s="172">
        <f>($Q28*'3 - Phase Durations'!$AC$16+$R28*'3 - Phase Durations'!$AC$17+$S28*('3 - Phase Durations'!$AC$18+'3 - Phase Durations'!$AC$19)+$T28*'3 - Phase Durations'!$AC$20+$U28*'3 - Phase Durations'!$AC$21+$V28*('3 - Phase Durations'!$AC$22+'3 - Phase Durations'!$AC$23)+$W28*'3 - Phase Durations'!$AC$24)/12</f>
        <v>0.55150684931506866</v>
      </c>
      <c r="AV28" s="172">
        <f>($Q28*'3 - Phase Durations'!$AD$16+$R28*'3 - Phase Durations'!$AD$17+$S28*('3 - Phase Durations'!$AD$18+'3 - Phase Durations'!$AD$19)+$T28*'3 - Phase Durations'!$AD$20+$U28*'3 - Phase Durations'!$AD$21+$V28*('3 - Phase Durations'!$AD$22+'3 - Phase Durations'!$AD$23)+$W28*'3 - Phase Durations'!$AD$24)/12</f>
        <v>0.55000000000000004</v>
      </c>
      <c r="AW28" s="172">
        <f>($Q28*'3 - Phase Durations'!$AE$16+$R28*'3 - Phase Durations'!$AE$17+$S28*('3 - Phase Durations'!$AE$18+'3 - Phase Durations'!$AE$19)+$T28*'3 - Phase Durations'!$AE$20+$U28*'3 - Phase Durations'!$AE$21+$V28*('3 - Phase Durations'!$AE$22+'3 - Phase Durations'!$AE$23)+$W28*'3 - Phase Durations'!$AE$24)/12</f>
        <v>0.55000000000000004</v>
      </c>
      <c r="AX28" s="172">
        <f>($Q28*'3 - Phase Durations'!$AF$16+$R28*'3 - Phase Durations'!$AF$17+$S28*('3 - Phase Durations'!$AF$18+'3 - Phase Durations'!$AF$19)+$T28*'3 - Phase Durations'!$AF$20+$U28*'3 - Phase Durations'!$AF$21+$V28*('3 - Phase Durations'!$AF$22+'3 - Phase Durations'!$AF$23)+$W28*'3 - Phase Durations'!$AF$24)/12</f>
        <v>0.55000000000000004</v>
      </c>
      <c r="AY28" s="172">
        <f>($Q28*'3 - Phase Durations'!$AG$16+$R28*'3 - Phase Durations'!$AG$17+$S28*('3 - Phase Durations'!$AG$18+'3 - Phase Durations'!$AG$19)+$T28*'3 - Phase Durations'!$AG$20+$U28*'3 - Phase Durations'!$AG$21+$V28*('3 - Phase Durations'!$AG$22+'3 - Phase Durations'!$AG$23)+$W28*'3 - Phase Durations'!$AG$24)/12</f>
        <v>0.55150684931506866</v>
      </c>
      <c r="AZ28" s="172">
        <f>($Q28*'3 - Phase Durations'!$AH$16+$R28*'3 - Phase Durations'!$AH$17+$S28*('3 - Phase Durations'!$AH$18+'3 - Phase Durations'!$AH$19)+$T28*'3 - Phase Durations'!$AH$20+$U28*'3 - Phase Durations'!$AH$21+$V28*('3 - Phase Durations'!$AH$22+'3 - Phase Durations'!$AH$23)+$W28*'3 - Phase Durations'!$AH$24)/12</f>
        <v>0.55000000000000004</v>
      </c>
      <c r="BA28" s="172">
        <f>($Q28*'3 - Phase Durations'!$AI$16+$R28*'3 - Phase Durations'!$AI$17+$S28*('3 - Phase Durations'!$AI$18+'3 - Phase Durations'!$AI$19)+$T28*'3 - Phase Durations'!$AI$20+$U28*'3 - Phase Durations'!$AI$21+$V28*('3 - Phase Durations'!$AI$22+'3 - Phase Durations'!$AI$23)+$W28*'3 - Phase Durations'!$AI$24)/12</f>
        <v>0.55000000000000004</v>
      </c>
      <c r="BB28" s="172">
        <f>($Q28*'3 - Phase Durations'!$AJ$16+$R28*'3 - Phase Durations'!$AJ$17+$S28*('3 - Phase Durations'!$AJ$18+'3 - Phase Durations'!$AJ$19)+$T28*'3 - Phase Durations'!$AJ$20+$U28*'3 - Phase Durations'!$AJ$21+$V28*('3 - Phase Durations'!$AJ$22+'3 - Phase Durations'!$AJ$23)+$W28*'3 - Phase Durations'!$AJ$24)/12</f>
        <v>0.55000000000000004</v>
      </c>
      <c r="BC28" s="172">
        <f>($Q28*'3 - Phase Durations'!$AK$16+$R28*'3 - Phase Durations'!$AK$17+$S28*('3 - Phase Durations'!$AK$18+'3 - Phase Durations'!$AK$19)+$T28*'3 - Phase Durations'!$AK$20+$U28*'3 - Phase Durations'!$AK$21+$V28*('3 - Phase Durations'!$AK$22+'3 - Phase Durations'!$AK$23)+$W28*'3 - Phase Durations'!$AK$24)/12</f>
        <v>0.55150684931506866</v>
      </c>
      <c r="BD28" s="172">
        <f>($Q28*'3 - Phase Durations'!$AL$16+$R28*'3 - Phase Durations'!$AL$17+$S28*('3 - Phase Durations'!$AL$18+'3 - Phase Durations'!$AL$19)+$T28*'3 - Phase Durations'!$AL$20+$U28*'3 - Phase Durations'!$AL$21+$V28*('3 - Phase Durations'!$AL$22+'3 - Phase Durations'!$AL$23)+$W28*'3 - Phase Durations'!$AL$24)/12</f>
        <v>0.55000000000000004</v>
      </c>
      <c r="BE28" s="172">
        <f>($Q28*'3 - Phase Durations'!$AM$16+$R28*'3 - Phase Durations'!$AM$17+$S28*('3 - Phase Durations'!$AM$18+'3 - Phase Durations'!$AM$19)+$T28*'3 - Phase Durations'!$AM$20+$U28*'3 - Phase Durations'!$AM$21+$V28*('3 - Phase Durations'!$AM$22+'3 - Phase Durations'!$AM$23)+$W28*'3 - Phase Durations'!$AM$24)/12</f>
        <v>0.55000000000000004</v>
      </c>
      <c r="BF28" s="172">
        <f>($Q28*'3 - Phase Durations'!$AN$16+$R28*'3 - Phase Durations'!$AN$17+$S28*('3 - Phase Durations'!$AN$18+'3 - Phase Durations'!$AN$19)+$T28*'3 - Phase Durations'!$AN$20+$U28*'3 - Phase Durations'!$AN$21+$V28*('3 - Phase Durations'!$AN$22+'3 - Phase Durations'!$AN$23)+$W28*'3 - Phase Durations'!$AN$24)/12</f>
        <v>0.55000000000000004</v>
      </c>
      <c r="BG28" s="172">
        <f>($Q28*'3 - Phase Durations'!$AO$16+$R28*'3 - Phase Durations'!$AO$17+$S28*('3 - Phase Durations'!$AO$18+'3 - Phase Durations'!$AO$19)+$T28*'3 - Phase Durations'!$AO$20+$U28*'3 - Phase Durations'!$AO$21+$V28*('3 - Phase Durations'!$AO$22+'3 - Phase Durations'!$AO$23)+$W28*'3 - Phase Durations'!$AO$24)/12</f>
        <v>0.13712328767123289</v>
      </c>
      <c r="BH28" s="173">
        <f t="shared" si="0"/>
        <v>11.770657534246579</v>
      </c>
    </row>
    <row r="29" spans="1:60" ht="30" customHeight="1">
      <c r="A29" s="174">
        <v>12</v>
      </c>
      <c r="B29" s="175" t="s">
        <v>1032</v>
      </c>
      <c r="C29" s="175" t="s">
        <v>1033</v>
      </c>
      <c r="D29" s="175" t="s">
        <v>1084</v>
      </c>
      <c r="E29" s="175" t="s">
        <v>1093</v>
      </c>
      <c r="F29" s="176" t="s">
        <v>1094</v>
      </c>
      <c r="G29" s="175" t="s">
        <v>1077</v>
      </c>
      <c r="H29" s="175" t="s">
        <v>1037</v>
      </c>
      <c r="I29" s="175" t="s">
        <v>1078</v>
      </c>
      <c r="J29" s="175" t="s">
        <v>1095</v>
      </c>
      <c r="K29" s="174" t="s">
        <v>1096</v>
      </c>
      <c r="L29" s="174" t="s">
        <v>1057</v>
      </c>
      <c r="M29" s="174" t="s">
        <v>1062</v>
      </c>
      <c r="N29" s="174" t="s">
        <v>1043</v>
      </c>
      <c r="O29" s="176" t="s">
        <v>1044</v>
      </c>
      <c r="P29" s="174" t="s">
        <v>1045</v>
      </c>
      <c r="Q29" s="177">
        <v>0</v>
      </c>
      <c r="R29" s="177">
        <v>0.3</v>
      </c>
      <c r="S29" s="177">
        <v>1</v>
      </c>
      <c r="T29" s="177">
        <v>0.35</v>
      </c>
      <c r="U29" s="177">
        <v>0.37</v>
      </c>
      <c r="V29" s="177">
        <v>0.3</v>
      </c>
      <c r="W29" s="177">
        <v>0</v>
      </c>
      <c r="X29" s="178">
        <f>IFERROR(VLOOKUP($M29,'Labour Rates lookup'!$A:$B,2,FALSE()),0)</f>
        <v>145000</v>
      </c>
      <c r="Y29" s="179">
        <f>($Q29*'3 - Phase Durations'!$G$16+$R29*'3 - Phase Durations'!$G$17+$S29*('3 - Phase Durations'!$G$18+'3 - Phase Durations'!$G$19)+$T29*'3 - Phase Durations'!$G$20+$U29*'3 - Phase Durations'!$G$21+$V29*('3 - Phase Durations'!$G$22+'3 - Phase Durations'!$G$23)+$W29*'3 - Phase Durations'!$G$24)/12</f>
        <v>0</v>
      </c>
      <c r="Z29" s="179">
        <f>($Q29*'3 - Phase Durations'!$H$16+$R29*'3 - Phase Durations'!$H$17+$S29*('3 - Phase Durations'!$H$18+'3 - Phase Durations'!$H$19)+$T29*'3 - Phase Durations'!$H$20+$U29*'3 - Phase Durations'!$H$21+$V29*('3 - Phase Durations'!$H$22+'3 - Phase Durations'!$H$23)+$W29*'3 - Phase Durations'!$H$24)/12</f>
        <v>0</v>
      </c>
      <c r="AA29" s="179">
        <f>($Q29*'3 - Phase Durations'!$I$16+$R29*'3 - Phase Durations'!$I$17+$S29*('3 - Phase Durations'!$I$18+'3 - Phase Durations'!$I$19)+$T29*'3 - Phase Durations'!$I$20+$U29*'3 - Phase Durations'!$I$21+$V29*('3 - Phase Durations'!$I$22+'3 - Phase Durations'!$I$23)+$W29*'3 - Phase Durations'!$I$24)/12</f>
        <v>7.4794520547945206E-2</v>
      </c>
      <c r="AB29" s="179">
        <f>($Q29*'3 - Phase Durations'!$J$16+$R29*'3 - Phase Durations'!$J$17+$S29*('3 - Phase Durations'!$J$18+'3 - Phase Durations'!$J$19)+$T29*'3 - Phase Durations'!$J$20+$U29*'3 - Phase Durations'!$J$21+$V29*('3 - Phase Durations'!$J$22+'3 - Phase Durations'!$J$23)+$W29*'3 - Phase Durations'!$J$24)/12</f>
        <v>0.3</v>
      </c>
      <c r="AC29" s="179">
        <f>($Q29*'3 - Phase Durations'!$K$16+$R29*'3 - Phase Durations'!$K$17+$S29*('3 - Phase Durations'!$K$18+'3 - Phase Durations'!$K$19)+$T29*'3 - Phase Durations'!$K$20+$U29*'3 - Phase Durations'!$K$21+$V29*('3 - Phase Durations'!$K$22+'3 - Phase Durations'!$K$23)+$W29*'3 - Phase Durations'!$K$24)/12</f>
        <v>0.47260273972602745</v>
      </c>
      <c r="AD29" s="179">
        <f>($Q29*'3 - Phase Durations'!$L$16+$R29*'3 - Phase Durations'!$L$17+$S29*('3 - Phase Durations'!$L$18+'3 - Phase Durations'!$L$19)+$T29*'3 - Phase Durations'!$L$20+$U29*'3 - Phase Durations'!$L$21+$V29*('3 - Phase Durations'!$L$22+'3 - Phase Durations'!$L$23)+$W29*'3 - Phase Durations'!$L$24)/12</f>
        <v>1</v>
      </c>
      <c r="AE29" s="179">
        <f>($Q29*'3 - Phase Durations'!$M$16+$R29*'3 - Phase Durations'!$M$17+$S29*('3 - Phase Durations'!$M$18+'3 - Phase Durations'!$M$19)+$T29*'3 - Phase Durations'!$M$20+$U29*'3 - Phase Durations'!$M$21+$V29*('3 - Phase Durations'!$M$22+'3 - Phase Durations'!$M$23)+$W29*'3 - Phase Durations'!$M$24)/12</f>
        <v>0.84068493150684942</v>
      </c>
      <c r="AF29" s="179">
        <f>($Q29*'3 - Phase Durations'!$N$16+$R29*'3 - Phase Durations'!$N$17+$S29*('3 - Phase Durations'!$N$18+'3 - Phase Durations'!$N$19)+$T29*'3 - Phase Durations'!$N$20+$U29*'3 - Phase Durations'!$N$21+$V29*('3 - Phase Durations'!$N$22+'3 - Phase Durations'!$N$23)+$W29*'3 - Phase Durations'!$N$24)/12</f>
        <v>0.34999999999999992</v>
      </c>
      <c r="AG29" s="179">
        <f>($Q29*'3 - Phase Durations'!$O$16+$R29*'3 - Phase Durations'!$O$17+$S29*('3 - Phase Durations'!$O$18+'3 - Phase Durations'!$O$19)+$T29*'3 - Phase Durations'!$O$20+$U29*'3 - Phase Durations'!$O$21+$V29*('3 - Phase Durations'!$O$22+'3 - Phase Durations'!$O$23)+$W29*'3 - Phase Durations'!$O$24)/12</f>
        <v>0.35493150684931507</v>
      </c>
      <c r="AH29" s="179">
        <f>($Q29*'3 - Phase Durations'!$P$16+$R29*'3 - Phase Durations'!$P$17+$S29*('3 - Phase Durations'!$P$18+'3 - Phase Durations'!$P$19)+$T29*'3 - Phase Durations'!$P$20+$U29*'3 - Phase Durations'!$P$21+$V29*('3 - Phase Durations'!$P$22+'3 - Phase Durations'!$P$23)+$W29*'3 - Phase Durations'!$P$24)/12</f>
        <v>0.36999999999999994</v>
      </c>
      <c r="AI29" s="179">
        <f>($Q29*'3 - Phase Durations'!$Q$16+$R29*'3 - Phase Durations'!$Q$17+$S29*('3 - Phase Durations'!$Q$18+'3 - Phase Durations'!$Q$19)+$T29*'3 - Phase Durations'!$Q$20+$U29*'3 - Phase Durations'!$Q$21+$V29*('3 - Phase Durations'!$Q$22+'3 - Phase Durations'!$Q$23)+$W29*'3 - Phase Durations'!$Q$24)/12</f>
        <v>0.37101369863013706</v>
      </c>
      <c r="AJ29" s="179">
        <f>($Q29*'3 - Phase Durations'!$R$16+$R29*'3 - Phase Durations'!$R$17+$S29*('3 - Phase Durations'!$R$18+'3 - Phase Durations'!$R$19)+$T29*'3 - Phase Durations'!$R$20+$U29*'3 - Phase Durations'!$R$21+$V29*('3 - Phase Durations'!$R$22+'3 - Phase Durations'!$R$23)+$W29*'3 - Phase Durations'!$R$24)/12</f>
        <v>0.36999999999999994</v>
      </c>
      <c r="AK29" s="179">
        <f>($Q29*'3 - Phase Durations'!$S$16+$R29*'3 - Phase Durations'!$S$17+$S29*('3 - Phase Durations'!$S$18+'3 - Phase Durations'!$S$19)+$T29*'3 - Phase Durations'!$S$20+$U29*'3 - Phase Durations'!$S$21+$V29*('3 - Phase Durations'!$S$22+'3 - Phase Durations'!$S$23)+$W29*'3 - Phase Durations'!$S$24)/12</f>
        <v>0.36999999999999994</v>
      </c>
      <c r="AL29" s="179">
        <f>($Q29*'3 - Phase Durations'!$T$16+$R29*'3 - Phase Durations'!$T$17+$S29*('3 - Phase Durations'!$T$18+'3 - Phase Durations'!$T$19)+$T29*'3 - Phase Durations'!$T$20+$U29*'3 - Phase Durations'!$T$21+$V29*('3 - Phase Durations'!$T$22+'3 - Phase Durations'!$T$23)+$W29*'3 - Phase Durations'!$T$24)/12</f>
        <v>0.36999999999999994</v>
      </c>
      <c r="AM29" s="179">
        <f>($Q29*'3 - Phase Durations'!$U$16+$R29*'3 - Phase Durations'!$U$17+$S29*('3 - Phase Durations'!$U$18+'3 - Phase Durations'!$U$19)+$T29*'3 - Phase Durations'!$U$20+$U29*'3 - Phase Durations'!$U$21+$V29*('3 - Phase Durations'!$U$22+'3 - Phase Durations'!$U$23)+$W29*'3 - Phase Durations'!$U$24)/12</f>
        <v>0.37101369863013706</v>
      </c>
      <c r="AN29" s="179">
        <f>($Q29*'3 - Phase Durations'!$V$16+$R29*'3 - Phase Durations'!$V$17+$S29*('3 - Phase Durations'!$V$18+'3 - Phase Durations'!$V$19)+$T29*'3 - Phase Durations'!$V$20+$U29*'3 - Phase Durations'!$V$21+$V29*('3 - Phase Durations'!$V$22+'3 - Phase Durations'!$V$23)+$W29*'3 - Phase Durations'!$V$24)/12</f>
        <v>0.35273972602739728</v>
      </c>
      <c r="AO29" s="179">
        <f>($Q29*'3 - Phase Durations'!$W$16+$R29*'3 - Phase Durations'!$W$17+$S29*('3 - Phase Durations'!$W$18+'3 - Phase Durations'!$W$19)+$T29*'3 - Phase Durations'!$W$20+$U29*'3 - Phase Durations'!$W$21+$V29*('3 - Phase Durations'!$W$22+'3 - Phase Durations'!$W$23)+$W29*'3 - Phase Durations'!$W$24)/12</f>
        <v>0.3</v>
      </c>
      <c r="AP29" s="179">
        <f>($Q29*'3 - Phase Durations'!$X$16+$R29*'3 - Phase Durations'!$X$17+$S29*('3 - Phase Durations'!$X$18+'3 - Phase Durations'!$X$19)+$T29*'3 - Phase Durations'!$X$20+$U29*'3 - Phase Durations'!$X$21+$V29*('3 - Phase Durations'!$X$22+'3 - Phase Durations'!$X$23)+$W29*'3 - Phase Durations'!$X$24)/12</f>
        <v>0.3</v>
      </c>
      <c r="AQ29" s="179">
        <f>($Q29*'3 - Phase Durations'!$Y$16+$R29*'3 - Phase Durations'!$Y$17+$S29*('3 - Phase Durations'!$Y$18+'3 - Phase Durations'!$Y$19)+$T29*'3 - Phase Durations'!$Y$20+$U29*'3 - Phase Durations'!$Y$21+$V29*('3 - Phase Durations'!$Y$22+'3 - Phase Durations'!$Y$23)+$W29*'3 - Phase Durations'!$Y$24)/12</f>
        <v>0.30082191780821921</v>
      </c>
      <c r="AR29" s="179">
        <f>($Q29*'3 - Phase Durations'!$Z$16+$R29*'3 - Phase Durations'!$Z$17+$S29*('3 - Phase Durations'!$Z$18+'3 - Phase Durations'!$Z$19)+$T29*'3 - Phase Durations'!$Z$20+$U29*'3 - Phase Durations'!$Z$21+$V29*('3 - Phase Durations'!$Z$22+'3 - Phase Durations'!$Z$23)+$W29*'3 - Phase Durations'!$Z$24)/12</f>
        <v>0.3</v>
      </c>
      <c r="AS29" s="179">
        <f>($Q29*'3 - Phase Durations'!$AA$16+$R29*'3 - Phase Durations'!$AA$17+$S29*('3 - Phase Durations'!$AA$18+'3 - Phase Durations'!$AA$19)+$T29*'3 - Phase Durations'!$AA$20+$U29*'3 - Phase Durations'!$AA$21+$V29*('3 - Phase Durations'!$AA$22+'3 - Phase Durations'!$AA$23)+$W29*'3 - Phase Durations'!$AA$24)/12</f>
        <v>0.3</v>
      </c>
      <c r="AT29" s="179">
        <f>($Q29*'3 - Phase Durations'!$AB$16+$R29*'3 - Phase Durations'!$AB$17+$S29*('3 - Phase Durations'!$AB$18+'3 - Phase Durations'!$AB$19)+$T29*'3 - Phase Durations'!$AB$20+$U29*'3 - Phase Durations'!$AB$21+$V29*('3 - Phase Durations'!$AB$22+'3 - Phase Durations'!$AB$23)+$W29*'3 - Phase Durations'!$AB$24)/12</f>
        <v>0.3</v>
      </c>
      <c r="AU29" s="179">
        <f>($Q29*'3 - Phase Durations'!$AC$16+$R29*'3 - Phase Durations'!$AC$17+$S29*('3 - Phase Durations'!$AC$18+'3 - Phase Durations'!$AC$19)+$T29*'3 - Phase Durations'!$AC$20+$U29*'3 - Phase Durations'!$AC$21+$V29*('3 - Phase Durations'!$AC$22+'3 - Phase Durations'!$AC$23)+$W29*'3 - Phase Durations'!$AC$24)/12</f>
        <v>0.30082191780821921</v>
      </c>
      <c r="AV29" s="179">
        <f>($Q29*'3 - Phase Durations'!$AD$16+$R29*'3 - Phase Durations'!$AD$17+$S29*('3 - Phase Durations'!$AD$18+'3 - Phase Durations'!$AD$19)+$T29*'3 - Phase Durations'!$AD$20+$U29*'3 - Phase Durations'!$AD$21+$V29*('3 - Phase Durations'!$AD$22+'3 - Phase Durations'!$AD$23)+$W29*'3 - Phase Durations'!$AD$24)/12</f>
        <v>0.3</v>
      </c>
      <c r="AW29" s="179">
        <f>($Q29*'3 - Phase Durations'!$AE$16+$R29*'3 - Phase Durations'!$AE$17+$S29*('3 - Phase Durations'!$AE$18+'3 - Phase Durations'!$AE$19)+$T29*'3 - Phase Durations'!$AE$20+$U29*'3 - Phase Durations'!$AE$21+$V29*('3 - Phase Durations'!$AE$22+'3 - Phase Durations'!$AE$23)+$W29*'3 - Phase Durations'!$AE$24)/12</f>
        <v>0.3</v>
      </c>
      <c r="AX29" s="179">
        <f>($Q29*'3 - Phase Durations'!$AF$16+$R29*'3 - Phase Durations'!$AF$17+$S29*('3 - Phase Durations'!$AF$18+'3 - Phase Durations'!$AF$19)+$T29*'3 - Phase Durations'!$AF$20+$U29*'3 - Phase Durations'!$AF$21+$V29*('3 - Phase Durations'!$AF$22+'3 - Phase Durations'!$AF$23)+$W29*'3 - Phase Durations'!$AF$24)/12</f>
        <v>0.3</v>
      </c>
      <c r="AY29" s="179">
        <f>($Q29*'3 - Phase Durations'!$AG$16+$R29*'3 - Phase Durations'!$AG$17+$S29*('3 - Phase Durations'!$AG$18+'3 - Phase Durations'!$AG$19)+$T29*'3 - Phase Durations'!$AG$20+$U29*'3 - Phase Durations'!$AG$21+$V29*('3 - Phase Durations'!$AG$22+'3 - Phase Durations'!$AG$23)+$W29*'3 - Phase Durations'!$AG$24)/12</f>
        <v>0.30082191780821921</v>
      </c>
      <c r="AZ29" s="179">
        <f>($Q29*'3 - Phase Durations'!$AH$16+$R29*'3 - Phase Durations'!$AH$17+$S29*('3 - Phase Durations'!$AH$18+'3 - Phase Durations'!$AH$19)+$T29*'3 - Phase Durations'!$AH$20+$U29*'3 - Phase Durations'!$AH$21+$V29*('3 - Phase Durations'!$AH$22+'3 - Phase Durations'!$AH$23)+$W29*'3 - Phase Durations'!$AH$24)/12</f>
        <v>0.3</v>
      </c>
      <c r="BA29" s="179">
        <f>($Q29*'3 - Phase Durations'!$AI$16+$R29*'3 - Phase Durations'!$AI$17+$S29*('3 - Phase Durations'!$AI$18+'3 - Phase Durations'!$AI$19)+$T29*'3 - Phase Durations'!$AI$20+$U29*'3 - Phase Durations'!$AI$21+$V29*('3 - Phase Durations'!$AI$22+'3 - Phase Durations'!$AI$23)+$W29*'3 - Phase Durations'!$AI$24)/12</f>
        <v>0.3</v>
      </c>
      <c r="BB29" s="179">
        <f>($Q29*'3 - Phase Durations'!$AJ$16+$R29*'3 - Phase Durations'!$AJ$17+$S29*('3 - Phase Durations'!$AJ$18+'3 - Phase Durations'!$AJ$19)+$T29*'3 - Phase Durations'!$AJ$20+$U29*'3 - Phase Durations'!$AJ$21+$V29*('3 - Phase Durations'!$AJ$22+'3 - Phase Durations'!$AJ$23)+$W29*'3 - Phase Durations'!$AJ$24)/12</f>
        <v>0.3</v>
      </c>
      <c r="BC29" s="179">
        <f>($Q29*'3 - Phase Durations'!$AK$16+$R29*'3 - Phase Durations'!$AK$17+$S29*('3 - Phase Durations'!$AK$18+'3 - Phase Durations'!$AK$19)+$T29*'3 - Phase Durations'!$AK$20+$U29*'3 - Phase Durations'!$AK$21+$V29*('3 - Phase Durations'!$AK$22+'3 - Phase Durations'!$AK$23)+$W29*'3 - Phase Durations'!$AK$24)/12</f>
        <v>0.30082191780821921</v>
      </c>
      <c r="BD29" s="179">
        <f>($Q29*'3 - Phase Durations'!$AL$16+$R29*'3 - Phase Durations'!$AL$17+$S29*('3 - Phase Durations'!$AL$18+'3 - Phase Durations'!$AL$19)+$T29*'3 - Phase Durations'!$AL$20+$U29*'3 - Phase Durations'!$AL$21+$V29*('3 - Phase Durations'!$AL$22+'3 - Phase Durations'!$AL$23)+$W29*'3 - Phase Durations'!$AL$24)/12</f>
        <v>0.3</v>
      </c>
      <c r="BE29" s="179">
        <f>($Q29*'3 - Phase Durations'!$AM$16+$R29*'3 - Phase Durations'!$AM$17+$S29*('3 - Phase Durations'!$AM$18+'3 - Phase Durations'!$AM$19)+$T29*'3 - Phase Durations'!$AM$20+$U29*'3 - Phase Durations'!$AM$21+$V29*('3 - Phase Durations'!$AM$22+'3 - Phase Durations'!$AM$23)+$W29*'3 - Phase Durations'!$AM$24)/12</f>
        <v>0.3</v>
      </c>
      <c r="BF29" s="179">
        <f>($Q29*'3 - Phase Durations'!$AN$16+$R29*'3 - Phase Durations'!$AN$17+$S29*('3 - Phase Durations'!$AN$18+'3 - Phase Durations'!$AN$19)+$T29*'3 - Phase Durations'!$AN$20+$U29*'3 - Phase Durations'!$AN$21+$V29*('3 - Phase Durations'!$AN$22+'3 - Phase Durations'!$AN$23)+$W29*'3 - Phase Durations'!$AN$24)/12</f>
        <v>0.3</v>
      </c>
      <c r="BG29" s="179">
        <f>($Q29*'3 - Phase Durations'!$AO$16+$R29*'3 - Phase Durations'!$AO$17+$S29*('3 - Phase Durations'!$AO$18+'3 - Phase Durations'!$AO$19)+$T29*'3 - Phase Durations'!$AO$20+$U29*'3 - Phase Durations'!$AO$21+$V29*('3 - Phase Durations'!$AO$22+'3 - Phase Durations'!$AO$23)+$W29*'3 - Phase Durations'!$AO$24)/12</f>
        <v>7.4794520547945206E-2</v>
      </c>
      <c r="BH29" s="180">
        <f t="shared" si="0"/>
        <v>11.445863013698636</v>
      </c>
    </row>
    <row r="30" spans="1:60" ht="30" customHeight="1">
      <c r="A30" s="167">
        <v>13</v>
      </c>
      <c r="B30" s="168" t="s">
        <v>1032</v>
      </c>
      <c r="C30" s="168" t="s">
        <v>1033</v>
      </c>
      <c r="D30" s="168" t="s">
        <v>1084</v>
      </c>
      <c r="E30" s="168" t="s">
        <v>1097</v>
      </c>
      <c r="F30" s="169" t="s">
        <v>1098</v>
      </c>
      <c r="G30" s="168" t="s">
        <v>1077</v>
      </c>
      <c r="H30" s="168" t="s">
        <v>1037</v>
      </c>
      <c r="I30" s="168" t="s">
        <v>1078</v>
      </c>
      <c r="J30" s="168" t="s">
        <v>1099</v>
      </c>
      <c r="K30" s="167" t="s">
        <v>1100</v>
      </c>
      <c r="L30" s="167" t="s">
        <v>1057</v>
      </c>
      <c r="M30" s="167" t="s">
        <v>1066</v>
      </c>
      <c r="N30" s="167" t="s">
        <v>1043</v>
      </c>
      <c r="O30" s="169" t="s">
        <v>1044</v>
      </c>
      <c r="P30" s="167" t="s">
        <v>1045</v>
      </c>
      <c r="Q30" s="170">
        <v>0</v>
      </c>
      <c r="R30" s="170">
        <v>0.1</v>
      </c>
      <c r="S30" s="170">
        <v>0</v>
      </c>
      <c r="T30" s="170">
        <v>0.05</v>
      </c>
      <c r="U30" s="170">
        <v>0</v>
      </c>
      <c r="V30" s="170">
        <v>0.3</v>
      </c>
      <c r="W30" s="170">
        <v>0</v>
      </c>
      <c r="X30" s="171">
        <f>IFERROR(VLOOKUP($M30,'Labour Rates lookup'!$A:$B,2,FALSE()),0)</f>
        <v>128000</v>
      </c>
      <c r="Y30" s="172">
        <f>($Q30*'3 - Phase Durations'!$G$16+$R30*'3 - Phase Durations'!$G$17+$S30*('3 - Phase Durations'!$G$18+'3 - Phase Durations'!$G$19)+$T30*'3 - Phase Durations'!$G$20+$U30*'3 - Phase Durations'!$G$21+$V30*('3 - Phase Durations'!$G$22+'3 - Phase Durations'!$G$23)+$W30*'3 - Phase Durations'!$G$24)/12</f>
        <v>0</v>
      </c>
      <c r="Z30" s="172">
        <f>($Q30*'3 - Phase Durations'!$H$16+$R30*'3 - Phase Durations'!$H$17+$S30*('3 - Phase Durations'!$H$18+'3 - Phase Durations'!$H$19)+$T30*'3 - Phase Durations'!$H$20+$U30*'3 - Phase Durations'!$H$21+$V30*('3 - Phase Durations'!$H$22+'3 - Phase Durations'!$H$23)+$W30*'3 - Phase Durations'!$H$24)/12</f>
        <v>0</v>
      </c>
      <c r="AA30" s="172">
        <f>($Q30*'3 - Phase Durations'!$I$16+$R30*'3 - Phase Durations'!$I$17+$S30*('3 - Phase Durations'!$I$18+'3 - Phase Durations'!$I$19)+$T30*'3 - Phase Durations'!$I$20+$U30*'3 - Phase Durations'!$I$21+$V30*('3 - Phase Durations'!$I$22+'3 - Phase Durations'!$I$23)+$W30*'3 - Phase Durations'!$I$24)/12</f>
        <v>2.4931506849315069E-2</v>
      </c>
      <c r="AB30" s="172">
        <f>($Q30*'3 - Phase Durations'!$J$16+$R30*'3 - Phase Durations'!$J$17+$S30*('3 - Phase Durations'!$J$18+'3 - Phase Durations'!$J$19)+$T30*'3 - Phase Durations'!$J$20+$U30*'3 - Phase Durations'!$J$21+$V30*('3 - Phase Durations'!$J$22+'3 - Phase Durations'!$J$23)+$W30*'3 - Phase Durations'!$J$24)/12</f>
        <v>0.10000000000000002</v>
      </c>
      <c r="AC30" s="172">
        <f>($Q30*'3 - Phase Durations'!$K$16+$R30*'3 - Phase Durations'!$K$17+$S30*('3 - Phase Durations'!$K$18+'3 - Phase Durations'!$K$19)+$T30*'3 - Phase Durations'!$K$20+$U30*'3 - Phase Durations'!$K$21+$V30*('3 - Phase Durations'!$K$22+'3 - Phase Durations'!$K$23)+$W30*'3 - Phase Durations'!$K$24)/12</f>
        <v>7.5342465753424667E-2</v>
      </c>
      <c r="AD30" s="172">
        <f>($Q30*'3 - Phase Durations'!$L$16+$R30*'3 - Phase Durations'!$L$17+$S30*('3 - Phase Durations'!$L$18+'3 - Phase Durations'!$L$19)+$T30*'3 - Phase Durations'!$L$20+$U30*'3 - Phase Durations'!$L$21+$V30*('3 - Phase Durations'!$L$22+'3 - Phase Durations'!$L$23)+$W30*'3 - Phase Durations'!$L$24)/12</f>
        <v>0</v>
      </c>
      <c r="AE30" s="172">
        <f>($Q30*'3 - Phase Durations'!$M$16+$R30*'3 - Phase Durations'!$M$17+$S30*('3 - Phase Durations'!$M$18+'3 - Phase Durations'!$M$19)+$T30*'3 - Phase Durations'!$M$20+$U30*'3 - Phase Durations'!$M$21+$V30*('3 - Phase Durations'!$M$22+'3 - Phase Durations'!$M$23)+$W30*'3 - Phase Durations'!$M$24)/12</f>
        <v>1.2465753424657534E-2</v>
      </c>
      <c r="AF30" s="172">
        <f>($Q30*'3 - Phase Durations'!$N$16+$R30*'3 - Phase Durations'!$N$17+$S30*('3 - Phase Durations'!$N$18+'3 - Phase Durations'!$N$19)+$T30*'3 - Phase Durations'!$N$20+$U30*'3 - Phase Durations'!$N$21+$V30*('3 - Phase Durations'!$N$22+'3 - Phase Durations'!$N$23)+$W30*'3 - Phase Durations'!$N$24)/12</f>
        <v>5.000000000000001E-2</v>
      </c>
      <c r="AG30" s="172">
        <f>($Q30*'3 - Phase Durations'!$O$16+$R30*'3 - Phase Durations'!$O$17+$S30*('3 - Phase Durations'!$O$18+'3 - Phase Durations'!$O$19)+$T30*'3 - Phase Durations'!$O$20+$U30*'3 - Phase Durations'!$O$21+$V30*('3 - Phase Durations'!$O$22+'3 - Phase Durations'!$O$23)+$W30*'3 - Phase Durations'!$O$24)/12</f>
        <v>3.7671232876712334E-2</v>
      </c>
      <c r="AH30" s="172">
        <f>($Q30*'3 - Phase Durations'!$P$16+$R30*'3 - Phase Durations'!$P$17+$S30*('3 - Phase Durations'!$P$18+'3 - Phase Durations'!$P$19)+$T30*'3 - Phase Durations'!$P$20+$U30*'3 - Phase Durations'!$P$21+$V30*('3 - Phase Durations'!$P$22+'3 - Phase Durations'!$P$23)+$W30*'3 - Phase Durations'!$P$24)/12</f>
        <v>0</v>
      </c>
      <c r="AI30" s="172">
        <f>($Q30*'3 - Phase Durations'!$Q$16+$R30*'3 - Phase Durations'!$Q$17+$S30*('3 - Phase Durations'!$Q$18+'3 - Phase Durations'!$Q$19)+$T30*'3 - Phase Durations'!$Q$20+$U30*'3 - Phase Durations'!$Q$21+$V30*('3 - Phase Durations'!$Q$22+'3 - Phase Durations'!$Q$23)+$W30*'3 - Phase Durations'!$Q$24)/12</f>
        <v>0</v>
      </c>
      <c r="AJ30" s="172">
        <f>($Q30*'3 - Phase Durations'!$R$16+$R30*'3 - Phase Durations'!$R$17+$S30*('3 - Phase Durations'!$R$18+'3 - Phase Durations'!$R$19)+$T30*'3 - Phase Durations'!$R$20+$U30*'3 - Phase Durations'!$R$21+$V30*('3 - Phase Durations'!$R$22+'3 - Phase Durations'!$R$23)+$W30*'3 - Phase Durations'!$R$24)/12</f>
        <v>0</v>
      </c>
      <c r="AK30" s="172">
        <f>($Q30*'3 - Phase Durations'!$S$16+$R30*'3 - Phase Durations'!$S$17+$S30*('3 - Phase Durations'!$S$18+'3 - Phase Durations'!$S$19)+$T30*'3 - Phase Durations'!$S$20+$U30*'3 - Phase Durations'!$S$21+$V30*('3 - Phase Durations'!$S$22+'3 - Phase Durations'!$S$23)+$W30*'3 - Phase Durations'!$S$24)/12</f>
        <v>0</v>
      </c>
      <c r="AL30" s="172">
        <f>($Q30*'3 - Phase Durations'!$T$16+$R30*'3 - Phase Durations'!$T$17+$S30*('3 - Phase Durations'!$T$18+'3 - Phase Durations'!$T$19)+$T30*'3 - Phase Durations'!$T$20+$U30*'3 - Phase Durations'!$T$21+$V30*('3 - Phase Durations'!$T$22+'3 - Phase Durations'!$T$23)+$W30*'3 - Phase Durations'!$T$24)/12</f>
        <v>0</v>
      </c>
      <c r="AM30" s="172">
        <f>($Q30*'3 - Phase Durations'!$U$16+$R30*'3 - Phase Durations'!$U$17+$S30*('3 - Phase Durations'!$U$18+'3 - Phase Durations'!$U$19)+$T30*'3 - Phase Durations'!$U$20+$U30*'3 - Phase Durations'!$U$21+$V30*('3 - Phase Durations'!$U$22+'3 - Phase Durations'!$U$23)+$W30*'3 - Phase Durations'!$U$24)/12</f>
        <v>0</v>
      </c>
      <c r="AN30" s="172">
        <f>($Q30*'3 - Phase Durations'!$V$16+$R30*'3 - Phase Durations'!$V$17+$S30*('3 - Phase Durations'!$V$18+'3 - Phase Durations'!$V$19)+$T30*'3 - Phase Durations'!$V$20+$U30*'3 - Phase Durations'!$V$21+$V30*('3 - Phase Durations'!$V$22+'3 - Phase Durations'!$V$23)+$W30*'3 - Phase Durations'!$V$24)/12</f>
        <v>7.3972602739726015E-2</v>
      </c>
      <c r="AO30" s="172">
        <f>($Q30*'3 - Phase Durations'!$W$16+$R30*'3 - Phase Durations'!$W$17+$S30*('3 - Phase Durations'!$W$18+'3 - Phase Durations'!$W$19)+$T30*'3 - Phase Durations'!$W$20+$U30*'3 - Phase Durations'!$W$21+$V30*('3 - Phase Durations'!$W$22+'3 - Phase Durations'!$W$23)+$W30*'3 - Phase Durations'!$W$24)/12</f>
        <v>0.3</v>
      </c>
      <c r="AP30" s="172">
        <f>($Q30*'3 - Phase Durations'!$X$16+$R30*'3 - Phase Durations'!$X$17+$S30*('3 - Phase Durations'!$X$18+'3 - Phase Durations'!$X$19)+$T30*'3 - Phase Durations'!$X$20+$U30*'3 - Phase Durations'!$X$21+$V30*('3 - Phase Durations'!$X$22+'3 - Phase Durations'!$X$23)+$W30*'3 - Phase Durations'!$X$24)/12</f>
        <v>0.3</v>
      </c>
      <c r="AQ30" s="172">
        <f>($Q30*'3 - Phase Durations'!$Y$16+$R30*'3 - Phase Durations'!$Y$17+$S30*('3 - Phase Durations'!$Y$18+'3 - Phase Durations'!$Y$19)+$T30*'3 - Phase Durations'!$Y$20+$U30*'3 - Phase Durations'!$Y$21+$V30*('3 - Phase Durations'!$Y$22+'3 - Phase Durations'!$Y$23)+$W30*'3 - Phase Durations'!$Y$24)/12</f>
        <v>0.30082191780821921</v>
      </c>
      <c r="AR30" s="172">
        <f>($Q30*'3 - Phase Durations'!$Z$16+$R30*'3 - Phase Durations'!$Z$17+$S30*('3 - Phase Durations'!$Z$18+'3 - Phase Durations'!$Z$19)+$T30*'3 - Phase Durations'!$Z$20+$U30*'3 - Phase Durations'!$Z$21+$V30*('3 - Phase Durations'!$Z$22+'3 - Phase Durations'!$Z$23)+$W30*'3 - Phase Durations'!$Z$24)/12</f>
        <v>0.3</v>
      </c>
      <c r="AS30" s="172">
        <f>($Q30*'3 - Phase Durations'!$AA$16+$R30*'3 - Phase Durations'!$AA$17+$S30*('3 - Phase Durations'!$AA$18+'3 - Phase Durations'!$AA$19)+$T30*'3 - Phase Durations'!$AA$20+$U30*'3 - Phase Durations'!$AA$21+$V30*('3 - Phase Durations'!$AA$22+'3 - Phase Durations'!$AA$23)+$W30*'3 - Phase Durations'!$AA$24)/12</f>
        <v>0.3</v>
      </c>
      <c r="AT30" s="172">
        <f>($Q30*'3 - Phase Durations'!$AB$16+$R30*'3 - Phase Durations'!$AB$17+$S30*('3 - Phase Durations'!$AB$18+'3 - Phase Durations'!$AB$19)+$T30*'3 - Phase Durations'!$AB$20+$U30*'3 - Phase Durations'!$AB$21+$V30*('3 - Phase Durations'!$AB$22+'3 - Phase Durations'!$AB$23)+$W30*'3 - Phase Durations'!$AB$24)/12</f>
        <v>0.3</v>
      </c>
      <c r="AU30" s="172">
        <f>($Q30*'3 - Phase Durations'!$AC$16+$R30*'3 - Phase Durations'!$AC$17+$S30*('3 - Phase Durations'!$AC$18+'3 - Phase Durations'!$AC$19)+$T30*'3 - Phase Durations'!$AC$20+$U30*'3 - Phase Durations'!$AC$21+$V30*('3 - Phase Durations'!$AC$22+'3 - Phase Durations'!$AC$23)+$W30*'3 - Phase Durations'!$AC$24)/12</f>
        <v>0.30082191780821921</v>
      </c>
      <c r="AV30" s="172">
        <f>($Q30*'3 - Phase Durations'!$AD$16+$R30*'3 - Phase Durations'!$AD$17+$S30*('3 - Phase Durations'!$AD$18+'3 - Phase Durations'!$AD$19)+$T30*'3 - Phase Durations'!$AD$20+$U30*'3 - Phase Durations'!$AD$21+$V30*('3 - Phase Durations'!$AD$22+'3 - Phase Durations'!$AD$23)+$W30*'3 - Phase Durations'!$AD$24)/12</f>
        <v>0.3</v>
      </c>
      <c r="AW30" s="172">
        <f>($Q30*'3 - Phase Durations'!$AE$16+$R30*'3 - Phase Durations'!$AE$17+$S30*('3 - Phase Durations'!$AE$18+'3 - Phase Durations'!$AE$19)+$T30*'3 - Phase Durations'!$AE$20+$U30*'3 - Phase Durations'!$AE$21+$V30*('3 - Phase Durations'!$AE$22+'3 - Phase Durations'!$AE$23)+$W30*'3 - Phase Durations'!$AE$24)/12</f>
        <v>0.3</v>
      </c>
      <c r="AX30" s="172">
        <f>($Q30*'3 - Phase Durations'!$AF$16+$R30*'3 - Phase Durations'!$AF$17+$S30*('3 - Phase Durations'!$AF$18+'3 - Phase Durations'!$AF$19)+$T30*'3 - Phase Durations'!$AF$20+$U30*'3 - Phase Durations'!$AF$21+$V30*('3 - Phase Durations'!$AF$22+'3 - Phase Durations'!$AF$23)+$W30*'3 - Phase Durations'!$AF$24)/12</f>
        <v>0.3</v>
      </c>
      <c r="AY30" s="172">
        <f>($Q30*'3 - Phase Durations'!$AG$16+$R30*'3 - Phase Durations'!$AG$17+$S30*('3 - Phase Durations'!$AG$18+'3 - Phase Durations'!$AG$19)+$T30*'3 - Phase Durations'!$AG$20+$U30*'3 - Phase Durations'!$AG$21+$V30*('3 - Phase Durations'!$AG$22+'3 - Phase Durations'!$AG$23)+$W30*'3 - Phase Durations'!$AG$24)/12</f>
        <v>0.30082191780821921</v>
      </c>
      <c r="AZ30" s="172">
        <f>($Q30*'3 - Phase Durations'!$AH$16+$R30*'3 - Phase Durations'!$AH$17+$S30*('3 - Phase Durations'!$AH$18+'3 - Phase Durations'!$AH$19)+$T30*'3 - Phase Durations'!$AH$20+$U30*'3 - Phase Durations'!$AH$21+$V30*('3 - Phase Durations'!$AH$22+'3 - Phase Durations'!$AH$23)+$W30*'3 - Phase Durations'!$AH$24)/12</f>
        <v>0.3</v>
      </c>
      <c r="BA30" s="172">
        <f>($Q30*'3 - Phase Durations'!$AI$16+$R30*'3 - Phase Durations'!$AI$17+$S30*('3 - Phase Durations'!$AI$18+'3 - Phase Durations'!$AI$19)+$T30*'3 - Phase Durations'!$AI$20+$U30*'3 - Phase Durations'!$AI$21+$V30*('3 - Phase Durations'!$AI$22+'3 - Phase Durations'!$AI$23)+$W30*'3 - Phase Durations'!$AI$24)/12</f>
        <v>0.3</v>
      </c>
      <c r="BB30" s="172">
        <f>($Q30*'3 - Phase Durations'!$AJ$16+$R30*'3 - Phase Durations'!$AJ$17+$S30*('3 - Phase Durations'!$AJ$18+'3 - Phase Durations'!$AJ$19)+$T30*'3 - Phase Durations'!$AJ$20+$U30*'3 - Phase Durations'!$AJ$21+$V30*('3 - Phase Durations'!$AJ$22+'3 - Phase Durations'!$AJ$23)+$W30*'3 - Phase Durations'!$AJ$24)/12</f>
        <v>0.3</v>
      </c>
      <c r="BC30" s="172">
        <f>($Q30*'3 - Phase Durations'!$AK$16+$R30*'3 - Phase Durations'!$AK$17+$S30*('3 - Phase Durations'!$AK$18+'3 - Phase Durations'!$AK$19)+$T30*'3 - Phase Durations'!$AK$20+$U30*'3 - Phase Durations'!$AK$21+$V30*('3 - Phase Durations'!$AK$22+'3 - Phase Durations'!$AK$23)+$W30*'3 - Phase Durations'!$AK$24)/12</f>
        <v>0.30082191780821921</v>
      </c>
      <c r="BD30" s="172">
        <f>($Q30*'3 - Phase Durations'!$AL$16+$R30*'3 - Phase Durations'!$AL$17+$S30*('3 - Phase Durations'!$AL$18+'3 - Phase Durations'!$AL$19)+$T30*'3 - Phase Durations'!$AL$20+$U30*'3 - Phase Durations'!$AL$21+$V30*('3 - Phase Durations'!$AL$22+'3 - Phase Durations'!$AL$23)+$W30*'3 - Phase Durations'!$AL$24)/12</f>
        <v>0.3</v>
      </c>
      <c r="BE30" s="172">
        <f>($Q30*'3 - Phase Durations'!$AM$16+$R30*'3 - Phase Durations'!$AM$17+$S30*('3 - Phase Durations'!$AM$18+'3 - Phase Durations'!$AM$19)+$T30*'3 - Phase Durations'!$AM$20+$U30*'3 - Phase Durations'!$AM$21+$V30*('3 - Phase Durations'!$AM$22+'3 - Phase Durations'!$AM$23)+$W30*'3 - Phase Durations'!$AM$24)/12</f>
        <v>0.3</v>
      </c>
      <c r="BF30" s="172">
        <f>($Q30*'3 - Phase Durations'!$AN$16+$R30*'3 - Phase Durations'!$AN$17+$S30*('3 - Phase Durations'!$AN$18+'3 - Phase Durations'!$AN$19)+$T30*'3 - Phase Durations'!$AN$20+$U30*'3 - Phase Durations'!$AN$21+$V30*('3 - Phase Durations'!$AN$22+'3 - Phase Durations'!$AN$23)+$W30*'3 - Phase Durations'!$AN$24)/12</f>
        <v>0.3</v>
      </c>
      <c r="BG30" s="172">
        <f>($Q30*'3 - Phase Durations'!$AO$16+$R30*'3 - Phase Durations'!$AO$17+$S30*('3 - Phase Durations'!$AO$18+'3 - Phase Durations'!$AO$19)+$T30*'3 - Phase Durations'!$AO$20+$U30*'3 - Phase Durations'!$AO$21+$V30*('3 - Phase Durations'!$AO$22+'3 - Phase Durations'!$AO$23)+$W30*'3 - Phase Durations'!$AO$24)/12</f>
        <v>7.4794520547945206E-2</v>
      </c>
      <c r="BH30" s="173">
        <f t="shared" si="0"/>
        <v>5.8524657534246556</v>
      </c>
    </row>
    <row r="31" spans="1:60" ht="30" customHeight="1">
      <c r="A31" s="174">
        <v>14</v>
      </c>
      <c r="B31" s="175" t="s">
        <v>1032</v>
      </c>
      <c r="C31" s="175" t="s">
        <v>1033</v>
      </c>
      <c r="D31" s="175" t="s">
        <v>1084</v>
      </c>
      <c r="E31" s="175" t="s">
        <v>1101</v>
      </c>
      <c r="F31" s="176" t="s">
        <v>1102</v>
      </c>
      <c r="G31" s="175" t="s">
        <v>111</v>
      </c>
      <c r="H31" s="175" t="s">
        <v>1037</v>
      </c>
      <c r="I31" s="175" t="s">
        <v>1103</v>
      </c>
      <c r="J31" s="175" t="s">
        <v>1104</v>
      </c>
      <c r="K31" s="174" t="s">
        <v>1105</v>
      </c>
      <c r="L31" s="174" t="s">
        <v>1057</v>
      </c>
      <c r="M31" s="174" t="s">
        <v>1066</v>
      </c>
      <c r="N31" s="174" t="s">
        <v>1043</v>
      </c>
      <c r="O31" s="176" t="s">
        <v>1044</v>
      </c>
      <c r="P31" s="174" t="s">
        <v>1045</v>
      </c>
      <c r="Q31" s="177">
        <v>0</v>
      </c>
      <c r="R31" s="177">
        <v>0.1</v>
      </c>
      <c r="S31" s="177">
        <v>0.4</v>
      </c>
      <c r="T31" s="177">
        <v>0</v>
      </c>
      <c r="U31" s="177">
        <v>0.05</v>
      </c>
      <c r="V31" s="177">
        <v>0.2</v>
      </c>
      <c r="W31" s="177">
        <v>0</v>
      </c>
      <c r="X31" s="178">
        <f>IFERROR(VLOOKUP($M31,'Labour Rates lookup'!$A:$B,2,FALSE()),0)</f>
        <v>128000</v>
      </c>
      <c r="Y31" s="179">
        <f>($Q31*'3 - Phase Durations'!$G$16+$R31*'3 - Phase Durations'!$G$17+$S31*('3 - Phase Durations'!$G$18+'3 - Phase Durations'!$G$19)+$T31*'3 - Phase Durations'!$G$20+$U31*'3 - Phase Durations'!$G$21+$V31*('3 - Phase Durations'!$G$22+'3 - Phase Durations'!$G$23)+$W31*'3 - Phase Durations'!$G$24)/12</f>
        <v>0</v>
      </c>
      <c r="Z31" s="179">
        <f>($Q31*'3 - Phase Durations'!$H$16+$R31*'3 - Phase Durations'!$H$17+$S31*('3 - Phase Durations'!$H$18+'3 - Phase Durations'!$H$19)+$T31*'3 - Phase Durations'!$H$20+$U31*'3 - Phase Durations'!$H$21+$V31*('3 - Phase Durations'!$H$22+'3 - Phase Durations'!$H$23)+$W31*'3 - Phase Durations'!$H$24)/12</f>
        <v>0</v>
      </c>
      <c r="AA31" s="179">
        <f>($Q31*'3 - Phase Durations'!$I$16+$R31*'3 - Phase Durations'!$I$17+$S31*('3 - Phase Durations'!$I$18+'3 - Phase Durations'!$I$19)+$T31*'3 - Phase Durations'!$I$20+$U31*'3 - Phase Durations'!$I$21+$V31*('3 - Phase Durations'!$I$22+'3 - Phase Durations'!$I$23)+$W31*'3 - Phase Durations'!$I$24)/12</f>
        <v>2.4931506849315069E-2</v>
      </c>
      <c r="AB31" s="179">
        <f>($Q31*'3 - Phase Durations'!$J$16+$R31*'3 - Phase Durations'!$J$17+$S31*('3 - Phase Durations'!$J$18+'3 - Phase Durations'!$J$19)+$T31*'3 - Phase Durations'!$J$20+$U31*'3 - Phase Durations'!$J$21+$V31*('3 - Phase Durations'!$J$22+'3 - Phase Durations'!$J$23)+$W31*'3 - Phase Durations'!$J$24)/12</f>
        <v>0.10000000000000002</v>
      </c>
      <c r="AC31" s="179">
        <f>($Q31*'3 - Phase Durations'!$K$16+$R31*'3 - Phase Durations'!$K$17+$S31*('3 - Phase Durations'!$K$18+'3 - Phase Durations'!$K$19)+$T31*'3 - Phase Durations'!$K$20+$U31*'3 - Phase Durations'!$K$21+$V31*('3 - Phase Durations'!$K$22+'3 - Phase Durations'!$K$23)+$W31*'3 - Phase Durations'!$K$24)/12</f>
        <v>0.17397260273972603</v>
      </c>
      <c r="AD31" s="179">
        <f>($Q31*'3 - Phase Durations'!$L$16+$R31*'3 - Phase Durations'!$L$17+$S31*('3 - Phase Durations'!$L$18+'3 - Phase Durations'!$L$19)+$T31*'3 - Phase Durations'!$L$20+$U31*'3 - Phase Durations'!$L$21+$V31*('3 - Phase Durations'!$L$22+'3 - Phase Durations'!$L$23)+$W31*'3 - Phase Durations'!$L$24)/12</f>
        <v>0.40000000000000008</v>
      </c>
      <c r="AE31" s="179">
        <f>($Q31*'3 - Phase Durations'!$M$16+$R31*'3 - Phase Durations'!$M$17+$S31*('3 - Phase Durations'!$M$18+'3 - Phase Durations'!$M$19)+$T31*'3 - Phase Durations'!$M$20+$U31*'3 - Phase Durations'!$M$21+$V31*('3 - Phase Durations'!$M$22+'3 - Phase Durations'!$M$23)+$W31*'3 - Phase Durations'!$M$24)/12</f>
        <v>0.30136986301369867</v>
      </c>
      <c r="AF31" s="179">
        <f>($Q31*'3 - Phase Durations'!$N$16+$R31*'3 - Phase Durations'!$N$17+$S31*('3 - Phase Durations'!$N$18+'3 - Phase Durations'!$N$19)+$T31*'3 - Phase Durations'!$N$20+$U31*'3 - Phase Durations'!$N$21+$V31*('3 - Phase Durations'!$N$22+'3 - Phase Durations'!$N$23)+$W31*'3 - Phase Durations'!$N$24)/12</f>
        <v>0</v>
      </c>
      <c r="AG31" s="179">
        <f>($Q31*'3 - Phase Durations'!$O$16+$R31*'3 - Phase Durations'!$O$17+$S31*('3 - Phase Durations'!$O$18+'3 - Phase Durations'!$O$19)+$T31*'3 - Phase Durations'!$O$20+$U31*'3 - Phase Durations'!$O$21+$V31*('3 - Phase Durations'!$O$22+'3 - Phase Durations'!$O$23)+$W31*'3 - Phase Durations'!$O$24)/12</f>
        <v>1.2328767123287671E-2</v>
      </c>
      <c r="AH31" s="179">
        <f>($Q31*'3 - Phase Durations'!$P$16+$R31*'3 - Phase Durations'!$P$17+$S31*('3 - Phase Durations'!$P$18+'3 - Phase Durations'!$P$19)+$T31*'3 - Phase Durations'!$P$20+$U31*'3 - Phase Durations'!$P$21+$V31*('3 - Phase Durations'!$P$22+'3 - Phase Durations'!$P$23)+$W31*'3 - Phase Durations'!$P$24)/12</f>
        <v>5.000000000000001E-2</v>
      </c>
      <c r="AI31" s="179">
        <f>($Q31*'3 - Phase Durations'!$Q$16+$R31*'3 - Phase Durations'!$Q$17+$S31*('3 - Phase Durations'!$Q$18+'3 - Phase Durations'!$Q$19)+$T31*'3 - Phase Durations'!$Q$20+$U31*'3 - Phase Durations'!$Q$21+$V31*('3 - Phase Durations'!$Q$22+'3 - Phase Durations'!$Q$23)+$W31*'3 - Phase Durations'!$Q$24)/12</f>
        <v>5.0136986301369868E-2</v>
      </c>
      <c r="AJ31" s="179">
        <f>($Q31*'3 - Phase Durations'!$R$16+$R31*'3 - Phase Durations'!$R$17+$S31*('3 - Phase Durations'!$R$18+'3 - Phase Durations'!$R$19)+$T31*'3 - Phase Durations'!$R$20+$U31*'3 - Phase Durations'!$R$21+$V31*('3 - Phase Durations'!$R$22+'3 - Phase Durations'!$R$23)+$W31*'3 - Phase Durations'!$R$24)/12</f>
        <v>5.000000000000001E-2</v>
      </c>
      <c r="AK31" s="179">
        <f>($Q31*'3 - Phase Durations'!$S$16+$R31*'3 - Phase Durations'!$S$17+$S31*('3 - Phase Durations'!$S$18+'3 - Phase Durations'!$S$19)+$T31*'3 - Phase Durations'!$S$20+$U31*'3 - Phase Durations'!$S$21+$V31*('3 - Phase Durations'!$S$22+'3 - Phase Durations'!$S$23)+$W31*'3 - Phase Durations'!$S$24)/12</f>
        <v>5.000000000000001E-2</v>
      </c>
      <c r="AL31" s="179">
        <f>($Q31*'3 - Phase Durations'!$T$16+$R31*'3 - Phase Durations'!$T$17+$S31*('3 - Phase Durations'!$T$18+'3 - Phase Durations'!$T$19)+$T31*'3 - Phase Durations'!$T$20+$U31*'3 - Phase Durations'!$T$21+$V31*('3 - Phase Durations'!$T$22+'3 - Phase Durations'!$T$23)+$W31*'3 - Phase Durations'!$T$24)/12</f>
        <v>5.000000000000001E-2</v>
      </c>
      <c r="AM31" s="179">
        <f>($Q31*'3 - Phase Durations'!$U$16+$R31*'3 - Phase Durations'!$U$17+$S31*('3 - Phase Durations'!$U$18+'3 - Phase Durations'!$U$19)+$T31*'3 - Phase Durations'!$U$20+$U31*'3 - Phase Durations'!$U$21+$V31*('3 - Phase Durations'!$U$22+'3 - Phase Durations'!$U$23)+$W31*'3 - Phase Durations'!$U$24)/12</f>
        <v>5.0136986301369868E-2</v>
      </c>
      <c r="AN31" s="179">
        <f>($Q31*'3 - Phase Durations'!$V$16+$R31*'3 - Phase Durations'!$V$17+$S31*('3 - Phase Durations'!$V$18+'3 - Phase Durations'!$V$19)+$T31*'3 - Phase Durations'!$V$20+$U31*'3 - Phase Durations'!$V$21+$V31*('3 - Phase Durations'!$V$22+'3 - Phase Durations'!$V$23)+$W31*'3 - Phase Durations'!$V$24)/12</f>
        <v>8.6986301369863017E-2</v>
      </c>
      <c r="AO31" s="179">
        <f>($Q31*'3 - Phase Durations'!$W$16+$R31*'3 - Phase Durations'!$W$17+$S31*('3 - Phase Durations'!$W$18+'3 - Phase Durations'!$W$19)+$T31*'3 - Phase Durations'!$W$20+$U31*'3 - Phase Durations'!$W$21+$V31*('3 - Phase Durations'!$W$22+'3 - Phase Durations'!$W$23)+$W31*'3 - Phase Durations'!$W$24)/12</f>
        <v>0.20000000000000004</v>
      </c>
      <c r="AP31" s="179">
        <f>($Q31*'3 - Phase Durations'!$X$16+$R31*'3 - Phase Durations'!$X$17+$S31*('3 - Phase Durations'!$X$18+'3 - Phase Durations'!$X$19)+$T31*'3 - Phase Durations'!$X$20+$U31*'3 - Phase Durations'!$X$21+$V31*('3 - Phase Durations'!$X$22+'3 - Phase Durations'!$X$23)+$W31*'3 - Phase Durations'!$X$24)/12</f>
        <v>0.20000000000000004</v>
      </c>
      <c r="AQ31" s="179">
        <f>($Q31*'3 - Phase Durations'!$Y$16+$R31*'3 - Phase Durations'!$Y$17+$S31*('3 - Phase Durations'!$Y$18+'3 - Phase Durations'!$Y$19)+$T31*'3 - Phase Durations'!$Y$20+$U31*'3 - Phase Durations'!$Y$21+$V31*('3 - Phase Durations'!$Y$22+'3 - Phase Durations'!$Y$23)+$W31*'3 - Phase Durations'!$Y$24)/12</f>
        <v>0.20054794520547947</v>
      </c>
      <c r="AR31" s="179">
        <f>($Q31*'3 - Phase Durations'!$Z$16+$R31*'3 - Phase Durations'!$Z$17+$S31*('3 - Phase Durations'!$Z$18+'3 - Phase Durations'!$Z$19)+$T31*'3 - Phase Durations'!$Z$20+$U31*'3 - Phase Durations'!$Z$21+$V31*('3 - Phase Durations'!$Z$22+'3 - Phase Durations'!$Z$23)+$W31*'3 - Phase Durations'!$Z$24)/12</f>
        <v>0.20000000000000004</v>
      </c>
      <c r="AS31" s="179">
        <f>($Q31*'3 - Phase Durations'!$AA$16+$R31*'3 - Phase Durations'!$AA$17+$S31*('3 - Phase Durations'!$AA$18+'3 - Phase Durations'!$AA$19)+$T31*'3 - Phase Durations'!$AA$20+$U31*'3 - Phase Durations'!$AA$21+$V31*('3 - Phase Durations'!$AA$22+'3 - Phase Durations'!$AA$23)+$W31*'3 - Phase Durations'!$AA$24)/12</f>
        <v>0.20000000000000004</v>
      </c>
      <c r="AT31" s="179">
        <f>($Q31*'3 - Phase Durations'!$AB$16+$R31*'3 - Phase Durations'!$AB$17+$S31*('3 - Phase Durations'!$AB$18+'3 - Phase Durations'!$AB$19)+$T31*'3 - Phase Durations'!$AB$20+$U31*'3 - Phase Durations'!$AB$21+$V31*('3 - Phase Durations'!$AB$22+'3 - Phase Durations'!$AB$23)+$W31*'3 - Phase Durations'!$AB$24)/12</f>
        <v>0.20000000000000004</v>
      </c>
      <c r="AU31" s="179">
        <f>($Q31*'3 - Phase Durations'!$AC$16+$R31*'3 - Phase Durations'!$AC$17+$S31*('3 - Phase Durations'!$AC$18+'3 - Phase Durations'!$AC$19)+$T31*'3 - Phase Durations'!$AC$20+$U31*'3 - Phase Durations'!$AC$21+$V31*('3 - Phase Durations'!$AC$22+'3 - Phase Durations'!$AC$23)+$W31*'3 - Phase Durations'!$AC$24)/12</f>
        <v>0.20054794520547947</v>
      </c>
      <c r="AV31" s="179">
        <f>($Q31*'3 - Phase Durations'!$AD$16+$R31*'3 - Phase Durations'!$AD$17+$S31*('3 - Phase Durations'!$AD$18+'3 - Phase Durations'!$AD$19)+$T31*'3 - Phase Durations'!$AD$20+$U31*'3 - Phase Durations'!$AD$21+$V31*('3 - Phase Durations'!$AD$22+'3 - Phase Durations'!$AD$23)+$W31*'3 - Phase Durations'!$AD$24)/12</f>
        <v>0.20000000000000004</v>
      </c>
      <c r="AW31" s="179">
        <f>($Q31*'3 - Phase Durations'!$AE$16+$R31*'3 - Phase Durations'!$AE$17+$S31*('3 - Phase Durations'!$AE$18+'3 - Phase Durations'!$AE$19)+$T31*'3 - Phase Durations'!$AE$20+$U31*'3 - Phase Durations'!$AE$21+$V31*('3 - Phase Durations'!$AE$22+'3 - Phase Durations'!$AE$23)+$W31*'3 - Phase Durations'!$AE$24)/12</f>
        <v>0.20000000000000004</v>
      </c>
      <c r="AX31" s="179">
        <f>($Q31*'3 - Phase Durations'!$AF$16+$R31*'3 - Phase Durations'!$AF$17+$S31*('3 - Phase Durations'!$AF$18+'3 - Phase Durations'!$AF$19)+$T31*'3 - Phase Durations'!$AF$20+$U31*'3 - Phase Durations'!$AF$21+$V31*('3 - Phase Durations'!$AF$22+'3 - Phase Durations'!$AF$23)+$W31*'3 - Phase Durations'!$AF$24)/12</f>
        <v>0.20000000000000004</v>
      </c>
      <c r="AY31" s="179">
        <f>($Q31*'3 - Phase Durations'!$AG$16+$R31*'3 - Phase Durations'!$AG$17+$S31*('3 - Phase Durations'!$AG$18+'3 - Phase Durations'!$AG$19)+$T31*'3 - Phase Durations'!$AG$20+$U31*'3 - Phase Durations'!$AG$21+$V31*('3 - Phase Durations'!$AG$22+'3 - Phase Durations'!$AG$23)+$W31*'3 - Phase Durations'!$AG$24)/12</f>
        <v>0.20054794520547947</v>
      </c>
      <c r="AZ31" s="179">
        <f>($Q31*'3 - Phase Durations'!$AH$16+$R31*'3 - Phase Durations'!$AH$17+$S31*('3 - Phase Durations'!$AH$18+'3 - Phase Durations'!$AH$19)+$T31*'3 - Phase Durations'!$AH$20+$U31*'3 - Phase Durations'!$AH$21+$V31*('3 - Phase Durations'!$AH$22+'3 - Phase Durations'!$AH$23)+$W31*'3 - Phase Durations'!$AH$24)/12</f>
        <v>0.20000000000000004</v>
      </c>
      <c r="BA31" s="179">
        <f>($Q31*'3 - Phase Durations'!$AI$16+$R31*'3 - Phase Durations'!$AI$17+$S31*('3 - Phase Durations'!$AI$18+'3 - Phase Durations'!$AI$19)+$T31*'3 - Phase Durations'!$AI$20+$U31*'3 - Phase Durations'!$AI$21+$V31*('3 - Phase Durations'!$AI$22+'3 - Phase Durations'!$AI$23)+$W31*'3 - Phase Durations'!$AI$24)/12</f>
        <v>0.20000000000000004</v>
      </c>
      <c r="BB31" s="179">
        <f>($Q31*'3 - Phase Durations'!$AJ$16+$R31*'3 - Phase Durations'!$AJ$17+$S31*('3 - Phase Durations'!$AJ$18+'3 - Phase Durations'!$AJ$19)+$T31*'3 - Phase Durations'!$AJ$20+$U31*'3 - Phase Durations'!$AJ$21+$V31*('3 - Phase Durations'!$AJ$22+'3 - Phase Durations'!$AJ$23)+$W31*'3 - Phase Durations'!$AJ$24)/12</f>
        <v>0.20000000000000004</v>
      </c>
      <c r="BC31" s="179">
        <f>($Q31*'3 - Phase Durations'!$AK$16+$R31*'3 - Phase Durations'!$AK$17+$S31*('3 - Phase Durations'!$AK$18+'3 - Phase Durations'!$AK$19)+$T31*'3 - Phase Durations'!$AK$20+$U31*'3 - Phase Durations'!$AK$21+$V31*('3 - Phase Durations'!$AK$22+'3 - Phase Durations'!$AK$23)+$W31*'3 - Phase Durations'!$AK$24)/12</f>
        <v>0.20054794520547947</v>
      </c>
      <c r="BD31" s="179">
        <f>($Q31*'3 - Phase Durations'!$AL$16+$R31*'3 - Phase Durations'!$AL$17+$S31*('3 - Phase Durations'!$AL$18+'3 - Phase Durations'!$AL$19)+$T31*'3 - Phase Durations'!$AL$20+$U31*'3 - Phase Durations'!$AL$21+$V31*('3 - Phase Durations'!$AL$22+'3 - Phase Durations'!$AL$23)+$W31*'3 - Phase Durations'!$AL$24)/12</f>
        <v>0.20000000000000004</v>
      </c>
      <c r="BE31" s="179">
        <f>($Q31*'3 - Phase Durations'!$AM$16+$R31*'3 - Phase Durations'!$AM$17+$S31*('3 - Phase Durations'!$AM$18+'3 - Phase Durations'!$AM$19)+$T31*'3 - Phase Durations'!$AM$20+$U31*'3 - Phase Durations'!$AM$21+$V31*('3 - Phase Durations'!$AM$22+'3 - Phase Durations'!$AM$23)+$W31*'3 - Phase Durations'!$AM$24)/12</f>
        <v>0.20000000000000004</v>
      </c>
      <c r="BF31" s="179">
        <f>($Q31*'3 - Phase Durations'!$AN$16+$R31*'3 - Phase Durations'!$AN$17+$S31*('3 - Phase Durations'!$AN$18+'3 - Phase Durations'!$AN$19)+$T31*'3 - Phase Durations'!$AN$20+$U31*'3 - Phase Durations'!$AN$21+$V31*('3 - Phase Durations'!$AN$22+'3 - Phase Durations'!$AN$23)+$W31*'3 - Phase Durations'!$AN$24)/12</f>
        <v>0.20000000000000004</v>
      </c>
      <c r="BG31" s="179">
        <f>($Q31*'3 - Phase Durations'!$AO$16+$R31*'3 - Phase Durations'!$AO$17+$S31*('3 - Phase Durations'!$AO$18+'3 - Phase Durations'!$AO$19)+$T31*'3 - Phase Durations'!$AO$20+$U31*'3 - Phase Durations'!$AO$21+$V31*('3 - Phase Durations'!$AO$22+'3 - Phase Durations'!$AO$23)+$W31*'3 - Phase Durations'!$AO$24)/12</f>
        <v>4.9863013698630138E-2</v>
      </c>
      <c r="BH31" s="180">
        <f t="shared" si="0"/>
        <v>5.05191780821918</v>
      </c>
    </row>
    <row r="32" spans="1:60" ht="30" customHeight="1">
      <c r="A32" s="167">
        <v>15</v>
      </c>
      <c r="B32" s="168" t="s">
        <v>1032</v>
      </c>
      <c r="C32" s="168" t="s">
        <v>1033</v>
      </c>
      <c r="D32" s="168" t="s">
        <v>1084</v>
      </c>
      <c r="E32" s="168" t="s">
        <v>1106</v>
      </c>
      <c r="F32" s="169" t="s">
        <v>1107</v>
      </c>
      <c r="G32" s="168" t="s">
        <v>1077</v>
      </c>
      <c r="H32" s="168" t="s">
        <v>1037</v>
      </c>
      <c r="I32" s="168" t="s">
        <v>1078</v>
      </c>
      <c r="J32" s="168" t="s">
        <v>1108</v>
      </c>
      <c r="K32" s="167" t="s">
        <v>1109</v>
      </c>
      <c r="L32" s="167" t="s">
        <v>1057</v>
      </c>
      <c r="M32" s="167" t="s">
        <v>1050</v>
      </c>
      <c r="N32" s="167" t="s">
        <v>1043</v>
      </c>
      <c r="O32" s="169" t="s">
        <v>1044</v>
      </c>
      <c r="P32" s="167" t="s">
        <v>1045</v>
      </c>
      <c r="Q32" s="170">
        <v>0</v>
      </c>
      <c r="R32" s="170">
        <v>0.1</v>
      </c>
      <c r="S32" s="170">
        <v>1</v>
      </c>
      <c r="T32" s="170">
        <v>0.2</v>
      </c>
      <c r="U32" s="170">
        <v>0.33</v>
      </c>
      <c r="V32" s="170">
        <v>0.05</v>
      </c>
      <c r="W32" s="170">
        <v>0</v>
      </c>
      <c r="X32" s="171">
        <f>IFERROR(VLOOKUP($M32,'Labour Rates lookup'!$A:$B,2,FALSE()),0)</f>
        <v>122000</v>
      </c>
      <c r="Y32" s="172">
        <f>($Q32*'3 - Phase Durations'!$G$16+$R32*'3 - Phase Durations'!$G$17+$S32*('3 - Phase Durations'!$G$18+'3 - Phase Durations'!$G$19)+$T32*'3 - Phase Durations'!$G$20+$U32*'3 - Phase Durations'!$G$21+$V32*('3 - Phase Durations'!$G$22+'3 - Phase Durations'!$G$23)+$W32*'3 - Phase Durations'!$G$24)/12</f>
        <v>0</v>
      </c>
      <c r="Z32" s="172">
        <f>($Q32*'3 - Phase Durations'!$H$16+$R32*'3 - Phase Durations'!$H$17+$S32*('3 - Phase Durations'!$H$18+'3 - Phase Durations'!$H$19)+$T32*'3 - Phase Durations'!$H$20+$U32*'3 - Phase Durations'!$H$21+$V32*('3 - Phase Durations'!$H$22+'3 - Phase Durations'!$H$23)+$W32*'3 - Phase Durations'!$H$24)/12</f>
        <v>0</v>
      </c>
      <c r="AA32" s="172">
        <f>($Q32*'3 - Phase Durations'!$I$16+$R32*'3 - Phase Durations'!$I$17+$S32*('3 - Phase Durations'!$I$18+'3 - Phase Durations'!$I$19)+$T32*'3 - Phase Durations'!$I$20+$U32*'3 - Phase Durations'!$I$21+$V32*('3 - Phase Durations'!$I$22+'3 - Phase Durations'!$I$23)+$W32*'3 - Phase Durations'!$I$24)/12</f>
        <v>2.4931506849315069E-2</v>
      </c>
      <c r="AB32" s="172">
        <f>($Q32*'3 - Phase Durations'!$J$16+$R32*'3 - Phase Durations'!$J$17+$S32*('3 - Phase Durations'!$J$18+'3 - Phase Durations'!$J$19)+$T32*'3 - Phase Durations'!$J$20+$U32*'3 - Phase Durations'!$J$21+$V32*('3 - Phase Durations'!$J$22+'3 - Phase Durations'!$J$23)+$W32*'3 - Phase Durations'!$J$24)/12</f>
        <v>0.10000000000000002</v>
      </c>
      <c r="AC32" s="172">
        <f>($Q32*'3 - Phase Durations'!$K$16+$R32*'3 - Phase Durations'!$K$17+$S32*('3 - Phase Durations'!$K$18+'3 - Phase Durations'!$K$19)+$T32*'3 - Phase Durations'!$K$20+$U32*'3 - Phase Durations'!$K$21+$V32*('3 - Phase Durations'!$K$22+'3 - Phase Durations'!$K$23)+$W32*'3 - Phase Durations'!$K$24)/12</f>
        <v>0.32191780821917809</v>
      </c>
      <c r="AD32" s="172">
        <f>($Q32*'3 - Phase Durations'!$L$16+$R32*'3 - Phase Durations'!$L$17+$S32*('3 - Phase Durations'!$L$18+'3 - Phase Durations'!$L$19)+$T32*'3 - Phase Durations'!$L$20+$U32*'3 - Phase Durations'!$L$21+$V32*('3 - Phase Durations'!$L$22+'3 - Phase Durations'!$L$23)+$W32*'3 - Phase Durations'!$L$24)/12</f>
        <v>1</v>
      </c>
      <c r="AE32" s="172">
        <f>($Q32*'3 - Phase Durations'!$M$16+$R32*'3 - Phase Durations'!$M$17+$S32*('3 - Phase Durations'!$M$18+'3 - Phase Durations'!$M$19)+$T32*'3 - Phase Durations'!$M$20+$U32*'3 - Phase Durations'!$M$21+$V32*('3 - Phase Durations'!$M$22+'3 - Phase Durations'!$M$23)+$W32*'3 - Phase Durations'!$M$24)/12</f>
        <v>0.80328767123287681</v>
      </c>
      <c r="AF32" s="172">
        <f>($Q32*'3 - Phase Durations'!$N$16+$R32*'3 - Phase Durations'!$N$17+$S32*('3 - Phase Durations'!$N$18+'3 - Phase Durations'!$N$19)+$T32*'3 - Phase Durations'!$N$20+$U32*'3 - Phase Durations'!$N$21+$V32*('3 - Phase Durations'!$N$22+'3 - Phase Durations'!$N$23)+$W32*'3 - Phase Durations'!$N$24)/12</f>
        <v>0.20000000000000004</v>
      </c>
      <c r="AG32" s="172">
        <f>($Q32*'3 - Phase Durations'!$O$16+$R32*'3 - Phase Durations'!$O$17+$S32*('3 - Phase Durations'!$O$18+'3 - Phase Durations'!$O$19)+$T32*'3 - Phase Durations'!$O$20+$U32*'3 - Phase Durations'!$O$21+$V32*('3 - Phase Durations'!$O$22+'3 - Phase Durations'!$O$23)+$W32*'3 - Phase Durations'!$O$24)/12</f>
        <v>0.23205479452054797</v>
      </c>
      <c r="AH32" s="172">
        <f>($Q32*'3 - Phase Durations'!$P$16+$R32*'3 - Phase Durations'!$P$17+$S32*('3 - Phase Durations'!$P$18+'3 - Phase Durations'!$P$19)+$T32*'3 - Phase Durations'!$P$20+$U32*'3 - Phase Durations'!$P$21+$V32*('3 - Phase Durations'!$P$22+'3 - Phase Durations'!$P$23)+$W32*'3 - Phase Durations'!$P$24)/12</f>
        <v>0.33</v>
      </c>
      <c r="AI32" s="172">
        <f>($Q32*'3 - Phase Durations'!$Q$16+$R32*'3 - Phase Durations'!$Q$17+$S32*('3 - Phase Durations'!$Q$18+'3 - Phase Durations'!$Q$19)+$T32*'3 - Phase Durations'!$Q$20+$U32*'3 - Phase Durations'!$Q$21+$V32*('3 - Phase Durations'!$Q$22+'3 - Phase Durations'!$Q$23)+$W32*'3 - Phase Durations'!$Q$24)/12</f>
        <v>0.33090410958904115</v>
      </c>
      <c r="AJ32" s="172">
        <f>($Q32*'3 - Phase Durations'!$R$16+$R32*'3 - Phase Durations'!$R$17+$S32*('3 - Phase Durations'!$R$18+'3 - Phase Durations'!$R$19)+$T32*'3 - Phase Durations'!$R$20+$U32*'3 - Phase Durations'!$R$21+$V32*('3 - Phase Durations'!$R$22+'3 - Phase Durations'!$R$23)+$W32*'3 - Phase Durations'!$R$24)/12</f>
        <v>0.33</v>
      </c>
      <c r="AK32" s="172">
        <f>($Q32*'3 - Phase Durations'!$S$16+$R32*'3 - Phase Durations'!$S$17+$S32*('3 - Phase Durations'!$S$18+'3 - Phase Durations'!$S$19)+$T32*'3 - Phase Durations'!$S$20+$U32*'3 - Phase Durations'!$S$21+$V32*('3 - Phase Durations'!$S$22+'3 - Phase Durations'!$S$23)+$W32*'3 - Phase Durations'!$S$24)/12</f>
        <v>0.33</v>
      </c>
      <c r="AL32" s="172">
        <f>($Q32*'3 - Phase Durations'!$T$16+$R32*'3 - Phase Durations'!$T$17+$S32*('3 - Phase Durations'!$T$18+'3 - Phase Durations'!$T$19)+$T32*'3 - Phase Durations'!$T$20+$U32*'3 - Phase Durations'!$T$21+$V32*('3 - Phase Durations'!$T$22+'3 - Phase Durations'!$T$23)+$W32*'3 - Phase Durations'!$T$24)/12</f>
        <v>0.33</v>
      </c>
      <c r="AM32" s="172">
        <f>($Q32*'3 - Phase Durations'!$U$16+$R32*'3 - Phase Durations'!$U$17+$S32*('3 - Phase Durations'!$U$18+'3 - Phase Durations'!$U$19)+$T32*'3 - Phase Durations'!$U$20+$U32*'3 - Phase Durations'!$U$21+$V32*('3 - Phase Durations'!$U$22+'3 - Phase Durations'!$U$23)+$W32*'3 - Phase Durations'!$U$24)/12</f>
        <v>0.33090410958904115</v>
      </c>
      <c r="AN32" s="172">
        <f>($Q32*'3 - Phase Durations'!$V$16+$R32*'3 - Phase Durations'!$V$17+$S32*('3 - Phase Durations'!$V$18+'3 - Phase Durations'!$V$19)+$T32*'3 - Phase Durations'!$V$20+$U32*'3 - Phase Durations'!$V$21+$V32*('3 - Phase Durations'!$V$22+'3 - Phase Durations'!$V$23)+$W32*'3 - Phase Durations'!$V$24)/12</f>
        <v>0.26095890410958905</v>
      </c>
      <c r="AO32" s="172">
        <f>($Q32*'3 - Phase Durations'!$W$16+$R32*'3 - Phase Durations'!$W$17+$S32*('3 - Phase Durations'!$W$18+'3 - Phase Durations'!$W$19)+$T32*'3 - Phase Durations'!$W$20+$U32*'3 - Phase Durations'!$W$21+$V32*('3 - Phase Durations'!$W$22+'3 - Phase Durations'!$W$23)+$W32*'3 - Phase Durations'!$W$24)/12</f>
        <v>5.000000000000001E-2</v>
      </c>
      <c r="AP32" s="172">
        <f>($Q32*'3 - Phase Durations'!$X$16+$R32*'3 - Phase Durations'!$X$17+$S32*('3 - Phase Durations'!$X$18+'3 - Phase Durations'!$X$19)+$T32*'3 - Phase Durations'!$X$20+$U32*'3 - Phase Durations'!$X$21+$V32*('3 - Phase Durations'!$X$22+'3 - Phase Durations'!$X$23)+$W32*'3 - Phase Durations'!$X$24)/12</f>
        <v>5.000000000000001E-2</v>
      </c>
      <c r="AQ32" s="172">
        <f>($Q32*'3 - Phase Durations'!$Y$16+$R32*'3 - Phase Durations'!$Y$17+$S32*('3 - Phase Durations'!$Y$18+'3 - Phase Durations'!$Y$19)+$T32*'3 - Phase Durations'!$Y$20+$U32*'3 - Phase Durations'!$Y$21+$V32*('3 - Phase Durations'!$Y$22+'3 - Phase Durations'!$Y$23)+$W32*'3 - Phase Durations'!$Y$24)/12</f>
        <v>5.0136986301369868E-2</v>
      </c>
      <c r="AR32" s="172">
        <f>($Q32*'3 - Phase Durations'!$Z$16+$R32*'3 - Phase Durations'!$Z$17+$S32*('3 - Phase Durations'!$Z$18+'3 - Phase Durations'!$Z$19)+$T32*'3 - Phase Durations'!$Z$20+$U32*'3 - Phase Durations'!$Z$21+$V32*('3 - Phase Durations'!$Z$22+'3 - Phase Durations'!$Z$23)+$W32*'3 - Phase Durations'!$Z$24)/12</f>
        <v>5.000000000000001E-2</v>
      </c>
      <c r="AS32" s="172">
        <f>($Q32*'3 - Phase Durations'!$AA$16+$R32*'3 - Phase Durations'!$AA$17+$S32*('3 - Phase Durations'!$AA$18+'3 - Phase Durations'!$AA$19)+$T32*'3 - Phase Durations'!$AA$20+$U32*'3 - Phase Durations'!$AA$21+$V32*('3 - Phase Durations'!$AA$22+'3 - Phase Durations'!$AA$23)+$W32*'3 - Phase Durations'!$AA$24)/12</f>
        <v>5.000000000000001E-2</v>
      </c>
      <c r="AT32" s="172">
        <f>($Q32*'3 - Phase Durations'!$AB$16+$R32*'3 - Phase Durations'!$AB$17+$S32*('3 - Phase Durations'!$AB$18+'3 - Phase Durations'!$AB$19)+$T32*'3 - Phase Durations'!$AB$20+$U32*'3 - Phase Durations'!$AB$21+$V32*('3 - Phase Durations'!$AB$22+'3 - Phase Durations'!$AB$23)+$W32*'3 - Phase Durations'!$AB$24)/12</f>
        <v>5.000000000000001E-2</v>
      </c>
      <c r="AU32" s="172">
        <f>($Q32*'3 - Phase Durations'!$AC$16+$R32*'3 - Phase Durations'!$AC$17+$S32*('3 - Phase Durations'!$AC$18+'3 - Phase Durations'!$AC$19)+$T32*'3 - Phase Durations'!$AC$20+$U32*'3 - Phase Durations'!$AC$21+$V32*('3 - Phase Durations'!$AC$22+'3 - Phase Durations'!$AC$23)+$W32*'3 - Phase Durations'!$AC$24)/12</f>
        <v>5.0136986301369868E-2</v>
      </c>
      <c r="AV32" s="172">
        <f>($Q32*'3 - Phase Durations'!$AD$16+$R32*'3 - Phase Durations'!$AD$17+$S32*('3 - Phase Durations'!$AD$18+'3 - Phase Durations'!$AD$19)+$T32*'3 - Phase Durations'!$AD$20+$U32*'3 - Phase Durations'!$AD$21+$V32*('3 - Phase Durations'!$AD$22+'3 - Phase Durations'!$AD$23)+$W32*'3 - Phase Durations'!$AD$24)/12</f>
        <v>5.000000000000001E-2</v>
      </c>
      <c r="AW32" s="172">
        <f>($Q32*'3 - Phase Durations'!$AE$16+$R32*'3 - Phase Durations'!$AE$17+$S32*('3 - Phase Durations'!$AE$18+'3 - Phase Durations'!$AE$19)+$T32*'3 - Phase Durations'!$AE$20+$U32*'3 - Phase Durations'!$AE$21+$V32*('3 - Phase Durations'!$AE$22+'3 - Phase Durations'!$AE$23)+$W32*'3 - Phase Durations'!$AE$24)/12</f>
        <v>5.000000000000001E-2</v>
      </c>
      <c r="AX32" s="172">
        <f>($Q32*'3 - Phase Durations'!$AF$16+$R32*'3 - Phase Durations'!$AF$17+$S32*('3 - Phase Durations'!$AF$18+'3 - Phase Durations'!$AF$19)+$T32*'3 - Phase Durations'!$AF$20+$U32*'3 - Phase Durations'!$AF$21+$V32*('3 - Phase Durations'!$AF$22+'3 - Phase Durations'!$AF$23)+$W32*'3 - Phase Durations'!$AF$24)/12</f>
        <v>5.000000000000001E-2</v>
      </c>
      <c r="AY32" s="172">
        <f>($Q32*'3 - Phase Durations'!$AG$16+$R32*'3 - Phase Durations'!$AG$17+$S32*('3 - Phase Durations'!$AG$18+'3 - Phase Durations'!$AG$19)+$T32*'3 - Phase Durations'!$AG$20+$U32*'3 - Phase Durations'!$AG$21+$V32*('3 - Phase Durations'!$AG$22+'3 - Phase Durations'!$AG$23)+$W32*'3 - Phase Durations'!$AG$24)/12</f>
        <v>5.0136986301369868E-2</v>
      </c>
      <c r="AZ32" s="172">
        <f>($Q32*'3 - Phase Durations'!$AH$16+$R32*'3 - Phase Durations'!$AH$17+$S32*('3 - Phase Durations'!$AH$18+'3 - Phase Durations'!$AH$19)+$T32*'3 - Phase Durations'!$AH$20+$U32*'3 - Phase Durations'!$AH$21+$V32*('3 - Phase Durations'!$AH$22+'3 - Phase Durations'!$AH$23)+$W32*'3 - Phase Durations'!$AH$24)/12</f>
        <v>5.000000000000001E-2</v>
      </c>
      <c r="BA32" s="172">
        <f>($Q32*'3 - Phase Durations'!$AI$16+$R32*'3 - Phase Durations'!$AI$17+$S32*('3 - Phase Durations'!$AI$18+'3 - Phase Durations'!$AI$19)+$T32*'3 - Phase Durations'!$AI$20+$U32*'3 - Phase Durations'!$AI$21+$V32*('3 - Phase Durations'!$AI$22+'3 - Phase Durations'!$AI$23)+$W32*'3 - Phase Durations'!$AI$24)/12</f>
        <v>5.000000000000001E-2</v>
      </c>
      <c r="BB32" s="172">
        <f>($Q32*'3 - Phase Durations'!$AJ$16+$R32*'3 - Phase Durations'!$AJ$17+$S32*('3 - Phase Durations'!$AJ$18+'3 - Phase Durations'!$AJ$19)+$T32*'3 - Phase Durations'!$AJ$20+$U32*'3 - Phase Durations'!$AJ$21+$V32*('3 - Phase Durations'!$AJ$22+'3 - Phase Durations'!$AJ$23)+$W32*'3 - Phase Durations'!$AJ$24)/12</f>
        <v>5.000000000000001E-2</v>
      </c>
      <c r="BC32" s="172">
        <f>($Q32*'3 - Phase Durations'!$AK$16+$R32*'3 - Phase Durations'!$AK$17+$S32*('3 - Phase Durations'!$AK$18+'3 - Phase Durations'!$AK$19)+$T32*'3 - Phase Durations'!$AK$20+$U32*'3 - Phase Durations'!$AK$21+$V32*('3 - Phase Durations'!$AK$22+'3 - Phase Durations'!$AK$23)+$W32*'3 - Phase Durations'!$AK$24)/12</f>
        <v>5.0136986301369868E-2</v>
      </c>
      <c r="BD32" s="172">
        <f>($Q32*'3 - Phase Durations'!$AL$16+$R32*'3 - Phase Durations'!$AL$17+$S32*('3 - Phase Durations'!$AL$18+'3 - Phase Durations'!$AL$19)+$T32*'3 - Phase Durations'!$AL$20+$U32*'3 - Phase Durations'!$AL$21+$V32*('3 - Phase Durations'!$AL$22+'3 - Phase Durations'!$AL$23)+$W32*'3 - Phase Durations'!$AL$24)/12</f>
        <v>5.000000000000001E-2</v>
      </c>
      <c r="BE32" s="172">
        <f>($Q32*'3 - Phase Durations'!$AM$16+$R32*'3 - Phase Durations'!$AM$17+$S32*('3 - Phase Durations'!$AM$18+'3 - Phase Durations'!$AM$19)+$T32*'3 - Phase Durations'!$AM$20+$U32*'3 - Phase Durations'!$AM$21+$V32*('3 - Phase Durations'!$AM$22+'3 - Phase Durations'!$AM$23)+$W32*'3 - Phase Durations'!$AM$24)/12</f>
        <v>5.000000000000001E-2</v>
      </c>
      <c r="BF32" s="172">
        <f>($Q32*'3 - Phase Durations'!$AN$16+$R32*'3 - Phase Durations'!$AN$17+$S32*('3 - Phase Durations'!$AN$18+'3 - Phase Durations'!$AN$19)+$T32*'3 - Phase Durations'!$AN$20+$U32*'3 - Phase Durations'!$AN$21+$V32*('3 - Phase Durations'!$AN$22+'3 - Phase Durations'!$AN$23)+$W32*'3 - Phase Durations'!$AN$24)/12</f>
        <v>5.000000000000001E-2</v>
      </c>
      <c r="BG32" s="172">
        <f>($Q32*'3 - Phase Durations'!$AO$16+$R32*'3 - Phase Durations'!$AO$17+$S32*('3 - Phase Durations'!$AO$18+'3 - Phase Durations'!$AO$19)+$T32*'3 - Phase Durations'!$AO$20+$U32*'3 - Phase Durations'!$AO$21+$V32*('3 - Phase Durations'!$AO$22+'3 - Phase Durations'!$AO$23)+$W32*'3 - Phase Durations'!$AO$24)/12</f>
        <v>1.2465753424657534E-2</v>
      </c>
      <c r="BH32" s="173">
        <f t="shared" si="0"/>
        <v>5.8379726027397236</v>
      </c>
    </row>
    <row r="33" spans="1:60" ht="30" customHeight="1">
      <c r="A33" s="174">
        <v>16</v>
      </c>
      <c r="B33" s="175" t="s">
        <v>1032</v>
      </c>
      <c r="C33" s="175" t="s">
        <v>1033</v>
      </c>
      <c r="D33" s="175" t="s">
        <v>1084</v>
      </c>
      <c r="E33" s="175" t="s">
        <v>278</v>
      </c>
      <c r="F33" s="176" t="s">
        <v>1110</v>
      </c>
      <c r="G33" s="175" t="s">
        <v>1077</v>
      </c>
      <c r="H33" s="175" t="s">
        <v>1037</v>
      </c>
      <c r="I33" s="175" t="s">
        <v>1078</v>
      </c>
      <c r="J33" s="175" t="s">
        <v>1111</v>
      </c>
      <c r="K33" s="174" t="s">
        <v>1112</v>
      </c>
      <c r="L33" s="174" t="s">
        <v>1057</v>
      </c>
      <c r="M33" s="174" t="s">
        <v>1058</v>
      </c>
      <c r="N33" s="174" t="s">
        <v>1043</v>
      </c>
      <c r="O33" s="176" t="s">
        <v>1044</v>
      </c>
      <c r="P33" s="174" t="s">
        <v>1045</v>
      </c>
      <c r="Q33" s="177">
        <v>0</v>
      </c>
      <c r="R33" s="177">
        <v>0</v>
      </c>
      <c r="S33" s="177">
        <v>1</v>
      </c>
      <c r="T33" s="177">
        <v>0.65</v>
      </c>
      <c r="U33" s="177">
        <v>0.35</v>
      </c>
      <c r="V33" s="177">
        <v>7.0000000000000007E-2</v>
      </c>
      <c r="W33" s="177">
        <v>0</v>
      </c>
      <c r="X33" s="178">
        <f>IFERROR(VLOOKUP($M33,'Labour Rates lookup'!$A:$B,2,FALSE()),0)</f>
        <v>105000</v>
      </c>
      <c r="Y33" s="179">
        <f>($Q33*'3 - Phase Durations'!$G$16+$R33*'3 - Phase Durations'!$G$17+$S33*('3 - Phase Durations'!$G$18+'3 - Phase Durations'!$G$19)+$T33*'3 - Phase Durations'!$G$20+$U33*'3 - Phase Durations'!$G$21+$V33*('3 - Phase Durations'!$G$22+'3 - Phase Durations'!$G$23)+$W33*'3 - Phase Durations'!$G$24)/12</f>
        <v>0</v>
      </c>
      <c r="Z33" s="179">
        <f>($Q33*'3 - Phase Durations'!$H$16+$R33*'3 - Phase Durations'!$H$17+$S33*('3 - Phase Durations'!$H$18+'3 - Phase Durations'!$H$19)+$T33*'3 - Phase Durations'!$H$20+$U33*'3 - Phase Durations'!$H$21+$V33*('3 - Phase Durations'!$H$22+'3 - Phase Durations'!$H$23)+$W33*'3 - Phase Durations'!$H$24)/12</f>
        <v>0</v>
      </c>
      <c r="AA33" s="179">
        <f>($Q33*'3 - Phase Durations'!$I$16+$R33*'3 - Phase Durations'!$I$17+$S33*('3 - Phase Durations'!$I$18+'3 - Phase Durations'!$I$19)+$T33*'3 - Phase Durations'!$I$20+$U33*'3 - Phase Durations'!$I$21+$V33*('3 - Phase Durations'!$I$22+'3 - Phase Durations'!$I$23)+$W33*'3 - Phase Durations'!$I$24)/12</f>
        <v>0</v>
      </c>
      <c r="AB33" s="179">
        <f>($Q33*'3 - Phase Durations'!$J$16+$R33*'3 - Phase Durations'!$J$17+$S33*('3 - Phase Durations'!$J$18+'3 - Phase Durations'!$J$19)+$T33*'3 - Phase Durations'!$J$20+$U33*'3 - Phase Durations'!$J$21+$V33*('3 - Phase Durations'!$J$22+'3 - Phase Durations'!$J$23)+$W33*'3 - Phase Durations'!$J$24)/12</f>
        <v>0</v>
      </c>
      <c r="AC33" s="179">
        <f>($Q33*'3 - Phase Durations'!$K$16+$R33*'3 - Phase Durations'!$K$17+$S33*('3 - Phase Durations'!$K$18+'3 - Phase Durations'!$K$19)+$T33*'3 - Phase Durations'!$K$20+$U33*'3 - Phase Durations'!$K$21+$V33*('3 - Phase Durations'!$K$22+'3 - Phase Durations'!$K$23)+$W33*'3 - Phase Durations'!$K$24)/12</f>
        <v>0.24657534246575341</v>
      </c>
      <c r="AD33" s="179">
        <f>($Q33*'3 - Phase Durations'!$L$16+$R33*'3 - Phase Durations'!$L$17+$S33*('3 - Phase Durations'!$L$18+'3 - Phase Durations'!$L$19)+$T33*'3 - Phase Durations'!$L$20+$U33*'3 - Phase Durations'!$L$21+$V33*('3 - Phase Durations'!$L$22+'3 - Phase Durations'!$L$23)+$W33*'3 - Phase Durations'!$L$24)/12</f>
        <v>1</v>
      </c>
      <c r="AE33" s="179">
        <f>($Q33*'3 - Phase Durations'!$M$16+$R33*'3 - Phase Durations'!$M$17+$S33*('3 - Phase Durations'!$M$18+'3 - Phase Durations'!$M$19)+$T33*'3 - Phase Durations'!$M$20+$U33*'3 - Phase Durations'!$M$21+$V33*('3 - Phase Durations'!$M$22+'3 - Phase Durations'!$M$23)+$W33*'3 - Phase Durations'!$M$24)/12</f>
        <v>0.91547945205479453</v>
      </c>
      <c r="AF33" s="179">
        <f>($Q33*'3 - Phase Durations'!$N$16+$R33*'3 - Phase Durations'!$N$17+$S33*('3 - Phase Durations'!$N$18+'3 - Phase Durations'!$N$19)+$T33*'3 - Phase Durations'!$N$20+$U33*'3 - Phase Durations'!$N$21+$V33*('3 - Phase Durations'!$N$22+'3 - Phase Durations'!$N$23)+$W33*'3 - Phase Durations'!$N$24)/12</f>
        <v>0.65</v>
      </c>
      <c r="AG33" s="179">
        <f>($Q33*'3 - Phase Durations'!$O$16+$R33*'3 - Phase Durations'!$O$17+$S33*('3 - Phase Durations'!$O$18+'3 - Phase Durations'!$O$19)+$T33*'3 - Phase Durations'!$O$20+$U33*'3 - Phase Durations'!$O$21+$V33*('3 - Phase Durations'!$O$22+'3 - Phase Durations'!$O$23)+$W33*'3 - Phase Durations'!$O$24)/12</f>
        <v>0.57602739726027397</v>
      </c>
      <c r="AH33" s="179">
        <f>($Q33*'3 - Phase Durations'!$P$16+$R33*'3 - Phase Durations'!$P$17+$S33*('3 - Phase Durations'!$P$18+'3 - Phase Durations'!$P$19)+$T33*'3 - Phase Durations'!$P$20+$U33*'3 - Phase Durations'!$P$21+$V33*('3 - Phase Durations'!$P$22+'3 - Phase Durations'!$P$23)+$W33*'3 - Phase Durations'!$P$24)/12</f>
        <v>0.34999999999999992</v>
      </c>
      <c r="AI33" s="179">
        <f>($Q33*'3 - Phase Durations'!$Q$16+$R33*'3 - Phase Durations'!$Q$17+$S33*('3 - Phase Durations'!$Q$18+'3 - Phase Durations'!$Q$19)+$T33*'3 - Phase Durations'!$Q$20+$U33*'3 - Phase Durations'!$Q$21+$V33*('3 - Phase Durations'!$Q$22+'3 - Phase Durations'!$Q$23)+$W33*'3 - Phase Durations'!$Q$24)/12</f>
        <v>0.35095890410958908</v>
      </c>
      <c r="AJ33" s="179">
        <f>($Q33*'3 - Phase Durations'!$R$16+$R33*'3 - Phase Durations'!$R$17+$S33*('3 - Phase Durations'!$R$18+'3 - Phase Durations'!$R$19)+$T33*'3 - Phase Durations'!$R$20+$U33*'3 - Phase Durations'!$R$21+$V33*('3 - Phase Durations'!$R$22+'3 - Phase Durations'!$R$23)+$W33*'3 - Phase Durations'!$R$24)/12</f>
        <v>0.34999999999999992</v>
      </c>
      <c r="AK33" s="179">
        <f>($Q33*'3 - Phase Durations'!$S$16+$R33*'3 - Phase Durations'!$S$17+$S33*('3 - Phase Durations'!$S$18+'3 - Phase Durations'!$S$19)+$T33*'3 - Phase Durations'!$S$20+$U33*'3 - Phase Durations'!$S$21+$V33*('3 - Phase Durations'!$S$22+'3 - Phase Durations'!$S$23)+$W33*'3 - Phase Durations'!$S$24)/12</f>
        <v>0.34999999999999992</v>
      </c>
      <c r="AL33" s="179">
        <f>($Q33*'3 - Phase Durations'!$T$16+$R33*'3 - Phase Durations'!$T$17+$S33*('3 - Phase Durations'!$T$18+'3 - Phase Durations'!$T$19)+$T33*'3 - Phase Durations'!$T$20+$U33*'3 - Phase Durations'!$T$21+$V33*('3 - Phase Durations'!$T$22+'3 - Phase Durations'!$T$23)+$W33*'3 - Phase Durations'!$T$24)/12</f>
        <v>0.34999999999999992</v>
      </c>
      <c r="AM33" s="179">
        <f>($Q33*'3 - Phase Durations'!$U$16+$R33*'3 - Phase Durations'!$U$17+$S33*('3 - Phase Durations'!$U$18+'3 - Phase Durations'!$U$19)+$T33*'3 - Phase Durations'!$U$20+$U33*'3 - Phase Durations'!$U$21+$V33*('3 - Phase Durations'!$U$22+'3 - Phase Durations'!$U$23)+$W33*'3 - Phase Durations'!$U$24)/12</f>
        <v>0.35095890410958908</v>
      </c>
      <c r="AN33" s="179">
        <f>($Q33*'3 - Phase Durations'!$V$16+$R33*'3 - Phase Durations'!$V$17+$S33*('3 - Phase Durations'!$V$18+'3 - Phase Durations'!$V$19)+$T33*'3 - Phase Durations'!$V$20+$U33*'3 - Phase Durations'!$V$21+$V33*('3 - Phase Durations'!$V$22+'3 - Phase Durations'!$V$23)+$W33*'3 - Phase Durations'!$V$24)/12</f>
        <v>0.28095890410958907</v>
      </c>
      <c r="AO33" s="179">
        <f>($Q33*'3 - Phase Durations'!$W$16+$R33*'3 - Phase Durations'!$W$17+$S33*('3 - Phase Durations'!$W$18+'3 - Phase Durations'!$W$19)+$T33*'3 - Phase Durations'!$W$20+$U33*'3 - Phase Durations'!$W$21+$V33*('3 - Phase Durations'!$W$22+'3 - Phase Durations'!$W$23)+$W33*'3 - Phase Durations'!$W$24)/12</f>
        <v>7.0000000000000007E-2</v>
      </c>
      <c r="AP33" s="179">
        <f>($Q33*'3 - Phase Durations'!$X$16+$R33*'3 - Phase Durations'!$X$17+$S33*('3 - Phase Durations'!$X$18+'3 - Phase Durations'!$X$19)+$T33*'3 - Phase Durations'!$X$20+$U33*'3 - Phase Durations'!$X$21+$V33*('3 - Phase Durations'!$X$22+'3 - Phase Durations'!$X$23)+$W33*'3 - Phase Durations'!$X$24)/12</f>
        <v>7.0000000000000007E-2</v>
      </c>
      <c r="AQ33" s="179">
        <f>($Q33*'3 - Phase Durations'!$Y$16+$R33*'3 - Phase Durations'!$Y$17+$S33*('3 - Phase Durations'!$Y$18+'3 - Phase Durations'!$Y$19)+$T33*'3 - Phase Durations'!$Y$20+$U33*'3 - Phase Durations'!$Y$21+$V33*('3 - Phase Durations'!$Y$22+'3 - Phase Durations'!$Y$23)+$W33*'3 - Phase Durations'!$Y$24)/12</f>
        <v>7.0191780821917821E-2</v>
      </c>
      <c r="AR33" s="179">
        <f>($Q33*'3 - Phase Durations'!$Z$16+$R33*'3 - Phase Durations'!$Z$17+$S33*('3 - Phase Durations'!$Z$18+'3 - Phase Durations'!$Z$19)+$T33*'3 - Phase Durations'!$Z$20+$U33*'3 - Phase Durations'!$Z$21+$V33*('3 - Phase Durations'!$Z$22+'3 - Phase Durations'!$Z$23)+$W33*'3 - Phase Durations'!$Z$24)/12</f>
        <v>7.0000000000000007E-2</v>
      </c>
      <c r="AS33" s="179">
        <f>($Q33*'3 - Phase Durations'!$AA$16+$R33*'3 - Phase Durations'!$AA$17+$S33*('3 - Phase Durations'!$AA$18+'3 - Phase Durations'!$AA$19)+$T33*'3 - Phase Durations'!$AA$20+$U33*'3 - Phase Durations'!$AA$21+$V33*('3 - Phase Durations'!$AA$22+'3 - Phase Durations'!$AA$23)+$W33*'3 - Phase Durations'!$AA$24)/12</f>
        <v>7.0000000000000007E-2</v>
      </c>
      <c r="AT33" s="179">
        <f>($Q33*'3 - Phase Durations'!$AB$16+$R33*'3 - Phase Durations'!$AB$17+$S33*('3 - Phase Durations'!$AB$18+'3 - Phase Durations'!$AB$19)+$T33*'3 - Phase Durations'!$AB$20+$U33*'3 - Phase Durations'!$AB$21+$V33*('3 - Phase Durations'!$AB$22+'3 - Phase Durations'!$AB$23)+$W33*'3 - Phase Durations'!$AB$24)/12</f>
        <v>7.0000000000000007E-2</v>
      </c>
      <c r="AU33" s="179">
        <f>($Q33*'3 - Phase Durations'!$AC$16+$R33*'3 - Phase Durations'!$AC$17+$S33*('3 - Phase Durations'!$AC$18+'3 - Phase Durations'!$AC$19)+$T33*'3 - Phase Durations'!$AC$20+$U33*'3 - Phase Durations'!$AC$21+$V33*('3 - Phase Durations'!$AC$22+'3 - Phase Durations'!$AC$23)+$W33*'3 - Phase Durations'!$AC$24)/12</f>
        <v>7.0191780821917821E-2</v>
      </c>
      <c r="AV33" s="179">
        <f>($Q33*'3 - Phase Durations'!$AD$16+$R33*'3 - Phase Durations'!$AD$17+$S33*('3 - Phase Durations'!$AD$18+'3 - Phase Durations'!$AD$19)+$T33*'3 - Phase Durations'!$AD$20+$U33*'3 - Phase Durations'!$AD$21+$V33*('3 - Phase Durations'!$AD$22+'3 - Phase Durations'!$AD$23)+$W33*'3 - Phase Durations'!$AD$24)/12</f>
        <v>7.0000000000000007E-2</v>
      </c>
      <c r="AW33" s="179">
        <f>($Q33*'3 - Phase Durations'!$AE$16+$R33*'3 - Phase Durations'!$AE$17+$S33*('3 - Phase Durations'!$AE$18+'3 - Phase Durations'!$AE$19)+$T33*'3 - Phase Durations'!$AE$20+$U33*'3 - Phase Durations'!$AE$21+$V33*('3 - Phase Durations'!$AE$22+'3 - Phase Durations'!$AE$23)+$W33*'3 - Phase Durations'!$AE$24)/12</f>
        <v>7.0000000000000007E-2</v>
      </c>
      <c r="AX33" s="179">
        <f>($Q33*'3 - Phase Durations'!$AF$16+$R33*'3 - Phase Durations'!$AF$17+$S33*('3 - Phase Durations'!$AF$18+'3 - Phase Durations'!$AF$19)+$T33*'3 - Phase Durations'!$AF$20+$U33*'3 - Phase Durations'!$AF$21+$V33*('3 - Phase Durations'!$AF$22+'3 - Phase Durations'!$AF$23)+$W33*'3 - Phase Durations'!$AF$24)/12</f>
        <v>7.0000000000000007E-2</v>
      </c>
      <c r="AY33" s="179">
        <f>($Q33*'3 - Phase Durations'!$AG$16+$R33*'3 - Phase Durations'!$AG$17+$S33*('3 - Phase Durations'!$AG$18+'3 - Phase Durations'!$AG$19)+$T33*'3 - Phase Durations'!$AG$20+$U33*'3 - Phase Durations'!$AG$21+$V33*('3 - Phase Durations'!$AG$22+'3 - Phase Durations'!$AG$23)+$W33*'3 - Phase Durations'!$AG$24)/12</f>
        <v>7.0191780821917821E-2</v>
      </c>
      <c r="AZ33" s="179">
        <f>($Q33*'3 - Phase Durations'!$AH$16+$R33*'3 - Phase Durations'!$AH$17+$S33*('3 - Phase Durations'!$AH$18+'3 - Phase Durations'!$AH$19)+$T33*'3 - Phase Durations'!$AH$20+$U33*'3 - Phase Durations'!$AH$21+$V33*('3 - Phase Durations'!$AH$22+'3 - Phase Durations'!$AH$23)+$W33*'3 - Phase Durations'!$AH$24)/12</f>
        <v>7.0000000000000007E-2</v>
      </c>
      <c r="BA33" s="179">
        <f>($Q33*'3 - Phase Durations'!$AI$16+$R33*'3 - Phase Durations'!$AI$17+$S33*('3 - Phase Durations'!$AI$18+'3 - Phase Durations'!$AI$19)+$T33*'3 - Phase Durations'!$AI$20+$U33*'3 - Phase Durations'!$AI$21+$V33*('3 - Phase Durations'!$AI$22+'3 - Phase Durations'!$AI$23)+$W33*'3 - Phase Durations'!$AI$24)/12</f>
        <v>7.0000000000000007E-2</v>
      </c>
      <c r="BB33" s="179">
        <f>($Q33*'3 - Phase Durations'!$AJ$16+$R33*'3 - Phase Durations'!$AJ$17+$S33*('3 - Phase Durations'!$AJ$18+'3 - Phase Durations'!$AJ$19)+$T33*'3 - Phase Durations'!$AJ$20+$U33*'3 - Phase Durations'!$AJ$21+$V33*('3 - Phase Durations'!$AJ$22+'3 - Phase Durations'!$AJ$23)+$W33*'3 - Phase Durations'!$AJ$24)/12</f>
        <v>7.0000000000000007E-2</v>
      </c>
      <c r="BC33" s="179">
        <f>($Q33*'3 - Phase Durations'!$AK$16+$R33*'3 - Phase Durations'!$AK$17+$S33*('3 - Phase Durations'!$AK$18+'3 - Phase Durations'!$AK$19)+$T33*'3 - Phase Durations'!$AK$20+$U33*'3 - Phase Durations'!$AK$21+$V33*('3 - Phase Durations'!$AK$22+'3 - Phase Durations'!$AK$23)+$W33*'3 - Phase Durations'!$AK$24)/12</f>
        <v>7.0191780821917821E-2</v>
      </c>
      <c r="BD33" s="179">
        <f>($Q33*'3 - Phase Durations'!$AL$16+$R33*'3 - Phase Durations'!$AL$17+$S33*('3 - Phase Durations'!$AL$18+'3 - Phase Durations'!$AL$19)+$T33*'3 - Phase Durations'!$AL$20+$U33*'3 - Phase Durations'!$AL$21+$V33*('3 - Phase Durations'!$AL$22+'3 - Phase Durations'!$AL$23)+$W33*'3 - Phase Durations'!$AL$24)/12</f>
        <v>7.0000000000000007E-2</v>
      </c>
      <c r="BE33" s="179">
        <f>($Q33*'3 - Phase Durations'!$AM$16+$R33*'3 - Phase Durations'!$AM$17+$S33*('3 - Phase Durations'!$AM$18+'3 - Phase Durations'!$AM$19)+$T33*'3 - Phase Durations'!$AM$20+$U33*'3 - Phase Durations'!$AM$21+$V33*('3 - Phase Durations'!$AM$22+'3 - Phase Durations'!$AM$23)+$W33*'3 - Phase Durations'!$AM$24)/12</f>
        <v>7.0000000000000007E-2</v>
      </c>
      <c r="BF33" s="179">
        <f>($Q33*'3 - Phase Durations'!$AN$16+$R33*'3 - Phase Durations'!$AN$17+$S33*('3 - Phase Durations'!$AN$18+'3 - Phase Durations'!$AN$19)+$T33*'3 - Phase Durations'!$AN$20+$U33*'3 - Phase Durations'!$AN$21+$V33*('3 - Phase Durations'!$AN$22+'3 - Phase Durations'!$AN$23)+$W33*'3 - Phase Durations'!$AN$24)/12</f>
        <v>7.0000000000000007E-2</v>
      </c>
      <c r="BG33" s="179">
        <f>($Q33*'3 - Phase Durations'!$AO$16+$R33*'3 - Phase Durations'!$AO$17+$S33*('3 - Phase Durations'!$AO$18+'3 - Phase Durations'!$AO$19)+$T33*'3 - Phase Durations'!$AO$20+$U33*'3 - Phase Durations'!$AO$21+$V33*('3 - Phase Durations'!$AO$22+'3 - Phase Durations'!$AO$23)+$W33*'3 - Phase Durations'!$AO$24)/12</f>
        <v>1.7452054794520552E-2</v>
      </c>
      <c r="BH33" s="180">
        <f t="shared" si="0"/>
        <v>7.0491780821917835</v>
      </c>
    </row>
    <row r="34" spans="1:60" ht="30" customHeight="1">
      <c r="A34" s="167">
        <v>17</v>
      </c>
      <c r="B34" s="168" t="s">
        <v>1032</v>
      </c>
      <c r="C34" s="168" t="s">
        <v>1033</v>
      </c>
      <c r="D34" s="168" t="s">
        <v>1084</v>
      </c>
      <c r="E34" s="168" t="s">
        <v>1113</v>
      </c>
      <c r="F34" s="169" t="s">
        <v>1114</v>
      </c>
      <c r="G34" s="168" t="s">
        <v>1077</v>
      </c>
      <c r="H34" s="168" t="s">
        <v>1037</v>
      </c>
      <c r="I34" s="168" t="s">
        <v>1078</v>
      </c>
      <c r="J34" s="168" t="s">
        <v>1115</v>
      </c>
      <c r="K34" s="167" t="s">
        <v>1116</v>
      </c>
      <c r="L34" s="167" t="s">
        <v>1057</v>
      </c>
      <c r="M34" s="167" t="s">
        <v>1062</v>
      </c>
      <c r="N34" s="167" t="s">
        <v>1043</v>
      </c>
      <c r="O34" s="169" t="s">
        <v>1044</v>
      </c>
      <c r="P34" s="167" t="s">
        <v>1045</v>
      </c>
      <c r="Q34" s="170">
        <v>0</v>
      </c>
      <c r="R34" s="170">
        <v>0.25</v>
      </c>
      <c r="S34" s="170">
        <v>0</v>
      </c>
      <c r="T34" s="170">
        <v>0.2</v>
      </c>
      <c r="U34" s="170">
        <v>0.37</v>
      </c>
      <c r="V34" s="170">
        <v>1</v>
      </c>
      <c r="W34" s="170">
        <v>0</v>
      </c>
      <c r="X34" s="171">
        <f>IFERROR(VLOOKUP($M34,'Labour Rates lookup'!$A:$B,2,FALSE()),0)</f>
        <v>145000</v>
      </c>
      <c r="Y34" s="172">
        <f>($Q34*'3 - Phase Durations'!$G$16+$R34*'3 - Phase Durations'!$G$17+$S34*('3 - Phase Durations'!$G$18+'3 - Phase Durations'!$G$19)+$T34*'3 - Phase Durations'!$G$20+$U34*'3 - Phase Durations'!$G$21+$V34*('3 - Phase Durations'!$G$22+'3 - Phase Durations'!$G$23)+$W34*'3 - Phase Durations'!$G$24)/12</f>
        <v>0</v>
      </c>
      <c r="Z34" s="172">
        <f>($Q34*'3 - Phase Durations'!$H$16+$R34*'3 - Phase Durations'!$H$17+$S34*('3 - Phase Durations'!$H$18+'3 - Phase Durations'!$H$19)+$T34*'3 - Phase Durations'!$H$20+$U34*'3 - Phase Durations'!$H$21+$V34*('3 - Phase Durations'!$H$22+'3 - Phase Durations'!$H$23)+$W34*'3 - Phase Durations'!$H$24)/12</f>
        <v>0</v>
      </c>
      <c r="AA34" s="172">
        <f>($Q34*'3 - Phase Durations'!$I$16+$R34*'3 - Phase Durations'!$I$17+$S34*('3 - Phase Durations'!$I$18+'3 - Phase Durations'!$I$19)+$T34*'3 - Phase Durations'!$I$20+$U34*'3 - Phase Durations'!$I$21+$V34*('3 - Phase Durations'!$I$22+'3 - Phase Durations'!$I$23)+$W34*'3 - Phase Durations'!$I$24)/12</f>
        <v>6.2328767123287672E-2</v>
      </c>
      <c r="AB34" s="172">
        <f>($Q34*'3 - Phase Durations'!$J$16+$R34*'3 - Phase Durations'!$J$17+$S34*('3 - Phase Durations'!$J$18+'3 - Phase Durations'!$J$19)+$T34*'3 - Phase Durations'!$J$20+$U34*'3 - Phase Durations'!$J$21+$V34*('3 - Phase Durations'!$J$22+'3 - Phase Durations'!$J$23)+$W34*'3 - Phase Durations'!$J$24)/12</f>
        <v>0.25</v>
      </c>
      <c r="AC34" s="172">
        <f>($Q34*'3 - Phase Durations'!$K$16+$R34*'3 - Phase Durations'!$K$17+$S34*('3 - Phase Durations'!$K$18+'3 - Phase Durations'!$K$19)+$T34*'3 - Phase Durations'!$K$20+$U34*'3 - Phase Durations'!$K$21+$V34*('3 - Phase Durations'!$K$22+'3 - Phase Durations'!$K$23)+$W34*'3 - Phase Durations'!$K$24)/12</f>
        <v>0.18835616438356165</v>
      </c>
      <c r="AD34" s="172">
        <f>($Q34*'3 - Phase Durations'!$L$16+$R34*'3 - Phase Durations'!$L$17+$S34*('3 - Phase Durations'!$L$18+'3 - Phase Durations'!$L$19)+$T34*'3 - Phase Durations'!$L$20+$U34*'3 - Phase Durations'!$L$21+$V34*('3 - Phase Durations'!$L$22+'3 - Phase Durations'!$L$23)+$W34*'3 - Phase Durations'!$L$24)/12</f>
        <v>0</v>
      </c>
      <c r="AE34" s="172">
        <f>($Q34*'3 - Phase Durations'!$M$16+$R34*'3 - Phase Durations'!$M$17+$S34*('3 - Phase Durations'!$M$18+'3 - Phase Durations'!$M$19)+$T34*'3 - Phase Durations'!$M$20+$U34*'3 - Phase Durations'!$M$21+$V34*('3 - Phase Durations'!$M$22+'3 - Phase Durations'!$M$23)+$W34*'3 - Phase Durations'!$M$24)/12</f>
        <v>4.9863013698630138E-2</v>
      </c>
      <c r="AF34" s="172">
        <f>($Q34*'3 - Phase Durations'!$N$16+$R34*'3 - Phase Durations'!$N$17+$S34*('3 - Phase Durations'!$N$18+'3 - Phase Durations'!$N$19)+$T34*'3 - Phase Durations'!$N$20+$U34*'3 - Phase Durations'!$N$21+$V34*('3 - Phase Durations'!$N$22+'3 - Phase Durations'!$N$23)+$W34*'3 - Phase Durations'!$N$24)/12</f>
        <v>0.20000000000000004</v>
      </c>
      <c r="AG34" s="172">
        <f>($Q34*'3 - Phase Durations'!$O$16+$R34*'3 - Phase Durations'!$O$17+$S34*('3 - Phase Durations'!$O$18+'3 - Phase Durations'!$O$19)+$T34*'3 - Phase Durations'!$O$20+$U34*'3 - Phase Durations'!$O$21+$V34*('3 - Phase Durations'!$O$22+'3 - Phase Durations'!$O$23)+$W34*'3 - Phase Durations'!$O$24)/12</f>
        <v>0.2419178082191781</v>
      </c>
      <c r="AH34" s="172">
        <f>($Q34*'3 - Phase Durations'!$P$16+$R34*'3 - Phase Durations'!$P$17+$S34*('3 - Phase Durations'!$P$18+'3 - Phase Durations'!$P$19)+$T34*'3 - Phase Durations'!$P$20+$U34*'3 - Phase Durations'!$P$21+$V34*('3 - Phase Durations'!$P$22+'3 - Phase Durations'!$P$23)+$W34*'3 - Phase Durations'!$P$24)/12</f>
        <v>0.36999999999999994</v>
      </c>
      <c r="AI34" s="172">
        <f>($Q34*'3 - Phase Durations'!$Q$16+$R34*'3 - Phase Durations'!$Q$17+$S34*('3 - Phase Durations'!$Q$18+'3 - Phase Durations'!$Q$19)+$T34*'3 - Phase Durations'!$Q$20+$U34*'3 - Phase Durations'!$Q$21+$V34*('3 - Phase Durations'!$Q$22+'3 - Phase Durations'!$Q$23)+$W34*'3 - Phase Durations'!$Q$24)/12</f>
        <v>0.37101369863013706</v>
      </c>
      <c r="AJ34" s="172">
        <f>($Q34*'3 - Phase Durations'!$R$16+$R34*'3 - Phase Durations'!$R$17+$S34*('3 - Phase Durations'!$R$18+'3 - Phase Durations'!$R$19)+$T34*'3 - Phase Durations'!$R$20+$U34*'3 - Phase Durations'!$R$21+$V34*('3 - Phase Durations'!$R$22+'3 - Phase Durations'!$R$23)+$W34*'3 - Phase Durations'!$R$24)/12</f>
        <v>0.36999999999999994</v>
      </c>
      <c r="AK34" s="172">
        <f>($Q34*'3 - Phase Durations'!$S$16+$R34*'3 - Phase Durations'!$S$17+$S34*('3 - Phase Durations'!$S$18+'3 - Phase Durations'!$S$19)+$T34*'3 - Phase Durations'!$S$20+$U34*'3 - Phase Durations'!$S$21+$V34*('3 - Phase Durations'!$S$22+'3 - Phase Durations'!$S$23)+$W34*'3 - Phase Durations'!$S$24)/12</f>
        <v>0.36999999999999994</v>
      </c>
      <c r="AL34" s="172">
        <f>($Q34*'3 - Phase Durations'!$T$16+$R34*'3 - Phase Durations'!$T$17+$S34*('3 - Phase Durations'!$T$18+'3 - Phase Durations'!$T$19)+$T34*'3 - Phase Durations'!$T$20+$U34*'3 - Phase Durations'!$T$21+$V34*('3 - Phase Durations'!$T$22+'3 - Phase Durations'!$T$23)+$W34*'3 - Phase Durations'!$T$24)/12</f>
        <v>0.36999999999999994</v>
      </c>
      <c r="AM34" s="172">
        <f>($Q34*'3 - Phase Durations'!$U$16+$R34*'3 - Phase Durations'!$U$17+$S34*('3 - Phase Durations'!$U$18+'3 - Phase Durations'!$U$19)+$T34*'3 - Phase Durations'!$U$20+$U34*'3 - Phase Durations'!$U$21+$V34*('3 - Phase Durations'!$U$22+'3 - Phase Durations'!$U$23)+$W34*'3 - Phase Durations'!$U$24)/12</f>
        <v>0.37101369863013706</v>
      </c>
      <c r="AN34" s="172">
        <f>($Q34*'3 - Phase Durations'!$V$16+$R34*'3 - Phase Durations'!$V$17+$S34*('3 - Phase Durations'!$V$18+'3 - Phase Durations'!$V$19)+$T34*'3 - Phase Durations'!$V$20+$U34*'3 - Phase Durations'!$V$21+$V34*('3 - Phase Durations'!$V$22+'3 - Phase Durations'!$V$23)+$W34*'3 - Phase Durations'!$V$24)/12</f>
        <v>0.52534246575342458</v>
      </c>
      <c r="AO34" s="172">
        <f>($Q34*'3 - Phase Durations'!$W$16+$R34*'3 - Phase Durations'!$W$17+$S34*('3 - Phase Durations'!$W$18+'3 - Phase Durations'!$W$19)+$T34*'3 - Phase Durations'!$W$20+$U34*'3 - Phase Durations'!$W$21+$V34*('3 - Phase Durations'!$W$22+'3 - Phase Durations'!$W$23)+$W34*'3 - Phase Durations'!$W$24)/12</f>
        <v>1</v>
      </c>
      <c r="AP34" s="172">
        <f>($Q34*'3 - Phase Durations'!$X$16+$R34*'3 - Phase Durations'!$X$17+$S34*('3 - Phase Durations'!$X$18+'3 - Phase Durations'!$X$19)+$T34*'3 - Phase Durations'!$X$20+$U34*'3 - Phase Durations'!$X$21+$V34*('3 - Phase Durations'!$X$22+'3 - Phase Durations'!$X$23)+$W34*'3 - Phase Durations'!$X$24)/12</f>
        <v>1</v>
      </c>
      <c r="AQ34" s="172">
        <f>($Q34*'3 - Phase Durations'!$Y$16+$R34*'3 - Phase Durations'!$Y$17+$S34*('3 - Phase Durations'!$Y$18+'3 - Phase Durations'!$Y$19)+$T34*'3 - Phase Durations'!$Y$20+$U34*'3 - Phase Durations'!$Y$21+$V34*('3 - Phase Durations'!$Y$22+'3 - Phase Durations'!$Y$23)+$W34*'3 - Phase Durations'!$Y$24)/12</f>
        <v>1.0027397260273974</v>
      </c>
      <c r="AR34" s="172">
        <f>($Q34*'3 - Phase Durations'!$Z$16+$R34*'3 - Phase Durations'!$Z$17+$S34*('3 - Phase Durations'!$Z$18+'3 - Phase Durations'!$Z$19)+$T34*'3 - Phase Durations'!$Z$20+$U34*'3 - Phase Durations'!$Z$21+$V34*('3 - Phase Durations'!$Z$22+'3 - Phase Durations'!$Z$23)+$W34*'3 - Phase Durations'!$Z$24)/12</f>
        <v>1</v>
      </c>
      <c r="AS34" s="172">
        <f>($Q34*'3 - Phase Durations'!$AA$16+$R34*'3 - Phase Durations'!$AA$17+$S34*('3 - Phase Durations'!$AA$18+'3 - Phase Durations'!$AA$19)+$T34*'3 - Phase Durations'!$AA$20+$U34*'3 - Phase Durations'!$AA$21+$V34*('3 - Phase Durations'!$AA$22+'3 - Phase Durations'!$AA$23)+$W34*'3 - Phase Durations'!$AA$24)/12</f>
        <v>1</v>
      </c>
      <c r="AT34" s="172">
        <f>($Q34*'3 - Phase Durations'!$AB$16+$R34*'3 - Phase Durations'!$AB$17+$S34*('3 - Phase Durations'!$AB$18+'3 - Phase Durations'!$AB$19)+$T34*'3 - Phase Durations'!$AB$20+$U34*'3 - Phase Durations'!$AB$21+$V34*('3 - Phase Durations'!$AB$22+'3 - Phase Durations'!$AB$23)+$W34*'3 - Phase Durations'!$AB$24)/12</f>
        <v>1</v>
      </c>
      <c r="AU34" s="172">
        <f>($Q34*'3 - Phase Durations'!$AC$16+$R34*'3 - Phase Durations'!$AC$17+$S34*('3 - Phase Durations'!$AC$18+'3 - Phase Durations'!$AC$19)+$T34*'3 - Phase Durations'!$AC$20+$U34*'3 - Phase Durations'!$AC$21+$V34*('3 - Phase Durations'!$AC$22+'3 - Phase Durations'!$AC$23)+$W34*'3 - Phase Durations'!$AC$24)/12</f>
        <v>1.0027397260273974</v>
      </c>
      <c r="AV34" s="172">
        <f>($Q34*'3 - Phase Durations'!$AD$16+$R34*'3 - Phase Durations'!$AD$17+$S34*('3 - Phase Durations'!$AD$18+'3 - Phase Durations'!$AD$19)+$T34*'3 - Phase Durations'!$AD$20+$U34*'3 - Phase Durations'!$AD$21+$V34*('3 - Phase Durations'!$AD$22+'3 - Phase Durations'!$AD$23)+$W34*'3 - Phase Durations'!$AD$24)/12</f>
        <v>1</v>
      </c>
      <c r="AW34" s="172">
        <f>($Q34*'3 - Phase Durations'!$AE$16+$R34*'3 - Phase Durations'!$AE$17+$S34*('3 - Phase Durations'!$AE$18+'3 - Phase Durations'!$AE$19)+$T34*'3 - Phase Durations'!$AE$20+$U34*'3 - Phase Durations'!$AE$21+$V34*('3 - Phase Durations'!$AE$22+'3 - Phase Durations'!$AE$23)+$W34*'3 - Phase Durations'!$AE$24)/12</f>
        <v>1</v>
      </c>
      <c r="AX34" s="172">
        <f>($Q34*'3 - Phase Durations'!$AF$16+$R34*'3 - Phase Durations'!$AF$17+$S34*('3 - Phase Durations'!$AF$18+'3 - Phase Durations'!$AF$19)+$T34*'3 - Phase Durations'!$AF$20+$U34*'3 - Phase Durations'!$AF$21+$V34*('3 - Phase Durations'!$AF$22+'3 - Phase Durations'!$AF$23)+$W34*'3 - Phase Durations'!$AF$24)/12</f>
        <v>1</v>
      </c>
      <c r="AY34" s="172">
        <f>($Q34*'3 - Phase Durations'!$AG$16+$R34*'3 - Phase Durations'!$AG$17+$S34*('3 - Phase Durations'!$AG$18+'3 - Phase Durations'!$AG$19)+$T34*'3 - Phase Durations'!$AG$20+$U34*'3 - Phase Durations'!$AG$21+$V34*('3 - Phase Durations'!$AG$22+'3 - Phase Durations'!$AG$23)+$W34*'3 - Phase Durations'!$AG$24)/12</f>
        <v>1.0027397260273974</v>
      </c>
      <c r="AZ34" s="172">
        <f>($Q34*'3 - Phase Durations'!$AH$16+$R34*'3 - Phase Durations'!$AH$17+$S34*('3 - Phase Durations'!$AH$18+'3 - Phase Durations'!$AH$19)+$T34*'3 - Phase Durations'!$AH$20+$U34*'3 - Phase Durations'!$AH$21+$V34*('3 - Phase Durations'!$AH$22+'3 - Phase Durations'!$AH$23)+$W34*'3 - Phase Durations'!$AH$24)/12</f>
        <v>1</v>
      </c>
      <c r="BA34" s="172">
        <f>($Q34*'3 - Phase Durations'!$AI$16+$R34*'3 - Phase Durations'!$AI$17+$S34*('3 - Phase Durations'!$AI$18+'3 - Phase Durations'!$AI$19)+$T34*'3 - Phase Durations'!$AI$20+$U34*'3 - Phase Durations'!$AI$21+$V34*('3 - Phase Durations'!$AI$22+'3 - Phase Durations'!$AI$23)+$W34*'3 - Phase Durations'!$AI$24)/12</f>
        <v>1</v>
      </c>
      <c r="BB34" s="172">
        <f>($Q34*'3 - Phase Durations'!$AJ$16+$R34*'3 - Phase Durations'!$AJ$17+$S34*('3 - Phase Durations'!$AJ$18+'3 - Phase Durations'!$AJ$19)+$T34*'3 - Phase Durations'!$AJ$20+$U34*'3 - Phase Durations'!$AJ$21+$V34*('3 - Phase Durations'!$AJ$22+'3 - Phase Durations'!$AJ$23)+$W34*'3 - Phase Durations'!$AJ$24)/12</f>
        <v>1</v>
      </c>
      <c r="BC34" s="172">
        <f>($Q34*'3 - Phase Durations'!$AK$16+$R34*'3 - Phase Durations'!$AK$17+$S34*('3 - Phase Durations'!$AK$18+'3 - Phase Durations'!$AK$19)+$T34*'3 - Phase Durations'!$AK$20+$U34*'3 - Phase Durations'!$AK$21+$V34*('3 - Phase Durations'!$AK$22+'3 - Phase Durations'!$AK$23)+$W34*'3 - Phase Durations'!$AK$24)/12</f>
        <v>1.0027397260273974</v>
      </c>
      <c r="BD34" s="172">
        <f>($Q34*'3 - Phase Durations'!$AL$16+$R34*'3 - Phase Durations'!$AL$17+$S34*('3 - Phase Durations'!$AL$18+'3 - Phase Durations'!$AL$19)+$T34*'3 - Phase Durations'!$AL$20+$U34*'3 - Phase Durations'!$AL$21+$V34*('3 - Phase Durations'!$AL$22+'3 - Phase Durations'!$AL$23)+$W34*'3 - Phase Durations'!$AL$24)/12</f>
        <v>1</v>
      </c>
      <c r="BE34" s="172">
        <f>($Q34*'3 - Phase Durations'!$AM$16+$R34*'3 - Phase Durations'!$AM$17+$S34*('3 - Phase Durations'!$AM$18+'3 - Phase Durations'!$AM$19)+$T34*'3 - Phase Durations'!$AM$20+$U34*'3 - Phase Durations'!$AM$21+$V34*('3 - Phase Durations'!$AM$22+'3 - Phase Durations'!$AM$23)+$W34*'3 - Phase Durations'!$AM$24)/12</f>
        <v>1</v>
      </c>
      <c r="BF34" s="172">
        <f>($Q34*'3 - Phase Durations'!$AN$16+$R34*'3 - Phase Durations'!$AN$17+$S34*('3 - Phase Durations'!$AN$18+'3 - Phase Durations'!$AN$19)+$T34*'3 - Phase Durations'!$AN$20+$U34*'3 - Phase Durations'!$AN$21+$V34*('3 - Phase Durations'!$AN$22+'3 - Phase Durations'!$AN$23)+$W34*'3 - Phase Durations'!$AN$24)/12</f>
        <v>1</v>
      </c>
      <c r="BG34" s="172">
        <f>($Q34*'3 - Phase Durations'!$AO$16+$R34*'3 - Phase Durations'!$AO$17+$S34*('3 - Phase Durations'!$AO$18+'3 - Phase Durations'!$AO$19)+$T34*'3 - Phase Durations'!$AO$20+$U34*'3 - Phase Durations'!$AO$21+$V34*('3 - Phase Durations'!$AO$22+'3 - Phase Durations'!$AO$23)+$W34*'3 - Phase Durations'!$AO$24)/12</f>
        <v>0.24931506849315069</v>
      </c>
      <c r="BH34" s="173">
        <f t="shared" si="0"/>
        <v>22.000109589041092</v>
      </c>
    </row>
    <row r="35" spans="1:60" ht="30" customHeight="1">
      <c r="A35" s="174">
        <v>18</v>
      </c>
      <c r="B35" s="175" t="s">
        <v>1032</v>
      </c>
      <c r="C35" s="175" t="s">
        <v>1033</v>
      </c>
      <c r="D35" s="175" t="s">
        <v>1084</v>
      </c>
      <c r="E35" s="175" t="s">
        <v>1117</v>
      </c>
      <c r="F35" s="176" t="s">
        <v>1118</v>
      </c>
      <c r="G35" s="175" t="s">
        <v>1077</v>
      </c>
      <c r="H35" s="175" t="s">
        <v>1037</v>
      </c>
      <c r="I35" s="175" t="s">
        <v>1078</v>
      </c>
      <c r="J35" s="175" t="s">
        <v>1119</v>
      </c>
      <c r="K35" s="174" t="s">
        <v>1120</v>
      </c>
      <c r="L35" s="174" t="s">
        <v>1057</v>
      </c>
      <c r="M35" s="174" t="s">
        <v>1062</v>
      </c>
      <c r="N35" s="174" t="s">
        <v>1043</v>
      </c>
      <c r="O35" s="176" t="s">
        <v>1044</v>
      </c>
      <c r="P35" s="174" t="s">
        <v>1045</v>
      </c>
      <c r="Q35" s="177">
        <v>0</v>
      </c>
      <c r="R35" s="177">
        <v>0.35</v>
      </c>
      <c r="S35" s="177">
        <v>0.1</v>
      </c>
      <c r="T35" s="177">
        <v>0.1</v>
      </c>
      <c r="U35" s="177">
        <v>0.1</v>
      </c>
      <c r="V35" s="177">
        <v>0.1</v>
      </c>
      <c r="W35" s="177">
        <v>0</v>
      </c>
      <c r="X35" s="178">
        <f>IFERROR(VLOOKUP($M35,'Labour Rates lookup'!$A:$B,2,FALSE()),0)</f>
        <v>145000</v>
      </c>
      <c r="Y35" s="179">
        <f>($Q35*'3 - Phase Durations'!$G$16+$R35*'3 - Phase Durations'!$G$17+$S35*('3 - Phase Durations'!$G$18+'3 - Phase Durations'!$G$19)+$T35*'3 - Phase Durations'!$G$20+$U35*'3 - Phase Durations'!$G$21+$V35*('3 - Phase Durations'!$G$22+'3 - Phase Durations'!$G$23)+$W35*'3 - Phase Durations'!$G$24)/12</f>
        <v>0</v>
      </c>
      <c r="Z35" s="179">
        <f>($Q35*'3 - Phase Durations'!$H$16+$R35*'3 - Phase Durations'!$H$17+$S35*('3 - Phase Durations'!$H$18+'3 - Phase Durations'!$H$19)+$T35*'3 - Phase Durations'!$H$20+$U35*'3 - Phase Durations'!$H$21+$V35*('3 - Phase Durations'!$H$22+'3 - Phase Durations'!$H$23)+$W35*'3 - Phase Durations'!$H$24)/12</f>
        <v>0</v>
      </c>
      <c r="AA35" s="179">
        <f>($Q35*'3 - Phase Durations'!$I$16+$R35*'3 - Phase Durations'!$I$17+$S35*('3 - Phase Durations'!$I$18+'3 - Phase Durations'!$I$19)+$T35*'3 - Phase Durations'!$I$20+$U35*'3 - Phase Durations'!$I$21+$V35*('3 - Phase Durations'!$I$22+'3 - Phase Durations'!$I$23)+$W35*'3 - Phase Durations'!$I$24)/12</f>
        <v>8.7260273972602734E-2</v>
      </c>
      <c r="AB35" s="179">
        <f>($Q35*'3 - Phase Durations'!$J$16+$R35*'3 - Phase Durations'!$J$17+$S35*('3 - Phase Durations'!$J$18+'3 - Phase Durations'!$J$19)+$T35*'3 - Phase Durations'!$J$20+$U35*'3 - Phase Durations'!$J$21+$V35*('3 - Phase Durations'!$J$22+'3 - Phase Durations'!$J$23)+$W35*'3 - Phase Durations'!$J$24)/12</f>
        <v>0.34999999999999992</v>
      </c>
      <c r="AC35" s="179">
        <f>($Q35*'3 - Phase Durations'!$K$16+$R35*'3 - Phase Durations'!$K$17+$S35*('3 - Phase Durations'!$K$18+'3 - Phase Durations'!$K$19)+$T35*'3 - Phase Durations'!$K$20+$U35*'3 - Phase Durations'!$K$21+$V35*('3 - Phase Durations'!$K$22+'3 - Phase Durations'!$K$23)+$W35*'3 - Phase Durations'!$K$24)/12</f>
        <v>0.28835616438356165</v>
      </c>
      <c r="AD35" s="179">
        <f>($Q35*'3 - Phase Durations'!$L$16+$R35*'3 - Phase Durations'!$L$17+$S35*('3 - Phase Durations'!$L$18+'3 - Phase Durations'!$L$19)+$T35*'3 - Phase Durations'!$L$20+$U35*'3 - Phase Durations'!$L$21+$V35*('3 - Phase Durations'!$L$22+'3 - Phase Durations'!$L$23)+$W35*'3 - Phase Durations'!$L$24)/12</f>
        <v>0.10000000000000002</v>
      </c>
      <c r="AE35" s="179">
        <f>($Q35*'3 - Phase Durations'!$M$16+$R35*'3 - Phase Durations'!$M$17+$S35*('3 - Phase Durations'!$M$18+'3 - Phase Durations'!$M$19)+$T35*'3 - Phase Durations'!$M$20+$U35*'3 - Phase Durations'!$M$21+$V35*('3 - Phase Durations'!$M$22+'3 - Phase Durations'!$M$23)+$W35*'3 - Phase Durations'!$M$24)/12</f>
        <v>0.10027397260273974</v>
      </c>
      <c r="AF35" s="179">
        <f>($Q35*'3 - Phase Durations'!$N$16+$R35*'3 - Phase Durations'!$N$17+$S35*('3 - Phase Durations'!$N$18+'3 - Phase Durations'!$N$19)+$T35*'3 - Phase Durations'!$N$20+$U35*'3 - Phase Durations'!$N$21+$V35*('3 - Phase Durations'!$N$22+'3 - Phase Durations'!$N$23)+$W35*'3 - Phase Durations'!$N$24)/12</f>
        <v>0.10000000000000002</v>
      </c>
      <c r="AG35" s="179">
        <f>($Q35*'3 - Phase Durations'!$O$16+$R35*'3 - Phase Durations'!$O$17+$S35*('3 - Phase Durations'!$O$18+'3 - Phase Durations'!$O$19)+$T35*'3 - Phase Durations'!$O$20+$U35*'3 - Phase Durations'!$O$21+$V35*('3 - Phase Durations'!$O$22+'3 - Phase Durations'!$O$23)+$W35*'3 - Phase Durations'!$O$24)/12</f>
        <v>0.10000000000000002</v>
      </c>
      <c r="AH35" s="179">
        <f>($Q35*'3 - Phase Durations'!$P$16+$R35*'3 - Phase Durations'!$P$17+$S35*('3 - Phase Durations'!$P$18+'3 - Phase Durations'!$P$19)+$T35*'3 - Phase Durations'!$P$20+$U35*'3 - Phase Durations'!$P$21+$V35*('3 - Phase Durations'!$P$22+'3 - Phase Durations'!$P$23)+$W35*'3 - Phase Durations'!$P$24)/12</f>
        <v>0.10000000000000002</v>
      </c>
      <c r="AI35" s="179">
        <f>($Q35*'3 - Phase Durations'!$Q$16+$R35*'3 - Phase Durations'!$Q$17+$S35*('3 - Phase Durations'!$Q$18+'3 - Phase Durations'!$Q$19)+$T35*'3 - Phase Durations'!$Q$20+$U35*'3 - Phase Durations'!$Q$21+$V35*('3 - Phase Durations'!$Q$22+'3 - Phase Durations'!$Q$23)+$W35*'3 - Phase Durations'!$Q$24)/12</f>
        <v>0.10027397260273974</v>
      </c>
      <c r="AJ35" s="179">
        <f>($Q35*'3 - Phase Durations'!$R$16+$R35*'3 - Phase Durations'!$R$17+$S35*('3 - Phase Durations'!$R$18+'3 - Phase Durations'!$R$19)+$T35*'3 - Phase Durations'!$R$20+$U35*'3 - Phase Durations'!$R$21+$V35*('3 - Phase Durations'!$R$22+'3 - Phase Durations'!$R$23)+$W35*'3 - Phase Durations'!$R$24)/12</f>
        <v>0.10000000000000002</v>
      </c>
      <c r="AK35" s="179">
        <f>($Q35*'3 - Phase Durations'!$S$16+$R35*'3 - Phase Durations'!$S$17+$S35*('3 - Phase Durations'!$S$18+'3 - Phase Durations'!$S$19)+$T35*'3 - Phase Durations'!$S$20+$U35*'3 - Phase Durations'!$S$21+$V35*('3 - Phase Durations'!$S$22+'3 - Phase Durations'!$S$23)+$W35*'3 - Phase Durations'!$S$24)/12</f>
        <v>0.10000000000000002</v>
      </c>
      <c r="AL35" s="179">
        <f>($Q35*'3 - Phase Durations'!$T$16+$R35*'3 - Phase Durations'!$T$17+$S35*('3 - Phase Durations'!$T$18+'3 - Phase Durations'!$T$19)+$T35*'3 - Phase Durations'!$T$20+$U35*'3 - Phase Durations'!$T$21+$V35*('3 - Phase Durations'!$T$22+'3 - Phase Durations'!$T$23)+$W35*'3 - Phase Durations'!$T$24)/12</f>
        <v>0.10000000000000002</v>
      </c>
      <c r="AM35" s="179">
        <f>($Q35*'3 - Phase Durations'!$U$16+$R35*'3 - Phase Durations'!$U$17+$S35*('3 - Phase Durations'!$U$18+'3 - Phase Durations'!$U$19)+$T35*'3 - Phase Durations'!$U$20+$U35*'3 - Phase Durations'!$U$21+$V35*('3 - Phase Durations'!$U$22+'3 - Phase Durations'!$U$23)+$W35*'3 - Phase Durations'!$U$24)/12</f>
        <v>0.10027397260273974</v>
      </c>
      <c r="AN35" s="179">
        <f>($Q35*'3 - Phase Durations'!$V$16+$R35*'3 - Phase Durations'!$V$17+$S35*('3 - Phase Durations'!$V$18+'3 - Phase Durations'!$V$19)+$T35*'3 - Phase Durations'!$V$20+$U35*'3 - Phase Durations'!$V$21+$V35*('3 - Phase Durations'!$V$22+'3 - Phase Durations'!$V$23)+$W35*'3 - Phase Durations'!$V$24)/12</f>
        <v>0.10000000000000002</v>
      </c>
      <c r="AO35" s="179">
        <f>($Q35*'3 - Phase Durations'!$W$16+$R35*'3 - Phase Durations'!$W$17+$S35*('3 - Phase Durations'!$W$18+'3 - Phase Durations'!$W$19)+$T35*'3 - Phase Durations'!$W$20+$U35*'3 - Phase Durations'!$W$21+$V35*('3 - Phase Durations'!$W$22+'3 - Phase Durations'!$W$23)+$W35*'3 - Phase Durations'!$W$24)/12</f>
        <v>0.10000000000000002</v>
      </c>
      <c r="AP35" s="179">
        <f>($Q35*'3 - Phase Durations'!$X$16+$R35*'3 - Phase Durations'!$X$17+$S35*('3 - Phase Durations'!$X$18+'3 - Phase Durations'!$X$19)+$T35*'3 - Phase Durations'!$X$20+$U35*'3 - Phase Durations'!$X$21+$V35*('3 - Phase Durations'!$X$22+'3 - Phase Durations'!$X$23)+$W35*'3 - Phase Durations'!$X$24)/12</f>
        <v>0.10000000000000002</v>
      </c>
      <c r="AQ35" s="179">
        <f>($Q35*'3 - Phase Durations'!$Y$16+$R35*'3 - Phase Durations'!$Y$17+$S35*('3 - Phase Durations'!$Y$18+'3 - Phase Durations'!$Y$19)+$T35*'3 - Phase Durations'!$Y$20+$U35*'3 - Phase Durations'!$Y$21+$V35*('3 - Phase Durations'!$Y$22+'3 - Phase Durations'!$Y$23)+$W35*'3 - Phase Durations'!$Y$24)/12</f>
        <v>0.10027397260273974</v>
      </c>
      <c r="AR35" s="179">
        <f>($Q35*'3 - Phase Durations'!$Z$16+$R35*'3 - Phase Durations'!$Z$17+$S35*('3 - Phase Durations'!$Z$18+'3 - Phase Durations'!$Z$19)+$T35*'3 - Phase Durations'!$Z$20+$U35*'3 - Phase Durations'!$Z$21+$V35*('3 - Phase Durations'!$Z$22+'3 - Phase Durations'!$Z$23)+$W35*'3 - Phase Durations'!$Z$24)/12</f>
        <v>0.10000000000000002</v>
      </c>
      <c r="AS35" s="179">
        <f>($Q35*'3 - Phase Durations'!$AA$16+$R35*'3 - Phase Durations'!$AA$17+$S35*('3 - Phase Durations'!$AA$18+'3 - Phase Durations'!$AA$19)+$T35*'3 - Phase Durations'!$AA$20+$U35*'3 - Phase Durations'!$AA$21+$V35*('3 - Phase Durations'!$AA$22+'3 - Phase Durations'!$AA$23)+$W35*'3 - Phase Durations'!$AA$24)/12</f>
        <v>0.10000000000000002</v>
      </c>
      <c r="AT35" s="179">
        <f>($Q35*'3 - Phase Durations'!$AB$16+$R35*'3 - Phase Durations'!$AB$17+$S35*('3 - Phase Durations'!$AB$18+'3 - Phase Durations'!$AB$19)+$T35*'3 - Phase Durations'!$AB$20+$U35*'3 - Phase Durations'!$AB$21+$V35*('3 - Phase Durations'!$AB$22+'3 - Phase Durations'!$AB$23)+$W35*'3 - Phase Durations'!$AB$24)/12</f>
        <v>0.10000000000000002</v>
      </c>
      <c r="AU35" s="179">
        <f>($Q35*'3 - Phase Durations'!$AC$16+$R35*'3 - Phase Durations'!$AC$17+$S35*('3 - Phase Durations'!$AC$18+'3 - Phase Durations'!$AC$19)+$T35*'3 - Phase Durations'!$AC$20+$U35*'3 - Phase Durations'!$AC$21+$V35*('3 - Phase Durations'!$AC$22+'3 - Phase Durations'!$AC$23)+$W35*'3 - Phase Durations'!$AC$24)/12</f>
        <v>0.10027397260273974</v>
      </c>
      <c r="AV35" s="179">
        <f>($Q35*'3 - Phase Durations'!$AD$16+$R35*'3 - Phase Durations'!$AD$17+$S35*('3 - Phase Durations'!$AD$18+'3 - Phase Durations'!$AD$19)+$T35*'3 - Phase Durations'!$AD$20+$U35*'3 - Phase Durations'!$AD$21+$V35*('3 - Phase Durations'!$AD$22+'3 - Phase Durations'!$AD$23)+$W35*'3 - Phase Durations'!$AD$24)/12</f>
        <v>0.10000000000000002</v>
      </c>
      <c r="AW35" s="179">
        <f>($Q35*'3 - Phase Durations'!$AE$16+$R35*'3 - Phase Durations'!$AE$17+$S35*('3 - Phase Durations'!$AE$18+'3 - Phase Durations'!$AE$19)+$T35*'3 - Phase Durations'!$AE$20+$U35*'3 - Phase Durations'!$AE$21+$V35*('3 - Phase Durations'!$AE$22+'3 - Phase Durations'!$AE$23)+$W35*'3 - Phase Durations'!$AE$24)/12</f>
        <v>0.10000000000000002</v>
      </c>
      <c r="AX35" s="179">
        <f>($Q35*'3 - Phase Durations'!$AF$16+$R35*'3 - Phase Durations'!$AF$17+$S35*('3 - Phase Durations'!$AF$18+'3 - Phase Durations'!$AF$19)+$T35*'3 - Phase Durations'!$AF$20+$U35*'3 - Phase Durations'!$AF$21+$V35*('3 - Phase Durations'!$AF$22+'3 - Phase Durations'!$AF$23)+$W35*'3 - Phase Durations'!$AF$24)/12</f>
        <v>0.10000000000000002</v>
      </c>
      <c r="AY35" s="179">
        <f>($Q35*'3 - Phase Durations'!$AG$16+$R35*'3 - Phase Durations'!$AG$17+$S35*('3 - Phase Durations'!$AG$18+'3 - Phase Durations'!$AG$19)+$T35*'3 - Phase Durations'!$AG$20+$U35*'3 - Phase Durations'!$AG$21+$V35*('3 - Phase Durations'!$AG$22+'3 - Phase Durations'!$AG$23)+$W35*'3 - Phase Durations'!$AG$24)/12</f>
        <v>0.10027397260273974</v>
      </c>
      <c r="AZ35" s="179">
        <f>($Q35*'3 - Phase Durations'!$AH$16+$R35*'3 - Phase Durations'!$AH$17+$S35*('3 - Phase Durations'!$AH$18+'3 - Phase Durations'!$AH$19)+$T35*'3 - Phase Durations'!$AH$20+$U35*'3 - Phase Durations'!$AH$21+$V35*('3 - Phase Durations'!$AH$22+'3 - Phase Durations'!$AH$23)+$W35*'3 - Phase Durations'!$AH$24)/12</f>
        <v>0.10000000000000002</v>
      </c>
      <c r="BA35" s="179">
        <f>($Q35*'3 - Phase Durations'!$AI$16+$R35*'3 - Phase Durations'!$AI$17+$S35*('3 - Phase Durations'!$AI$18+'3 - Phase Durations'!$AI$19)+$T35*'3 - Phase Durations'!$AI$20+$U35*'3 - Phase Durations'!$AI$21+$V35*('3 - Phase Durations'!$AI$22+'3 - Phase Durations'!$AI$23)+$W35*'3 - Phase Durations'!$AI$24)/12</f>
        <v>0.10000000000000002</v>
      </c>
      <c r="BB35" s="179">
        <f>($Q35*'3 - Phase Durations'!$AJ$16+$R35*'3 - Phase Durations'!$AJ$17+$S35*('3 - Phase Durations'!$AJ$18+'3 - Phase Durations'!$AJ$19)+$T35*'3 - Phase Durations'!$AJ$20+$U35*'3 - Phase Durations'!$AJ$21+$V35*('3 - Phase Durations'!$AJ$22+'3 - Phase Durations'!$AJ$23)+$W35*'3 - Phase Durations'!$AJ$24)/12</f>
        <v>0.10000000000000002</v>
      </c>
      <c r="BC35" s="179">
        <f>($Q35*'3 - Phase Durations'!$AK$16+$R35*'3 - Phase Durations'!$AK$17+$S35*('3 - Phase Durations'!$AK$18+'3 - Phase Durations'!$AK$19)+$T35*'3 - Phase Durations'!$AK$20+$U35*'3 - Phase Durations'!$AK$21+$V35*('3 - Phase Durations'!$AK$22+'3 - Phase Durations'!$AK$23)+$W35*'3 - Phase Durations'!$AK$24)/12</f>
        <v>0.10027397260273974</v>
      </c>
      <c r="BD35" s="179">
        <f>($Q35*'3 - Phase Durations'!$AL$16+$R35*'3 - Phase Durations'!$AL$17+$S35*('3 - Phase Durations'!$AL$18+'3 - Phase Durations'!$AL$19)+$T35*'3 - Phase Durations'!$AL$20+$U35*'3 - Phase Durations'!$AL$21+$V35*('3 - Phase Durations'!$AL$22+'3 - Phase Durations'!$AL$23)+$W35*'3 - Phase Durations'!$AL$24)/12</f>
        <v>0.10000000000000002</v>
      </c>
      <c r="BE35" s="179">
        <f>($Q35*'3 - Phase Durations'!$AM$16+$R35*'3 - Phase Durations'!$AM$17+$S35*('3 - Phase Durations'!$AM$18+'3 - Phase Durations'!$AM$19)+$T35*'3 - Phase Durations'!$AM$20+$U35*'3 - Phase Durations'!$AM$21+$V35*('3 - Phase Durations'!$AM$22+'3 - Phase Durations'!$AM$23)+$W35*'3 - Phase Durations'!$AM$24)/12</f>
        <v>0.10000000000000002</v>
      </c>
      <c r="BF35" s="179">
        <f>($Q35*'3 - Phase Durations'!$AN$16+$R35*'3 - Phase Durations'!$AN$17+$S35*('3 - Phase Durations'!$AN$18+'3 - Phase Durations'!$AN$19)+$T35*'3 - Phase Durations'!$AN$20+$U35*'3 - Phase Durations'!$AN$21+$V35*('3 - Phase Durations'!$AN$22+'3 - Phase Durations'!$AN$23)+$W35*'3 - Phase Durations'!$AN$24)/12</f>
        <v>0.10000000000000002</v>
      </c>
      <c r="BG35" s="179">
        <f>($Q35*'3 - Phase Durations'!$AO$16+$R35*'3 - Phase Durations'!$AO$17+$S35*('3 - Phase Durations'!$AO$18+'3 - Phase Durations'!$AO$19)+$T35*'3 - Phase Durations'!$AO$20+$U35*'3 - Phase Durations'!$AO$21+$V35*('3 - Phase Durations'!$AO$22+'3 - Phase Durations'!$AO$23)+$W35*'3 - Phase Durations'!$AO$24)/12</f>
        <v>2.4931506849315069E-2</v>
      </c>
      <c r="BH35" s="180">
        <f t="shared" si="0"/>
        <v>3.652465753424659</v>
      </c>
    </row>
    <row r="36" spans="1:60" ht="30" customHeight="1">
      <c r="A36" s="167">
        <v>19</v>
      </c>
      <c r="B36" s="168" t="s">
        <v>1032</v>
      </c>
      <c r="C36" s="168" t="s">
        <v>1033</v>
      </c>
      <c r="D36" s="168" t="s">
        <v>1084</v>
      </c>
      <c r="E36" s="168" t="s">
        <v>383</v>
      </c>
      <c r="F36" s="169" t="s">
        <v>1121</v>
      </c>
      <c r="G36" s="168" t="s">
        <v>1077</v>
      </c>
      <c r="H36" s="168" t="s">
        <v>1037</v>
      </c>
      <c r="I36" s="168" t="s">
        <v>1078</v>
      </c>
      <c r="J36" s="168" t="s">
        <v>1122</v>
      </c>
      <c r="K36" s="167" t="s">
        <v>1123</v>
      </c>
      <c r="L36" s="167" t="s">
        <v>1057</v>
      </c>
      <c r="M36" s="167" t="s">
        <v>1066</v>
      </c>
      <c r="N36" s="167" t="s">
        <v>1043</v>
      </c>
      <c r="O36" s="169" t="s">
        <v>1044</v>
      </c>
      <c r="P36" s="167" t="s">
        <v>1045</v>
      </c>
      <c r="Q36" s="170">
        <v>0</v>
      </c>
      <c r="R36" s="170">
        <v>1</v>
      </c>
      <c r="S36" s="170">
        <v>0.25</v>
      </c>
      <c r="T36" s="170">
        <v>1</v>
      </c>
      <c r="U36" s="170">
        <v>0.25</v>
      </c>
      <c r="V36" s="170">
        <v>0.05</v>
      </c>
      <c r="W36" s="170">
        <v>0</v>
      </c>
      <c r="X36" s="171">
        <f>IFERROR(VLOOKUP($M36,'Labour Rates lookup'!$A:$B,2,FALSE()),0)</f>
        <v>128000</v>
      </c>
      <c r="Y36" s="172">
        <f>($Q36*'3 - Phase Durations'!$G$16+$R36*'3 - Phase Durations'!$G$17+$S36*('3 - Phase Durations'!$G$18+'3 - Phase Durations'!$G$19)+$T36*'3 - Phase Durations'!$G$20+$U36*'3 - Phase Durations'!$G$21+$V36*('3 - Phase Durations'!$G$22+'3 - Phase Durations'!$G$23)+$W36*'3 - Phase Durations'!$G$24)/12</f>
        <v>0</v>
      </c>
      <c r="Z36" s="172">
        <f>($Q36*'3 - Phase Durations'!$H$16+$R36*'3 - Phase Durations'!$H$17+$S36*('3 - Phase Durations'!$H$18+'3 - Phase Durations'!$H$19)+$T36*'3 - Phase Durations'!$H$20+$U36*'3 - Phase Durations'!$H$21+$V36*('3 - Phase Durations'!$H$22+'3 - Phase Durations'!$H$23)+$W36*'3 - Phase Durations'!$H$24)/12</f>
        <v>0</v>
      </c>
      <c r="AA36" s="172">
        <f>($Q36*'3 - Phase Durations'!$I$16+$R36*'3 - Phase Durations'!$I$17+$S36*('3 - Phase Durations'!$I$18+'3 - Phase Durations'!$I$19)+$T36*'3 - Phase Durations'!$I$20+$U36*'3 - Phase Durations'!$I$21+$V36*('3 - Phase Durations'!$I$22+'3 - Phase Durations'!$I$23)+$W36*'3 - Phase Durations'!$I$24)/12</f>
        <v>0.24931506849315069</v>
      </c>
      <c r="AB36" s="172">
        <f>($Q36*'3 - Phase Durations'!$J$16+$R36*'3 - Phase Durations'!$J$17+$S36*('3 - Phase Durations'!$J$18+'3 - Phase Durations'!$J$19)+$T36*'3 - Phase Durations'!$J$20+$U36*'3 - Phase Durations'!$J$21+$V36*('3 - Phase Durations'!$J$22+'3 - Phase Durations'!$J$23)+$W36*'3 - Phase Durations'!$J$24)/12</f>
        <v>1</v>
      </c>
      <c r="AC36" s="172">
        <f>($Q36*'3 - Phase Durations'!$K$16+$R36*'3 - Phase Durations'!$K$17+$S36*('3 - Phase Durations'!$K$18+'3 - Phase Durations'!$K$19)+$T36*'3 - Phase Durations'!$K$20+$U36*'3 - Phase Durations'!$K$21+$V36*('3 - Phase Durations'!$K$22+'3 - Phase Durations'!$K$23)+$W36*'3 - Phase Durations'!$K$24)/12</f>
        <v>0.81506849315068497</v>
      </c>
      <c r="AD36" s="172">
        <f>($Q36*'3 - Phase Durations'!$L$16+$R36*'3 - Phase Durations'!$L$17+$S36*('3 - Phase Durations'!$L$18+'3 - Phase Durations'!$L$19)+$T36*'3 - Phase Durations'!$L$20+$U36*'3 - Phase Durations'!$L$21+$V36*('3 - Phase Durations'!$L$22+'3 - Phase Durations'!$L$23)+$W36*'3 - Phase Durations'!$L$24)/12</f>
        <v>0.25</v>
      </c>
      <c r="AE36" s="172">
        <f>($Q36*'3 - Phase Durations'!$M$16+$R36*'3 - Phase Durations'!$M$17+$S36*('3 - Phase Durations'!$M$18+'3 - Phase Durations'!$M$19)+$T36*'3 - Phase Durations'!$M$20+$U36*'3 - Phase Durations'!$M$21+$V36*('3 - Phase Durations'!$M$22+'3 - Phase Durations'!$M$23)+$W36*'3 - Phase Durations'!$M$24)/12</f>
        <v>0.43767123287671234</v>
      </c>
      <c r="AF36" s="172">
        <f>($Q36*'3 - Phase Durations'!$N$16+$R36*'3 - Phase Durations'!$N$17+$S36*('3 - Phase Durations'!$N$18+'3 - Phase Durations'!$N$19)+$T36*'3 - Phase Durations'!$N$20+$U36*'3 - Phase Durations'!$N$21+$V36*('3 - Phase Durations'!$N$22+'3 - Phase Durations'!$N$23)+$W36*'3 - Phase Durations'!$N$24)/12</f>
        <v>1</v>
      </c>
      <c r="AG36" s="172">
        <f>($Q36*'3 - Phase Durations'!$O$16+$R36*'3 - Phase Durations'!$O$17+$S36*('3 - Phase Durations'!$O$18+'3 - Phase Durations'!$O$19)+$T36*'3 - Phase Durations'!$O$20+$U36*'3 - Phase Durations'!$O$21+$V36*('3 - Phase Durations'!$O$22+'3 - Phase Durations'!$O$23)+$W36*'3 - Phase Durations'!$O$24)/12</f>
        <v>0.81506849315068497</v>
      </c>
      <c r="AH36" s="172">
        <f>($Q36*'3 - Phase Durations'!$P$16+$R36*'3 - Phase Durations'!$P$17+$S36*('3 - Phase Durations'!$P$18+'3 - Phase Durations'!$P$19)+$T36*'3 - Phase Durations'!$P$20+$U36*'3 - Phase Durations'!$P$21+$V36*('3 - Phase Durations'!$P$22+'3 - Phase Durations'!$P$23)+$W36*'3 - Phase Durations'!$P$24)/12</f>
        <v>0.25</v>
      </c>
      <c r="AI36" s="172">
        <f>($Q36*'3 - Phase Durations'!$Q$16+$R36*'3 - Phase Durations'!$Q$17+$S36*('3 - Phase Durations'!$Q$18+'3 - Phase Durations'!$Q$19)+$T36*'3 - Phase Durations'!$Q$20+$U36*'3 - Phase Durations'!$Q$21+$V36*('3 - Phase Durations'!$Q$22+'3 - Phase Durations'!$Q$23)+$W36*'3 - Phase Durations'!$Q$24)/12</f>
        <v>0.25068493150684934</v>
      </c>
      <c r="AJ36" s="172">
        <f>($Q36*'3 - Phase Durations'!$R$16+$R36*'3 - Phase Durations'!$R$17+$S36*('3 - Phase Durations'!$R$18+'3 - Phase Durations'!$R$19)+$T36*'3 - Phase Durations'!$R$20+$U36*'3 - Phase Durations'!$R$21+$V36*('3 - Phase Durations'!$R$22+'3 - Phase Durations'!$R$23)+$W36*'3 - Phase Durations'!$R$24)/12</f>
        <v>0.25</v>
      </c>
      <c r="AK36" s="172">
        <f>($Q36*'3 - Phase Durations'!$S$16+$R36*'3 - Phase Durations'!$S$17+$S36*('3 - Phase Durations'!$S$18+'3 - Phase Durations'!$S$19)+$T36*'3 - Phase Durations'!$S$20+$U36*'3 - Phase Durations'!$S$21+$V36*('3 - Phase Durations'!$S$22+'3 - Phase Durations'!$S$23)+$W36*'3 - Phase Durations'!$S$24)/12</f>
        <v>0.25</v>
      </c>
      <c r="AL36" s="172">
        <f>($Q36*'3 - Phase Durations'!$T$16+$R36*'3 - Phase Durations'!$T$17+$S36*('3 - Phase Durations'!$T$18+'3 - Phase Durations'!$T$19)+$T36*'3 - Phase Durations'!$T$20+$U36*'3 - Phase Durations'!$T$21+$V36*('3 - Phase Durations'!$T$22+'3 - Phase Durations'!$T$23)+$W36*'3 - Phase Durations'!$T$24)/12</f>
        <v>0.25</v>
      </c>
      <c r="AM36" s="172">
        <f>($Q36*'3 - Phase Durations'!$U$16+$R36*'3 - Phase Durations'!$U$17+$S36*('3 - Phase Durations'!$U$18+'3 - Phase Durations'!$U$19)+$T36*'3 - Phase Durations'!$U$20+$U36*'3 - Phase Durations'!$U$21+$V36*('3 - Phase Durations'!$U$22+'3 - Phase Durations'!$U$23)+$W36*'3 - Phase Durations'!$U$24)/12</f>
        <v>0.25068493150684934</v>
      </c>
      <c r="AN36" s="172">
        <f>($Q36*'3 - Phase Durations'!$V$16+$R36*'3 - Phase Durations'!$V$17+$S36*('3 - Phase Durations'!$V$18+'3 - Phase Durations'!$V$19)+$T36*'3 - Phase Durations'!$V$20+$U36*'3 - Phase Durations'!$V$21+$V36*('3 - Phase Durations'!$V$22+'3 - Phase Durations'!$V$23)+$W36*'3 - Phase Durations'!$V$24)/12</f>
        <v>0.20068493150684932</v>
      </c>
      <c r="AO36" s="172">
        <f>($Q36*'3 - Phase Durations'!$W$16+$R36*'3 - Phase Durations'!$W$17+$S36*('3 - Phase Durations'!$W$18+'3 - Phase Durations'!$W$19)+$T36*'3 - Phase Durations'!$W$20+$U36*'3 - Phase Durations'!$W$21+$V36*('3 - Phase Durations'!$W$22+'3 - Phase Durations'!$W$23)+$W36*'3 - Phase Durations'!$W$24)/12</f>
        <v>5.000000000000001E-2</v>
      </c>
      <c r="AP36" s="172">
        <f>($Q36*'3 - Phase Durations'!$X$16+$R36*'3 - Phase Durations'!$X$17+$S36*('3 - Phase Durations'!$X$18+'3 - Phase Durations'!$X$19)+$T36*'3 - Phase Durations'!$X$20+$U36*'3 - Phase Durations'!$X$21+$V36*('3 - Phase Durations'!$X$22+'3 - Phase Durations'!$X$23)+$W36*'3 - Phase Durations'!$X$24)/12</f>
        <v>5.000000000000001E-2</v>
      </c>
      <c r="AQ36" s="172">
        <f>($Q36*'3 - Phase Durations'!$Y$16+$R36*'3 - Phase Durations'!$Y$17+$S36*('3 - Phase Durations'!$Y$18+'3 - Phase Durations'!$Y$19)+$T36*'3 - Phase Durations'!$Y$20+$U36*'3 - Phase Durations'!$Y$21+$V36*('3 - Phase Durations'!$Y$22+'3 - Phase Durations'!$Y$23)+$W36*'3 - Phase Durations'!$Y$24)/12</f>
        <v>5.0136986301369868E-2</v>
      </c>
      <c r="AR36" s="172">
        <f>($Q36*'3 - Phase Durations'!$Z$16+$R36*'3 - Phase Durations'!$Z$17+$S36*('3 - Phase Durations'!$Z$18+'3 - Phase Durations'!$Z$19)+$T36*'3 - Phase Durations'!$Z$20+$U36*'3 - Phase Durations'!$Z$21+$V36*('3 - Phase Durations'!$Z$22+'3 - Phase Durations'!$Z$23)+$W36*'3 - Phase Durations'!$Z$24)/12</f>
        <v>5.000000000000001E-2</v>
      </c>
      <c r="AS36" s="172">
        <f>($Q36*'3 - Phase Durations'!$AA$16+$R36*'3 - Phase Durations'!$AA$17+$S36*('3 - Phase Durations'!$AA$18+'3 - Phase Durations'!$AA$19)+$T36*'3 - Phase Durations'!$AA$20+$U36*'3 - Phase Durations'!$AA$21+$V36*('3 - Phase Durations'!$AA$22+'3 - Phase Durations'!$AA$23)+$W36*'3 - Phase Durations'!$AA$24)/12</f>
        <v>5.000000000000001E-2</v>
      </c>
      <c r="AT36" s="172">
        <f>($Q36*'3 - Phase Durations'!$AB$16+$R36*'3 - Phase Durations'!$AB$17+$S36*('3 - Phase Durations'!$AB$18+'3 - Phase Durations'!$AB$19)+$T36*'3 - Phase Durations'!$AB$20+$U36*'3 - Phase Durations'!$AB$21+$V36*('3 - Phase Durations'!$AB$22+'3 - Phase Durations'!$AB$23)+$W36*'3 - Phase Durations'!$AB$24)/12</f>
        <v>5.000000000000001E-2</v>
      </c>
      <c r="AU36" s="172">
        <f>($Q36*'3 - Phase Durations'!$AC$16+$R36*'3 - Phase Durations'!$AC$17+$S36*('3 - Phase Durations'!$AC$18+'3 - Phase Durations'!$AC$19)+$T36*'3 - Phase Durations'!$AC$20+$U36*'3 - Phase Durations'!$AC$21+$V36*('3 - Phase Durations'!$AC$22+'3 - Phase Durations'!$AC$23)+$W36*'3 - Phase Durations'!$AC$24)/12</f>
        <v>5.0136986301369868E-2</v>
      </c>
      <c r="AV36" s="172">
        <f>($Q36*'3 - Phase Durations'!$AD$16+$R36*'3 - Phase Durations'!$AD$17+$S36*('3 - Phase Durations'!$AD$18+'3 - Phase Durations'!$AD$19)+$T36*'3 - Phase Durations'!$AD$20+$U36*'3 - Phase Durations'!$AD$21+$V36*('3 - Phase Durations'!$AD$22+'3 - Phase Durations'!$AD$23)+$W36*'3 - Phase Durations'!$AD$24)/12</f>
        <v>5.000000000000001E-2</v>
      </c>
      <c r="AW36" s="172">
        <f>($Q36*'3 - Phase Durations'!$AE$16+$R36*'3 - Phase Durations'!$AE$17+$S36*('3 - Phase Durations'!$AE$18+'3 - Phase Durations'!$AE$19)+$T36*'3 - Phase Durations'!$AE$20+$U36*'3 - Phase Durations'!$AE$21+$V36*('3 - Phase Durations'!$AE$22+'3 - Phase Durations'!$AE$23)+$W36*'3 - Phase Durations'!$AE$24)/12</f>
        <v>5.000000000000001E-2</v>
      </c>
      <c r="AX36" s="172">
        <f>($Q36*'3 - Phase Durations'!$AF$16+$R36*'3 - Phase Durations'!$AF$17+$S36*('3 - Phase Durations'!$AF$18+'3 - Phase Durations'!$AF$19)+$T36*'3 - Phase Durations'!$AF$20+$U36*'3 - Phase Durations'!$AF$21+$V36*('3 - Phase Durations'!$AF$22+'3 - Phase Durations'!$AF$23)+$W36*'3 - Phase Durations'!$AF$24)/12</f>
        <v>5.000000000000001E-2</v>
      </c>
      <c r="AY36" s="172">
        <f>($Q36*'3 - Phase Durations'!$AG$16+$R36*'3 - Phase Durations'!$AG$17+$S36*('3 - Phase Durations'!$AG$18+'3 - Phase Durations'!$AG$19)+$T36*'3 - Phase Durations'!$AG$20+$U36*'3 - Phase Durations'!$AG$21+$V36*('3 - Phase Durations'!$AG$22+'3 - Phase Durations'!$AG$23)+$W36*'3 - Phase Durations'!$AG$24)/12</f>
        <v>5.0136986301369868E-2</v>
      </c>
      <c r="AZ36" s="172">
        <f>($Q36*'3 - Phase Durations'!$AH$16+$R36*'3 - Phase Durations'!$AH$17+$S36*('3 - Phase Durations'!$AH$18+'3 - Phase Durations'!$AH$19)+$T36*'3 - Phase Durations'!$AH$20+$U36*'3 - Phase Durations'!$AH$21+$V36*('3 - Phase Durations'!$AH$22+'3 - Phase Durations'!$AH$23)+$W36*'3 - Phase Durations'!$AH$24)/12</f>
        <v>5.000000000000001E-2</v>
      </c>
      <c r="BA36" s="172">
        <f>($Q36*'3 - Phase Durations'!$AI$16+$R36*'3 - Phase Durations'!$AI$17+$S36*('3 - Phase Durations'!$AI$18+'3 - Phase Durations'!$AI$19)+$T36*'3 - Phase Durations'!$AI$20+$U36*'3 - Phase Durations'!$AI$21+$V36*('3 - Phase Durations'!$AI$22+'3 - Phase Durations'!$AI$23)+$W36*'3 - Phase Durations'!$AI$24)/12</f>
        <v>5.000000000000001E-2</v>
      </c>
      <c r="BB36" s="172">
        <f>($Q36*'3 - Phase Durations'!$AJ$16+$R36*'3 - Phase Durations'!$AJ$17+$S36*('3 - Phase Durations'!$AJ$18+'3 - Phase Durations'!$AJ$19)+$T36*'3 - Phase Durations'!$AJ$20+$U36*'3 - Phase Durations'!$AJ$21+$V36*('3 - Phase Durations'!$AJ$22+'3 - Phase Durations'!$AJ$23)+$W36*'3 - Phase Durations'!$AJ$24)/12</f>
        <v>5.000000000000001E-2</v>
      </c>
      <c r="BC36" s="172">
        <f>($Q36*'3 - Phase Durations'!$AK$16+$R36*'3 - Phase Durations'!$AK$17+$S36*('3 - Phase Durations'!$AK$18+'3 - Phase Durations'!$AK$19)+$T36*'3 - Phase Durations'!$AK$20+$U36*'3 - Phase Durations'!$AK$21+$V36*('3 - Phase Durations'!$AK$22+'3 - Phase Durations'!$AK$23)+$W36*'3 - Phase Durations'!$AK$24)/12</f>
        <v>5.0136986301369868E-2</v>
      </c>
      <c r="BD36" s="172">
        <f>($Q36*'3 - Phase Durations'!$AL$16+$R36*'3 - Phase Durations'!$AL$17+$S36*('3 - Phase Durations'!$AL$18+'3 - Phase Durations'!$AL$19)+$T36*'3 - Phase Durations'!$AL$20+$U36*'3 - Phase Durations'!$AL$21+$V36*('3 - Phase Durations'!$AL$22+'3 - Phase Durations'!$AL$23)+$W36*'3 - Phase Durations'!$AL$24)/12</f>
        <v>5.000000000000001E-2</v>
      </c>
      <c r="BE36" s="172">
        <f>($Q36*'3 - Phase Durations'!$AM$16+$R36*'3 - Phase Durations'!$AM$17+$S36*('3 - Phase Durations'!$AM$18+'3 - Phase Durations'!$AM$19)+$T36*'3 - Phase Durations'!$AM$20+$U36*'3 - Phase Durations'!$AM$21+$V36*('3 - Phase Durations'!$AM$22+'3 - Phase Durations'!$AM$23)+$W36*'3 - Phase Durations'!$AM$24)/12</f>
        <v>5.000000000000001E-2</v>
      </c>
      <c r="BF36" s="172">
        <f>($Q36*'3 - Phase Durations'!$AN$16+$R36*'3 - Phase Durations'!$AN$17+$S36*('3 - Phase Durations'!$AN$18+'3 - Phase Durations'!$AN$19)+$T36*'3 - Phase Durations'!$AN$20+$U36*'3 - Phase Durations'!$AN$21+$V36*('3 - Phase Durations'!$AN$22+'3 - Phase Durations'!$AN$23)+$W36*'3 - Phase Durations'!$AN$24)/12</f>
        <v>5.000000000000001E-2</v>
      </c>
      <c r="BG36" s="172">
        <f>($Q36*'3 - Phase Durations'!$AO$16+$R36*'3 - Phase Durations'!$AO$17+$S36*('3 - Phase Durations'!$AO$18+'3 - Phase Durations'!$AO$19)+$T36*'3 - Phase Durations'!$AO$20+$U36*'3 - Phase Durations'!$AO$21+$V36*('3 - Phase Durations'!$AO$22+'3 - Phase Durations'!$AO$23)+$W36*'3 - Phase Durations'!$AO$24)/12</f>
        <v>1.2465753424657534E-2</v>
      </c>
      <c r="BH36" s="173">
        <f t="shared" si="0"/>
        <v>7.1821917808219142</v>
      </c>
    </row>
    <row r="37" spans="1:60" ht="30" customHeight="1">
      <c r="A37" s="174">
        <v>20</v>
      </c>
      <c r="B37" s="175" t="s">
        <v>1032</v>
      </c>
      <c r="C37" s="175" t="s">
        <v>1033</v>
      </c>
      <c r="D37" s="175" t="s">
        <v>1084</v>
      </c>
      <c r="E37" s="175" t="s">
        <v>1124</v>
      </c>
      <c r="F37" s="176" t="s">
        <v>1125</v>
      </c>
      <c r="G37" s="175" t="s">
        <v>1077</v>
      </c>
      <c r="H37" s="175" t="s">
        <v>1037</v>
      </c>
      <c r="I37" s="175" t="s">
        <v>1078</v>
      </c>
      <c r="J37" s="175" t="s">
        <v>1126</v>
      </c>
      <c r="K37" s="174" t="s">
        <v>1127</v>
      </c>
      <c r="L37" s="174" t="s">
        <v>1057</v>
      </c>
      <c r="M37" s="174" t="s">
        <v>1066</v>
      </c>
      <c r="N37" s="174" t="s">
        <v>1043</v>
      </c>
      <c r="O37" s="176" t="s">
        <v>1044</v>
      </c>
      <c r="P37" s="174" t="s">
        <v>1045</v>
      </c>
      <c r="Q37" s="177">
        <v>0</v>
      </c>
      <c r="R37" s="177">
        <v>1</v>
      </c>
      <c r="S37" s="177">
        <v>0</v>
      </c>
      <c r="T37" s="177">
        <v>0.1</v>
      </c>
      <c r="U37" s="177">
        <v>0.13</v>
      </c>
      <c r="V37" s="177">
        <v>1</v>
      </c>
      <c r="W37" s="177">
        <v>0</v>
      </c>
      <c r="X37" s="178">
        <f>IFERROR(VLOOKUP($M37,'Labour Rates lookup'!$A:$B,2,FALSE()),0)</f>
        <v>128000</v>
      </c>
      <c r="Y37" s="179">
        <f>($Q37*'3 - Phase Durations'!$G$16+$R37*'3 - Phase Durations'!$G$17+$S37*('3 - Phase Durations'!$G$18+'3 - Phase Durations'!$G$19)+$T37*'3 - Phase Durations'!$G$20+$U37*'3 - Phase Durations'!$G$21+$V37*('3 - Phase Durations'!$G$22+'3 - Phase Durations'!$G$23)+$W37*'3 - Phase Durations'!$G$24)/12</f>
        <v>0</v>
      </c>
      <c r="Z37" s="179">
        <f>($Q37*'3 - Phase Durations'!$H$16+$R37*'3 - Phase Durations'!$H$17+$S37*('3 - Phase Durations'!$H$18+'3 - Phase Durations'!$H$19)+$T37*'3 - Phase Durations'!$H$20+$U37*'3 - Phase Durations'!$H$21+$V37*('3 - Phase Durations'!$H$22+'3 - Phase Durations'!$H$23)+$W37*'3 - Phase Durations'!$H$24)/12</f>
        <v>0</v>
      </c>
      <c r="AA37" s="179">
        <f>($Q37*'3 - Phase Durations'!$I$16+$R37*'3 - Phase Durations'!$I$17+$S37*('3 - Phase Durations'!$I$18+'3 - Phase Durations'!$I$19)+$T37*'3 - Phase Durations'!$I$20+$U37*'3 - Phase Durations'!$I$21+$V37*('3 - Phase Durations'!$I$22+'3 - Phase Durations'!$I$23)+$W37*'3 - Phase Durations'!$I$24)/12</f>
        <v>0.24931506849315069</v>
      </c>
      <c r="AB37" s="179">
        <f>($Q37*'3 - Phase Durations'!$J$16+$R37*'3 - Phase Durations'!$J$17+$S37*('3 - Phase Durations'!$J$18+'3 - Phase Durations'!$J$19)+$T37*'3 - Phase Durations'!$J$20+$U37*'3 - Phase Durations'!$J$21+$V37*('3 - Phase Durations'!$J$22+'3 - Phase Durations'!$J$23)+$W37*'3 - Phase Durations'!$J$24)/12</f>
        <v>1</v>
      </c>
      <c r="AC37" s="179">
        <f>($Q37*'3 - Phase Durations'!$K$16+$R37*'3 - Phase Durations'!$K$17+$S37*('3 - Phase Durations'!$K$18+'3 - Phase Durations'!$K$19)+$T37*'3 - Phase Durations'!$K$20+$U37*'3 - Phase Durations'!$K$21+$V37*('3 - Phase Durations'!$K$22+'3 - Phase Durations'!$K$23)+$W37*'3 - Phase Durations'!$K$24)/12</f>
        <v>0.75342465753424659</v>
      </c>
      <c r="AD37" s="179">
        <f>($Q37*'3 - Phase Durations'!$L$16+$R37*'3 - Phase Durations'!$L$17+$S37*('3 - Phase Durations'!$L$18+'3 - Phase Durations'!$L$19)+$T37*'3 - Phase Durations'!$L$20+$U37*'3 - Phase Durations'!$L$21+$V37*('3 - Phase Durations'!$L$22+'3 - Phase Durations'!$L$23)+$W37*'3 - Phase Durations'!$L$24)/12</f>
        <v>0</v>
      </c>
      <c r="AE37" s="179">
        <f>($Q37*'3 - Phase Durations'!$M$16+$R37*'3 - Phase Durations'!$M$17+$S37*('3 - Phase Durations'!$M$18+'3 - Phase Durations'!$M$19)+$T37*'3 - Phase Durations'!$M$20+$U37*'3 - Phase Durations'!$M$21+$V37*('3 - Phase Durations'!$M$22+'3 - Phase Durations'!$M$23)+$W37*'3 - Phase Durations'!$M$24)/12</f>
        <v>2.4931506849315069E-2</v>
      </c>
      <c r="AF37" s="179">
        <f>($Q37*'3 - Phase Durations'!$N$16+$R37*'3 - Phase Durations'!$N$17+$S37*('3 - Phase Durations'!$N$18+'3 - Phase Durations'!$N$19)+$T37*'3 - Phase Durations'!$N$20+$U37*'3 - Phase Durations'!$N$21+$V37*('3 - Phase Durations'!$N$22+'3 - Phase Durations'!$N$23)+$W37*'3 - Phase Durations'!$N$24)/12</f>
        <v>0.10000000000000002</v>
      </c>
      <c r="AG37" s="179">
        <f>($Q37*'3 - Phase Durations'!$O$16+$R37*'3 - Phase Durations'!$O$17+$S37*('3 - Phase Durations'!$O$18+'3 - Phase Durations'!$O$19)+$T37*'3 - Phase Durations'!$O$20+$U37*'3 - Phase Durations'!$O$21+$V37*('3 - Phase Durations'!$O$22+'3 - Phase Durations'!$O$23)+$W37*'3 - Phase Durations'!$O$24)/12</f>
        <v>0.1073972602739726</v>
      </c>
      <c r="AH37" s="179">
        <f>($Q37*'3 - Phase Durations'!$P$16+$R37*'3 - Phase Durations'!$P$17+$S37*('3 - Phase Durations'!$P$18+'3 - Phase Durations'!$P$19)+$T37*'3 - Phase Durations'!$P$20+$U37*'3 - Phase Durations'!$P$21+$V37*('3 - Phase Durations'!$P$22+'3 - Phase Durations'!$P$23)+$W37*'3 - Phase Durations'!$P$24)/12</f>
        <v>0.13</v>
      </c>
      <c r="AI37" s="179">
        <f>($Q37*'3 - Phase Durations'!$Q$16+$R37*'3 - Phase Durations'!$Q$17+$S37*('3 - Phase Durations'!$Q$18+'3 - Phase Durations'!$Q$19)+$T37*'3 - Phase Durations'!$Q$20+$U37*'3 - Phase Durations'!$Q$21+$V37*('3 - Phase Durations'!$Q$22+'3 - Phase Durations'!$Q$23)+$W37*'3 - Phase Durations'!$Q$24)/12</f>
        <v>0.13035616438356165</v>
      </c>
      <c r="AJ37" s="179">
        <f>($Q37*'3 - Phase Durations'!$R$16+$R37*'3 - Phase Durations'!$R$17+$S37*('3 - Phase Durations'!$R$18+'3 - Phase Durations'!$R$19)+$T37*'3 - Phase Durations'!$R$20+$U37*'3 - Phase Durations'!$R$21+$V37*('3 - Phase Durations'!$R$22+'3 - Phase Durations'!$R$23)+$W37*'3 - Phase Durations'!$R$24)/12</f>
        <v>0.13</v>
      </c>
      <c r="AK37" s="179">
        <f>($Q37*'3 - Phase Durations'!$S$16+$R37*'3 - Phase Durations'!$S$17+$S37*('3 - Phase Durations'!$S$18+'3 - Phase Durations'!$S$19)+$T37*'3 - Phase Durations'!$S$20+$U37*'3 - Phase Durations'!$S$21+$V37*('3 - Phase Durations'!$S$22+'3 - Phase Durations'!$S$23)+$W37*'3 - Phase Durations'!$S$24)/12</f>
        <v>0.13</v>
      </c>
      <c r="AL37" s="179">
        <f>($Q37*'3 - Phase Durations'!$T$16+$R37*'3 - Phase Durations'!$T$17+$S37*('3 - Phase Durations'!$T$18+'3 - Phase Durations'!$T$19)+$T37*'3 - Phase Durations'!$T$20+$U37*'3 - Phase Durations'!$T$21+$V37*('3 - Phase Durations'!$T$22+'3 - Phase Durations'!$T$23)+$W37*'3 - Phase Durations'!$T$24)/12</f>
        <v>0.13</v>
      </c>
      <c r="AM37" s="179">
        <f>($Q37*'3 - Phase Durations'!$U$16+$R37*'3 - Phase Durations'!$U$17+$S37*('3 - Phase Durations'!$U$18+'3 - Phase Durations'!$U$19)+$T37*'3 - Phase Durations'!$U$20+$U37*'3 - Phase Durations'!$U$21+$V37*('3 - Phase Durations'!$U$22+'3 - Phase Durations'!$U$23)+$W37*'3 - Phase Durations'!$U$24)/12</f>
        <v>0.13035616438356165</v>
      </c>
      <c r="AN37" s="179">
        <f>($Q37*'3 - Phase Durations'!$V$16+$R37*'3 - Phase Durations'!$V$17+$S37*('3 - Phase Durations'!$V$18+'3 - Phase Durations'!$V$19)+$T37*'3 - Phase Durations'!$V$20+$U37*'3 - Phase Durations'!$V$21+$V37*('3 - Phase Durations'!$V$22+'3 - Phase Durations'!$V$23)+$W37*'3 - Phase Durations'!$V$24)/12</f>
        <v>0.34452054794520554</v>
      </c>
      <c r="AO37" s="179">
        <f>($Q37*'3 - Phase Durations'!$W$16+$R37*'3 - Phase Durations'!$W$17+$S37*('3 - Phase Durations'!$W$18+'3 - Phase Durations'!$W$19)+$T37*'3 - Phase Durations'!$W$20+$U37*'3 - Phase Durations'!$W$21+$V37*('3 - Phase Durations'!$W$22+'3 - Phase Durations'!$W$23)+$W37*'3 - Phase Durations'!$W$24)/12</f>
        <v>1</v>
      </c>
      <c r="AP37" s="179">
        <f>($Q37*'3 - Phase Durations'!$X$16+$R37*'3 - Phase Durations'!$X$17+$S37*('3 - Phase Durations'!$X$18+'3 - Phase Durations'!$X$19)+$T37*'3 - Phase Durations'!$X$20+$U37*'3 - Phase Durations'!$X$21+$V37*('3 - Phase Durations'!$X$22+'3 - Phase Durations'!$X$23)+$W37*'3 - Phase Durations'!$X$24)/12</f>
        <v>1</v>
      </c>
      <c r="AQ37" s="179">
        <f>($Q37*'3 - Phase Durations'!$Y$16+$R37*'3 - Phase Durations'!$Y$17+$S37*('3 - Phase Durations'!$Y$18+'3 - Phase Durations'!$Y$19)+$T37*'3 - Phase Durations'!$Y$20+$U37*'3 - Phase Durations'!$Y$21+$V37*('3 - Phase Durations'!$Y$22+'3 - Phase Durations'!$Y$23)+$W37*'3 - Phase Durations'!$Y$24)/12</f>
        <v>1.0027397260273974</v>
      </c>
      <c r="AR37" s="179">
        <f>($Q37*'3 - Phase Durations'!$Z$16+$R37*'3 - Phase Durations'!$Z$17+$S37*('3 - Phase Durations'!$Z$18+'3 - Phase Durations'!$Z$19)+$T37*'3 - Phase Durations'!$Z$20+$U37*'3 - Phase Durations'!$Z$21+$V37*('3 - Phase Durations'!$Z$22+'3 - Phase Durations'!$Z$23)+$W37*'3 - Phase Durations'!$Z$24)/12</f>
        <v>1</v>
      </c>
      <c r="AS37" s="179">
        <f>($Q37*'3 - Phase Durations'!$AA$16+$R37*'3 - Phase Durations'!$AA$17+$S37*('3 - Phase Durations'!$AA$18+'3 - Phase Durations'!$AA$19)+$T37*'3 - Phase Durations'!$AA$20+$U37*'3 - Phase Durations'!$AA$21+$V37*('3 - Phase Durations'!$AA$22+'3 - Phase Durations'!$AA$23)+$W37*'3 - Phase Durations'!$AA$24)/12</f>
        <v>1</v>
      </c>
      <c r="AT37" s="179">
        <f>($Q37*'3 - Phase Durations'!$AB$16+$R37*'3 - Phase Durations'!$AB$17+$S37*('3 - Phase Durations'!$AB$18+'3 - Phase Durations'!$AB$19)+$T37*'3 - Phase Durations'!$AB$20+$U37*'3 - Phase Durations'!$AB$21+$V37*('3 - Phase Durations'!$AB$22+'3 - Phase Durations'!$AB$23)+$W37*'3 - Phase Durations'!$AB$24)/12</f>
        <v>1</v>
      </c>
      <c r="AU37" s="179">
        <f>($Q37*'3 - Phase Durations'!$AC$16+$R37*'3 - Phase Durations'!$AC$17+$S37*('3 - Phase Durations'!$AC$18+'3 - Phase Durations'!$AC$19)+$T37*'3 - Phase Durations'!$AC$20+$U37*'3 - Phase Durations'!$AC$21+$V37*('3 - Phase Durations'!$AC$22+'3 - Phase Durations'!$AC$23)+$W37*'3 - Phase Durations'!$AC$24)/12</f>
        <v>1.0027397260273974</v>
      </c>
      <c r="AV37" s="179">
        <f>($Q37*'3 - Phase Durations'!$AD$16+$R37*'3 - Phase Durations'!$AD$17+$S37*('3 - Phase Durations'!$AD$18+'3 - Phase Durations'!$AD$19)+$T37*'3 - Phase Durations'!$AD$20+$U37*'3 - Phase Durations'!$AD$21+$V37*('3 - Phase Durations'!$AD$22+'3 - Phase Durations'!$AD$23)+$W37*'3 - Phase Durations'!$AD$24)/12</f>
        <v>1</v>
      </c>
      <c r="AW37" s="179">
        <f>($Q37*'3 - Phase Durations'!$AE$16+$R37*'3 - Phase Durations'!$AE$17+$S37*('3 - Phase Durations'!$AE$18+'3 - Phase Durations'!$AE$19)+$T37*'3 - Phase Durations'!$AE$20+$U37*'3 - Phase Durations'!$AE$21+$V37*('3 - Phase Durations'!$AE$22+'3 - Phase Durations'!$AE$23)+$W37*'3 - Phase Durations'!$AE$24)/12</f>
        <v>1</v>
      </c>
      <c r="AX37" s="179">
        <f>($Q37*'3 - Phase Durations'!$AF$16+$R37*'3 - Phase Durations'!$AF$17+$S37*('3 - Phase Durations'!$AF$18+'3 - Phase Durations'!$AF$19)+$T37*'3 - Phase Durations'!$AF$20+$U37*'3 - Phase Durations'!$AF$21+$V37*('3 - Phase Durations'!$AF$22+'3 - Phase Durations'!$AF$23)+$W37*'3 - Phase Durations'!$AF$24)/12</f>
        <v>1</v>
      </c>
      <c r="AY37" s="179">
        <f>($Q37*'3 - Phase Durations'!$AG$16+$R37*'3 - Phase Durations'!$AG$17+$S37*('3 - Phase Durations'!$AG$18+'3 - Phase Durations'!$AG$19)+$T37*'3 - Phase Durations'!$AG$20+$U37*'3 - Phase Durations'!$AG$21+$V37*('3 - Phase Durations'!$AG$22+'3 - Phase Durations'!$AG$23)+$W37*'3 - Phase Durations'!$AG$24)/12</f>
        <v>1.0027397260273974</v>
      </c>
      <c r="AZ37" s="179">
        <f>($Q37*'3 - Phase Durations'!$AH$16+$R37*'3 - Phase Durations'!$AH$17+$S37*('3 - Phase Durations'!$AH$18+'3 - Phase Durations'!$AH$19)+$T37*'3 - Phase Durations'!$AH$20+$U37*'3 - Phase Durations'!$AH$21+$V37*('3 - Phase Durations'!$AH$22+'3 - Phase Durations'!$AH$23)+$W37*'3 - Phase Durations'!$AH$24)/12</f>
        <v>1</v>
      </c>
      <c r="BA37" s="179">
        <f>($Q37*'3 - Phase Durations'!$AI$16+$R37*'3 - Phase Durations'!$AI$17+$S37*('3 - Phase Durations'!$AI$18+'3 - Phase Durations'!$AI$19)+$T37*'3 - Phase Durations'!$AI$20+$U37*'3 - Phase Durations'!$AI$21+$V37*('3 - Phase Durations'!$AI$22+'3 - Phase Durations'!$AI$23)+$W37*'3 - Phase Durations'!$AI$24)/12</f>
        <v>1</v>
      </c>
      <c r="BB37" s="179">
        <f>($Q37*'3 - Phase Durations'!$AJ$16+$R37*'3 - Phase Durations'!$AJ$17+$S37*('3 - Phase Durations'!$AJ$18+'3 - Phase Durations'!$AJ$19)+$T37*'3 - Phase Durations'!$AJ$20+$U37*'3 - Phase Durations'!$AJ$21+$V37*('3 - Phase Durations'!$AJ$22+'3 - Phase Durations'!$AJ$23)+$W37*'3 - Phase Durations'!$AJ$24)/12</f>
        <v>1</v>
      </c>
      <c r="BC37" s="179">
        <f>($Q37*'3 - Phase Durations'!$AK$16+$R37*'3 - Phase Durations'!$AK$17+$S37*('3 - Phase Durations'!$AK$18+'3 - Phase Durations'!$AK$19)+$T37*'3 - Phase Durations'!$AK$20+$U37*'3 - Phase Durations'!$AK$21+$V37*('3 - Phase Durations'!$AK$22+'3 - Phase Durations'!$AK$23)+$W37*'3 - Phase Durations'!$AK$24)/12</f>
        <v>1.0027397260273974</v>
      </c>
      <c r="BD37" s="179">
        <f>($Q37*'3 - Phase Durations'!$AL$16+$R37*'3 - Phase Durations'!$AL$17+$S37*('3 - Phase Durations'!$AL$18+'3 - Phase Durations'!$AL$19)+$T37*'3 - Phase Durations'!$AL$20+$U37*'3 - Phase Durations'!$AL$21+$V37*('3 - Phase Durations'!$AL$22+'3 - Phase Durations'!$AL$23)+$W37*'3 - Phase Durations'!$AL$24)/12</f>
        <v>1</v>
      </c>
      <c r="BE37" s="179">
        <f>($Q37*'3 - Phase Durations'!$AM$16+$R37*'3 - Phase Durations'!$AM$17+$S37*('3 - Phase Durations'!$AM$18+'3 - Phase Durations'!$AM$19)+$T37*'3 - Phase Durations'!$AM$20+$U37*'3 - Phase Durations'!$AM$21+$V37*('3 - Phase Durations'!$AM$22+'3 - Phase Durations'!$AM$23)+$W37*'3 - Phase Durations'!$AM$24)/12</f>
        <v>1</v>
      </c>
      <c r="BF37" s="179">
        <f>($Q37*'3 - Phase Durations'!$AN$16+$R37*'3 - Phase Durations'!$AN$17+$S37*('3 - Phase Durations'!$AN$18+'3 - Phase Durations'!$AN$19)+$T37*'3 - Phase Durations'!$AN$20+$U37*'3 - Phase Durations'!$AN$21+$V37*('3 - Phase Durations'!$AN$22+'3 - Phase Durations'!$AN$23)+$W37*'3 - Phase Durations'!$AN$24)/12</f>
        <v>1</v>
      </c>
      <c r="BG37" s="179">
        <f>($Q37*'3 - Phase Durations'!$AO$16+$R37*'3 - Phase Durations'!$AO$17+$S37*('3 - Phase Durations'!$AO$18+'3 - Phase Durations'!$AO$19)+$T37*'3 - Phase Durations'!$AO$20+$U37*'3 - Phase Durations'!$AO$21+$V37*('3 - Phase Durations'!$AO$22+'3 - Phase Durations'!$AO$23)+$W37*'3 - Phase Durations'!$AO$24)/12</f>
        <v>0.24931506849315069</v>
      </c>
      <c r="BH37" s="180">
        <f t="shared" si="0"/>
        <v>21.620575342465752</v>
      </c>
    </row>
    <row r="38" spans="1:60" ht="30" customHeight="1">
      <c r="A38" s="167">
        <v>21</v>
      </c>
      <c r="B38" s="168" t="s">
        <v>1032</v>
      </c>
      <c r="C38" s="168" t="s">
        <v>1033</v>
      </c>
      <c r="D38" s="168" t="s">
        <v>1084</v>
      </c>
      <c r="E38" s="168" t="s">
        <v>1089</v>
      </c>
      <c r="F38" s="169" t="s">
        <v>1128</v>
      </c>
      <c r="G38" s="168" t="s">
        <v>1077</v>
      </c>
      <c r="H38" s="168" t="s">
        <v>1037</v>
      </c>
      <c r="I38" s="168" t="s">
        <v>1078</v>
      </c>
      <c r="J38" s="168" t="s">
        <v>1129</v>
      </c>
      <c r="K38" s="167" t="s">
        <v>1130</v>
      </c>
      <c r="L38" s="167" t="s">
        <v>1057</v>
      </c>
      <c r="M38" s="167" t="s">
        <v>1066</v>
      </c>
      <c r="N38" s="167" t="s">
        <v>1043</v>
      </c>
      <c r="O38" s="169" t="s">
        <v>1044</v>
      </c>
      <c r="P38" s="167" t="s">
        <v>1045</v>
      </c>
      <c r="Q38" s="170">
        <v>0</v>
      </c>
      <c r="R38" s="170">
        <v>1</v>
      </c>
      <c r="S38" s="170">
        <v>0.3</v>
      </c>
      <c r="T38" s="170">
        <v>0.05</v>
      </c>
      <c r="U38" s="170">
        <v>0.38</v>
      </c>
      <c r="V38" s="170">
        <v>0.1</v>
      </c>
      <c r="W38" s="170">
        <v>0</v>
      </c>
      <c r="X38" s="171">
        <f>IFERROR(VLOOKUP($M38,'Labour Rates lookup'!$A:$B,2,FALSE()),0)</f>
        <v>128000</v>
      </c>
      <c r="Y38" s="172">
        <f>($Q38*'3 - Phase Durations'!$G$16+$R38*'3 - Phase Durations'!$G$17+$S38*('3 - Phase Durations'!$G$18+'3 - Phase Durations'!$G$19)+$T38*'3 - Phase Durations'!$G$20+$U38*'3 - Phase Durations'!$G$21+$V38*('3 - Phase Durations'!$G$22+'3 - Phase Durations'!$G$23)+$W38*'3 - Phase Durations'!$G$24)/12</f>
        <v>0</v>
      </c>
      <c r="Z38" s="172">
        <f>($Q38*'3 - Phase Durations'!$H$16+$R38*'3 - Phase Durations'!$H$17+$S38*('3 - Phase Durations'!$H$18+'3 - Phase Durations'!$H$19)+$T38*'3 - Phase Durations'!$H$20+$U38*'3 - Phase Durations'!$H$21+$V38*('3 - Phase Durations'!$H$22+'3 - Phase Durations'!$H$23)+$W38*'3 - Phase Durations'!$H$24)/12</f>
        <v>0</v>
      </c>
      <c r="AA38" s="172">
        <f>($Q38*'3 - Phase Durations'!$I$16+$R38*'3 - Phase Durations'!$I$17+$S38*('3 - Phase Durations'!$I$18+'3 - Phase Durations'!$I$19)+$T38*'3 - Phase Durations'!$I$20+$U38*'3 - Phase Durations'!$I$21+$V38*('3 - Phase Durations'!$I$22+'3 - Phase Durations'!$I$23)+$W38*'3 - Phase Durations'!$I$24)/12</f>
        <v>0.24931506849315069</v>
      </c>
      <c r="AB38" s="172">
        <f>($Q38*'3 - Phase Durations'!$J$16+$R38*'3 - Phase Durations'!$J$17+$S38*('3 - Phase Durations'!$J$18+'3 - Phase Durations'!$J$19)+$T38*'3 - Phase Durations'!$J$20+$U38*'3 - Phase Durations'!$J$21+$V38*('3 - Phase Durations'!$J$22+'3 - Phase Durations'!$J$23)+$W38*'3 - Phase Durations'!$J$24)/12</f>
        <v>1</v>
      </c>
      <c r="AC38" s="172">
        <f>($Q38*'3 - Phase Durations'!$K$16+$R38*'3 - Phase Durations'!$K$17+$S38*('3 - Phase Durations'!$K$18+'3 - Phase Durations'!$K$19)+$T38*'3 - Phase Durations'!$K$20+$U38*'3 - Phase Durations'!$K$21+$V38*('3 - Phase Durations'!$K$22+'3 - Phase Durations'!$K$23)+$W38*'3 - Phase Durations'!$K$24)/12</f>
        <v>0.82739726027397265</v>
      </c>
      <c r="AD38" s="172">
        <f>($Q38*'3 - Phase Durations'!$L$16+$R38*'3 - Phase Durations'!$L$17+$S38*('3 - Phase Durations'!$L$18+'3 - Phase Durations'!$L$19)+$T38*'3 - Phase Durations'!$L$20+$U38*'3 - Phase Durations'!$L$21+$V38*('3 - Phase Durations'!$L$22+'3 - Phase Durations'!$L$23)+$W38*'3 - Phase Durations'!$L$24)/12</f>
        <v>0.3</v>
      </c>
      <c r="AE38" s="172">
        <f>($Q38*'3 - Phase Durations'!$M$16+$R38*'3 - Phase Durations'!$M$17+$S38*('3 - Phase Durations'!$M$18+'3 - Phase Durations'!$M$19)+$T38*'3 - Phase Durations'!$M$20+$U38*'3 - Phase Durations'!$M$21+$V38*('3 - Phase Durations'!$M$22+'3 - Phase Durations'!$M$23)+$W38*'3 - Phase Durations'!$M$24)/12</f>
        <v>0.23849315068493152</v>
      </c>
      <c r="AF38" s="172">
        <f>($Q38*'3 - Phase Durations'!$N$16+$R38*'3 - Phase Durations'!$N$17+$S38*('3 - Phase Durations'!$N$18+'3 - Phase Durations'!$N$19)+$T38*'3 - Phase Durations'!$N$20+$U38*'3 - Phase Durations'!$N$21+$V38*('3 - Phase Durations'!$N$22+'3 - Phase Durations'!$N$23)+$W38*'3 - Phase Durations'!$N$24)/12</f>
        <v>5.000000000000001E-2</v>
      </c>
      <c r="AG38" s="172">
        <f>($Q38*'3 - Phase Durations'!$O$16+$R38*'3 - Phase Durations'!$O$17+$S38*('3 - Phase Durations'!$O$18+'3 - Phase Durations'!$O$19)+$T38*'3 - Phase Durations'!$O$20+$U38*'3 - Phase Durations'!$O$21+$V38*('3 - Phase Durations'!$O$22+'3 - Phase Durations'!$O$23)+$W38*'3 - Phase Durations'!$O$24)/12</f>
        <v>0.13136986301369863</v>
      </c>
      <c r="AH38" s="172">
        <f>($Q38*'3 - Phase Durations'!$P$16+$R38*'3 - Phase Durations'!$P$17+$S38*('3 - Phase Durations'!$P$18+'3 - Phase Durations'!$P$19)+$T38*'3 - Phase Durations'!$P$20+$U38*'3 - Phase Durations'!$P$21+$V38*('3 - Phase Durations'!$P$22+'3 - Phase Durations'!$P$23)+$W38*'3 - Phase Durations'!$P$24)/12</f>
        <v>0.38000000000000006</v>
      </c>
      <c r="AI38" s="172">
        <f>($Q38*'3 - Phase Durations'!$Q$16+$R38*'3 - Phase Durations'!$Q$17+$S38*('3 - Phase Durations'!$Q$18+'3 - Phase Durations'!$Q$19)+$T38*'3 - Phase Durations'!$Q$20+$U38*'3 - Phase Durations'!$Q$21+$V38*('3 - Phase Durations'!$Q$22+'3 - Phase Durations'!$Q$23)+$W38*'3 - Phase Durations'!$Q$24)/12</f>
        <v>0.38104109589041096</v>
      </c>
      <c r="AJ38" s="172">
        <f>($Q38*'3 - Phase Durations'!$R$16+$R38*'3 - Phase Durations'!$R$17+$S38*('3 - Phase Durations'!$R$18+'3 - Phase Durations'!$R$19)+$T38*'3 - Phase Durations'!$R$20+$U38*'3 - Phase Durations'!$R$21+$V38*('3 - Phase Durations'!$R$22+'3 - Phase Durations'!$R$23)+$W38*'3 - Phase Durations'!$R$24)/12</f>
        <v>0.38000000000000006</v>
      </c>
      <c r="AK38" s="172">
        <f>($Q38*'3 - Phase Durations'!$S$16+$R38*'3 - Phase Durations'!$S$17+$S38*('3 - Phase Durations'!$S$18+'3 - Phase Durations'!$S$19)+$T38*'3 - Phase Durations'!$S$20+$U38*'3 - Phase Durations'!$S$21+$V38*('3 - Phase Durations'!$S$22+'3 - Phase Durations'!$S$23)+$W38*'3 - Phase Durations'!$S$24)/12</f>
        <v>0.38000000000000006</v>
      </c>
      <c r="AL38" s="172">
        <f>($Q38*'3 - Phase Durations'!$T$16+$R38*'3 - Phase Durations'!$T$17+$S38*('3 - Phase Durations'!$T$18+'3 - Phase Durations'!$T$19)+$T38*'3 - Phase Durations'!$T$20+$U38*'3 - Phase Durations'!$T$21+$V38*('3 - Phase Durations'!$T$22+'3 - Phase Durations'!$T$23)+$W38*'3 - Phase Durations'!$T$24)/12</f>
        <v>0.38000000000000006</v>
      </c>
      <c r="AM38" s="172">
        <f>($Q38*'3 - Phase Durations'!$U$16+$R38*'3 - Phase Durations'!$U$17+$S38*('3 - Phase Durations'!$U$18+'3 - Phase Durations'!$U$19)+$T38*'3 - Phase Durations'!$U$20+$U38*'3 - Phase Durations'!$U$21+$V38*('3 - Phase Durations'!$U$22+'3 - Phase Durations'!$U$23)+$W38*'3 - Phase Durations'!$U$24)/12</f>
        <v>0.38104109589041096</v>
      </c>
      <c r="AN38" s="172">
        <f>($Q38*'3 - Phase Durations'!$V$16+$R38*'3 - Phase Durations'!$V$17+$S38*('3 - Phase Durations'!$V$18+'3 - Phase Durations'!$V$19)+$T38*'3 - Phase Durations'!$V$20+$U38*'3 - Phase Durations'!$V$21+$V38*('3 - Phase Durations'!$V$22+'3 - Phase Durations'!$V$23)+$W38*'3 - Phase Durations'!$V$24)/12</f>
        <v>0.3109589041095891</v>
      </c>
      <c r="AO38" s="172">
        <f>($Q38*'3 - Phase Durations'!$W$16+$R38*'3 - Phase Durations'!$W$17+$S38*('3 - Phase Durations'!$W$18+'3 - Phase Durations'!$W$19)+$T38*'3 - Phase Durations'!$W$20+$U38*'3 - Phase Durations'!$W$21+$V38*('3 - Phase Durations'!$W$22+'3 - Phase Durations'!$W$23)+$W38*'3 - Phase Durations'!$W$24)/12</f>
        <v>0.10000000000000002</v>
      </c>
      <c r="AP38" s="172">
        <f>($Q38*'3 - Phase Durations'!$X$16+$R38*'3 - Phase Durations'!$X$17+$S38*('3 - Phase Durations'!$X$18+'3 - Phase Durations'!$X$19)+$T38*'3 - Phase Durations'!$X$20+$U38*'3 - Phase Durations'!$X$21+$V38*('3 - Phase Durations'!$X$22+'3 - Phase Durations'!$X$23)+$W38*'3 - Phase Durations'!$X$24)/12</f>
        <v>0.10000000000000002</v>
      </c>
      <c r="AQ38" s="172">
        <f>($Q38*'3 - Phase Durations'!$Y$16+$R38*'3 - Phase Durations'!$Y$17+$S38*('3 - Phase Durations'!$Y$18+'3 - Phase Durations'!$Y$19)+$T38*'3 - Phase Durations'!$Y$20+$U38*'3 - Phase Durations'!$Y$21+$V38*('3 - Phase Durations'!$Y$22+'3 - Phase Durations'!$Y$23)+$W38*'3 - Phase Durations'!$Y$24)/12</f>
        <v>0.10027397260273974</v>
      </c>
      <c r="AR38" s="172">
        <f>($Q38*'3 - Phase Durations'!$Z$16+$R38*'3 - Phase Durations'!$Z$17+$S38*('3 - Phase Durations'!$Z$18+'3 - Phase Durations'!$Z$19)+$T38*'3 - Phase Durations'!$Z$20+$U38*'3 - Phase Durations'!$Z$21+$V38*('3 - Phase Durations'!$Z$22+'3 - Phase Durations'!$Z$23)+$W38*'3 - Phase Durations'!$Z$24)/12</f>
        <v>0.10000000000000002</v>
      </c>
      <c r="AS38" s="172">
        <f>($Q38*'3 - Phase Durations'!$AA$16+$R38*'3 - Phase Durations'!$AA$17+$S38*('3 - Phase Durations'!$AA$18+'3 - Phase Durations'!$AA$19)+$T38*'3 - Phase Durations'!$AA$20+$U38*'3 - Phase Durations'!$AA$21+$V38*('3 - Phase Durations'!$AA$22+'3 - Phase Durations'!$AA$23)+$W38*'3 - Phase Durations'!$AA$24)/12</f>
        <v>0.10000000000000002</v>
      </c>
      <c r="AT38" s="172">
        <f>($Q38*'3 - Phase Durations'!$AB$16+$R38*'3 - Phase Durations'!$AB$17+$S38*('3 - Phase Durations'!$AB$18+'3 - Phase Durations'!$AB$19)+$T38*'3 - Phase Durations'!$AB$20+$U38*'3 - Phase Durations'!$AB$21+$V38*('3 - Phase Durations'!$AB$22+'3 - Phase Durations'!$AB$23)+$W38*'3 - Phase Durations'!$AB$24)/12</f>
        <v>0.10000000000000002</v>
      </c>
      <c r="AU38" s="172">
        <f>($Q38*'3 - Phase Durations'!$AC$16+$R38*'3 - Phase Durations'!$AC$17+$S38*('3 - Phase Durations'!$AC$18+'3 - Phase Durations'!$AC$19)+$T38*'3 - Phase Durations'!$AC$20+$U38*'3 - Phase Durations'!$AC$21+$V38*('3 - Phase Durations'!$AC$22+'3 - Phase Durations'!$AC$23)+$W38*'3 - Phase Durations'!$AC$24)/12</f>
        <v>0.10027397260273974</v>
      </c>
      <c r="AV38" s="172">
        <f>($Q38*'3 - Phase Durations'!$AD$16+$R38*'3 - Phase Durations'!$AD$17+$S38*('3 - Phase Durations'!$AD$18+'3 - Phase Durations'!$AD$19)+$T38*'3 - Phase Durations'!$AD$20+$U38*'3 - Phase Durations'!$AD$21+$V38*('3 - Phase Durations'!$AD$22+'3 - Phase Durations'!$AD$23)+$W38*'3 - Phase Durations'!$AD$24)/12</f>
        <v>0.10000000000000002</v>
      </c>
      <c r="AW38" s="172">
        <f>($Q38*'3 - Phase Durations'!$AE$16+$R38*'3 - Phase Durations'!$AE$17+$S38*('3 - Phase Durations'!$AE$18+'3 - Phase Durations'!$AE$19)+$T38*'3 - Phase Durations'!$AE$20+$U38*'3 - Phase Durations'!$AE$21+$V38*('3 - Phase Durations'!$AE$22+'3 - Phase Durations'!$AE$23)+$W38*'3 - Phase Durations'!$AE$24)/12</f>
        <v>0.10000000000000002</v>
      </c>
      <c r="AX38" s="172">
        <f>($Q38*'3 - Phase Durations'!$AF$16+$R38*'3 - Phase Durations'!$AF$17+$S38*('3 - Phase Durations'!$AF$18+'3 - Phase Durations'!$AF$19)+$T38*'3 - Phase Durations'!$AF$20+$U38*'3 - Phase Durations'!$AF$21+$V38*('3 - Phase Durations'!$AF$22+'3 - Phase Durations'!$AF$23)+$W38*'3 - Phase Durations'!$AF$24)/12</f>
        <v>0.10000000000000002</v>
      </c>
      <c r="AY38" s="172">
        <f>($Q38*'3 - Phase Durations'!$AG$16+$R38*'3 - Phase Durations'!$AG$17+$S38*('3 - Phase Durations'!$AG$18+'3 - Phase Durations'!$AG$19)+$T38*'3 - Phase Durations'!$AG$20+$U38*'3 - Phase Durations'!$AG$21+$V38*('3 - Phase Durations'!$AG$22+'3 - Phase Durations'!$AG$23)+$W38*'3 - Phase Durations'!$AG$24)/12</f>
        <v>0.10027397260273974</v>
      </c>
      <c r="AZ38" s="172">
        <f>($Q38*'3 - Phase Durations'!$AH$16+$R38*'3 - Phase Durations'!$AH$17+$S38*('3 - Phase Durations'!$AH$18+'3 - Phase Durations'!$AH$19)+$T38*'3 - Phase Durations'!$AH$20+$U38*'3 - Phase Durations'!$AH$21+$V38*('3 - Phase Durations'!$AH$22+'3 - Phase Durations'!$AH$23)+$W38*'3 - Phase Durations'!$AH$24)/12</f>
        <v>0.10000000000000002</v>
      </c>
      <c r="BA38" s="172">
        <f>($Q38*'3 - Phase Durations'!$AI$16+$R38*'3 - Phase Durations'!$AI$17+$S38*('3 - Phase Durations'!$AI$18+'3 - Phase Durations'!$AI$19)+$T38*'3 - Phase Durations'!$AI$20+$U38*'3 - Phase Durations'!$AI$21+$V38*('3 - Phase Durations'!$AI$22+'3 - Phase Durations'!$AI$23)+$W38*'3 - Phase Durations'!$AI$24)/12</f>
        <v>0.10000000000000002</v>
      </c>
      <c r="BB38" s="172">
        <f>($Q38*'3 - Phase Durations'!$AJ$16+$R38*'3 - Phase Durations'!$AJ$17+$S38*('3 - Phase Durations'!$AJ$18+'3 - Phase Durations'!$AJ$19)+$T38*'3 - Phase Durations'!$AJ$20+$U38*'3 - Phase Durations'!$AJ$21+$V38*('3 - Phase Durations'!$AJ$22+'3 - Phase Durations'!$AJ$23)+$W38*'3 - Phase Durations'!$AJ$24)/12</f>
        <v>0.10000000000000002</v>
      </c>
      <c r="BC38" s="172">
        <f>($Q38*'3 - Phase Durations'!$AK$16+$R38*'3 - Phase Durations'!$AK$17+$S38*('3 - Phase Durations'!$AK$18+'3 - Phase Durations'!$AK$19)+$T38*'3 - Phase Durations'!$AK$20+$U38*'3 - Phase Durations'!$AK$21+$V38*('3 - Phase Durations'!$AK$22+'3 - Phase Durations'!$AK$23)+$W38*'3 - Phase Durations'!$AK$24)/12</f>
        <v>0.10027397260273974</v>
      </c>
      <c r="BD38" s="172">
        <f>($Q38*'3 - Phase Durations'!$AL$16+$R38*'3 - Phase Durations'!$AL$17+$S38*('3 - Phase Durations'!$AL$18+'3 - Phase Durations'!$AL$19)+$T38*'3 - Phase Durations'!$AL$20+$U38*'3 - Phase Durations'!$AL$21+$V38*('3 - Phase Durations'!$AL$22+'3 - Phase Durations'!$AL$23)+$W38*'3 - Phase Durations'!$AL$24)/12</f>
        <v>0.10000000000000002</v>
      </c>
      <c r="BE38" s="172">
        <f>($Q38*'3 - Phase Durations'!$AM$16+$R38*'3 - Phase Durations'!$AM$17+$S38*('3 - Phase Durations'!$AM$18+'3 - Phase Durations'!$AM$19)+$T38*'3 - Phase Durations'!$AM$20+$U38*'3 - Phase Durations'!$AM$21+$V38*('3 - Phase Durations'!$AM$22+'3 - Phase Durations'!$AM$23)+$W38*'3 - Phase Durations'!$AM$24)/12</f>
        <v>0.10000000000000002</v>
      </c>
      <c r="BF38" s="172">
        <f>($Q38*'3 - Phase Durations'!$AN$16+$R38*'3 - Phase Durations'!$AN$17+$S38*('3 - Phase Durations'!$AN$18+'3 - Phase Durations'!$AN$19)+$T38*'3 - Phase Durations'!$AN$20+$U38*'3 - Phase Durations'!$AN$21+$V38*('3 - Phase Durations'!$AN$22+'3 - Phase Durations'!$AN$23)+$W38*'3 - Phase Durations'!$AN$24)/12</f>
        <v>0.10000000000000002</v>
      </c>
      <c r="BG38" s="172">
        <f>($Q38*'3 - Phase Durations'!$AO$16+$R38*'3 - Phase Durations'!$AO$17+$S38*('3 - Phase Durations'!$AO$18+'3 - Phase Durations'!$AO$19)+$T38*'3 - Phase Durations'!$AO$20+$U38*'3 - Phase Durations'!$AO$21+$V38*('3 - Phase Durations'!$AO$22+'3 - Phase Durations'!$AO$23)+$W38*'3 - Phase Durations'!$AO$24)/12</f>
        <v>2.4931506849315069E-2</v>
      </c>
      <c r="BH38" s="173">
        <f t="shared" si="0"/>
        <v>7.2156438356164312</v>
      </c>
    </row>
    <row r="39" spans="1:60" ht="30" customHeight="1">
      <c r="A39" s="174">
        <v>22</v>
      </c>
      <c r="B39" s="175" t="s">
        <v>1032</v>
      </c>
      <c r="C39" s="175" t="s">
        <v>1033</v>
      </c>
      <c r="D39" s="175" t="s">
        <v>1084</v>
      </c>
      <c r="E39" s="175" t="s">
        <v>1085</v>
      </c>
      <c r="F39" s="176" t="s">
        <v>1131</v>
      </c>
      <c r="G39" s="175" t="s">
        <v>1077</v>
      </c>
      <c r="H39" s="175" t="s">
        <v>1037</v>
      </c>
      <c r="I39" s="175" t="s">
        <v>1078</v>
      </c>
      <c r="J39" s="175" t="s">
        <v>1132</v>
      </c>
      <c r="K39" s="174" t="s">
        <v>1133</v>
      </c>
      <c r="L39" s="174" t="s">
        <v>1057</v>
      </c>
      <c r="M39" s="174" t="s">
        <v>1066</v>
      </c>
      <c r="N39" s="174" t="s">
        <v>1043</v>
      </c>
      <c r="O39" s="176" t="s">
        <v>1044</v>
      </c>
      <c r="P39" s="174" t="s">
        <v>1045</v>
      </c>
      <c r="Q39" s="177">
        <v>0</v>
      </c>
      <c r="R39" s="177">
        <v>0</v>
      </c>
      <c r="S39" s="177">
        <v>0.25</v>
      </c>
      <c r="T39" s="177">
        <v>0.1</v>
      </c>
      <c r="U39" s="177">
        <v>0.35</v>
      </c>
      <c r="V39" s="177">
        <v>0</v>
      </c>
      <c r="W39" s="177">
        <v>0</v>
      </c>
      <c r="X39" s="178">
        <f>IFERROR(VLOOKUP($M39,'Labour Rates lookup'!$A:$B,2,FALSE()),0)</f>
        <v>128000</v>
      </c>
      <c r="Y39" s="179">
        <f>($Q39*'3 - Phase Durations'!$G$16+$R39*'3 - Phase Durations'!$G$17+$S39*('3 - Phase Durations'!$G$18+'3 - Phase Durations'!$G$19)+$T39*'3 - Phase Durations'!$G$20+$U39*'3 - Phase Durations'!$G$21+$V39*('3 - Phase Durations'!$G$22+'3 - Phase Durations'!$G$23)+$W39*'3 - Phase Durations'!$G$24)/12</f>
        <v>0</v>
      </c>
      <c r="Z39" s="179">
        <f>($Q39*'3 - Phase Durations'!$H$16+$R39*'3 - Phase Durations'!$H$17+$S39*('3 - Phase Durations'!$H$18+'3 - Phase Durations'!$H$19)+$T39*'3 - Phase Durations'!$H$20+$U39*'3 - Phase Durations'!$H$21+$V39*('3 - Phase Durations'!$H$22+'3 - Phase Durations'!$H$23)+$W39*'3 - Phase Durations'!$H$24)/12</f>
        <v>0</v>
      </c>
      <c r="AA39" s="179">
        <f>($Q39*'3 - Phase Durations'!$I$16+$R39*'3 - Phase Durations'!$I$17+$S39*('3 - Phase Durations'!$I$18+'3 - Phase Durations'!$I$19)+$T39*'3 - Phase Durations'!$I$20+$U39*'3 - Phase Durations'!$I$21+$V39*('3 - Phase Durations'!$I$22+'3 - Phase Durations'!$I$23)+$W39*'3 - Phase Durations'!$I$24)/12</f>
        <v>0</v>
      </c>
      <c r="AB39" s="179">
        <f>($Q39*'3 - Phase Durations'!$J$16+$R39*'3 - Phase Durations'!$J$17+$S39*('3 - Phase Durations'!$J$18+'3 - Phase Durations'!$J$19)+$T39*'3 - Phase Durations'!$J$20+$U39*'3 - Phase Durations'!$J$21+$V39*('3 - Phase Durations'!$J$22+'3 - Phase Durations'!$J$23)+$W39*'3 - Phase Durations'!$J$24)/12</f>
        <v>0</v>
      </c>
      <c r="AC39" s="179">
        <f>($Q39*'3 - Phase Durations'!$K$16+$R39*'3 - Phase Durations'!$K$17+$S39*('3 - Phase Durations'!$K$18+'3 - Phase Durations'!$K$19)+$T39*'3 - Phase Durations'!$K$20+$U39*'3 - Phase Durations'!$K$21+$V39*('3 - Phase Durations'!$K$22+'3 - Phase Durations'!$K$23)+$W39*'3 - Phase Durations'!$K$24)/12</f>
        <v>6.1643835616438353E-2</v>
      </c>
      <c r="AD39" s="179">
        <f>($Q39*'3 - Phase Durations'!$L$16+$R39*'3 - Phase Durations'!$L$17+$S39*('3 - Phase Durations'!$L$18+'3 - Phase Durations'!$L$19)+$T39*'3 - Phase Durations'!$L$20+$U39*'3 - Phase Durations'!$L$21+$V39*('3 - Phase Durations'!$L$22+'3 - Phase Durations'!$L$23)+$W39*'3 - Phase Durations'!$L$24)/12</f>
        <v>0.25</v>
      </c>
      <c r="AE39" s="179">
        <f>($Q39*'3 - Phase Durations'!$M$16+$R39*'3 - Phase Durations'!$M$17+$S39*('3 - Phase Durations'!$M$18+'3 - Phase Durations'!$M$19)+$T39*'3 - Phase Durations'!$M$20+$U39*'3 - Phase Durations'!$M$21+$V39*('3 - Phase Durations'!$M$22+'3 - Phase Durations'!$M$23)+$W39*'3 - Phase Durations'!$M$24)/12</f>
        <v>0.21328767123287673</v>
      </c>
      <c r="AF39" s="179">
        <f>($Q39*'3 - Phase Durations'!$N$16+$R39*'3 - Phase Durations'!$N$17+$S39*('3 - Phase Durations'!$N$18+'3 - Phase Durations'!$N$19)+$T39*'3 - Phase Durations'!$N$20+$U39*'3 - Phase Durations'!$N$21+$V39*('3 - Phase Durations'!$N$22+'3 - Phase Durations'!$N$23)+$W39*'3 - Phase Durations'!$N$24)/12</f>
        <v>0.10000000000000002</v>
      </c>
      <c r="AG39" s="179">
        <f>($Q39*'3 - Phase Durations'!$O$16+$R39*'3 - Phase Durations'!$O$17+$S39*('3 - Phase Durations'!$O$18+'3 - Phase Durations'!$O$19)+$T39*'3 - Phase Durations'!$O$20+$U39*'3 - Phase Durations'!$O$21+$V39*('3 - Phase Durations'!$O$22+'3 - Phase Durations'!$O$23)+$W39*'3 - Phase Durations'!$O$24)/12</f>
        <v>0.16164383561643836</v>
      </c>
      <c r="AH39" s="179">
        <f>($Q39*'3 - Phase Durations'!$P$16+$R39*'3 - Phase Durations'!$P$17+$S39*('3 - Phase Durations'!$P$18+'3 - Phase Durations'!$P$19)+$T39*'3 - Phase Durations'!$P$20+$U39*'3 - Phase Durations'!$P$21+$V39*('3 - Phase Durations'!$P$22+'3 - Phase Durations'!$P$23)+$W39*'3 - Phase Durations'!$P$24)/12</f>
        <v>0.34999999999999992</v>
      </c>
      <c r="AI39" s="179">
        <f>($Q39*'3 - Phase Durations'!$Q$16+$R39*'3 - Phase Durations'!$Q$17+$S39*('3 - Phase Durations'!$Q$18+'3 - Phase Durations'!$Q$19)+$T39*'3 - Phase Durations'!$Q$20+$U39*'3 - Phase Durations'!$Q$21+$V39*('3 - Phase Durations'!$Q$22+'3 - Phase Durations'!$Q$23)+$W39*'3 - Phase Durations'!$Q$24)/12</f>
        <v>0.35095890410958908</v>
      </c>
      <c r="AJ39" s="179">
        <f>($Q39*'3 - Phase Durations'!$R$16+$R39*'3 - Phase Durations'!$R$17+$S39*('3 - Phase Durations'!$R$18+'3 - Phase Durations'!$R$19)+$T39*'3 - Phase Durations'!$R$20+$U39*'3 - Phase Durations'!$R$21+$V39*('3 - Phase Durations'!$R$22+'3 - Phase Durations'!$R$23)+$W39*'3 - Phase Durations'!$R$24)/12</f>
        <v>0.34999999999999992</v>
      </c>
      <c r="AK39" s="179">
        <f>($Q39*'3 - Phase Durations'!$S$16+$R39*'3 - Phase Durations'!$S$17+$S39*('3 - Phase Durations'!$S$18+'3 - Phase Durations'!$S$19)+$T39*'3 - Phase Durations'!$S$20+$U39*'3 - Phase Durations'!$S$21+$V39*('3 - Phase Durations'!$S$22+'3 - Phase Durations'!$S$23)+$W39*'3 - Phase Durations'!$S$24)/12</f>
        <v>0.34999999999999992</v>
      </c>
      <c r="AL39" s="179">
        <f>($Q39*'3 - Phase Durations'!$T$16+$R39*'3 - Phase Durations'!$T$17+$S39*('3 - Phase Durations'!$T$18+'3 - Phase Durations'!$T$19)+$T39*'3 - Phase Durations'!$T$20+$U39*'3 - Phase Durations'!$T$21+$V39*('3 - Phase Durations'!$T$22+'3 - Phase Durations'!$T$23)+$W39*'3 - Phase Durations'!$T$24)/12</f>
        <v>0.34999999999999992</v>
      </c>
      <c r="AM39" s="179">
        <f>($Q39*'3 - Phase Durations'!$U$16+$R39*'3 - Phase Durations'!$U$17+$S39*('3 - Phase Durations'!$U$18+'3 - Phase Durations'!$U$19)+$T39*'3 - Phase Durations'!$U$20+$U39*'3 - Phase Durations'!$U$21+$V39*('3 - Phase Durations'!$U$22+'3 - Phase Durations'!$U$23)+$W39*'3 - Phase Durations'!$U$24)/12</f>
        <v>0.35095890410958908</v>
      </c>
      <c r="AN39" s="179">
        <f>($Q39*'3 - Phase Durations'!$V$16+$R39*'3 - Phase Durations'!$V$17+$S39*('3 - Phase Durations'!$V$18+'3 - Phase Durations'!$V$19)+$T39*'3 - Phase Durations'!$V$20+$U39*'3 - Phase Durations'!$V$21+$V39*('3 - Phase Durations'!$V$22+'3 - Phase Durations'!$V$23)+$W39*'3 - Phase Durations'!$V$24)/12</f>
        <v>0.2636986301369863</v>
      </c>
      <c r="AO39" s="179">
        <f>($Q39*'3 - Phase Durations'!$W$16+$R39*'3 - Phase Durations'!$W$17+$S39*('3 - Phase Durations'!$W$18+'3 - Phase Durations'!$W$19)+$T39*'3 - Phase Durations'!$W$20+$U39*'3 - Phase Durations'!$W$21+$V39*('3 - Phase Durations'!$W$22+'3 - Phase Durations'!$W$23)+$W39*'3 - Phase Durations'!$W$24)/12</f>
        <v>0</v>
      </c>
      <c r="AP39" s="179">
        <f>($Q39*'3 - Phase Durations'!$X$16+$R39*'3 - Phase Durations'!$X$17+$S39*('3 - Phase Durations'!$X$18+'3 - Phase Durations'!$X$19)+$T39*'3 - Phase Durations'!$X$20+$U39*'3 - Phase Durations'!$X$21+$V39*('3 - Phase Durations'!$X$22+'3 - Phase Durations'!$X$23)+$W39*'3 - Phase Durations'!$X$24)/12</f>
        <v>0</v>
      </c>
      <c r="AQ39" s="179">
        <f>($Q39*'3 - Phase Durations'!$Y$16+$R39*'3 - Phase Durations'!$Y$17+$S39*('3 - Phase Durations'!$Y$18+'3 - Phase Durations'!$Y$19)+$T39*'3 - Phase Durations'!$Y$20+$U39*'3 - Phase Durations'!$Y$21+$V39*('3 - Phase Durations'!$Y$22+'3 - Phase Durations'!$Y$23)+$W39*'3 - Phase Durations'!$Y$24)/12</f>
        <v>0</v>
      </c>
      <c r="AR39" s="179">
        <f>($Q39*'3 - Phase Durations'!$Z$16+$R39*'3 - Phase Durations'!$Z$17+$S39*('3 - Phase Durations'!$Z$18+'3 - Phase Durations'!$Z$19)+$T39*'3 - Phase Durations'!$Z$20+$U39*'3 - Phase Durations'!$Z$21+$V39*('3 - Phase Durations'!$Z$22+'3 - Phase Durations'!$Z$23)+$W39*'3 - Phase Durations'!$Z$24)/12</f>
        <v>0</v>
      </c>
      <c r="AS39" s="179">
        <f>($Q39*'3 - Phase Durations'!$AA$16+$R39*'3 - Phase Durations'!$AA$17+$S39*('3 - Phase Durations'!$AA$18+'3 - Phase Durations'!$AA$19)+$T39*'3 - Phase Durations'!$AA$20+$U39*'3 - Phase Durations'!$AA$21+$V39*('3 - Phase Durations'!$AA$22+'3 - Phase Durations'!$AA$23)+$W39*'3 - Phase Durations'!$AA$24)/12</f>
        <v>0</v>
      </c>
      <c r="AT39" s="179">
        <f>($Q39*'3 - Phase Durations'!$AB$16+$R39*'3 - Phase Durations'!$AB$17+$S39*('3 - Phase Durations'!$AB$18+'3 - Phase Durations'!$AB$19)+$T39*'3 - Phase Durations'!$AB$20+$U39*'3 - Phase Durations'!$AB$21+$V39*('3 - Phase Durations'!$AB$22+'3 - Phase Durations'!$AB$23)+$W39*'3 - Phase Durations'!$AB$24)/12</f>
        <v>0</v>
      </c>
      <c r="AU39" s="179">
        <f>($Q39*'3 - Phase Durations'!$AC$16+$R39*'3 - Phase Durations'!$AC$17+$S39*('3 - Phase Durations'!$AC$18+'3 - Phase Durations'!$AC$19)+$T39*'3 - Phase Durations'!$AC$20+$U39*'3 - Phase Durations'!$AC$21+$V39*('3 - Phase Durations'!$AC$22+'3 - Phase Durations'!$AC$23)+$W39*'3 - Phase Durations'!$AC$24)/12</f>
        <v>0</v>
      </c>
      <c r="AV39" s="179">
        <f>($Q39*'3 - Phase Durations'!$AD$16+$R39*'3 - Phase Durations'!$AD$17+$S39*('3 - Phase Durations'!$AD$18+'3 - Phase Durations'!$AD$19)+$T39*'3 - Phase Durations'!$AD$20+$U39*'3 - Phase Durations'!$AD$21+$V39*('3 - Phase Durations'!$AD$22+'3 - Phase Durations'!$AD$23)+$W39*'3 - Phase Durations'!$AD$24)/12</f>
        <v>0</v>
      </c>
      <c r="AW39" s="179">
        <f>($Q39*'3 - Phase Durations'!$AE$16+$R39*'3 - Phase Durations'!$AE$17+$S39*('3 - Phase Durations'!$AE$18+'3 - Phase Durations'!$AE$19)+$T39*'3 - Phase Durations'!$AE$20+$U39*'3 - Phase Durations'!$AE$21+$V39*('3 - Phase Durations'!$AE$22+'3 - Phase Durations'!$AE$23)+$W39*'3 - Phase Durations'!$AE$24)/12</f>
        <v>0</v>
      </c>
      <c r="AX39" s="179">
        <f>($Q39*'3 - Phase Durations'!$AF$16+$R39*'3 - Phase Durations'!$AF$17+$S39*('3 - Phase Durations'!$AF$18+'3 - Phase Durations'!$AF$19)+$T39*'3 - Phase Durations'!$AF$20+$U39*'3 - Phase Durations'!$AF$21+$V39*('3 - Phase Durations'!$AF$22+'3 - Phase Durations'!$AF$23)+$W39*'3 - Phase Durations'!$AF$24)/12</f>
        <v>0</v>
      </c>
      <c r="AY39" s="179">
        <f>($Q39*'3 - Phase Durations'!$AG$16+$R39*'3 - Phase Durations'!$AG$17+$S39*('3 - Phase Durations'!$AG$18+'3 - Phase Durations'!$AG$19)+$T39*'3 - Phase Durations'!$AG$20+$U39*'3 - Phase Durations'!$AG$21+$V39*('3 - Phase Durations'!$AG$22+'3 - Phase Durations'!$AG$23)+$W39*'3 - Phase Durations'!$AG$24)/12</f>
        <v>0</v>
      </c>
      <c r="AZ39" s="179">
        <f>($Q39*'3 - Phase Durations'!$AH$16+$R39*'3 - Phase Durations'!$AH$17+$S39*('3 - Phase Durations'!$AH$18+'3 - Phase Durations'!$AH$19)+$T39*'3 - Phase Durations'!$AH$20+$U39*'3 - Phase Durations'!$AH$21+$V39*('3 - Phase Durations'!$AH$22+'3 - Phase Durations'!$AH$23)+$W39*'3 - Phase Durations'!$AH$24)/12</f>
        <v>0</v>
      </c>
      <c r="BA39" s="179">
        <f>($Q39*'3 - Phase Durations'!$AI$16+$R39*'3 - Phase Durations'!$AI$17+$S39*('3 - Phase Durations'!$AI$18+'3 - Phase Durations'!$AI$19)+$T39*'3 - Phase Durations'!$AI$20+$U39*'3 - Phase Durations'!$AI$21+$V39*('3 - Phase Durations'!$AI$22+'3 - Phase Durations'!$AI$23)+$W39*'3 - Phase Durations'!$AI$24)/12</f>
        <v>0</v>
      </c>
      <c r="BB39" s="179">
        <f>($Q39*'3 - Phase Durations'!$AJ$16+$R39*'3 - Phase Durations'!$AJ$17+$S39*('3 - Phase Durations'!$AJ$18+'3 - Phase Durations'!$AJ$19)+$T39*'3 - Phase Durations'!$AJ$20+$U39*'3 - Phase Durations'!$AJ$21+$V39*('3 - Phase Durations'!$AJ$22+'3 - Phase Durations'!$AJ$23)+$W39*'3 - Phase Durations'!$AJ$24)/12</f>
        <v>0</v>
      </c>
      <c r="BC39" s="179">
        <f>($Q39*'3 - Phase Durations'!$AK$16+$R39*'3 - Phase Durations'!$AK$17+$S39*('3 - Phase Durations'!$AK$18+'3 - Phase Durations'!$AK$19)+$T39*'3 - Phase Durations'!$AK$20+$U39*'3 - Phase Durations'!$AK$21+$V39*('3 - Phase Durations'!$AK$22+'3 - Phase Durations'!$AK$23)+$W39*'3 - Phase Durations'!$AK$24)/12</f>
        <v>0</v>
      </c>
      <c r="BD39" s="179">
        <f>($Q39*'3 - Phase Durations'!$AL$16+$R39*'3 - Phase Durations'!$AL$17+$S39*('3 - Phase Durations'!$AL$18+'3 - Phase Durations'!$AL$19)+$T39*'3 - Phase Durations'!$AL$20+$U39*'3 - Phase Durations'!$AL$21+$V39*('3 - Phase Durations'!$AL$22+'3 - Phase Durations'!$AL$23)+$W39*'3 - Phase Durations'!$AL$24)/12</f>
        <v>0</v>
      </c>
      <c r="BE39" s="179">
        <f>($Q39*'3 - Phase Durations'!$AM$16+$R39*'3 - Phase Durations'!$AM$17+$S39*('3 - Phase Durations'!$AM$18+'3 - Phase Durations'!$AM$19)+$T39*'3 - Phase Durations'!$AM$20+$U39*'3 - Phase Durations'!$AM$21+$V39*('3 - Phase Durations'!$AM$22+'3 - Phase Durations'!$AM$23)+$W39*'3 - Phase Durations'!$AM$24)/12</f>
        <v>0</v>
      </c>
      <c r="BF39" s="179">
        <f>($Q39*'3 - Phase Durations'!$AN$16+$R39*'3 - Phase Durations'!$AN$17+$S39*('3 - Phase Durations'!$AN$18+'3 - Phase Durations'!$AN$19)+$T39*'3 - Phase Durations'!$AN$20+$U39*'3 - Phase Durations'!$AN$21+$V39*('3 - Phase Durations'!$AN$22+'3 - Phase Durations'!$AN$23)+$W39*'3 - Phase Durations'!$AN$24)/12</f>
        <v>0</v>
      </c>
      <c r="BG39" s="179">
        <f>($Q39*'3 - Phase Durations'!$AO$16+$R39*'3 - Phase Durations'!$AO$17+$S39*('3 - Phase Durations'!$AO$18+'3 - Phase Durations'!$AO$19)+$T39*'3 - Phase Durations'!$AO$20+$U39*'3 - Phase Durations'!$AO$21+$V39*('3 - Phase Durations'!$AO$22+'3 - Phase Durations'!$AO$23)+$W39*'3 - Phase Durations'!$AO$24)/12</f>
        <v>0</v>
      </c>
      <c r="BH39" s="180">
        <f t="shared" si="0"/>
        <v>3.152191780821918</v>
      </c>
    </row>
    <row r="40" spans="1:60" ht="30" customHeight="1">
      <c r="A40" s="167">
        <v>23</v>
      </c>
      <c r="B40" s="168" t="s">
        <v>1032</v>
      </c>
      <c r="C40" s="168" t="s">
        <v>1033</v>
      </c>
      <c r="D40" s="168" t="s">
        <v>1084</v>
      </c>
      <c r="E40" s="168" t="s">
        <v>418</v>
      </c>
      <c r="F40" s="169" t="s">
        <v>1134</v>
      </c>
      <c r="G40" s="168" t="s">
        <v>1077</v>
      </c>
      <c r="H40" s="168" t="s">
        <v>1037</v>
      </c>
      <c r="I40" s="168" t="s">
        <v>1078</v>
      </c>
      <c r="J40" s="168" t="s">
        <v>1135</v>
      </c>
      <c r="K40" s="167" t="s">
        <v>1136</v>
      </c>
      <c r="L40" s="167" t="s">
        <v>1057</v>
      </c>
      <c r="M40" s="167" t="s">
        <v>1066</v>
      </c>
      <c r="N40" s="167" t="s">
        <v>1043</v>
      </c>
      <c r="O40" s="169" t="s">
        <v>1044</v>
      </c>
      <c r="P40" s="167" t="s">
        <v>1045</v>
      </c>
      <c r="Q40" s="170">
        <v>0</v>
      </c>
      <c r="R40" s="170">
        <v>0.1</v>
      </c>
      <c r="S40" s="170">
        <v>1</v>
      </c>
      <c r="T40" s="170">
        <v>0</v>
      </c>
      <c r="U40" s="170">
        <v>0.35</v>
      </c>
      <c r="V40" s="170">
        <v>0.3</v>
      </c>
      <c r="W40" s="170">
        <v>0</v>
      </c>
      <c r="X40" s="171">
        <f>IFERROR(VLOOKUP($M40,'Labour Rates lookup'!$A:$B,2,FALSE()),0)</f>
        <v>128000</v>
      </c>
      <c r="Y40" s="172">
        <f>($Q40*'3 - Phase Durations'!$G$16+$R40*'3 - Phase Durations'!$G$17+$S40*('3 - Phase Durations'!$G$18+'3 - Phase Durations'!$G$19)+$T40*'3 - Phase Durations'!$G$20+$U40*'3 - Phase Durations'!$G$21+$V40*('3 - Phase Durations'!$G$22+'3 - Phase Durations'!$G$23)+$W40*'3 - Phase Durations'!$G$24)/12</f>
        <v>0</v>
      </c>
      <c r="Z40" s="172">
        <f>($Q40*'3 - Phase Durations'!$H$16+$R40*'3 - Phase Durations'!$H$17+$S40*('3 - Phase Durations'!$H$18+'3 - Phase Durations'!$H$19)+$T40*'3 - Phase Durations'!$H$20+$U40*'3 - Phase Durations'!$H$21+$V40*('3 - Phase Durations'!$H$22+'3 - Phase Durations'!$H$23)+$W40*'3 - Phase Durations'!$H$24)/12</f>
        <v>0</v>
      </c>
      <c r="AA40" s="172">
        <f>($Q40*'3 - Phase Durations'!$I$16+$R40*'3 - Phase Durations'!$I$17+$S40*('3 - Phase Durations'!$I$18+'3 - Phase Durations'!$I$19)+$T40*'3 - Phase Durations'!$I$20+$U40*'3 - Phase Durations'!$I$21+$V40*('3 - Phase Durations'!$I$22+'3 - Phase Durations'!$I$23)+$W40*'3 - Phase Durations'!$I$24)/12</f>
        <v>2.4931506849315069E-2</v>
      </c>
      <c r="AB40" s="172">
        <f>($Q40*'3 - Phase Durations'!$J$16+$R40*'3 - Phase Durations'!$J$17+$S40*('3 - Phase Durations'!$J$18+'3 - Phase Durations'!$J$19)+$T40*'3 - Phase Durations'!$J$20+$U40*'3 - Phase Durations'!$J$21+$V40*('3 - Phase Durations'!$J$22+'3 - Phase Durations'!$J$23)+$W40*'3 - Phase Durations'!$J$24)/12</f>
        <v>0.10000000000000002</v>
      </c>
      <c r="AC40" s="172">
        <f>($Q40*'3 - Phase Durations'!$K$16+$R40*'3 - Phase Durations'!$K$17+$S40*('3 - Phase Durations'!$K$18+'3 - Phase Durations'!$K$19)+$T40*'3 - Phase Durations'!$K$20+$U40*'3 - Phase Durations'!$K$21+$V40*('3 - Phase Durations'!$K$22+'3 - Phase Durations'!$K$23)+$W40*'3 - Phase Durations'!$K$24)/12</f>
        <v>0.32191780821917809</v>
      </c>
      <c r="AD40" s="172">
        <f>($Q40*'3 - Phase Durations'!$L$16+$R40*'3 - Phase Durations'!$L$17+$S40*('3 - Phase Durations'!$L$18+'3 - Phase Durations'!$L$19)+$T40*'3 - Phase Durations'!$L$20+$U40*'3 - Phase Durations'!$L$21+$V40*('3 - Phase Durations'!$L$22+'3 - Phase Durations'!$L$23)+$W40*'3 - Phase Durations'!$L$24)/12</f>
        <v>1</v>
      </c>
      <c r="AE40" s="172">
        <f>($Q40*'3 - Phase Durations'!$M$16+$R40*'3 - Phase Durations'!$M$17+$S40*('3 - Phase Durations'!$M$18+'3 - Phase Durations'!$M$19)+$T40*'3 - Phase Durations'!$M$20+$U40*'3 - Phase Durations'!$M$21+$V40*('3 - Phase Durations'!$M$22+'3 - Phase Durations'!$M$23)+$W40*'3 - Phase Durations'!$M$24)/12</f>
        <v>0.75342465753424659</v>
      </c>
      <c r="AF40" s="172">
        <f>($Q40*'3 - Phase Durations'!$N$16+$R40*'3 - Phase Durations'!$N$17+$S40*('3 - Phase Durations'!$N$18+'3 - Phase Durations'!$N$19)+$T40*'3 - Phase Durations'!$N$20+$U40*'3 - Phase Durations'!$N$21+$V40*('3 - Phase Durations'!$N$22+'3 - Phase Durations'!$N$23)+$W40*'3 - Phase Durations'!$N$24)/12</f>
        <v>0</v>
      </c>
      <c r="AG40" s="172">
        <f>($Q40*'3 - Phase Durations'!$O$16+$R40*'3 - Phase Durations'!$O$17+$S40*('3 - Phase Durations'!$O$18+'3 - Phase Durations'!$O$19)+$T40*'3 - Phase Durations'!$O$20+$U40*'3 - Phase Durations'!$O$21+$V40*('3 - Phase Durations'!$O$22+'3 - Phase Durations'!$O$23)+$W40*'3 - Phase Durations'!$O$24)/12</f>
        <v>8.6301369863013691E-2</v>
      </c>
      <c r="AH40" s="172">
        <f>($Q40*'3 - Phase Durations'!$P$16+$R40*'3 - Phase Durations'!$P$17+$S40*('3 - Phase Durations'!$P$18+'3 - Phase Durations'!$P$19)+$T40*'3 - Phase Durations'!$P$20+$U40*'3 - Phase Durations'!$P$21+$V40*('3 - Phase Durations'!$P$22+'3 - Phase Durations'!$P$23)+$W40*'3 - Phase Durations'!$P$24)/12</f>
        <v>0.34999999999999992</v>
      </c>
      <c r="AI40" s="172">
        <f>($Q40*'3 - Phase Durations'!$Q$16+$R40*'3 - Phase Durations'!$Q$17+$S40*('3 - Phase Durations'!$Q$18+'3 - Phase Durations'!$Q$19)+$T40*'3 - Phase Durations'!$Q$20+$U40*'3 - Phase Durations'!$Q$21+$V40*('3 - Phase Durations'!$Q$22+'3 - Phase Durations'!$Q$23)+$W40*'3 - Phase Durations'!$Q$24)/12</f>
        <v>0.35095890410958908</v>
      </c>
      <c r="AJ40" s="172">
        <f>($Q40*'3 - Phase Durations'!$R$16+$R40*'3 - Phase Durations'!$R$17+$S40*('3 - Phase Durations'!$R$18+'3 - Phase Durations'!$R$19)+$T40*'3 - Phase Durations'!$R$20+$U40*'3 - Phase Durations'!$R$21+$V40*('3 - Phase Durations'!$R$22+'3 - Phase Durations'!$R$23)+$W40*'3 - Phase Durations'!$R$24)/12</f>
        <v>0.34999999999999992</v>
      </c>
      <c r="AK40" s="172">
        <f>($Q40*'3 - Phase Durations'!$S$16+$R40*'3 - Phase Durations'!$S$17+$S40*('3 - Phase Durations'!$S$18+'3 - Phase Durations'!$S$19)+$T40*'3 - Phase Durations'!$S$20+$U40*'3 - Phase Durations'!$S$21+$V40*('3 - Phase Durations'!$S$22+'3 - Phase Durations'!$S$23)+$W40*'3 - Phase Durations'!$S$24)/12</f>
        <v>0.34999999999999992</v>
      </c>
      <c r="AL40" s="172">
        <f>($Q40*'3 - Phase Durations'!$T$16+$R40*'3 - Phase Durations'!$T$17+$S40*('3 - Phase Durations'!$T$18+'3 - Phase Durations'!$T$19)+$T40*'3 - Phase Durations'!$T$20+$U40*'3 - Phase Durations'!$T$21+$V40*('3 - Phase Durations'!$T$22+'3 - Phase Durations'!$T$23)+$W40*'3 - Phase Durations'!$T$24)/12</f>
        <v>0.34999999999999992</v>
      </c>
      <c r="AM40" s="172">
        <f>($Q40*'3 - Phase Durations'!$U$16+$R40*'3 - Phase Durations'!$U$17+$S40*('3 - Phase Durations'!$U$18+'3 - Phase Durations'!$U$19)+$T40*'3 - Phase Durations'!$U$20+$U40*'3 - Phase Durations'!$U$21+$V40*('3 - Phase Durations'!$U$22+'3 - Phase Durations'!$U$23)+$W40*'3 - Phase Durations'!$U$24)/12</f>
        <v>0.35095890410958908</v>
      </c>
      <c r="AN40" s="172">
        <f>($Q40*'3 - Phase Durations'!$V$16+$R40*'3 - Phase Durations'!$V$17+$S40*('3 - Phase Durations'!$V$18+'3 - Phase Durations'!$V$19)+$T40*'3 - Phase Durations'!$V$20+$U40*'3 - Phase Durations'!$V$21+$V40*('3 - Phase Durations'!$V$22+'3 - Phase Durations'!$V$23)+$W40*'3 - Phase Durations'!$V$24)/12</f>
        <v>0.33767123287671236</v>
      </c>
      <c r="AO40" s="172">
        <f>($Q40*'3 - Phase Durations'!$W$16+$R40*'3 - Phase Durations'!$W$17+$S40*('3 - Phase Durations'!$W$18+'3 - Phase Durations'!$W$19)+$T40*'3 - Phase Durations'!$W$20+$U40*'3 - Phase Durations'!$W$21+$V40*('3 - Phase Durations'!$W$22+'3 - Phase Durations'!$W$23)+$W40*'3 - Phase Durations'!$W$24)/12</f>
        <v>0.3</v>
      </c>
      <c r="AP40" s="172">
        <f>($Q40*'3 - Phase Durations'!$X$16+$R40*'3 - Phase Durations'!$X$17+$S40*('3 - Phase Durations'!$X$18+'3 - Phase Durations'!$X$19)+$T40*'3 - Phase Durations'!$X$20+$U40*'3 - Phase Durations'!$X$21+$V40*('3 - Phase Durations'!$X$22+'3 - Phase Durations'!$X$23)+$W40*'3 - Phase Durations'!$X$24)/12</f>
        <v>0.3</v>
      </c>
      <c r="AQ40" s="172">
        <f>($Q40*'3 - Phase Durations'!$Y$16+$R40*'3 - Phase Durations'!$Y$17+$S40*('3 - Phase Durations'!$Y$18+'3 - Phase Durations'!$Y$19)+$T40*'3 - Phase Durations'!$Y$20+$U40*'3 - Phase Durations'!$Y$21+$V40*('3 - Phase Durations'!$Y$22+'3 - Phase Durations'!$Y$23)+$W40*'3 - Phase Durations'!$Y$24)/12</f>
        <v>0.30082191780821921</v>
      </c>
      <c r="AR40" s="172">
        <f>($Q40*'3 - Phase Durations'!$Z$16+$R40*'3 - Phase Durations'!$Z$17+$S40*('3 - Phase Durations'!$Z$18+'3 - Phase Durations'!$Z$19)+$T40*'3 - Phase Durations'!$Z$20+$U40*'3 - Phase Durations'!$Z$21+$V40*('3 - Phase Durations'!$Z$22+'3 - Phase Durations'!$Z$23)+$W40*'3 - Phase Durations'!$Z$24)/12</f>
        <v>0.3</v>
      </c>
      <c r="AS40" s="172">
        <f>($Q40*'3 - Phase Durations'!$AA$16+$R40*'3 - Phase Durations'!$AA$17+$S40*('3 - Phase Durations'!$AA$18+'3 - Phase Durations'!$AA$19)+$T40*'3 - Phase Durations'!$AA$20+$U40*'3 - Phase Durations'!$AA$21+$V40*('3 - Phase Durations'!$AA$22+'3 - Phase Durations'!$AA$23)+$W40*'3 - Phase Durations'!$AA$24)/12</f>
        <v>0.3</v>
      </c>
      <c r="AT40" s="172">
        <f>($Q40*'3 - Phase Durations'!$AB$16+$R40*'3 - Phase Durations'!$AB$17+$S40*('3 - Phase Durations'!$AB$18+'3 - Phase Durations'!$AB$19)+$T40*'3 - Phase Durations'!$AB$20+$U40*'3 - Phase Durations'!$AB$21+$V40*('3 - Phase Durations'!$AB$22+'3 - Phase Durations'!$AB$23)+$W40*'3 - Phase Durations'!$AB$24)/12</f>
        <v>0.3</v>
      </c>
      <c r="AU40" s="172">
        <f>($Q40*'3 - Phase Durations'!$AC$16+$R40*'3 - Phase Durations'!$AC$17+$S40*('3 - Phase Durations'!$AC$18+'3 - Phase Durations'!$AC$19)+$T40*'3 - Phase Durations'!$AC$20+$U40*'3 - Phase Durations'!$AC$21+$V40*('3 - Phase Durations'!$AC$22+'3 - Phase Durations'!$AC$23)+$W40*'3 - Phase Durations'!$AC$24)/12</f>
        <v>0.30082191780821921</v>
      </c>
      <c r="AV40" s="172">
        <f>($Q40*'3 - Phase Durations'!$AD$16+$R40*'3 - Phase Durations'!$AD$17+$S40*('3 - Phase Durations'!$AD$18+'3 - Phase Durations'!$AD$19)+$T40*'3 - Phase Durations'!$AD$20+$U40*'3 - Phase Durations'!$AD$21+$V40*('3 - Phase Durations'!$AD$22+'3 - Phase Durations'!$AD$23)+$W40*'3 - Phase Durations'!$AD$24)/12</f>
        <v>0.3</v>
      </c>
      <c r="AW40" s="172">
        <f>($Q40*'3 - Phase Durations'!$AE$16+$R40*'3 - Phase Durations'!$AE$17+$S40*('3 - Phase Durations'!$AE$18+'3 - Phase Durations'!$AE$19)+$T40*'3 - Phase Durations'!$AE$20+$U40*'3 - Phase Durations'!$AE$21+$V40*('3 - Phase Durations'!$AE$22+'3 - Phase Durations'!$AE$23)+$W40*'3 - Phase Durations'!$AE$24)/12</f>
        <v>0.3</v>
      </c>
      <c r="AX40" s="172">
        <f>($Q40*'3 - Phase Durations'!$AF$16+$R40*'3 - Phase Durations'!$AF$17+$S40*('3 - Phase Durations'!$AF$18+'3 - Phase Durations'!$AF$19)+$T40*'3 - Phase Durations'!$AF$20+$U40*'3 - Phase Durations'!$AF$21+$V40*('3 - Phase Durations'!$AF$22+'3 - Phase Durations'!$AF$23)+$W40*'3 - Phase Durations'!$AF$24)/12</f>
        <v>0.3</v>
      </c>
      <c r="AY40" s="172">
        <f>($Q40*'3 - Phase Durations'!$AG$16+$R40*'3 - Phase Durations'!$AG$17+$S40*('3 - Phase Durations'!$AG$18+'3 - Phase Durations'!$AG$19)+$T40*'3 - Phase Durations'!$AG$20+$U40*'3 - Phase Durations'!$AG$21+$V40*('3 - Phase Durations'!$AG$22+'3 - Phase Durations'!$AG$23)+$W40*'3 - Phase Durations'!$AG$24)/12</f>
        <v>0.30082191780821921</v>
      </c>
      <c r="AZ40" s="172">
        <f>($Q40*'3 - Phase Durations'!$AH$16+$R40*'3 - Phase Durations'!$AH$17+$S40*('3 - Phase Durations'!$AH$18+'3 - Phase Durations'!$AH$19)+$T40*'3 - Phase Durations'!$AH$20+$U40*'3 - Phase Durations'!$AH$21+$V40*('3 - Phase Durations'!$AH$22+'3 - Phase Durations'!$AH$23)+$W40*'3 - Phase Durations'!$AH$24)/12</f>
        <v>0.3</v>
      </c>
      <c r="BA40" s="172">
        <f>($Q40*'3 - Phase Durations'!$AI$16+$R40*'3 - Phase Durations'!$AI$17+$S40*('3 - Phase Durations'!$AI$18+'3 - Phase Durations'!$AI$19)+$T40*'3 - Phase Durations'!$AI$20+$U40*'3 - Phase Durations'!$AI$21+$V40*('3 - Phase Durations'!$AI$22+'3 - Phase Durations'!$AI$23)+$W40*'3 - Phase Durations'!$AI$24)/12</f>
        <v>0.3</v>
      </c>
      <c r="BB40" s="172">
        <f>($Q40*'3 - Phase Durations'!$AJ$16+$R40*'3 - Phase Durations'!$AJ$17+$S40*('3 - Phase Durations'!$AJ$18+'3 - Phase Durations'!$AJ$19)+$T40*'3 - Phase Durations'!$AJ$20+$U40*'3 - Phase Durations'!$AJ$21+$V40*('3 - Phase Durations'!$AJ$22+'3 - Phase Durations'!$AJ$23)+$W40*'3 - Phase Durations'!$AJ$24)/12</f>
        <v>0.3</v>
      </c>
      <c r="BC40" s="172">
        <f>($Q40*'3 - Phase Durations'!$AK$16+$R40*'3 - Phase Durations'!$AK$17+$S40*('3 - Phase Durations'!$AK$18+'3 - Phase Durations'!$AK$19)+$T40*'3 - Phase Durations'!$AK$20+$U40*'3 - Phase Durations'!$AK$21+$V40*('3 - Phase Durations'!$AK$22+'3 - Phase Durations'!$AK$23)+$W40*'3 - Phase Durations'!$AK$24)/12</f>
        <v>0.30082191780821921</v>
      </c>
      <c r="BD40" s="172">
        <f>($Q40*'3 - Phase Durations'!$AL$16+$R40*'3 - Phase Durations'!$AL$17+$S40*('3 - Phase Durations'!$AL$18+'3 - Phase Durations'!$AL$19)+$T40*'3 - Phase Durations'!$AL$20+$U40*'3 - Phase Durations'!$AL$21+$V40*('3 - Phase Durations'!$AL$22+'3 - Phase Durations'!$AL$23)+$W40*'3 - Phase Durations'!$AL$24)/12</f>
        <v>0.3</v>
      </c>
      <c r="BE40" s="172">
        <f>($Q40*'3 - Phase Durations'!$AM$16+$R40*'3 - Phase Durations'!$AM$17+$S40*('3 - Phase Durations'!$AM$18+'3 - Phase Durations'!$AM$19)+$T40*'3 - Phase Durations'!$AM$20+$U40*'3 - Phase Durations'!$AM$21+$V40*('3 - Phase Durations'!$AM$22+'3 - Phase Durations'!$AM$23)+$W40*'3 - Phase Durations'!$AM$24)/12</f>
        <v>0.3</v>
      </c>
      <c r="BF40" s="172">
        <f>($Q40*'3 - Phase Durations'!$AN$16+$R40*'3 - Phase Durations'!$AN$17+$S40*('3 - Phase Durations'!$AN$18+'3 - Phase Durations'!$AN$19)+$T40*'3 - Phase Durations'!$AN$20+$U40*'3 - Phase Durations'!$AN$21+$V40*('3 - Phase Durations'!$AN$22+'3 - Phase Durations'!$AN$23)+$W40*'3 - Phase Durations'!$AN$24)/12</f>
        <v>0.3</v>
      </c>
      <c r="BG40" s="172">
        <f>($Q40*'3 - Phase Durations'!$AO$16+$R40*'3 - Phase Durations'!$AO$17+$S40*('3 - Phase Durations'!$AO$18+'3 - Phase Durations'!$AO$19)+$T40*'3 - Phase Durations'!$AO$20+$U40*'3 - Phase Durations'!$AO$21+$V40*('3 - Phase Durations'!$AO$22+'3 - Phase Durations'!$AO$23)+$W40*'3 - Phase Durations'!$AO$24)/12</f>
        <v>7.4794520547945206E-2</v>
      </c>
      <c r="BH40" s="173">
        <f t="shared" si="0"/>
        <v>10.204246575342468</v>
      </c>
    </row>
    <row r="41" spans="1:60" ht="30" customHeight="1">
      <c r="A41" s="174">
        <v>24</v>
      </c>
      <c r="B41" s="175" t="s">
        <v>1032</v>
      </c>
      <c r="C41" s="175" t="s">
        <v>1033</v>
      </c>
      <c r="D41" s="175" t="s">
        <v>1084</v>
      </c>
      <c r="E41" s="175" t="s">
        <v>1137</v>
      </c>
      <c r="F41" s="176" t="s">
        <v>1138</v>
      </c>
      <c r="G41" s="175" t="s">
        <v>1077</v>
      </c>
      <c r="H41" s="175" t="s">
        <v>1037</v>
      </c>
      <c r="I41" s="175" t="s">
        <v>1078</v>
      </c>
      <c r="J41" s="175" t="s">
        <v>1139</v>
      </c>
      <c r="K41" s="174" t="s">
        <v>1140</v>
      </c>
      <c r="L41" s="174" t="s">
        <v>1057</v>
      </c>
      <c r="M41" s="174" t="s">
        <v>1062</v>
      </c>
      <c r="N41" s="174" t="s">
        <v>1043</v>
      </c>
      <c r="O41" s="176" t="s">
        <v>1044</v>
      </c>
      <c r="P41" s="174" t="s">
        <v>1045</v>
      </c>
      <c r="Q41" s="177">
        <v>0</v>
      </c>
      <c r="R41" s="177">
        <v>0.05</v>
      </c>
      <c r="S41" s="177">
        <v>0.15</v>
      </c>
      <c r="T41" s="177">
        <v>1</v>
      </c>
      <c r="U41" s="177">
        <v>0.03</v>
      </c>
      <c r="V41" s="177">
        <v>0.1</v>
      </c>
      <c r="W41" s="177">
        <v>0</v>
      </c>
      <c r="X41" s="178">
        <f>IFERROR(VLOOKUP($M41,'Labour Rates lookup'!$A:$B,2,FALSE()),0)</f>
        <v>145000</v>
      </c>
      <c r="Y41" s="179">
        <f>($Q41*'3 - Phase Durations'!$G$16+$R41*'3 - Phase Durations'!$G$17+$S41*('3 - Phase Durations'!$G$18+'3 - Phase Durations'!$G$19)+$T41*'3 - Phase Durations'!$G$20+$U41*'3 - Phase Durations'!$G$21+$V41*('3 - Phase Durations'!$G$22+'3 - Phase Durations'!$G$23)+$W41*'3 - Phase Durations'!$G$24)/12</f>
        <v>0</v>
      </c>
      <c r="Z41" s="179">
        <f>($Q41*'3 - Phase Durations'!$H$16+$R41*'3 - Phase Durations'!$H$17+$S41*('3 - Phase Durations'!$H$18+'3 - Phase Durations'!$H$19)+$T41*'3 - Phase Durations'!$H$20+$U41*'3 - Phase Durations'!$H$21+$V41*('3 - Phase Durations'!$H$22+'3 - Phase Durations'!$H$23)+$W41*'3 - Phase Durations'!$H$24)/12</f>
        <v>0</v>
      </c>
      <c r="AA41" s="179">
        <f>($Q41*'3 - Phase Durations'!$I$16+$R41*'3 - Phase Durations'!$I$17+$S41*('3 - Phase Durations'!$I$18+'3 - Phase Durations'!$I$19)+$T41*'3 - Phase Durations'!$I$20+$U41*'3 - Phase Durations'!$I$21+$V41*('3 - Phase Durations'!$I$22+'3 - Phase Durations'!$I$23)+$W41*'3 - Phase Durations'!$I$24)/12</f>
        <v>1.2465753424657534E-2</v>
      </c>
      <c r="AB41" s="179">
        <f>($Q41*'3 - Phase Durations'!$J$16+$R41*'3 - Phase Durations'!$J$17+$S41*('3 - Phase Durations'!$J$18+'3 - Phase Durations'!$J$19)+$T41*'3 - Phase Durations'!$J$20+$U41*'3 - Phase Durations'!$J$21+$V41*('3 - Phase Durations'!$J$22+'3 - Phase Durations'!$J$23)+$W41*'3 - Phase Durations'!$J$24)/12</f>
        <v>5.000000000000001E-2</v>
      </c>
      <c r="AC41" s="179">
        <f>($Q41*'3 - Phase Durations'!$K$16+$R41*'3 - Phase Durations'!$K$17+$S41*('3 - Phase Durations'!$K$18+'3 - Phase Durations'!$K$19)+$T41*'3 - Phase Durations'!$K$20+$U41*'3 - Phase Durations'!$K$21+$V41*('3 - Phase Durations'!$K$22+'3 - Phase Durations'!$K$23)+$W41*'3 - Phase Durations'!$K$24)/12</f>
        <v>7.4657534246575341E-2</v>
      </c>
      <c r="AD41" s="179">
        <f>($Q41*'3 - Phase Durations'!$L$16+$R41*'3 - Phase Durations'!$L$17+$S41*('3 - Phase Durations'!$L$18+'3 - Phase Durations'!$L$19)+$T41*'3 - Phase Durations'!$L$20+$U41*'3 - Phase Durations'!$L$21+$V41*('3 - Phase Durations'!$L$22+'3 - Phase Durations'!$L$23)+$W41*'3 - Phase Durations'!$L$24)/12</f>
        <v>0.15</v>
      </c>
      <c r="AE41" s="179">
        <f>($Q41*'3 - Phase Durations'!$M$16+$R41*'3 - Phase Durations'!$M$17+$S41*('3 - Phase Durations'!$M$18+'3 - Phase Durations'!$M$19)+$T41*'3 - Phase Durations'!$M$20+$U41*'3 - Phase Durations'!$M$21+$V41*('3 - Phase Durations'!$M$22+'3 - Phase Durations'!$M$23)+$W41*'3 - Phase Durations'!$M$24)/12</f>
        <v>0.36232876712328771</v>
      </c>
      <c r="AF41" s="179">
        <f>($Q41*'3 - Phase Durations'!$N$16+$R41*'3 - Phase Durations'!$N$17+$S41*('3 - Phase Durations'!$N$18+'3 - Phase Durations'!$N$19)+$T41*'3 - Phase Durations'!$N$20+$U41*'3 - Phase Durations'!$N$21+$V41*('3 - Phase Durations'!$N$22+'3 - Phase Durations'!$N$23)+$W41*'3 - Phase Durations'!$N$24)/12</f>
        <v>1</v>
      </c>
      <c r="AG41" s="179">
        <f>($Q41*'3 - Phase Durations'!$O$16+$R41*'3 - Phase Durations'!$O$17+$S41*('3 - Phase Durations'!$O$18+'3 - Phase Durations'!$O$19)+$T41*'3 - Phase Durations'!$O$20+$U41*'3 - Phase Durations'!$O$21+$V41*('3 - Phase Durations'!$O$22+'3 - Phase Durations'!$O$23)+$W41*'3 - Phase Durations'!$O$24)/12</f>
        <v>0.76082191780821917</v>
      </c>
      <c r="AH41" s="179">
        <f>($Q41*'3 - Phase Durations'!$P$16+$R41*'3 - Phase Durations'!$P$17+$S41*('3 - Phase Durations'!$P$18+'3 - Phase Durations'!$P$19)+$T41*'3 - Phase Durations'!$P$20+$U41*'3 - Phase Durations'!$P$21+$V41*('3 - Phase Durations'!$P$22+'3 - Phase Durations'!$P$23)+$W41*'3 - Phase Durations'!$P$24)/12</f>
        <v>0.03</v>
      </c>
      <c r="AI41" s="179">
        <f>($Q41*'3 - Phase Durations'!$Q$16+$R41*'3 - Phase Durations'!$Q$17+$S41*('3 - Phase Durations'!$Q$18+'3 - Phase Durations'!$Q$19)+$T41*'3 - Phase Durations'!$Q$20+$U41*'3 - Phase Durations'!$Q$21+$V41*('3 - Phase Durations'!$Q$22+'3 - Phase Durations'!$Q$23)+$W41*'3 - Phase Durations'!$Q$24)/12</f>
        <v>3.0082191780821919E-2</v>
      </c>
      <c r="AJ41" s="179">
        <f>($Q41*'3 - Phase Durations'!$R$16+$R41*'3 - Phase Durations'!$R$17+$S41*('3 - Phase Durations'!$R$18+'3 - Phase Durations'!$R$19)+$T41*'3 - Phase Durations'!$R$20+$U41*'3 - Phase Durations'!$R$21+$V41*('3 - Phase Durations'!$R$22+'3 - Phase Durations'!$R$23)+$W41*'3 - Phase Durations'!$R$24)/12</f>
        <v>0.03</v>
      </c>
      <c r="AK41" s="179">
        <f>($Q41*'3 - Phase Durations'!$S$16+$R41*'3 - Phase Durations'!$S$17+$S41*('3 - Phase Durations'!$S$18+'3 - Phase Durations'!$S$19)+$T41*'3 - Phase Durations'!$S$20+$U41*'3 - Phase Durations'!$S$21+$V41*('3 - Phase Durations'!$S$22+'3 - Phase Durations'!$S$23)+$W41*'3 - Phase Durations'!$S$24)/12</f>
        <v>0.03</v>
      </c>
      <c r="AL41" s="179">
        <f>($Q41*'3 - Phase Durations'!$T$16+$R41*'3 - Phase Durations'!$T$17+$S41*('3 - Phase Durations'!$T$18+'3 - Phase Durations'!$T$19)+$T41*'3 - Phase Durations'!$T$20+$U41*'3 - Phase Durations'!$T$21+$V41*('3 - Phase Durations'!$T$22+'3 - Phase Durations'!$T$23)+$W41*'3 - Phase Durations'!$T$24)/12</f>
        <v>0.03</v>
      </c>
      <c r="AM41" s="179">
        <f>($Q41*'3 - Phase Durations'!$U$16+$R41*'3 - Phase Durations'!$U$17+$S41*('3 - Phase Durations'!$U$18+'3 - Phase Durations'!$U$19)+$T41*'3 - Phase Durations'!$U$20+$U41*'3 - Phase Durations'!$U$21+$V41*('3 - Phase Durations'!$U$22+'3 - Phase Durations'!$U$23)+$W41*'3 - Phase Durations'!$U$24)/12</f>
        <v>3.0082191780821919E-2</v>
      </c>
      <c r="AN41" s="179">
        <f>($Q41*'3 - Phase Durations'!$V$16+$R41*'3 - Phase Durations'!$V$17+$S41*('3 - Phase Durations'!$V$18+'3 - Phase Durations'!$V$19)+$T41*'3 - Phase Durations'!$V$20+$U41*'3 - Phase Durations'!$V$21+$V41*('3 - Phase Durations'!$V$22+'3 - Phase Durations'!$V$23)+$W41*'3 - Phase Durations'!$V$24)/12</f>
        <v>4.726027397260274E-2</v>
      </c>
      <c r="AO41" s="179">
        <f>($Q41*'3 - Phase Durations'!$W$16+$R41*'3 - Phase Durations'!$W$17+$S41*('3 - Phase Durations'!$W$18+'3 - Phase Durations'!$W$19)+$T41*'3 - Phase Durations'!$W$20+$U41*'3 - Phase Durations'!$W$21+$V41*('3 - Phase Durations'!$W$22+'3 - Phase Durations'!$W$23)+$W41*'3 - Phase Durations'!$W$24)/12</f>
        <v>0.10000000000000002</v>
      </c>
      <c r="AP41" s="179">
        <f>($Q41*'3 - Phase Durations'!$X$16+$R41*'3 - Phase Durations'!$X$17+$S41*('3 - Phase Durations'!$X$18+'3 - Phase Durations'!$X$19)+$T41*'3 - Phase Durations'!$X$20+$U41*'3 - Phase Durations'!$X$21+$V41*('3 - Phase Durations'!$X$22+'3 - Phase Durations'!$X$23)+$W41*'3 - Phase Durations'!$X$24)/12</f>
        <v>0.10000000000000002</v>
      </c>
      <c r="AQ41" s="179">
        <f>($Q41*'3 - Phase Durations'!$Y$16+$R41*'3 - Phase Durations'!$Y$17+$S41*('3 - Phase Durations'!$Y$18+'3 - Phase Durations'!$Y$19)+$T41*'3 - Phase Durations'!$Y$20+$U41*'3 - Phase Durations'!$Y$21+$V41*('3 - Phase Durations'!$Y$22+'3 - Phase Durations'!$Y$23)+$W41*'3 - Phase Durations'!$Y$24)/12</f>
        <v>0.10027397260273974</v>
      </c>
      <c r="AR41" s="179">
        <f>($Q41*'3 - Phase Durations'!$Z$16+$R41*'3 - Phase Durations'!$Z$17+$S41*('3 - Phase Durations'!$Z$18+'3 - Phase Durations'!$Z$19)+$T41*'3 - Phase Durations'!$Z$20+$U41*'3 - Phase Durations'!$Z$21+$V41*('3 - Phase Durations'!$Z$22+'3 - Phase Durations'!$Z$23)+$W41*'3 - Phase Durations'!$Z$24)/12</f>
        <v>0.10000000000000002</v>
      </c>
      <c r="AS41" s="179">
        <f>($Q41*'3 - Phase Durations'!$AA$16+$R41*'3 - Phase Durations'!$AA$17+$S41*('3 - Phase Durations'!$AA$18+'3 - Phase Durations'!$AA$19)+$T41*'3 - Phase Durations'!$AA$20+$U41*'3 - Phase Durations'!$AA$21+$V41*('3 - Phase Durations'!$AA$22+'3 - Phase Durations'!$AA$23)+$W41*'3 - Phase Durations'!$AA$24)/12</f>
        <v>0.10000000000000002</v>
      </c>
      <c r="AT41" s="179">
        <f>($Q41*'3 - Phase Durations'!$AB$16+$R41*'3 - Phase Durations'!$AB$17+$S41*('3 - Phase Durations'!$AB$18+'3 - Phase Durations'!$AB$19)+$T41*'3 - Phase Durations'!$AB$20+$U41*'3 - Phase Durations'!$AB$21+$V41*('3 - Phase Durations'!$AB$22+'3 - Phase Durations'!$AB$23)+$W41*'3 - Phase Durations'!$AB$24)/12</f>
        <v>0.10000000000000002</v>
      </c>
      <c r="AU41" s="179">
        <f>($Q41*'3 - Phase Durations'!$AC$16+$R41*'3 - Phase Durations'!$AC$17+$S41*('3 - Phase Durations'!$AC$18+'3 - Phase Durations'!$AC$19)+$T41*'3 - Phase Durations'!$AC$20+$U41*'3 - Phase Durations'!$AC$21+$V41*('3 - Phase Durations'!$AC$22+'3 - Phase Durations'!$AC$23)+$W41*'3 - Phase Durations'!$AC$24)/12</f>
        <v>0.10027397260273974</v>
      </c>
      <c r="AV41" s="179">
        <f>($Q41*'3 - Phase Durations'!$AD$16+$R41*'3 - Phase Durations'!$AD$17+$S41*('3 - Phase Durations'!$AD$18+'3 - Phase Durations'!$AD$19)+$T41*'3 - Phase Durations'!$AD$20+$U41*'3 - Phase Durations'!$AD$21+$V41*('3 - Phase Durations'!$AD$22+'3 - Phase Durations'!$AD$23)+$W41*'3 - Phase Durations'!$AD$24)/12</f>
        <v>0.10000000000000002</v>
      </c>
      <c r="AW41" s="179">
        <f>($Q41*'3 - Phase Durations'!$AE$16+$R41*'3 - Phase Durations'!$AE$17+$S41*('3 - Phase Durations'!$AE$18+'3 - Phase Durations'!$AE$19)+$T41*'3 - Phase Durations'!$AE$20+$U41*'3 - Phase Durations'!$AE$21+$V41*('3 - Phase Durations'!$AE$22+'3 - Phase Durations'!$AE$23)+$W41*'3 - Phase Durations'!$AE$24)/12</f>
        <v>0.10000000000000002</v>
      </c>
      <c r="AX41" s="179">
        <f>($Q41*'3 - Phase Durations'!$AF$16+$R41*'3 - Phase Durations'!$AF$17+$S41*('3 - Phase Durations'!$AF$18+'3 - Phase Durations'!$AF$19)+$T41*'3 - Phase Durations'!$AF$20+$U41*'3 - Phase Durations'!$AF$21+$V41*('3 - Phase Durations'!$AF$22+'3 - Phase Durations'!$AF$23)+$W41*'3 - Phase Durations'!$AF$24)/12</f>
        <v>0.10000000000000002</v>
      </c>
      <c r="AY41" s="179">
        <f>($Q41*'3 - Phase Durations'!$AG$16+$R41*'3 - Phase Durations'!$AG$17+$S41*('3 - Phase Durations'!$AG$18+'3 - Phase Durations'!$AG$19)+$T41*'3 - Phase Durations'!$AG$20+$U41*'3 - Phase Durations'!$AG$21+$V41*('3 - Phase Durations'!$AG$22+'3 - Phase Durations'!$AG$23)+$W41*'3 - Phase Durations'!$AG$24)/12</f>
        <v>0.10027397260273974</v>
      </c>
      <c r="AZ41" s="179">
        <f>($Q41*'3 - Phase Durations'!$AH$16+$R41*'3 - Phase Durations'!$AH$17+$S41*('3 - Phase Durations'!$AH$18+'3 - Phase Durations'!$AH$19)+$T41*'3 - Phase Durations'!$AH$20+$U41*'3 - Phase Durations'!$AH$21+$V41*('3 - Phase Durations'!$AH$22+'3 - Phase Durations'!$AH$23)+$W41*'3 - Phase Durations'!$AH$24)/12</f>
        <v>0.10000000000000002</v>
      </c>
      <c r="BA41" s="179">
        <f>($Q41*'3 - Phase Durations'!$AI$16+$R41*'3 - Phase Durations'!$AI$17+$S41*('3 - Phase Durations'!$AI$18+'3 - Phase Durations'!$AI$19)+$T41*'3 - Phase Durations'!$AI$20+$U41*'3 - Phase Durations'!$AI$21+$V41*('3 - Phase Durations'!$AI$22+'3 - Phase Durations'!$AI$23)+$W41*'3 - Phase Durations'!$AI$24)/12</f>
        <v>0.10000000000000002</v>
      </c>
      <c r="BB41" s="179">
        <f>($Q41*'3 - Phase Durations'!$AJ$16+$R41*'3 - Phase Durations'!$AJ$17+$S41*('3 - Phase Durations'!$AJ$18+'3 - Phase Durations'!$AJ$19)+$T41*'3 - Phase Durations'!$AJ$20+$U41*'3 - Phase Durations'!$AJ$21+$V41*('3 - Phase Durations'!$AJ$22+'3 - Phase Durations'!$AJ$23)+$W41*'3 - Phase Durations'!$AJ$24)/12</f>
        <v>0.10000000000000002</v>
      </c>
      <c r="BC41" s="179">
        <f>($Q41*'3 - Phase Durations'!$AK$16+$R41*'3 - Phase Durations'!$AK$17+$S41*('3 - Phase Durations'!$AK$18+'3 - Phase Durations'!$AK$19)+$T41*'3 - Phase Durations'!$AK$20+$U41*'3 - Phase Durations'!$AK$21+$V41*('3 - Phase Durations'!$AK$22+'3 - Phase Durations'!$AK$23)+$W41*'3 - Phase Durations'!$AK$24)/12</f>
        <v>0.10027397260273974</v>
      </c>
      <c r="BD41" s="179">
        <f>($Q41*'3 - Phase Durations'!$AL$16+$R41*'3 - Phase Durations'!$AL$17+$S41*('3 - Phase Durations'!$AL$18+'3 - Phase Durations'!$AL$19)+$T41*'3 - Phase Durations'!$AL$20+$U41*'3 - Phase Durations'!$AL$21+$V41*('3 - Phase Durations'!$AL$22+'3 - Phase Durations'!$AL$23)+$W41*'3 - Phase Durations'!$AL$24)/12</f>
        <v>0.10000000000000002</v>
      </c>
      <c r="BE41" s="179">
        <f>($Q41*'3 - Phase Durations'!$AM$16+$R41*'3 - Phase Durations'!$AM$17+$S41*('3 - Phase Durations'!$AM$18+'3 - Phase Durations'!$AM$19)+$T41*'3 - Phase Durations'!$AM$20+$U41*'3 - Phase Durations'!$AM$21+$V41*('3 - Phase Durations'!$AM$22+'3 - Phase Durations'!$AM$23)+$W41*'3 - Phase Durations'!$AM$24)/12</f>
        <v>0.10000000000000002</v>
      </c>
      <c r="BF41" s="179">
        <f>($Q41*'3 - Phase Durations'!$AN$16+$R41*'3 - Phase Durations'!$AN$17+$S41*('3 - Phase Durations'!$AN$18+'3 - Phase Durations'!$AN$19)+$T41*'3 - Phase Durations'!$AN$20+$U41*'3 - Phase Durations'!$AN$21+$V41*('3 - Phase Durations'!$AN$22+'3 - Phase Durations'!$AN$23)+$W41*'3 - Phase Durations'!$AN$24)/12</f>
        <v>0.10000000000000002</v>
      </c>
      <c r="BG41" s="179">
        <f>($Q41*'3 - Phase Durations'!$AO$16+$R41*'3 - Phase Durations'!$AO$17+$S41*('3 - Phase Durations'!$AO$18+'3 - Phase Durations'!$AO$19)+$T41*'3 - Phase Durations'!$AO$20+$U41*'3 - Phase Durations'!$AO$21+$V41*('3 - Phase Durations'!$AO$22+'3 - Phase Durations'!$AO$23)+$W41*'3 - Phase Durations'!$AO$24)/12</f>
        <v>2.4931506849315069E-2</v>
      </c>
      <c r="BH41" s="180">
        <f t="shared" si="0"/>
        <v>4.463726027397259</v>
      </c>
    </row>
    <row r="42" spans="1:60" ht="30" customHeight="1">
      <c r="A42" s="167">
        <v>25</v>
      </c>
      <c r="B42" s="168" t="s">
        <v>1032</v>
      </c>
      <c r="C42" s="168" t="s">
        <v>1033</v>
      </c>
      <c r="D42" s="168" t="s">
        <v>1084</v>
      </c>
      <c r="E42" s="168" t="s">
        <v>1141</v>
      </c>
      <c r="F42" s="169" t="s">
        <v>1142</v>
      </c>
      <c r="G42" s="168" t="s">
        <v>1077</v>
      </c>
      <c r="H42" s="168" t="s">
        <v>1037</v>
      </c>
      <c r="I42" s="168" t="s">
        <v>1078</v>
      </c>
      <c r="J42" s="168" t="s">
        <v>1143</v>
      </c>
      <c r="K42" s="167" t="s">
        <v>1144</v>
      </c>
      <c r="L42" s="167" t="s">
        <v>1057</v>
      </c>
      <c r="M42" s="167" t="s">
        <v>1066</v>
      </c>
      <c r="N42" s="167" t="s">
        <v>1043</v>
      </c>
      <c r="O42" s="169" t="s">
        <v>1044</v>
      </c>
      <c r="P42" s="167" t="s">
        <v>1045</v>
      </c>
      <c r="Q42" s="170">
        <v>0</v>
      </c>
      <c r="R42" s="170">
        <v>1</v>
      </c>
      <c r="S42" s="170">
        <v>0.1</v>
      </c>
      <c r="T42" s="170">
        <v>0.25</v>
      </c>
      <c r="U42" s="170">
        <v>0.42</v>
      </c>
      <c r="V42" s="170">
        <v>0.1</v>
      </c>
      <c r="W42" s="170">
        <v>0</v>
      </c>
      <c r="X42" s="171">
        <f>IFERROR(VLOOKUP($M42,'Labour Rates lookup'!$A:$B,2,FALSE()),0)</f>
        <v>128000</v>
      </c>
      <c r="Y42" s="172">
        <f>($Q42*'3 - Phase Durations'!$G$16+$R42*'3 - Phase Durations'!$G$17+$S42*('3 - Phase Durations'!$G$18+'3 - Phase Durations'!$G$19)+$T42*'3 - Phase Durations'!$G$20+$U42*'3 - Phase Durations'!$G$21+$V42*('3 - Phase Durations'!$G$22+'3 - Phase Durations'!$G$23)+$W42*'3 - Phase Durations'!$G$24)/12</f>
        <v>0</v>
      </c>
      <c r="Z42" s="172">
        <f>($Q42*'3 - Phase Durations'!$H$16+$R42*'3 - Phase Durations'!$H$17+$S42*('3 - Phase Durations'!$H$18+'3 - Phase Durations'!$H$19)+$T42*'3 - Phase Durations'!$H$20+$U42*'3 - Phase Durations'!$H$21+$V42*('3 - Phase Durations'!$H$22+'3 - Phase Durations'!$H$23)+$W42*'3 - Phase Durations'!$H$24)/12</f>
        <v>0</v>
      </c>
      <c r="AA42" s="172">
        <f>($Q42*'3 - Phase Durations'!$I$16+$R42*'3 - Phase Durations'!$I$17+$S42*('3 - Phase Durations'!$I$18+'3 - Phase Durations'!$I$19)+$T42*'3 - Phase Durations'!$I$20+$U42*'3 - Phase Durations'!$I$21+$V42*('3 - Phase Durations'!$I$22+'3 - Phase Durations'!$I$23)+$W42*'3 - Phase Durations'!$I$24)/12</f>
        <v>0.24931506849315069</v>
      </c>
      <c r="AB42" s="172">
        <f>($Q42*'3 - Phase Durations'!$J$16+$R42*'3 - Phase Durations'!$J$17+$S42*('3 - Phase Durations'!$J$18+'3 - Phase Durations'!$J$19)+$T42*'3 - Phase Durations'!$J$20+$U42*'3 - Phase Durations'!$J$21+$V42*('3 - Phase Durations'!$J$22+'3 - Phase Durations'!$J$23)+$W42*'3 - Phase Durations'!$J$24)/12</f>
        <v>1</v>
      </c>
      <c r="AC42" s="172">
        <f>($Q42*'3 - Phase Durations'!$K$16+$R42*'3 - Phase Durations'!$K$17+$S42*('3 - Phase Durations'!$K$18+'3 - Phase Durations'!$K$19)+$T42*'3 - Phase Durations'!$K$20+$U42*'3 - Phase Durations'!$K$21+$V42*('3 - Phase Durations'!$K$22+'3 - Phase Durations'!$K$23)+$W42*'3 - Phase Durations'!$K$24)/12</f>
        <v>0.77808219178082194</v>
      </c>
      <c r="AD42" s="172">
        <f>($Q42*'3 - Phase Durations'!$L$16+$R42*'3 - Phase Durations'!$L$17+$S42*('3 - Phase Durations'!$L$18+'3 - Phase Durations'!$L$19)+$T42*'3 - Phase Durations'!$L$20+$U42*'3 - Phase Durations'!$L$21+$V42*('3 - Phase Durations'!$L$22+'3 - Phase Durations'!$L$23)+$W42*'3 - Phase Durations'!$L$24)/12</f>
        <v>0.10000000000000002</v>
      </c>
      <c r="AE42" s="172">
        <f>($Q42*'3 - Phase Durations'!$M$16+$R42*'3 - Phase Durations'!$M$17+$S42*('3 - Phase Durations'!$M$18+'3 - Phase Durations'!$M$19)+$T42*'3 - Phase Durations'!$M$20+$U42*'3 - Phase Durations'!$M$21+$V42*('3 - Phase Durations'!$M$22+'3 - Phase Durations'!$M$23)+$W42*'3 - Phase Durations'!$M$24)/12</f>
        <v>0.13767123287671235</v>
      </c>
      <c r="AF42" s="172">
        <f>($Q42*'3 - Phase Durations'!$N$16+$R42*'3 - Phase Durations'!$N$17+$S42*('3 - Phase Durations'!$N$18+'3 - Phase Durations'!$N$19)+$T42*'3 - Phase Durations'!$N$20+$U42*'3 - Phase Durations'!$N$21+$V42*('3 - Phase Durations'!$N$22+'3 - Phase Durations'!$N$23)+$W42*'3 - Phase Durations'!$N$24)/12</f>
        <v>0.25</v>
      </c>
      <c r="AG42" s="172">
        <f>($Q42*'3 - Phase Durations'!$O$16+$R42*'3 - Phase Durations'!$O$17+$S42*('3 - Phase Durations'!$O$18+'3 - Phase Durations'!$O$19)+$T42*'3 - Phase Durations'!$O$20+$U42*'3 - Phase Durations'!$O$21+$V42*('3 - Phase Durations'!$O$22+'3 - Phase Durations'!$O$23)+$W42*'3 - Phase Durations'!$O$24)/12</f>
        <v>0.29191780821917807</v>
      </c>
      <c r="AH42" s="172">
        <f>($Q42*'3 - Phase Durations'!$P$16+$R42*'3 - Phase Durations'!$P$17+$S42*('3 - Phase Durations'!$P$18+'3 - Phase Durations'!$P$19)+$T42*'3 - Phase Durations'!$P$20+$U42*'3 - Phase Durations'!$P$21+$V42*('3 - Phase Durations'!$P$22+'3 - Phase Durations'!$P$23)+$W42*'3 - Phase Durations'!$P$24)/12</f>
        <v>0.42</v>
      </c>
      <c r="AI42" s="172">
        <f>($Q42*'3 - Phase Durations'!$Q$16+$R42*'3 - Phase Durations'!$Q$17+$S42*('3 - Phase Durations'!$Q$18+'3 - Phase Durations'!$Q$19)+$T42*'3 - Phase Durations'!$Q$20+$U42*'3 - Phase Durations'!$Q$21+$V42*('3 - Phase Durations'!$Q$22+'3 - Phase Durations'!$Q$23)+$W42*'3 - Phase Durations'!$Q$24)/12</f>
        <v>0.42115068493150692</v>
      </c>
      <c r="AJ42" s="172">
        <f>($Q42*'3 - Phase Durations'!$R$16+$R42*'3 - Phase Durations'!$R$17+$S42*('3 - Phase Durations'!$R$18+'3 - Phase Durations'!$R$19)+$T42*'3 - Phase Durations'!$R$20+$U42*'3 - Phase Durations'!$R$21+$V42*('3 - Phase Durations'!$R$22+'3 - Phase Durations'!$R$23)+$W42*'3 - Phase Durations'!$R$24)/12</f>
        <v>0.42</v>
      </c>
      <c r="AK42" s="172">
        <f>($Q42*'3 - Phase Durations'!$S$16+$R42*'3 - Phase Durations'!$S$17+$S42*('3 - Phase Durations'!$S$18+'3 - Phase Durations'!$S$19)+$T42*'3 - Phase Durations'!$S$20+$U42*'3 - Phase Durations'!$S$21+$V42*('3 - Phase Durations'!$S$22+'3 - Phase Durations'!$S$23)+$W42*'3 - Phase Durations'!$S$24)/12</f>
        <v>0.42</v>
      </c>
      <c r="AL42" s="172">
        <f>($Q42*'3 - Phase Durations'!$T$16+$R42*'3 - Phase Durations'!$T$17+$S42*('3 - Phase Durations'!$T$18+'3 - Phase Durations'!$T$19)+$T42*'3 - Phase Durations'!$T$20+$U42*'3 - Phase Durations'!$T$21+$V42*('3 - Phase Durations'!$T$22+'3 - Phase Durations'!$T$23)+$W42*'3 - Phase Durations'!$T$24)/12</f>
        <v>0.42</v>
      </c>
      <c r="AM42" s="172">
        <f>($Q42*'3 - Phase Durations'!$U$16+$R42*'3 - Phase Durations'!$U$17+$S42*('3 - Phase Durations'!$U$18+'3 - Phase Durations'!$U$19)+$T42*'3 - Phase Durations'!$U$20+$U42*'3 - Phase Durations'!$U$21+$V42*('3 - Phase Durations'!$U$22+'3 - Phase Durations'!$U$23)+$W42*'3 - Phase Durations'!$U$24)/12</f>
        <v>0.42115068493150692</v>
      </c>
      <c r="AN42" s="172">
        <f>($Q42*'3 - Phase Durations'!$V$16+$R42*'3 - Phase Durations'!$V$17+$S42*('3 - Phase Durations'!$V$18+'3 - Phase Durations'!$V$19)+$T42*'3 - Phase Durations'!$V$20+$U42*'3 - Phase Durations'!$V$21+$V42*('3 - Phase Durations'!$V$22+'3 - Phase Durations'!$V$23)+$W42*'3 - Phase Durations'!$V$24)/12</f>
        <v>0.34109589041095889</v>
      </c>
      <c r="AO42" s="172">
        <f>($Q42*'3 - Phase Durations'!$W$16+$R42*'3 - Phase Durations'!$W$17+$S42*('3 - Phase Durations'!$W$18+'3 - Phase Durations'!$W$19)+$T42*'3 - Phase Durations'!$W$20+$U42*'3 - Phase Durations'!$W$21+$V42*('3 - Phase Durations'!$W$22+'3 - Phase Durations'!$W$23)+$W42*'3 - Phase Durations'!$W$24)/12</f>
        <v>0.10000000000000002</v>
      </c>
      <c r="AP42" s="172">
        <f>($Q42*'3 - Phase Durations'!$X$16+$R42*'3 - Phase Durations'!$X$17+$S42*('3 - Phase Durations'!$X$18+'3 - Phase Durations'!$X$19)+$T42*'3 - Phase Durations'!$X$20+$U42*'3 - Phase Durations'!$X$21+$V42*('3 - Phase Durations'!$X$22+'3 - Phase Durations'!$X$23)+$W42*'3 - Phase Durations'!$X$24)/12</f>
        <v>0.10000000000000002</v>
      </c>
      <c r="AQ42" s="172">
        <f>($Q42*'3 - Phase Durations'!$Y$16+$R42*'3 - Phase Durations'!$Y$17+$S42*('3 - Phase Durations'!$Y$18+'3 - Phase Durations'!$Y$19)+$T42*'3 - Phase Durations'!$Y$20+$U42*'3 - Phase Durations'!$Y$21+$V42*('3 - Phase Durations'!$Y$22+'3 - Phase Durations'!$Y$23)+$W42*'3 - Phase Durations'!$Y$24)/12</f>
        <v>0.10027397260273974</v>
      </c>
      <c r="AR42" s="172">
        <f>($Q42*'3 - Phase Durations'!$Z$16+$R42*'3 - Phase Durations'!$Z$17+$S42*('3 - Phase Durations'!$Z$18+'3 - Phase Durations'!$Z$19)+$T42*'3 - Phase Durations'!$Z$20+$U42*'3 - Phase Durations'!$Z$21+$V42*('3 - Phase Durations'!$Z$22+'3 - Phase Durations'!$Z$23)+$W42*'3 - Phase Durations'!$Z$24)/12</f>
        <v>0.10000000000000002</v>
      </c>
      <c r="AS42" s="172">
        <f>($Q42*'3 - Phase Durations'!$AA$16+$R42*'3 - Phase Durations'!$AA$17+$S42*('3 - Phase Durations'!$AA$18+'3 - Phase Durations'!$AA$19)+$T42*'3 - Phase Durations'!$AA$20+$U42*'3 - Phase Durations'!$AA$21+$V42*('3 - Phase Durations'!$AA$22+'3 - Phase Durations'!$AA$23)+$W42*'3 - Phase Durations'!$AA$24)/12</f>
        <v>0.10000000000000002</v>
      </c>
      <c r="AT42" s="172">
        <f>($Q42*'3 - Phase Durations'!$AB$16+$R42*'3 - Phase Durations'!$AB$17+$S42*('3 - Phase Durations'!$AB$18+'3 - Phase Durations'!$AB$19)+$T42*'3 - Phase Durations'!$AB$20+$U42*'3 - Phase Durations'!$AB$21+$V42*('3 - Phase Durations'!$AB$22+'3 - Phase Durations'!$AB$23)+$W42*'3 - Phase Durations'!$AB$24)/12</f>
        <v>0.10000000000000002</v>
      </c>
      <c r="AU42" s="172">
        <f>($Q42*'3 - Phase Durations'!$AC$16+$R42*'3 - Phase Durations'!$AC$17+$S42*('3 - Phase Durations'!$AC$18+'3 - Phase Durations'!$AC$19)+$T42*'3 - Phase Durations'!$AC$20+$U42*'3 - Phase Durations'!$AC$21+$V42*('3 - Phase Durations'!$AC$22+'3 - Phase Durations'!$AC$23)+$W42*'3 - Phase Durations'!$AC$24)/12</f>
        <v>0.10027397260273974</v>
      </c>
      <c r="AV42" s="172">
        <f>($Q42*'3 - Phase Durations'!$AD$16+$R42*'3 - Phase Durations'!$AD$17+$S42*('3 - Phase Durations'!$AD$18+'3 - Phase Durations'!$AD$19)+$T42*'3 - Phase Durations'!$AD$20+$U42*'3 - Phase Durations'!$AD$21+$V42*('3 - Phase Durations'!$AD$22+'3 - Phase Durations'!$AD$23)+$W42*'3 - Phase Durations'!$AD$24)/12</f>
        <v>0.10000000000000002</v>
      </c>
      <c r="AW42" s="172">
        <f>($Q42*'3 - Phase Durations'!$AE$16+$R42*'3 - Phase Durations'!$AE$17+$S42*('3 - Phase Durations'!$AE$18+'3 - Phase Durations'!$AE$19)+$T42*'3 - Phase Durations'!$AE$20+$U42*'3 - Phase Durations'!$AE$21+$V42*('3 - Phase Durations'!$AE$22+'3 - Phase Durations'!$AE$23)+$W42*'3 - Phase Durations'!$AE$24)/12</f>
        <v>0.10000000000000002</v>
      </c>
      <c r="AX42" s="172">
        <f>($Q42*'3 - Phase Durations'!$AF$16+$R42*'3 - Phase Durations'!$AF$17+$S42*('3 - Phase Durations'!$AF$18+'3 - Phase Durations'!$AF$19)+$T42*'3 - Phase Durations'!$AF$20+$U42*'3 - Phase Durations'!$AF$21+$V42*('3 - Phase Durations'!$AF$22+'3 - Phase Durations'!$AF$23)+$W42*'3 - Phase Durations'!$AF$24)/12</f>
        <v>0.10000000000000002</v>
      </c>
      <c r="AY42" s="172">
        <f>($Q42*'3 - Phase Durations'!$AG$16+$R42*'3 - Phase Durations'!$AG$17+$S42*('3 - Phase Durations'!$AG$18+'3 - Phase Durations'!$AG$19)+$T42*'3 - Phase Durations'!$AG$20+$U42*'3 - Phase Durations'!$AG$21+$V42*('3 - Phase Durations'!$AG$22+'3 - Phase Durations'!$AG$23)+$W42*'3 - Phase Durations'!$AG$24)/12</f>
        <v>0.10027397260273974</v>
      </c>
      <c r="AZ42" s="172">
        <f>($Q42*'3 - Phase Durations'!$AH$16+$R42*'3 - Phase Durations'!$AH$17+$S42*('3 - Phase Durations'!$AH$18+'3 - Phase Durations'!$AH$19)+$T42*'3 - Phase Durations'!$AH$20+$U42*'3 - Phase Durations'!$AH$21+$V42*('3 - Phase Durations'!$AH$22+'3 - Phase Durations'!$AH$23)+$W42*'3 - Phase Durations'!$AH$24)/12</f>
        <v>0.10000000000000002</v>
      </c>
      <c r="BA42" s="172">
        <f>($Q42*'3 - Phase Durations'!$AI$16+$R42*'3 - Phase Durations'!$AI$17+$S42*('3 - Phase Durations'!$AI$18+'3 - Phase Durations'!$AI$19)+$T42*'3 - Phase Durations'!$AI$20+$U42*'3 - Phase Durations'!$AI$21+$V42*('3 - Phase Durations'!$AI$22+'3 - Phase Durations'!$AI$23)+$W42*'3 - Phase Durations'!$AI$24)/12</f>
        <v>0.10000000000000002</v>
      </c>
      <c r="BB42" s="172">
        <f>($Q42*'3 - Phase Durations'!$AJ$16+$R42*'3 - Phase Durations'!$AJ$17+$S42*('3 - Phase Durations'!$AJ$18+'3 - Phase Durations'!$AJ$19)+$T42*'3 - Phase Durations'!$AJ$20+$U42*'3 - Phase Durations'!$AJ$21+$V42*('3 - Phase Durations'!$AJ$22+'3 - Phase Durations'!$AJ$23)+$W42*'3 - Phase Durations'!$AJ$24)/12</f>
        <v>0.10000000000000002</v>
      </c>
      <c r="BC42" s="172">
        <f>($Q42*'3 - Phase Durations'!$AK$16+$R42*'3 - Phase Durations'!$AK$17+$S42*('3 - Phase Durations'!$AK$18+'3 - Phase Durations'!$AK$19)+$T42*'3 - Phase Durations'!$AK$20+$U42*'3 - Phase Durations'!$AK$21+$V42*('3 - Phase Durations'!$AK$22+'3 - Phase Durations'!$AK$23)+$W42*'3 - Phase Durations'!$AK$24)/12</f>
        <v>0.10027397260273974</v>
      </c>
      <c r="BD42" s="172">
        <f>($Q42*'3 - Phase Durations'!$AL$16+$R42*'3 - Phase Durations'!$AL$17+$S42*('3 - Phase Durations'!$AL$18+'3 - Phase Durations'!$AL$19)+$T42*'3 - Phase Durations'!$AL$20+$U42*'3 - Phase Durations'!$AL$21+$V42*('3 - Phase Durations'!$AL$22+'3 - Phase Durations'!$AL$23)+$W42*'3 - Phase Durations'!$AL$24)/12</f>
        <v>0.10000000000000002</v>
      </c>
      <c r="BE42" s="172">
        <f>($Q42*'3 - Phase Durations'!$AM$16+$R42*'3 - Phase Durations'!$AM$17+$S42*('3 - Phase Durations'!$AM$18+'3 - Phase Durations'!$AM$19)+$T42*'3 - Phase Durations'!$AM$20+$U42*'3 - Phase Durations'!$AM$21+$V42*('3 - Phase Durations'!$AM$22+'3 - Phase Durations'!$AM$23)+$W42*'3 - Phase Durations'!$AM$24)/12</f>
        <v>0.10000000000000002</v>
      </c>
      <c r="BF42" s="172">
        <f>($Q42*'3 - Phase Durations'!$AN$16+$R42*'3 - Phase Durations'!$AN$17+$S42*('3 - Phase Durations'!$AN$18+'3 - Phase Durations'!$AN$19)+$T42*'3 - Phase Durations'!$AN$20+$U42*'3 - Phase Durations'!$AN$21+$V42*('3 - Phase Durations'!$AN$22+'3 - Phase Durations'!$AN$23)+$W42*'3 - Phase Durations'!$AN$24)/12</f>
        <v>0.10000000000000002</v>
      </c>
      <c r="BG42" s="172">
        <f>($Q42*'3 - Phase Durations'!$AO$16+$R42*'3 - Phase Durations'!$AO$17+$S42*('3 - Phase Durations'!$AO$18+'3 - Phase Durations'!$AO$19)+$T42*'3 - Phase Durations'!$AO$20+$U42*'3 - Phase Durations'!$AO$21+$V42*('3 - Phase Durations'!$AO$22+'3 - Phase Durations'!$AO$23)+$W42*'3 - Phase Durations'!$AO$24)/12</f>
        <v>2.4931506849315069E-2</v>
      </c>
      <c r="BH42" s="173">
        <f t="shared" si="0"/>
        <v>7.4964109589041037</v>
      </c>
    </row>
    <row r="43" spans="1:60" ht="30" customHeight="1">
      <c r="A43" s="181">
        <v>26</v>
      </c>
      <c r="B43" s="182" t="s">
        <v>1032</v>
      </c>
      <c r="C43" s="182" t="s">
        <v>131</v>
      </c>
      <c r="D43" s="182" t="s">
        <v>1145</v>
      </c>
      <c r="E43" s="182" t="s">
        <v>1146</v>
      </c>
      <c r="F43" s="183" t="s">
        <v>1146</v>
      </c>
      <c r="G43" s="184" t="s">
        <v>1147</v>
      </c>
      <c r="H43" s="184"/>
      <c r="I43" s="184"/>
      <c r="J43" s="184"/>
      <c r="K43" s="185"/>
      <c r="L43" s="185" t="s">
        <v>601</v>
      </c>
      <c r="M43" s="185"/>
      <c r="N43" s="185" t="s">
        <v>1148</v>
      </c>
      <c r="O43" s="186" t="s">
        <v>1149</v>
      </c>
      <c r="P43" s="185" t="s">
        <v>1150</v>
      </c>
      <c r="Q43" s="187"/>
      <c r="R43" s="187"/>
      <c r="S43" s="187"/>
      <c r="T43" s="187"/>
      <c r="U43" s="187"/>
      <c r="V43" s="187"/>
      <c r="W43" s="187"/>
      <c r="X43" s="188">
        <f>IFERROR(VLOOKUP($M43,'Labour Rates lookup'!$A:$B,2,FALSE()),0)</f>
        <v>0</v>
      </c>
      <c r="Y43" s="189">
        <f>($Q43*'3 - Phase Durations'!$G$16+$R43*'3 - Phase Durations'!$G$17+$S43*('3 - Phase Durations'!$G$18+'3 - Phase Durations'!$G$19)+$T43*'3 - Phase Durations'!$G$20+$U43*'3 - Phase Durations'!$G$21+$V43*('3 - Phase Durations'!$G$22+'3 - Phase Durations'!$G$23)+$W43*'3 - Phase Durations'!$G$24)/12</f>
        <v>0</v>
      </c>
      <c r="Z43" s="189">
        <f>($Q43*'3 - Phase Durations'!$H$16+$R43*'3 - Phase Durations'!$H$17+$S43*('3 - Phase Durations'!$H$18+'3 - Phase Durations'!$H$19)+$T43*'3 - Phase Durations'!$H$20+$U43*'3 - Phase Durations'!$H$21+$V43*('3 - Phase Durations'!$H$22+'3 - Phase Durations'!$H$23)+$W43*'3 - Phase Durations'!$H$24)/12</f>
        <v>0</v>
      </c>
      <c r="AA43" s="189">
        <f>($Q43*'3 - Phase Durations'!$I$16+$R43*'3 - Phase Durations'!$I$17+$S43*('3 - Phase Durations'!$I$18+'3 - Phase Durations'!$I$19)+$T43*'3 - Phase Durations'!$I$20+$U43*'3 - Phase Durations'!$I$21+$V43*('3 - Phase Durations'!$I$22+'3 - Phase Durations'!$I$23)+$W43*'3 - Phase Durations'!$I$24)/12</f>
        <v>0</v>
      </c>
      <c r="AB43" s="189">
        <f>($Q43*'3 - Phase Durations'!$J$16+$R43*'3 - Phase Durations'!$J$17+$S43*('3 - Phase Durations'!$J$18+'3 - Phase Durations'!$J$19)+$T43*'3 - Phase Durations'!$J$20+$U43*'3 - Phase Durations'!$J$21+$V43*('3 - Phase Durations'!$J$22+'3 - Phase Durations'!$J$23)+$W43*'3 - Phase Durations'!$J$24)/12</f>
        <v>0</v>
      </c>
      <c r="AC43" s="189">
        <f>($Q43*'3 - Phase Durations'!$K$16+$R43*'3 - Phase Durations'!$K$17+$S43*('3 - Phase Durations'!$K$18+'3 - Phase Durations'!$K$19)+$T43*'3 - Phase Durations'!$K$20+$U43*'3 - Phase Durations'!$K$21+$V43*('3 - Phase Durations'!$K$22+'3 - Phase Durations'!$K$23)+$W43*'3 - Phase Durations'!$K$24)/12</f>
        <v>0</v>
      </c>
      <c r="AD43" s="189">
        <f>($Q43*'3 - Phase Durations'!$L$16+$R43*'3 - Phase Durations'!$L$17+$S43*('3 - Phase Durations'!$L$18+'3 - Phase Durations'!$L$19)+$T43*'3 - Phase Durations'!$L$20+$U43*'3 - Phase Durations'!$L$21+$V43*('3 - Phase Durations'!$L$22+'3 - Phase Durations'!$L$23)+$W43*'3 - Phase Durations'!$L$24)/12</f>
        <v>0</v>
      </c>
      <c r="AE43" s="189">
        <f>($Q43*'3 - Phase Durations'!$M$16+$R43*'3 - Phase Durations'!$M$17+$S43*('3 - Phase Durations'!$M$18+'3 - Phase Durations'!$M$19)+$T43*'3 - Phase Durations'!$M$20+$U43*'3 - Phase Durations'!$M$21+$V43*('3 - Phase Durations'!$M$22+'3 - Phase Durations'!$M$23)+$W43*'3 - Phase Durations'!$M$24)/12</f>
        <v>0</v>
      </c>
      <c r="AF43" s="189">
        <f>($Q43*'3 - Phase Durations'!$N$16+$R43*'3 - Phase Durations'!$N$17+$S43*('3 - Phase Durations'!$N$18+'3 - Phase Durations'!$N$19)+$T43*'3 - Phase Durations'!$N$20+$U43*'3 - Phase Durations'!$N$21+$V43*('3 - Phase Durations'!$N$22+'3 - Phase Durations'!$N$23)+$W43*'3 - Phase Durations'!$N$24)/12</f>
        <v>0</v>
      </c>
      <c r="AG43" s="189">
        <f>($Q43*'3 - Phase Durations'!$O$16+$R43*'3 - Phase Durations'!$O$17+$S43*('3 - Phase Durations'!$O$18+'3 - Phase Durations'!$O$19)+$T43*'3 - Phase Durations'!$O$20+$U43*'3 - Phase Durations'!$O$21+$V43*('3 - Phase Durations'!$O$22+'3 - Phase Durations'!$O$23)+$W43*'3 - Phase Durations'!$O$24)/12</f>
        <v>0</v>
      </c>
      <c r="AH43" s="189">
        <f>($Q43*'3 - Phase Durations'!$P$16+$R43*'3 - Phase Durations'!$P$17+$S43*('3 - Phase Durations'!$P$18+'3 - Phase Durations'!$P$19)+$T43*'3 - Phase Durations'!$P$20+$U43*'3 - Phase Durations'!$P$21+$V43*('3 - Phase Durations'!$P$22+'3 - Phase Durations'!$P$23)+$W43*'3 - Phase Durations'!$P$24)/12</f>
        <v>0</v>
      </c>
      <c r="AI43" s="189">
        <f>($Q43*'3 - Phase Durations'!$Q$16+$R43*'3 - Phase Durations'!$Q$17+$S43*('3 - Phase Durations'!$Q$18+'3 - Phase Durations'!$Q$19)+$T43*'3 - Phase Durations'!$Q$20+$U43*'3 - Phase Durations'!$Q$21+$V43*('3 - Phase Durations'!$Q$22+'3 - Phase Durations'!$Q$23)+$W43*'3 - Phase Durations'!$Q$24)/12</f>
        <v>0</v>
      </c>
      <c r="AJ43" s="189">
        <f>($Q43*'3 - Phase Durations'!$R$16+$R43*'3 - Phase Durations'!$R$17+$S43*('3 - Phase Durations'!$R$18+'3 - Phase Durations'!$R$19)+$T43*'3 - Phase Durations'!$R$20+$U43*'3 - Phase Durations'!$R$21+$V43*('3 - Phase Durations'!$R$22+'3 - Phase Durations'!$R$23)+$W43*'3 - Phase Durations'!$R$24)/12</f>
        <v>0</v>
      </c>
      <c r="AK43" s="189">
        <f>($Q43*'3 - Phase Durations'!$S$16+$R43*'3 - Phase Durations'!$S$17+$S43*('3 - Phase Durations'!$S$18+'3 - Phase Durations'!$S$19)+$T43*'3 - Phase Durations'!$S$20+$U43*'3 - Phase Durations'!$S$21+$V43*('3 - Phase Durations'!$S$22+'3 - Phase Durations'!$S$23)+$W43*'3 - Phase Durations'!$S$24)/12</f>
        <v>0</v>
      </c>
      <c r="AL43" s="189">
        <f>($Q43*'3 - Phase Durations'!$T$16+$R43*'3 - Phase Durations'!$T$17+$S43*('3 - Phase Durations'!$T$18+'3 - Phase Durations'!$T$19)+$T43*'3 - Phase Durations'!$T$20+$U43*'3 - Phase Durations'!$T$21+$V43*('3 - Phase Durations'!$T$22+'3 - Phase Durations'!$T$23)+$W43*'3 - Phase Durations'!$T$24)/12</f>
        <v>0</v>
      </c>
      <c r="AM43" s="189">
        <f>($Q43*'3 - Phase Durations'!$U$16+$R43*'3 - Phase Durations'!$U$17+$S43*('3 - Phase Durations'!$U$18+'3 - Phase Durations'!$U$19)+$T43*'3 - Phase Durations'!$U$20+$U43*'3 - Phase Durations'!$U$21+$V43*('3 - Phase Durations'!$U$22+'3 - Phase Durations'!$U$23)+$W43*'3 - Phase Durations'!$U$24)/12</f>
        <v>0</v>
      </c>
      <c r="AN43" s="189">
        <f>($Q43*'3 - Phase Durations'!$V$16+$R43*'3 - Phase Durations'!$V$17+$S43*('3 - Phase Durations'!$V$18+'3 - Phase Durations'!$V$19)+$T43*'3 - Phase Durations'!$V$20+$U43*'3 - Phase Durations'!$V$21+$V43*('3 - Phase Durations'!$V$22+'3 - Phase Durations'!$V$23)+$W43*'3 - Phase Durations'!$V$24)/12</f>
        <v>0</v>
      </c>
      <c r="AO43" s="189">
        <f>($Q43*'3 - Phase Durations'!$W$16+$R43*'3 - Phase Durations'!$W$17+$S43*('3 - Phase Durations'!$W$18+'3 - Phase Durations'!$W$19)+$T43*'3 - Phase Durations'!$W$20+$U43*'3 - Phase Durations'!$W$21+$V43*('3 - Phase Durations'!$W$22+'3 - Phase Durations'!$W$23)+$W43*'3 - Phase Durations'!$W$24)/12</f>
        <v>0</v>
      </c>
      <c r="AP43" s="189">
        <f>($Q43*'3 - Phase Durations'!$X$16+$R43*'3 - Phase Durations'!$X$17+$S43*('3 - Phase Durations'!$X$18+'3 - Phase Durations'!$X$19)+$T43*'3 - Phase Durations'!$X$20+$U43*'3 - Phase Durations'!$X$21+$V43*('3 - Phase Durations'!$X$22+'3 - Phase Durations'!$X$23)+$W43*'3 - Phase Durations'!$X$24)/12</f>
        <v>0</v>
      </c>
      <c r="AQ43" s="189">
        <f>($Q43*'3 - Phase Durations'!$Y$16+$R43*'3 - Phase Durations'!$Y$17+$S43*('3 - Phase Durations'!$Y$18+'3 - Phase Durations'!$Y$19)+$T43*'3 - Phase Durations'!$Y$20+$U43*'3 - Phase Durations'!$Y$21+$V43*('3 - Phase Durations'!$Y$22+'3 - Phase Durations'!$Y$23)+$W43*'3 - Phase Durations'!$Y$24)/12</f>
        <v>0</v>
      </c>
      <c r="AR43" s="189">
        <f>($Q43*'3 - Phase Durations'!$Z$16+$R43*'3 - Phase Durations'!$Z$17+$S43*('3 - Phase Durations'!$Z$18+'3 - Phase Durations'!$Z$19)+$T43*'3 - Phase Durations'!$Z$20+$U43*'3 - Phase Durations'!$Z$21+$V43*('3 - Phase Durations'!$Z$22+'3 - Phase Durations'!$Z$23)+$W43*'3 - Phase Durations'!$Z$24)/12</f>
        <v>0</v>
      </c>
      <c r="AS43" s="189">
        <f>($Q43*'3 - Phase Durations'!$AA$16+$R43*'3 - Phase Durations'!$AA$17+$S43*('3 - Phase Durations'!$AA$18+'3 - Phase Durations'!$AA$19)+$T43*'3 - Phase Durations'!$AA$20+$U43*'3 - Phase Durations'!$AA$21+$V43*('3 - Phase Durations'!$AA$22+'3 - Phase Durations'!$AA$23)+$W43*'3 - Phase Durations'!$AA$24)/12</f>
        <v>0</v>
      </c>
      <c r="AT43" s="189">
        <f>($Q43*'3 - Phase Durations'!$AB$16+$R43*'3 - Phase Durations'!$AB$17+$S43*('3 - Phase Durations'!$AB$18+'3 - Phase Durations'!$AB$19)+$T43*'3 - Phase Durations'!$AB$20+$U43*'3 - Phase Durations'!$AB$21+$V43*('3 - Phase Durations'!$AB$22+'3 - Phase Durations'!$AB$23)+$W43*'3 - Phase Durations'!$AB$24)/12</f>
        <v>0</v>
      </c>
      <c r="AU43" s="189">
        <f>($Q43*'3 - Phase Durations'!$AC$16+$R43*'3 - Phase Durations'!$AC$17+$S43*('3 - Phase Durations'!$AC$18+'3 - Phase Durations'!$AC$19)+$T43*'3 - Phase Durations'!$AC$20+$U43*'3 - Phase Durations'!$AC$21+$V43*('3 - Phase Durations'!$AC$22+'3 - Phase Durations'!$AC$23)+$W43*'3 - Phase Durations'!$AC$24)/12</f>
        <v>0</v>
      </c>
      <c r="AV43" s="189">
        <f>($Q43*'3 - Phase Durations'!$AD$16+$R43*'3 - Phase Durations'!$AD$17+$S43*('3 - Phase Durations'!$AD$18+'3 - Phase Durations'!$AD$19)+$T43*'3 - Phase Durations'!$AD$20+$U43*'3 - Phase Durations'!$AD$21+$V43*('3 - Phase Durations'!$AD$22+'3 - Phase Durations'!$AD$23)+$W43*'3 - Phase Durations'!$AD$24)/12</f>
        <v>0</v>
      </c>
      <c r="AW43" s="189">
        <f>($Q43*'3 - Phase Durations'!$AE$16+$R43*'3 - Phase Durations'!$AE$17+$S43*('3 - Phase Durations'!$AE$18+'3 - Phase Durations'!$AE$19)+$T43*'3 - Phase Durations'!$AE$20+$U43*'3 - Phase Durations'!$AE$21+$V43*('3 - Phase Durations'!$AE$22+'3 - Phase Durations'!$AE$23)+$W43*'3 - Phase Durations'!$AE$24)/12</f>
        <v>0</v>
      </c>
      <c r="AX43" s="189">
        <f>($Q43*'3 - Phase Durations'!$AF$16+$R43*'3 - Phase Durations'!$AF$17+$S43*('3 - Phase Durations'!$AF$18+'3 - Phase Durations'!$AF$19)+$T43*'3 - Phase Durations'!$AF$20+$U43*'3 - Phase Durations'!$AF$21+$V43*('3 - Phase Durations'!$AF$22+'3 - Phase Durations'!$AF$23)+$W43*'3 - Phase Durations'!$AF$24)/12</f>
        <v>0</v>
      </c>
      <c r="AY43" s="189">
        <f>($Q43*'3 - Phase Durations'!$AG$16+$R43*'3 - Phase Durations'!$AG$17+$S43*('3 - Phase Durations'!$AG$18+'3 - Phase Durations'!$AG$19)+$T43*'3 - Phase Durations'!$AG$20+$U43*'3 - Phase Durations'!$AG$21+$V43*('3 - Phase Durations'!$AG$22+'3 - Phase Durations'!$AG$23)+$W43*'3 - Phase Durations'!$AG$24)/12</f>
        <v>0</v>
      </c>
      <c r="AZ43" s="189">
        <f>($Q43*'3 - Phase Durations'!$AH$16+$R43*'3 - Phase Durations'!$AH$17+$S43*('3 - Phase Durations'!$AH$18+'3 - Phase Durations'!$AH$19)+$T43*'3 - Phase Durations'!$AH$20+$U43*'3 - Phase Durations'!$AH$21+$V43*('3 - Phase Durations'!$AH$22+'3 - Phase Durations'!$AH$23)+$W43*'3 - Phase Durations'!$AH$24)/12</f>
        <v>0</v>
      </c>
      <c r="BA43" s="189">
        <f>($Q43*'3 - Phase Durations'!$AI$16+$R43*'3 - Phase Durations'!$AI$17+$S43*('3 - Phase Durations'!$AI$18+'3 - Phase Durations'!$AI$19)+$T43*'3 - Phase Durations'!$AI$20+$U43*'3 - Phase Durations'!$AI$21+$V43*('3 - Phase Durations'!$AI$22+'3 - Phase Durations'!$AI$23)+$W43*'3 - Phase Durations'!$AI$24)/12</f>
        <v>0</v>
      </c>
      <c r="BB43" s="189">
        <f>($Q43*'3 - Phase Durations'!$AJ$16+$R43*'3 - Phase Durations'!$AJ$17+$S43*('3 - Phase Durations'!$AJ$18+'3 - Phase Durations'!$AJ$19)+$T43*'3 - Phase Durations'!$AJ$20+$U43*'3 - Phase Durations'!$AJ$21+$V43*('3 - Phase Durations'!$AJ$22+'3 - Phase Durations'!$AJ$23)+$W43*'3 - Phase Durations'!$AJ$24)/12</f>
        <v>0</v>
      </c>
      <c r="BC43" s="189">
        <f>($Q43*'3 - Phase Durations'!$AK$16+$R43*'3 - Phase Durations'!$AK$17+$S43*('3 - Phase Durations'!$AK$18+'3 - Phase Durations'!$AK$19)+$T43*'3 - Phase Durations'!$AK$20+$U43*'3 - Phase Durations'!$AK$21+$V43*('3 - Phase Durations'!$AK$22+'3 - Phase Durations'!$AK$23)+$W43*'3 - Phase Durations'!$AK$24)/12</f>
        <v>0</v>
      </c>
      <c r="BD43" s="189">
        <f>($Q43*'3 - Phase Durations'!$AL$16+$R43*'3 - Phase Durations'!$AL$17+$S43*('3 - Phase Durations'!$AL$18+'3 - Phase Durations'!$AL$19)+$T43*'3 - Phase Durations'!$AL$20+$U43*'3 - Phase Durations'!$AL$21+$V43*('3 - Phase Durations'!$AL$22+'3 - Phase Durations'!$AL$23)+$W43*'3 - Phase Durations'!$AL$24)/12</f>
        <v>0</v>
      </c>
      <c r="BE43" s="189">
        <f>($Q43*'3 - Phase Durations'!$AM$16+$R43*'3 - Phase Durations'!$AM$17+$S43*('3 - Phase Durations'!$AM$18+'3 - Phase Durations'!$AM$19)+$T43*'3 - Phase Durations'!$AM$20+$U43*'3 - Phase Durations'!$AM$21+$V43*('3 - Phase Durations'!$AM$22+'3 - Phase Durations'!$AM$23)+$W43*'3 - Phase Durations'!$AM$24)/12</f>
        <v>0</v>
      </c>
      <c r="BF43" s="189">
        <f>($Q43*'3 - Phase Durations'!$AN$16+$R43*'3 - Phase Durations'!$AN$17+$S43*('3 - Phase Durations'!$AN$18+'3 - Phase Durations'!$AN$19)+$T43*'3 - Phase Durations'!$AN$20+$U43*'3 - Phase Durations'!$AN$21+$V43*('3 - Phase Durations'!$AN$22+'3 - Phase Durations'!$AN$23)+$W43*'3 - Phase Durations'!$AN$24)/12</f>
        <v>0</v>
      </c>
      <c r="BG43" s="189">
        <f>($Q43*'3 - Phase Durations'!$AO$16+$R43*'3 - Phase Durations'!$AO$17+$S43*('3 - Phase Durations'!$AO$18+'3 - Phase Durations'!$AO$19)+$T43*'3 - Phase Durations'!$AO$20+$U43*'3 - Phase Durations'!$AO$21+$V43*('3 - Phase Durations'!$AO$22+'3 - Phase Durations'!$AO$23)+$W43*'3 - Phase Durations'!$AO$24)/12</f>
        <v>0</v>
      </c>
      <c r="BH43" s="190">
        <f t="shared" si="0"/>
        <v>0</v>
      </c>
    </row>
    <row r="44" spans="1:60" ht="30" customHeight="1">
      <c r="A44" s="181">
        <v>27</v>
      </c>
      <c r="B44" s="182" t="s">
        <v>1151</v>
      </c>
      <c r="C44" s="182" t="s">
        <v>1152</v>
      </c>
      <c r="D44" s="182" t="s">
        <v>1145</v>
      </c>
      <c r="E44" s="182" t="s">
        <v>1153</v>
      </c>
      <c r="F44" s="183" t="s">
        <v>1154</v>
      </c>
      <c r="G44" s="184" t="s">
        <v>1147</v>
      </c>
      <c r="H44" s="184"/>
      <c r="I44" s="184"/>
      <c r="J44" s="184" t="s">
        <v>24</v>
      </c>
      <c r="K44" s="185" t="s">
        <v>601</v>
      </c>
      <c r="L44" s="185" t="s">
        <v>1155</v>
      </c>
      <c r="M44" s="185"/>
      <c r="N44" s="185" t="s">
        <v>1148</v>
      </c>
      <c r="O44" s="186" t="s">
        <v>1156</v>
      </c>
      <c r="P44" s="185" t="s">
        <v>1155</v>
      </c>
      <c r="Q44" s="187"/>
      <c r="R44" s="187"/>
      <c r="S44" s="187"/>
      <c r="T44" s="187"/>
      <c r="U44" s="187"/>
      <c r="V44" s="187"/>
      <c r="W44" s="187"/>
      <c r="X44" s="188">
        <f>IFERROR(VLOOKUP($M44,'Labour Rates lookup'!$A:$B,2,FALSE()),0)</f>
        <v>0</v>
      </c>
      <c r="Y44" s="189">
        <f>($Q44*'3 - Phase Durations'!$G$16+$R44*'3 - Phase Durations'!$G$17+$S44*('3 - Phase Durations'!$G$18+'3 - Phase Durations'!$G$19)+$T44*'3 - Phase Durations'!$G$20+$U44*'3 - Phase Durations'!$G$21+$V44*('3 - Phase Durations'!$G$22+'3 - Phase Durations'!$G$23)+$W44*'3 - Phase Durations'!$G$24)/12</f>
        <v>0</v>
      </c>
      <c r="Z44" s="189">
        <f>($Q44*'3 - Phase Durations'!$H$16+$R44*'3 - Phase Durations'!$H$17+$S44*('3 - Phase Durations'!$H$18+'3 - Phase Durations'!$H$19)+$T44*'3 - Phase Durations'!$H$20+$U44*'3 - Phase Durations'!$H$21+$V44*('3 - Phase Durations'!$H$22+'3 - Phase Durations'!$H$23)+$W44*'3 - Phase Durations'!$H$24)/12</f>
        <v>0</v>
      </c>
      <c r="AA44" s="189">
        <f>($Q44*'3 - Phase Durations'!$I$16+$R44*'3 - Phase Durations'!$I$17+$S44*('3 - Phase Durations'!$I$18+'3 - Phase Durations'!$I$19)+$T44*'3 - Phase Durations'!$I$20+$U44*'3 - Phase Durations'!$I$21+$V44*('3 - Phase Durations'!$I$22+'3 - Phase Durations'!$I$23)+$W44*'3 - Phase Durations'!$I$24)/12</f>
        <v>0</v>
      </c>
      <c r="AB44" s="189">
        <f>($Q44*'3 - Phase Durations'!$J$16+$R44*'3 - Phase Durations'!$J$17+$S44*('3 - Phase Durations'!$J$18+'3 - Phase Durations'!$J$19)+$T44*'3 - Phase Durations'!$J$20+$U44*'3 - Phase Durations'!$J$21+$V44*('3 - Phase Durations'!$J$22+'3 - Phase Durations'!$J$23)+$W44*'3 - Phase Durations'!$J$24)/12</f>
        <v>0</v>
      </c>
      <c r="AC44" s="189">
        <f>($Q44*'3 - Phase Durations'!$K$16+$R44*'3 - Phase Durations'!$K$17+$S44*('3 - Phase Durations'!$K$18+'3 - Phase Durations'!$K$19)+$T44*'3 - Phase Durations'!$K$20+$U44*'3 - Phase Durations'!$K$21+$V44*('3 - Phase Durations'!$K$22+'3 - Phase Durations'!$K$23)+$W44*'3 - Phase Durations'!$K$24)/12</f>
        <v>0</v>
      </c>
      <c r="AD44" s="189">
        <f>($Q44*'3 - Phase Durations'!$L$16+$R44*'3 - Phase Durations'!$L$17+$S44*('3 - Phase Durations'!$L$18+'3 - Phase Durations'!$L$19)+$T44*'3 - Phase Durations'!$L$20+$U44*'3 - Phase Durations'!$L$21+$V44*('3 - Phase Durations'!$L$22+'3 - Phase Durations'!$L$23)+$W44*'3 - Phase Durations'!$L$24)/12</f>
        <v>0</v>
      </c>
      <c r="AE44" s="189">
        <f>($Q44*'3 - Phase Durations'!$M$16+$R44*'3 - Phase Durations'!$M$17+$S44*('3 - Phase Durations'!$M$18+'3 - Phase Durations'!$M$19)+$T44*'3 - Phase Durations'!$M$20+$U44*'3 - Phase Durations'!$M$21+$V44*('3 - Phase Durations'!$M$22+'3 - Phase Durations'!$M$23)+$W44*'3 - Phase Durations'!$M$24)/12</f>
        <v>0</v>
      </c>
      <c r="AF44" s="189">
        <f>($Q44*'3 - Phase Durations'!$N$16+$R44*'3 - Phase Durations'!$N$17+$S44*('3 - Phase Durations'!$N$18+'3 - Phase Durations'!$N$19)+$T44*'3 - Phase Durations'!$N$20+$U44*'3 - Phase Durations'!$N$21+$V44*('3 - Phase Durations'!$N$22+'3 - Phase Durations'!$N$23)+$W44*'3 - Phase Durations'!$N$24)/12</f>
        <v>0</v>
      </c>
      <c r="AG44" s="189">
        <f>($Q44*'3 - Phase Durations'!$O$16+$R44*'3 - Phase Durations'!$O$17+$S44*('3 - Phase Durations'!$O$18+'3 - Phase Durations'!$O$19)+$T44*'3 - Phase Durations'!$O$20+$U44*'3 - Phase Durations'!$O$21+$V44*('3 - Phase Durations'!$O$22+'3 - Phase Durations'!$O$23)+$W44*'3 - Phase Durations'!$O$24)/12</f>
        <v>0</v>
      </c>
      <c r="AH44" s="189">
        <f>($Q44*'3 - Phase Durations'!$P$16+$R44*'3 - Phase Durations'!$P$17+$S44*('3 - Phase Durations'!$P$18+'3 - Phase Durations'!$P$19)+$T44*'3 - Phase Durations'!$P$20+$U44*'3 - Phase Durations'!$P$21+$V44*('3 - Phase Durations'!$P$22+'3 - Phase Durations'!$P$23)+$W44*'3 - Phase Durations'!$P$24)/12</f>
        <v>0</v>
      </c>
      <c r="AI44" s="189">
        <f>($Q44*'3 - Phase Durations'!$Q$16+$R44*'3 - Phase Durations'!$Q$17+$S44*('3 - Phase Durations'!$Q$18+'3 - Phase Durations'!$Q$19)+$T44*'3 - Phase Durations'!$Q$20+$U44*'3 - Phase Durations'!$Q$21+$V44*('3 - Phase Durations'!$Q$22+'3 - Phase Durations'!$Q$23)+$W44*'3 - Phase Durations'!$Q$24)/12</f>
        <v>0</v>
      </c>
      <c r="AJ44" s="189">
        <f>($Q44*'3 - Phase Durations'!$R$16+$R44*'3 - Phase Durations'!$R$17+$S44*('3 - Phase Durations'!$R$18+'3 - Phase Durations'!$R$19)+$T44*'3 - Phase Durations'!$R$20+$U44*'3 - Phase Durations'!$R$21+$V44*('3 - Phase Durations'!$R$22+'3 - Phase Durations'!$R$23)+$W44*'3 - Phase Durations'!$R$24)/12</f>
        <v>0</v>
      </c>
      <c r="AK44" s="189">
        <f>($Q44*'3 - Phase Durations'!$S$16+$R44*'3 - Phase Durations'!$S$17+$S44*('3 - Phase Durations'!$S$18+'3 - Phase Durations'!$S$19)+$T44*'3 - Phase Durations'!$S$20+$U44*'3 - Phase Durations'!$S$21+$V44*('3 - Phase Durations'!$S$22+'3 - Phase Durations'!$S$23)+$W44*'3 - Phase Durations'!$S$24)/12</f>
        <v>0</v>
      </c>
      <c r="AL44" s="189">
        <f>($Q44*'3 - Phase Durations'!$T$16+$R44*'3 - Phase Durations'!$T$17+$S44*('3 - Phase Durations'!$T$18+'3 - Phase Durations'!$T$19)+$T44*'3 - Phase Durations'!$T$20+$U44*'3 - Phase Durations'!$T$21+$V44*('3 - Phase Durations'!$T$22+'3 - Phase Durations'!$T$23)+$W44*'3 - Phase Durations'!$T$24)/12</f>
        <v>0</v>
      </c>
      <c r="AM44" s="189">
        <f>($Q44*'3 - Phase Durations'!$U$16+$R44*'3 - Phase Durations'!$U$17+$S44*('3 - Phase Durations'!$U$18+'3 - Phase Durations'!$U$19)+$T44*'3 - Phase Durations'!$U$20+$U44*'3 - Phase Durations'!$U$21+$V44*('3 - Phase Durations'!$U$22+'3 - Phase Durations'!$U$23)+$W44*'3 - Phase Durations'!$U$24)/12</f>
        <v>0</v>
      </c>
      <c r="AN44" s="189">
        <f>($Q44*'3 - Phase Durations'!$V$16+$R44*'3 - Phase Durations'!$V$17+$S44*('3 - Phase Durations'!$V$18+'3 - Phase Durations'!$V$19)+$T44*'3 - Phase Durations'!$V$20+$U44*'3 - Phase Durations'!$V$21+$V44*('3 - Phase Durations'!$V$22+'3 - Phase Durations'!$V$23)+$W44*'3 - Phase Durations'!$V$24)/12</f>
        <v>0</v>
      </c>
      <c r="AO44" s="189">
        <f>($Q44*'3 - Phase Durations'!$W$16+$R44*'3 - Phase Durations'!$W$17+$S44*('3 - Phase Durations'!$W$18+'3 - Phase Durations'!$W$19)+$T44*'3 - Phase Durations'!$W$20+$U44*'3 - Phase Durations'!$W$21+$V44*('3 - Phase Durations'!$W$22+'3 - Phase Durations'!$W$23)+$W44*'3 - Phase Durations'!$W$24)/12</f>
        <v>0</v>
      </c>
      <c r="AP44" s="189">
        <f>($Q44*'3 - Phase Durations'!$X$16+$R44*'3 - Phase Durations'!$X$17+$S44*('3 - Phase Durations'!$X$18+'3 - Phase Durations'!$X$19)+$T44*'3 - Phase Durations'!$X$20+$U44*'3 - Phase Durations'!$X$21+$V44*('3 - Phase Durations'!$X$22+'3 - Phase Durations'!$X$23)+$W44*'3 - Phase Durations'!$X$24)/12</f>
        <v>0</v>
      </c>
      <c r="AQ44" s="189">
        <f>($Q44*'3 - Phase Durations'!$Y$16+$R44*'3 - Phase Durations'!$Y$17+$S44*('3 - Phase Durations'!$Y$18+'3 - Phase Durations'!$Y$19)+$T44*'3 - Phase Durations'!$Y$20+$U44*'3 - Phase Durations'!$Y$21+$V44*('3 - Phase Durations'!$Y$22+'3 - Phase Durations'!$Y$23)+$W44*'3 - Phase Durations'!$Y$24)/12</f>
        <v>0</v>
      </c>
      <c r="AR44" s="189">
        <f>($Q44*'3 - Phase Durations'!$Z$16+$R44*'3 - Phase Durations'!$Z$17+$S44*('3 - Phase Durations'!$Z$18+'3 - Phase Durations'!$Z$19)+$T44*'3 - Phase Durations'!$Z$20+$U44*'3 - Phase Durations'!$Z$21+$V44*('3 - Phase Durations'!$Z$22+'3 - Phase Durations'!$Z$23)+$W44*'3 - Phase Durations'!$Z$24)/12</f>
        <v>0</v>
      </c>
      <c r="AS44" s="189">
        <f>($Q44*'3 - Phase Durations'!$AA$16+$R44*'3 - Phase Durations'!$AA$17+$S44*('3 - Phase Durations'!$AA$18+'3 - Phase Durations'!$AA$19)+$T44*'3 - Phase Durations'!$AA$20+$U44*'3 - Phase Durations'!$AA$21+$V44*('3 - Phase Durations'!$AA$22+'3 - Phase Durations'!$AA$23)+$W44*'3 - Phase Durations'!$AA$24)/12</f>
        <v>0</v>
      </c>
      <c r="AT44" s="189">
        <f>($Q44*'3 - Phase Durations'!$AB$16+$R44*'3 - Phase Durations'!$AB$17+$S44*('3 - Phase Durations'!$AB$18+'3 - Phase Durations'!$AB$19)+$T44*'3 - Phase Durations'!$AB$20+$U44*'3 - Phase Durations'!$AB$21+$V44*('3 - Phase Durations'!$AB$22+'3 - Phase Durations'!$AB$23)+$W44*'3 - Phase Durations'!$AB$24)/12</f>
        <v>0</v>
      </c>
      <c r="AU44" s="189">
        <f>($Q44*'3 - Phase Durations'!$AC$16+$R44*'3 - Phase Durations'!$AC$17+$S44*('3 - Phase Durations'!$AC$18+'3 - Phase Durations'!$AC$19)+$T44*'3 - Phase Durations'!$AC$20+$U44*'3 - Phase Durations'!$AC$21+$V44*('3 - Phase Durations'!$AC$22+'3 - Phase Durations'!$AC$23)+$W44*'3 - Phase Durations'!$AC$24)/12</f>
        <v>0</v>
      </c>
      <c r="AV44" s="189">
        <f>($Q44*'3 - Phase Durations'!$AD$16+$R44*'3 - Phase Durations'!$AD$17+$S44*('3 - Phase Durations'!$AD$18+'3 - Phase Durations'!$AD$19)+$T44*'3 - Phase Durations'!$AD$20+$U44*'3 - Phase Durations'!$AD$21+$V44*('3 - Phase Durations'!$AD$22+'3 - Phase Durations'!$AD$23)+$W44*'3 - Phase Durations'!$AD$24)/12</f>
        <v>0</v>
      </c>
      <c r="AW44" s="189">
        <f>($Q44*'3 - Phase Durations'!$AE$16+$R44*'3 - Phase Durations'!$AE$17+$S44*('3 - Phase Durations'!$AE$18+'3 - Phase Durations'!$AE$19)+$T44*'3 - Phase Durations'!$AE$20+$U44*'3 - Phase Durations'!$AE$21+$V44*('3 - Phase Durations'!$AE$22+'3 - Phase Durations'!$AE$23)+$W44*'3 - Phase Durations'!$AE$24)/12</f>
        <v>0</v>
      </c>
      <c r="AX44" s="189">
        <f>($Q44*'3 - Phase Durations'!$AF$16+$R44*'3 - Phase Durations'!$AF$17+$S44*('3 - Phase Durations'!$AF$18+'3 - Phase Durations'!$AF$19)+$T44*'3 - Phase Durations'!$AF$20+$U44*'3 - Phase Durations'!$AF$21+$V44*('3 - Phase Durations'!$AF$22+'3 - Phase Durations'!$AF$23)+$W44*'3 - Phase Durations'!$AF$24)/12</f>
        <v>0</v>
      </c>
      <c r="AY44" s="189">
        <f>($Q44*'3 - Phase Durations'!$AG$16+$R44*'3 - Phase Durations'!$AG$17+$S44*('3 - Phase Durations'!$AG$18+'3 - Phase Durations'!$AG$19)+$T44*'3 - Phase Durations'!$AG$20+$U44*'3 - Phase Durations'!$AG$21+$V44*('3 - Phase Durations'!$AG$22+'3 - Phase Durations'!$AG$23)+$W44*'3 - Phase Durations'!$AG$24)/12</f>
        <v>0</v>
      </c>
      <c r="AZ44" s="189">
        <f>($Q44*'3 - Phase Durations'!$AH$16+$R44*'3 - Phase Durations'!$AH$17+$S44*('3 - Phase Durations'!$AH$18+'3 - Phase Durations'!$AH$19)+$T44*'3 - Phase Durations'!$AH$20+$U44*'3 - Phase Durations'!$AH$21+$V44*('3 - Phase Durations'!$AH$22+'3 - Phase Durations'!$AH$23)+$W44*'3 - Phase Durations'!$AH$24)/12</f>
        <v>0</v>
      </c>
      <c r="BA44" s="189">
        <f>($Q44*'3 - Phase Durations'!$AI$16+$R44*'3 - Phase Durations'!$AI$17+$S44*('3 - Phase Durations'!$AI$18+'3 - Phase Durations'!$AI$19)+$T44*'3 - Phase Durations'!$AI$20+$U44*'3 - Phase Durations'!$AI$21+$V44*('3 - Phase Durations'!$AI$22+'3 - Phase Durations'!$AI$23)+$W44*'3 - Phase Durations'!$AI$24)/12</f>
        <v>0</v>
      </c>
      <c r="BB44" s="189">
        <f>($Q44*'3 - Phase Durations'!$AJ$16+$R44*'3 - Phase Durations'!$AJ$17+$S44*('3 - Phase Durations'!$AJ$18+'3 - Phase Durations'!$AJ$19)+$T44*'3 - Phase Durations'!$AJ$20+$U44*'3 - Phase Durations'!$AJ$21+$V44*('3 - Phase Durations'!$AJ$22+'3 - Phase Durations'!$AJ$23)+$W44*'3 - Phase Durations'!$AJ$24)/12</f>
        <v>0</v>
      </c>
      <c r="BC44" s="189">
        <f>($Q44*'3 - Phase Durations'!$AK$16+$R44*'3 - Phase Durations'!$AK$17+$S44*('3 - Phase Durations'!$AK$18+'3 - Phase Durations'!$AK$19)+$T44*'3 - Phase Durations'!$AK$20+$U44*'3 - Phase Durations'!$AK$21+$V44*('3 - Phase Durations'!$AK$22+'3 - Phase Durations'!$AK$23)+$W44*'3 - Phase Durations'!$AK$24)/12</f>
        <v>0</v>
      </c>
      <c r="BD44" s="189">
        <f>($Q44*'3 - Phase Durations'!$AL$16+$R44*'3 - Phase Durations'!$AL$17+$S44*('3 - Phase Durations'!$AL$18+'3 - Phase Durations'!$AL$19)+$T44*'3 - Phase Durations'!$AL$20+$U44*'3 - Phase Durations'!$AL$21+$V44*('3 - Phase Durations'!$AL$22+'3 - Phase Durations'!$AL$23)+$W44*'3 - Phase Durations'!$AL$24)/12</f>
        <v>0</v>
      </c>
      <c r="BE44" s="189">
        <f>($Q44*'3 - Phase Durations'!$AM$16+$R44*'3 - Phase Durations'!$AM$17+$S44*('3 - Phase Durations'!$AM$18+'3 - Phase Durations'!$AM$19)+$T44*'3 - Phase Durations'!$AM$20+$U44*'3 - Phase Durations'!$AM$21+$V44*('3 - Phase Durations'!$AM$22+'3 - Phase Durations'!$AM$23)+$W44*'3 - Phase Durations'!$AM$24)/12</f>
        <v>0</v>
      </c>
      <c r="BF44" s="189">
        <f>($Q44*'3 - Phase Durations'!$AN$16+$R44*'3 - Phase Durations'!$AN$17+$S44*('3 - Phase Durations'!$AN$18+'3 - Phase Durations'!$AN$19)+$T44*'3 - Phase Durations'!$AN$20+$U44*'3 - Phase Durations'!$AN$21+$V44*('3 - Phase Durations'!$AN$22+'3 - Phase Durations'!$AN$23)+$W44*'3 - Phase Durations'!$AN$24)/12</f>
        <v>0</v>
      </c>
      <c r="BG44" s="189">
        <f>($Q44*'3 - Phase Durations'!$AO$16+$R44*'3 - Phase Durations'!$AO$17+$S44*('3 - Phase Durations'!$AO$18+'3 - Phase Durations'!$AO$19)+$T44*'3 - Phase Durations'!$AO$20+$U44*'3 - Phase Durations'!$AO$21+$V44*('3 - Phase Durations'!$AO$22+'3 - Phase Durations'!$AO$23)+$W44*'3 - Phase Durations'!$AO$24)/12</f>
        <v>0</v>
      </c>
      <c r="BH44" s="190">
        <f t="shared" si="0"/>
        <v>0</v>
      </c>
    </row>
    <row r="45" spans="1:60" ht="30" customHeight="1">
      <c r="A45" s="181">
        <v>28</v>
      </c>
      <c r="B45" s="182" t="s">
        <v>1032</v>
      </c>
      <c r="C45" s="182" t="s">
        <v>1157</v>
      </c>
      <c r="D45" s="182" t="s">
        <v>1145</v>
      </c>
      <c r="E45" s="182" t="s">
        <v>1158</v>
      </c>
      <c r="F45" s="183" t="s">
        <v>1159</v>
      </c>
      <c r="G45" s="184" t="s">
        <v>1147</v>
      </c>
      <c r="H45" s="184"/>
      <c r="I45" s="184"/>
      <c r="J45" s="184" t="s">
        <v>601</v>
      </c>
      <c r="K45" s="185" t="s">
        <v>601</v>
      </c>
      <c r="L45" s="185" t="s">
        <v>1155</v>
      </c>
      <c r="M45" s="185"/>
      <c r="N45" s="185" t="s">
        <v>1148</v>
      </c>
      <c r="O45" s="186" t="s">
        <v>1149</v>
      </c>
      <c r="P45" s="185" t="s">
        <v>1150</v>
      </c>
      <c r="Q45" s="187"/>
      <c r="R45" s="187"/>
      <c r="S45" s="187"/>
      <c r="T45" s="187"/>
      <c r="U45" s="187"/>
      <c r="V45" s="187"/>
      <c r="W45" s="187"/>
      <c r="X45" s="188">
        <f>IFERROR(VLOOKUP($M45,'Labour Rates lookup'!$A:$B,2,FALSE()),0)</f>
        <v>0</v>
      </c>
      <c r="Y45" s="189">
        <f>($Q45*'3 - Phase Durations'!$G$16+$R45*'3 - Phase Durations'!$G$17+$S45*('3 - Phase Durations'!$G$18+'3 - Phase Durations'!$G$19)+$T45*'3 - Phase Durations'!$G$20+$U45*'3 - Phase Durations'!$G$21+$V45*('3 - Phase Durations'!$G$22+'3 - Phase Durations'!$G$23)+$W45*'3 - Phase Durations'!$G$24)/12</f>
        <v>0</v>
      </c>
      <c r="Z45" s="189">
        <f>($Q45*'3 - Phase Durations'!$H$16+$R45*'3 - Phase Durations'!$H$17+$S45*('3 - Phase Durations'!$H$18+'3 - Phase Durations'!$H$19)+$T45*'3 - Phase Durations'!$H$20+$U45*'3 - Phase Durations'!$H$21+$V45*('3 - Phase Durations'!$H$22+'3 - Phase Durations'!$H$23)+$W45*'3 - Phase Durations'!$H$24)/12</f>
        <v>0</v>
      </c>
      <c r="AA45" s="189">
        <f>($Q45*'3 - Phase Durations'!$I$16+$R45*'3 - Phase Durations'!$I$17+$S45*('3 - Phase Durations'!$I$18+'3 - Phase Durations'!$I$19)+$T45*'3 - Phase Durations'!$I$20+$U45*'3 - Phase Durations'!$I$21+$V45*('3 - Phase Durations'!$I$22+'3 - Phase Durations'!$I$23)+$W45*'3 - Phase Durations'!$I$24)/12</f>
        <v>0</v>
      </c>
      <c r="AB45" s="189">
        <f>($Q45*'3 - Phase Durations'!$J$16+$R45*'3 - Phase Durations'!$J$17+$S45*('3 - Phase Durations'!$J$18+'3 - Phase Durations'!$J$19)+$T45*'3 - Phase Durations'!$J$20+$U45*'3 - Phase Durations'!$J$21+$V45*('3 - Phase Durations'!$J$22+'3 - Phase Durations'!$J$23)+$W45*'3 - Phase Durations'!$J$24)/12</f>
        <v>0</v>
      </c>
      <c r="AC45" s="189">
        <f>($Q45*'3 - Phase Durations'!$K$16+$R45*'3 - Phase Durations'!$K$17+$S45*('3 - Phase Durations'!$K$18+'3 - Phase Durations'!$K$19)+$T45*'3 - Phase Durations'!$K$20+$U45*'3 - Phase Durations'!$K$21+$V45*('3 - Phase Durations'!$K$22+'3 - Phase Durations'!$K$23)+$W45*'3 - Phase Durations'!$K$24)/12</f>
        <v>0</v>
      </c>
      <c r="AD45" s="189">
        <f>($Q45*'3 - Phase Durations'!$L$16+$R45*'3 - Phase Durations'!$L$17+$S45*('3 - Phase Durations'!$L$18+'3 - Phase Durations'!$L$19)+$T45*'3 - Phase Durations'!$L$20+$U45*'3 - Phase Durations'!$L$21+$V45*('3 - Phase Durations'!$L$22+'3 - Phase Durations'!$L$23)+$W45*'3 - Phase Durations'!$L$24)/12</f>
        <v>0</v>
      </c>
      <c r="AE45" s="189">
        <f>($Q45*'3 - Phase Durations'!$M$16+$R45*'3 - Phase Durations'!$M$17+$S45*('3 - Phase Durations'!$M$18+'3 - Phase Durations'!$M$19)+$T45*'3 - Phase Durations'!$M$20+$U45*'3 - Phase Durations'!$M$21+$V45*('3 - Phase Durations'!$M$22+'3 - Phase Durations'!$M$23)+$W45*'3 - Phase Durations'!$M$24)/12</f>
        <v>0</v>
      </c>
      <c r="AF45" s="189">
        <f>($Q45*'3 - Phase Durations'!$N$16+$R45*'3 - Phase Durations'!$N$17+$S45*('3 - Phase Durations'!$N$18+'3 - Phase Durations'!$N$19)+$T45*'3 - Phase Durations'!$N$20+$U45*'3 - Phase Durations'!$N$21+$V45*('3 - Phase Durations'!$N$22+'3 - Phase Durations'!$N$23)+$W45*'3 - Phase Durations'!$N$24)/12</f>
        <v>0</v>
      </c>
      <c r="AG45" s="189">
        <f>($Q45*'3 - Phase Durations'!$O$16+$R45*'3 - Phase Durations'!$O$17+$S45*('3 - Phase Durations'!$O$18+'3 - Phase Durations'!$O$19)+$T45*'3 - Phase Durations'!$O$20+$U45*'3 - Phase Durations'!$O$21+$V45*('3 - Phase Durations'!$O$22+'3 - Phase Durations'!$O$23)+$W45*'3 - Phase Durations'!$O$24)/12</f>
        <v>0</v>
      </c>
      <c r="AH45" s="189">
        <f>($Q45*'3 - Phase Durations'!$P$16+$R45*'3 - Phase Durations'!$P$17+$S45*('3 - Phase Durations'!$P$18+'3 - Phase Durations'!$P$19)+$T45*'3 - Phase Durations'!$P$20+$U45*'3 - Phase Durations'!$P$21+$V45*('3 - Phase Durations'!$P$22+'3 - Phase Durations'!$P$23)+$W45*'3 - Phase Durations'!$P$24)/12</f>
        <v>0</v>
      </c>
      <c r="AI45" s="189">
        <f>($Q45*'3 - Phase Durations'!$Q$16+$R45*'3 - Phase Durations'!$Q$17+$S45*('3 - Phase Durations'!$Q$18+'3 - Phase Durations'!$Q$19)+$T45*'3 - Phase Durations'!$Q$20+$U45*'3 - Phase Durations'!$Q$21+$V45*('3 - Phase Durations'!$Q$22+'3 - Phase Durations'!$Q$23)+$W45*'3 - Phase Durations'!$Q$24)/12</f>
        <v>0</v>
      </c>
      <c r="AJ45" s="189">
        <f>($Q45*'3 - Phase Durations'!$R$16+$R45*'3 - Phase Durations'!$R$17+$S45*('3 - Phase Durations'!$R$18+'3 - Phase Durations'!$R$19)+$T45*'3 - Phase Durations'!$R$20+$U45*'3 - Phase Durations'!$R$21+$V45*('3 - Phase Durations'!$R$22+'3 - Phase Durations'!$R$23)+$W45*'3 - Phase Durations'!$R$24)/12</f>
        <v>0</v>
      </c>
      <c r="AK45" s="189">
        <f>($Q45*'3 - Phase Durations'!$S$16+$R45*'3 - Phase Durations'!$S$17+$S45*('3 - Phase Durations'!$S$18+'3 - Phase Durations'!$S$19)+$T45*'3 - Phase Durations'!$S$20+$U45*'3 - Phase Durations'!$S$21+$V45*('3 - Phase Durations'!$S$22+'3 - Phase Durations'!$S$23)+$W45*'3 - Phase Durations'!$S$24)/12</f>
        <v>0</v>
      </c>
      <c r="AL45" s="189">
        <f>($Q45*'3 - Phase Durations'!$T$16+$R45*'3 - Phase Durations'!$T$17+$S45*('3 - Phase Durations'!$T$18+'3 - Phase Durations'!$T$19)+$T45*'3 - Phase Durations'!$T$20+$U45*'3 - Phase Durations'!$T$21+$V45*('3 - Phase Durations'!$T$22+'3 - Phase Durations'!$T$23)+$W45*'3 - Phase Durations'!$T$24)/12</f>
        <v>0</v>
      </c>
      <c r="AM45" s="189">
        <f>($Q45*'3 - Phase Durations'!$U$16+$R45*'3 - Phase Durations'!$U$17+$S45*('3 - Phase Durations'!$U$18+'3 - Phase Durations'!$U$19)+$T45*'3 - Phase Durations'!$U$20+$U45*'3 - Phase Durations'!$U$21+$V45*('3 - Phase Durations'!$U$22+'3 - Phase Durations'!$U$23)+$W45*'3 - Phase Durations'!$U$24)/12</f>
        <v>0</v>
      </c>
      <c r="AN45" s="189">
        <f>($Q45*'3 - Phase Durations'!$V$16+$R45*'3 - Phase Durations'!$V$17+$S45*('3 - Phase Durations'!$V$18+'3 - Phase Durations'!$V$19)+$T45*'3 - Phase Durations'!$V$20+$U45*'3 - Phase Durations'!$V$21+$V45*('3 - Phase Durations'!$V$22+'3 - Phase Durations'!$V$23)+$W45*'3 - Phase Durations'!$V$24)/12</f>
        <v>0</v>
      </c>
      <c r="AO45" s="189">
        <f>($Q45*'3 - Phase Durations'!$W$16+$R45*'3 - Phase Durations'!$W$17+$S45*('3 - Phase Durations'!$W$18+'3 - Phase Durations'!$W$19)+$T45*'3 - Phase Durations'!$W$20+$U45*'3 - Phase Durations'!$W$21+$V45*('3 - Phase Durations'!$W$22+'3 - Phase Durations'!$W$23)+$W45*'3 - Phase Durations'!$W$24)/12</f>
        <v>0</v>
      </c>
      <c r="AP45" s="189">
        <f>($Q45*'3 - Phase Durations'!$X$16+$R45*'3 - Phase Durations'!$X$17+$S45*('3 - Phase Durations'!$X$18+'3 - Phase Durations'!$X$19)+$T45*'3 - Phase Durations'!$X$20+$U45*'3 - Phase Durations'!$X$21+$V45*('3 - Phase Durations'!$X$22+'3 - Phase Durations'!$X$23)+$W45*'3 - Phase Durations'!$X$24)/12</f>
        <v>0</v>
      </c>
      <c r="AQ45" s="189">
        <f>($Q45*'3 - Phase Durations'!$Y$16+$R45*'3 - Phase Durations'!$Y$17+$S45*('3 - Phase Durations'!$Y$18+'3 - Phase Durations'!$Y$19)+$T45*'3 - Phase Durations'!$Y$20+$U45*'3 - Phase Durations'!$Y$21+$V45*('3 - Phase Durations'!$Y$22+'3 - Phase Durations'!$Y$23)+$W45*'3 - Phase Durations'!$Y$24)/12</f>
        <v>0</v>
      </c>
      <c r="AR45" s="189">
        <f>($Q45*'3 - Phase Durations'!$Z$16+$R45*'3 - Phase Durations'!$Z$17+$S45*('3 - Phase Durations'!$Z$18+'3 - Phase Durations'!$Z$19)+$T45*'3 - Phase Durations'!$Z$20+$U45*'3 - Phase Durations'!$Z$21+$V45*('3 - Phase Durations'!$Z$22+'3 - Phase Durations'!$Z$23)+$W45*'3 - Phase Durations'!$Z$24)/12</f>
        <v>0</v>
      </c>
      <c r="AS45" s="189">
        <f>($Q45*'3 - Phase Durations'!$AA$16+$R45*'3 - Phase Durations'!$AA$17+$S45*('3 - Phase Durations'!$AA$18+'3 - Phase Durations'!$AA$19)+$T45*'3 - Phase Durations'!$AA$20+$U45*'3 - Phase Durations'!$AA$21+$V45*('3 - Phase Durations'!$AA$22+'3 - Phase Durations'!$AA$23)+$W45*'3 - Phase Durations'!$AA$24)/12</f>
        <v>0</v>
      </c>
      <c r="AT45" s="189">
        <f>($Q45*'3 - Phase Durations'!$AB$16+$R45*'3 - Phase Durations'!$AB$17+$S45*('3 - Phase Durations'!$AB$18+'3 - Phase Durations'!$AB$19)+$T45*'3 - Phase Durations'!$AB$20+$U45*'3 - Phase Durations'!$AB$21+$V45*('3 - Phase Durations'!$AB$22+'3 - Phase Durations'!$AB$23)+$W45*'3 - Phase Durations'!$AB$24)/12</f>
        <v>0</v>
      </c>
      <c r="AU45" s="189">
        <f>($Q45*'3 - Phase Durations'!$AC$16+$R45*'3 - Phase Durations'!$AC$17+$S45*('3 - Phase Durations'!$AC$18+'3 - Phase Durations'!$AC$19)+$T45*'3 - Phase Durations'!$AC$20+$U45*'3 - Phase Durations'!$AC$21+$V45*('3 - Phase Durations'!$AC$22+'3 - Phase Durations'!$AC$23)+$W45*'3 - Phase Durations'!$AC$24)/12</f>
        <v>0</v>
      </c>
      <c r="AV45" s="189">
        <f>($Q45*'3 - Phase Durations'!$AD$16+$R45*'3 - Phase Durations'!$AD$17+$S45*('3 - Phase Durations'!$AD$18+'3 - Phase Durations'!$AD$19)+$T45*'3 - Phase Durations'!$AD$20+$U45*'3 - Phase Durations'!$AD$21+$V45*('3 - Phase Durations'!$AD$22+'3 - Phase Durations'!$AD$23)+$W45*'3 - Phase Durations'!$AD$24)/12</f>
        <v>0</v>
      </c>
      <c r="AW45" s="189">
        <f>($Q45*'3 - Phase Durations'!$AE$16+$R45*'3 - Phase Durations'!$AE$17+$S45*('3 - Phase Durations'!$AE$18+'3 - Phase Durations'!$AE$19)+$T45*'3 - Phase Durations'!$AE$20+$U45*'3 - Phase Durations'!$AE$21+$V45*('3 - Phase Durations'!$AE$22+'3 - Phase Durations'!$AE$23)+$W45*'3 - Phase Durations'!$AE$24)/12</f>
        <v>0</v>
      </c>
      <c r="AX45" s="189">
        <f>($Q45*'3 - Phase Durations'!$AF$16+$R45*'3 - Phase Durations'!$AF$17+$S45*('3 - Phase Durations'!$AF$18+'3 - Phase Durations'!$AF$19)+$T45*'3 - Phase Durations'!$AF$20+$U45*'3 - Phase Durations'!$AF$21+$V45*('3 - Phase Durations'!$AF$22+'3 - Phase Durations'!$AF$23)+$W45*'3 - Phase Durations'!$AF$24)/12</f>
        <v>0</v>
      </c>
      <c r="AY45" s="189">
        <f>($Q45*'3 - Phase Durations'!$AG$16+$R45*'3 - Phase Durations'!$AG$17+$S45*('3 - Phase Durations'!$AG$18+'3 - Phase Durations'!$AG$19)+$T45*'3 - Phase Durations'!$AG$20+$U45*'3 - Phase Durations'!$AG$21+$V45*('3 - Phase Durations'!$AG$22+'3 - Phase Durations'!$AG$23)+$W45*'3 - Phase Durations'!$AG$24)/12</f>
        <v>0</v>
      </c>
      <c r="AZ45" s="189">
        <f>($Q45*'3 - Phase Durations'!$AH$16+$R45*'3 - Phase Durations'!$AH$17+$S45*('3 - Phase Durations'!$AH$18+'3 - Phase Durations'!$AH$19)+$T45*'3 - Phase Durations'!$AH$20+$U45*'3 - Phase Durations'!$AH$21+$V45*('3 - Phase Durations'!$AH$22+'3 - Phase Durations'!$AH$23)+$W45*'3 - Phase Durations'!$AH$24)/12</f>
        <v>0</v>
      </c>
      <c r="BA45" s="189">
        <f>($Q45*'3 - Phase Durations'!$AI$16+$R45*'3 - Phase Durations'!$AI$17+$S45*('3 - Phase Durations'!$AI$18+'3 - Phase Durations'!$AI$19)+$T45*'3 - Phase Durations'!$AI$20+$U45*'3 - Phase Durations'!$AI$21+$V45*('3 - Phase Durations'!$AI$22+'3 - Phase Durations'!$AI$23)+$W45*'3 - Phase Durations'!$AI$24)/12</f>
        <v>0</v>
      </c>
      <c r="BB45" s="189">
        <f>($Q45*'3 - Phase Durations'!$AJ$16+$R45*'3 - Phase Durations'!$AJ$17+$S45*('3 - Phase Durations'!$AJ$18+'3 - Phase Durations'!$AJ$19)+$T45*'3 - Phase Durations'!$AJ$20+$U45*'3 - Phase Durations'!$AJ$21+$V45*('3 - Phase Durations'!$AJ$22+'3 - Phase Durations'!$AJ$23)+$W45*'3 - Phase Durations'!$AJ$24)/12</f>
        <v>0</v>
      </c>
      <c r="BC45" s="189">
        <f>($Q45*'3 - Phase Durations'!$AK$16+$R45*'3 - Phase Durations'!$AK$17+$S45*('3 - Phase Durations'!$AK$18+'3 - Phase Durations'!$AK$19)+$T45*'3 - Phase Durations'!$AK$20+$U45*'3 - Phase Durations'!$AK$21+$V45*('3 - Phase Durations'!$AK$22+'3 - Phase Durations'!$AK$23)+$W45*'3 - Phase Durations'!$AK$24)/12</f>
        <v>0</v>
      </c>
      <c r="BD45" s="189">
        <f>($Q45*'3 - Phase Durations'!$AL$16+$R45*'3 - Phase Durations'!$AL$17+$S45*('3 - Phase Durations'!$AL$18+'3 - Phase Durations'!$AL$19)+$T45*'3 - Phase Durations'!$AL$20+$U45*'3 - Phase Durations'!$AL$21+$V45*('3 - Phase Durations'!$AL$22+'3 - Phase Durations'!$AL$23)+$W45*'3 - Phase Durations'!$AL$24)/12</f>
        <v>0</v>
      </c>
      <c r="BE45" s="189">
        <f>($Q45*'3 - Phase Durations'!$AM$16+$R45*'3 - Phase Durations'!$AM$17+$S45*('3 - Phase Durations'!$AM$18+'3 - Phase Durations'!$AM$19)+$T45*'3 - Phase Durations'!$AM$20+$U45*'3 - Phase Durations'!$AM$21+$V45*('3 - Phase Durations'!$AM$22+'3 - Phase Durations'!$AM$23)+$W45*'3 - Phase Durations'!$AM$24)/12</f>
        <v>0</v>
      </c>
      <c r="BF45" s="189">
        <f>($Q45*'3 - Phase Durations'!$AN$16+$R45*'3 - Phase Durations'!$AN$17+$S45*('3 - Phase Durations'!$AN$18+'3 - Phase Durations'!$AN$19)+$T45*'3 - Phase Durations'!$AN$20+$U45*'3 - Phase Durations'!$AN$21+$V45*('3 - Phase Durations'!$AN$22+'3 - Phase Durations'!$AN$23)+$W45*'3 - Phase Durations'!$AN$24)/12</f>
        <v>0</v>
      </c>
      <c r="BG45" s="189">
        <f>($Q45*'3 - Phase Durations'!$AO$16+$R45*'3 - Phase Durations'!$AO$17+$S45*('3 - Phase Durations'!$AO$18+'3 - Phase Durations'!$AO$19)+$T45*'3 - Phase Durations'!$AO$20+$U45*'3 - Phase Durations'!$AO$21+$V45*('3 - Phase Durations'!$AO$22+'3 - Phase Durations'!$AO$23)+$W45*'3 - Phase Durations'!$AO$24)/12</f>
        <v>0</v>
      </c>
      <c r="BH45" s="190">
        <f t="shared" si="0"/>
        <v>0</v>
      </c>
    </row>
    <row r="46" spans="1:60" ht="30" customHeight="1">
      <c r="A46" s="181">
        <v>29</v>
      </c>
      <c r="B46" s="182" t="s">
        <v>1160</v>
      </c>
      <c r="C46" s="182" t="s">
        <v>1157</v>
      </c>
      <c r="D46" s="182" t="s">
        <v>1145</v>
      </c>
      <c r="E46" s="182" t="s">
        <v>1161</v>
      </c>
      <c r="F46" s="183" t="s">
        <v>1162</v>
      </c>
      <c r="G46" s="184" t="s">
        <v>1147</v>
      </c>
      <c r="H46" s="184"/>
      <c r="I46" s="184"/>
      <c r="J46" s="184" t="s">
        <v>601</v>
      </c>
      <c r="K46" s="185" t="s">
        <v>601</v>
      </c>
      <c r="L46" s="185" t="s">
        <v>1155</v>
      </c>
      <c r="M46" s="185"/>
      <c r="N46" s="185" t="s">
        <v>1148</v>
      </c>
      <c r="O46" s="186" t="s">
        <v>1149</v>
      </c>
      <c r="P46" s="185" t="s">
        <v>1150</v>
      </c>
      <c r="Q46" s="187"/>
      <c r="R46" s="187"/>
      <c r="S46" s="187"/>
      <c r="T46" s="187"/>
      <c r="U46" s="187"/>
      <c r="V46" s="187"/>
      <c r="W46" s="187"/>
      <c r="X46" s="188">
        <f>IFERROR(VLOOKUP($M46,'Labour Rates lookup'!$A:$B,2,FALSE()),0)</f>
        <v>0</v>
      </c>
      <c r="Y46" s="189">
        <f>($Q46*'3 - Phase Durations'!$G$16+$R46*'3 - Phase Durations'!$G$17+$S46*('3 - Phase Durations'!$G$18+'3 - Phase Durations'!$G$19)+$T46*'3 - Phase Durations'!$G$20+$U46*'3 - Phase Durations'!$G$21+$V46*('3 - Phase Durations'!$G$22+'3 - Phase Durations'!$G$23)+$W46*'3 - Phase Durations'!$G$24)/12</f>
        <v>0</v>
      </c>
      <c r="Z46" s="189">
        <f>($Q46*'3 - Phase Durations'!$H$16+$R46*'3 - Phase Durations'!$H$17+$S46*('3 - Phase Durations'!$H$18+'3 - Phase Durations'!$H$19)+$T46*'3 - Phase Durations'!$H$20+$U46*'3 - Phase Durations'!$H$21+$V46*('3 - Phase Durations'!$H$22+'3 - Phase Durations'!$H$23)+$W46*'3 - Phase Durations'!$H$24)/12</f>
        <v>0</v>
      </c>
      <c r="AA46" s="189">
        <f>($Q46*'3 - Phase Durations'!$I$16+$R46*'3 - Phase Durations'!$I$17+$S46*('3 - Phase Durations'!$I$18+'3 - Phase Durations'!$I$19)+$T46*'3 - Phase Durations'!$I$20+$U46*'3 - Phase Durations'!$I$21+$V46*('3 - Phase Durations'!$I$22+'3 - Phase Durations'!$I$23)+$W46*'3 - Phase Durations'!$I$24)/12</f>
        <v>0</v>
      </c>
      <c r="AB46" s="189">
        <f>($Q46*'3 - Phase Durations'!$J$16+$R46*'3 - Phase Durations'!$J$17+$S46*('3 - Phase Durations'!$J$18+'3 - Phase Durations'!$J$19)+$T46*'3 - Phase Durations'!$J$20+$U46*'3 - Phase Durations'!$J$21+$V46*('3 - Phase Durations'!$J$22+'3 - Phase Durations'!$J$23)+$W46*'3 - Phase Durations'!$J$24)/12</f>
        <v>0</v>
      </c>
      <c r="AC46" s="189">
        <f>($Q46*'3 - Phase Durations'!$K$16+$R46*'3 - Phase Durations'!$K$17+$S46*('3 - Phase Durations'!$K$18+'3 - Phase Durations'!$K$19)+$T46*'3 - Phase Durations'!$K$20+$U46*'3 - Phase Durations'!$K$21+$V46*('3 - Phase Durations'!$K$22+'3 - Phase Durations'!$K$23)+$W46*'3 - Phase Durations'!$K$24)/12</f>
        <v>0</v>
      </c>
      <c r="AD46" s="189">
        <f>($Q46*'3 - Phase Durations'!$L$16+$R46*'3 - Phase Durations'!$L$17+$S46*('3 - Phase Durations'!$L$18+'3 - Phase Durations'!$L$19)+$T46*'3 - Phase Durations'!$L$20+$U46*'3 - Phase Durations'!$L$21+$V46*('3 - Phase Durations'!$L$22+'3 - Phase Durations'!$L$23)+$W46*'3 - Phase Durations'!$L$24)/12</f>
        <v>0</v>
      </c>
      <c r="AE46" s="189">
        <f>($Q46*'3 - Phase Durations'!$M$16+$R46*'3 - Phase Durations'!$M$17+$S46*('3 - Phase Durations'!$M$18+'3 - Phase Durations'!$M$19)+$T46*'3 - Phase Durations'!$M$20+$U46*'3 - Phase Durations'!$M$21+$V46*('3 - Phase Durations'!$M$22+'3 - Phase Durations'!$M$23)+$W46*'3 - Phase Durations'!$M$24)/12</f>
        <v>0</v>
      </c>
      <c r="AF46" s="189">
        <f>($Q46*'3 - Phase Durations'!$N$16+$R46*'3 - Phase Durations'!$N$17+$S46*('3 - Phase Durations'!$N$18+'3 - Phase Durations'!$N$19)+$T46*'3 - Phase Durations'!$N$20+$U46*'3 - Phase Durations'!$N$21+$V46*('3 - Phase Durations'!$N$22+'3 - Phase Durations'!$N$23)+$W46*'3 - Phase Durations'!$N$24)/12</f>
        <v>0</v>
      </c>
      <c r="AG46" s="189">
        <f>($Q46*'3 - Phase Durations'!$O$16+$R46*'3 - Phase Durations'!$O$17+$S46*('3 - Phase Durations'!$O$18+'3 - Phase Durations'!$O$19)+$T46*'3 - Phase Durations'!$O$20+$U46*'3 - Phase Durations'!$O$21+$V46*('3 - Phase Durations'!$O$22+'3 - Phase Durations'!$O$23)+$W46*'3 - Phase Durations'!$O$24)/12</f>
        <v>0</v>
      </c>
      <c r="AH46" s="189">
        <f>($Q46*'3 - Phase Durations'!$P$16+$R46*'3 - Phase Durations'!$P$17+$S46*('3 - Phase Durations'!$P$18+'3 - Phase Durations'!$P$19)+$T46*'3 - Phase Durations'!$P$20+$U46*'3 - Phase Durations'!$P$21+$V46*('3 - Phase Durations'!$P$22+'3 - Phase Durations'!$P$23)+$W46*'3 - Phase Durations'!$P$24)/12</f>
        <v>0</v>
      </c>
      <c r="AI46" s="189">
        <f>($Q46*'3 - Phase Durations'!$Q$16+$R46*'3 - Phase Durations'!$Q$17+$S46*('3 - Phase Durations'!$Q$18+'3 - Phase Durations'!$Q$19)+$T46*'3 - Phase Durations'!$Q$20+$U46*'3 - Phase Durations'!$Q$21+$V46*('3 - Phase Durations'!$Q$22+'3 - Phase Durations'!$Q$23)+$W46*'3 - Phase Durations'!$Q$24)/12</f>
        <v>0</v>
      </c>
      <c r="AJ46" s="189">
        <f>($Q46*'3 - Phase Durations'!$R$16+$R46*'3 - Phase Durations'!$R$17+$S46*('3 - Phase Durations'!$R$18+'3 - Phase Durations'!$R$19)+$T46*'3 - Phase Durations'!$R$20+$U46*'3 - Phase Durations'!$R$21+$V46*('3 - Phase Durations'!$R$22+'3 - Phase Durations'!$R$23)+$W46*'3 - Phase Durations'!$R$24)/12</f>
        <v>0</v>
      </c>
      <c r="AK46" s="189">
        <f>($Q46*'3 - Phase Durations'!$S$16+$R46*'3 - Phase Durations'!$S$17+$S46*('3 - Phase Durations'!$S$18+'3 - Phase Durations'!$S$19)+$T46*'3 - Phase Durations'!$S$20+$U46*'3 - Phase Durations'!$S$21+$V46*('3 - Phase Durations'!$S$22+'3 - Phase Durations'!$S$23)+$W46*'3 - Phase Durations'!$S$24)/12</f>
        <v>0</v>
      </c>
      <c r="AL46" s="189">
        <f>($Q46*'3 - Phase Durations'!$T$16+$R46*'3 - Phase Durations'!$T$17+$S46*('3 - Phase Durations'!$T$18+'3 - Phase Durations'!$T$19)+$T46*'3 - Phase Durations'!$T$20+$U46*'3 - Phase Durations'!$T$21+$V46*('3 - Phase Durations'!$T$22+'3 - Phase Durations'!$T$23)+$W46*'3 - Phase Durations'!$T$24)/12</f>
        <v>0</v>
      </c>
      <c r="AM46" s="189">
        <f>($Q46*'3 - Phase Durations'!$U$16+$R46*'3 - Phase Durations'!$U$17+$S46*('3 - Phase Durations'!$U$18+'3 - Phase Durations'!$U$19)+$T46*'3 - Phase Durations'!$U$20+$U46*'3 - Phase Durations'!$U$21+$V46*('3 - Phase Durations'!$U$22+'3 - Phase Durations'!$U$23)+$W46*'3 - Phase Durations'!$U$24)/12</f>
        <v>0</v>
      </c>
      <c r="AN46" s="189">
        <f>($Q46*'3 - Phase Durations'!$V$16+$R46*'3 - Phase Durations'!$V$17+$S46*('3 - Phase Durations'!$V$18+'3 - Phase Durations'!$V$19)+$T46*'3 - Phase Durations'!$V$20+$U46*'3 - Phase Durations'!$V$21+$V46*('3 - Phase Durations'!$V$22+'3 - Phase Durations'!$V$23)+$W46*'3 - Phase Durations'!$V$24)/12</f>
        <v>0</v>
      </c>
      <c r="AO46" s="189">
        <f>($Q46*'3 - Phase Durations'!$W$16+$R46*'3 - Phase Durations'!$W$17+$S46*('3 - Phase Durations'!$W$18+'3 - Phase Durations'!$W$19)+$T46*'3 - Phase Durations'!$W$20+$U46*'3 - Phase Durations'!$W$21+$V46*('3 - Phase Durations'!$W$22+'3 - Phase Durations'!$W$23)+$W46*'3 - Phase Durations'!$W$24)/12</f>
        <v>0</v>
      </c>
      <c r="AP46" s="189">
        <f>($Q46*'3 - Phase Durations'!$X$16+$R46*'3 - Phase Durations'!$X$17+$S46*('3 - Phase Durations'!$X$18+'3 - Phase Durations'!$X$19)+$T46*'3 - Phase Durations'!$X$20+$U46*'3 - Phase Durations'!$X$21+$V46*('3 - Phase Durations'!$X$22+'3 - Phase Durations'!$X$23)+$W46*'3 - Phase Durations'!$X$24)/12</f>
        <v>0</v>
      </c>
      <c r="AQ46" s="189">
        <f>($Q46*'3 - Phase Durations'!$Y$16+$R46*'3 - Phase Durations'!$Y$17+$S46*('3 - Phase Durations'!$Y$18+'3 - Phase Durations'!$Y$19)+$T46*'3 - Phase Durations'!$Y$20+$U46*'3 - Phase Durations'!$Y$21+$V46*('3 - Phase Durations'!$Y$22+'3 - Phase Durations'!$Y$23)+$W46*'3 - Phase Durations'!$Y$24)/12</f>
        <v>0</v>
      </c>
      <c r="AR46" s="189">
        <f>($Q46*'3 - Phase Durations'!$Z$16+$R46*'3 - Phase Durations'!$Z$17+$S46*('3 - Phase Durations'!$Z$18+'3 - Phase Durations'!$Z$19)+$T46*'3 - Phase Durations'!$Z$20+$U46*'3 - Phase Durations'!$Z$21+$V46*('3 - Phase Durations'!$Z$22+'3 - Phase Durations'!$Z$23)+$W46*'3 - Phase Durations'!$Z$24)/12</f>
        <v>0</v>
      </c>
      <c r="AS46" s="189">
        <f>($Q46*'3 - Phase Durations'!$AA$16+$R46*'3 - Phase Durations'!$AA$17+$S46*('3 - Phase Durations'!$AA$18+'3 - Phase Durations'!$AA$19)+$T46*'3 - Phase Durations'!$AA$20+$U46*'3 - Phase Durations'!$AA$21+$V46*('3 - Phase Durations'!$AA$22+'3 - Phase Durations'!$AA$23)+$W46*'3 - Phase Durations'!$AA$24)/12</f>
        <v>0</v>
      </c>
      <c r="AT46" s="189">
        <f>($Q46*'3 - Phase Durations'!$AB$16+$R46*'3 - Phase Durations'!$AB$17+$S46*('3 - Phase Durations'!$AB$18+'3 - Phase Durations'!$AB$19)+$T46*'3 - Phase Durations'!$AB$20+$U46*'3 - Phase Durations'!$AB$21+$V46*('3 - Phase Durations'!$AB$22+'3 - Phase Durations'!$AB$23)+$W46*'3 - Phase Durations'!$AB$24)/12</f>
        <v>0</v>
      </c>
      <c r="AU46" s="189">
        <f>($Q46*'3 - Phase Durations'!$AC$16+$R46*'3 - Phase Durations'!$AC$17+$S46*('3 - Phase Durations'!$AC$18+'3 - Phase Durations'!$AC$19)+$T46*'3 - Phase Durations'!$AC$20+$U46*'3 - Phase Durations'!$AC$21+$V46*('3 - Phase Durations'!$AC$22+'3 - Phase Durations'!$AC$23)+$W46*'3 - Phase Durations'!$AC$24)/12</f>
        <v>0</v>
      </c>
      <c r="AV46" s="189">
        <f>($Q46*'3 - Phase Durations'!$AD$16+$R46*'3 - Phase Durations'!$AD$17+$S46*('3 - Phase Durations'!$AD$18+'3 - Phase Durations'!$AD$19)+$T46*'3 - Phase Durations'!$AD$20+$U46*'3 - Phase Durations'!$AD$21+$V46*('3 - Phase Durations'!$AD$22+'3 - Phase Durations'!$AD$23)+$W46*'3 - Phase Durations'!$AD$24)/12</f>
        <v>0</v>
      </c>
      <c r="AW46" s="189">
        <f>($Q46*'3 - Phase Durations'!$AE$16+$R46*'3 - Phase Durations'!$AE$17+$S46*('3 - Phase Durations'!$AE$18+'3 - Phase Durations'!$AE$19)+$T46*'3 - Phase Durations'!$AE$20+$U46*'3 - Phase Durations'!$AE$21+$V46*('3 - Phase Durations'!$AE$22+'3 - Phase Durations'!$AE$23)+$W46*'3 - Phase Durations'!$AE$24)/12</f>
        <v>0</v>
      </c>
      <c r="AX46" s="189">
        <f>($Q46*'3 - Phase Durations'!$AF$16+$R46*'3 - Phase Durations'!$AF$17+$S46*('3 - Phase Durations'!$AF$18+'3 - Phase Durations'!$AF$19)+$T46*'3 - Phase Durations'!$AF$20+$U46*'3 - Phase Durations'!$AF$21+$V46*('3 - Phase Durations'!$AF$22+'3 - Phase Durations'!$AF$23)+$W46*'3 - Phase Durations'!$AF$24)/12</f>
        <v>0</v>
      </c>
      <c r="AY46" s="189">
        <f>($Q46*'3 - Phase Durations'!$AG$16+$R46*'3 - Phase Durations'!$AG$17+$S46*('3 - Phase Durations'!$AG$18+'3 - Phase Durations'!$AG$19)+$T46*'3 - Phase Durations'!$AG$20+$U46*'3 - Phase Durations'!$AG$21+$V46*('3 - Phase Durations'!$AG$22+'3 - Phase Durations'!$AG$23)+$W46*'3 - Phase Durations'!$AG$24)/12</f>
        <v>0</v>
      </c>
      <c r="AZ46" s="189">
        <f>($Q46*'3 - Phase Durations'!$AH$16+$R46*'3 - Phase Durations'!$AH$17+$S46*('3 - Phase Durations'!$AH$18+'3 - Phase Durations'!$AH$19)+$T46*'3 - Phase Durations'!$AH$20+$U46*'3 - Phase Durations'!$AH$21+$V46*('3 - Phase Durations'!$AH$22+'3 - Phase Durations'!$AH$23)+$W46*'3 - Phase Durations'!$AH$24)/12</f>
        <v>0</v>
      </c>
      <c r="BA46" s="189">
        <f>($Q46*'3 - Phase Durations'!$AI$16+$R46*'3 - Phase Durations'!$AI$17+$S46*('3 - Phase Durations'!$AI$18+'3 - Phase Durations'!$AI$19)+$T46*'3 - Phase Durations'!$AI$20+$U46*'3 - Phase Durations'!$AI$21+$V46*('3 - Phase Durations'!$AI$22+'3 - Phase Durations'!$AI$23)+$W46*'3 - Phase Durations'!$AI$24)/12</f>
        <v>0</v>
      </c>
      <c r="BB46" s="189">
        <f>($Q46*'3 - Phase Durations'!$AJ$16+$R46*'3 - Phase Durations'!$AJ$17+$S46*('3 - Phase Durations'!$AJ$18+'3 - Phase Durations'!$AJ$19)+$T46*'3 - Phase Durations'!$AJ$20+$U46*'3 - Phase Durations'!$AJ$21+$V46*('3 - Phase Durations'!$AJ$22+'3 - Phase Durations'!$AJ$23)+$W46*'3 - Phase Durations'!$AJ$24)/12</f>
        <v>0</v>
      </c>
      <c r="BC46" s="189">
        <f>($Q46*'3 - Phase Durations'!$AK$16+$R46*'3 - Phase Durations'!$AK$17+$S46*('3 - Phase Durations'!$AK$18+'3 - Phase Durations'!$AK$19)+$T46*'3 - Phase Durations'!$AK$20+$U46*'3 - Phase Durations'!$AK$21+$V46*('3 - Phase Durations'!$AK$22+'3 - Phase Durations'!$AK$23)+$W46*'3 - Phase Durations'!$AK$24)/12</f>
        <v>0</v>
      </c>
      <c r="BD46" s="189">
        <f>($Q46*'3 - Phase Durations'!$AL$16+$R46*'3 - Phase Durations'!$AL$17+$S46*('3 - Phase Durations'!$AL$18+'3 - Phase Durations'!$AL$19)+$T46*'3 - Phase Durations'!$AL$20+$U46*'3 - Phase Durations'!$AL$21+$V46*('3 - Phase Durations'!$AL$22+'3 - Phase Durations'!$AL$23)+$W46*'3 - Phase Durations'!$AL$24)/12</f>
        <v>0</v>
      </c>
      <c r="BE46" s="189">
        <f>($Q46*'3 - Phase Durations'!$AM$16+$R46*'3 - Phase Durations'!$AM$17+$S46*('3 - Phase Durations'!$AM$18+'3 - Phase Durations'!$AM$19)+$T46*'3 - Phase Durations'!$AM$20+$U46*'3 - Phase Durations'!$AM$21+$V46*('3 - Phase Durations'!$AM$22+'3 - Phase Durations'!$AM$23)+$W46*'3 - Phase Durations'!$AM$24)/12</f>
        <v>0</v>
      </c>
      <c r="BF46" s="189">
        <f>($Q46*'3 - Phase Durations'!$AN$16+$R46*'3 - Phase Durations'!$AN$17+$S46*('3 - Phase Durations'!$AN$18+'3 - Phase Durations'!$AN$19)+$T46*'3 - Phase Durations'!$AN$20+$U46*'3 - Phase Durations'!$AN$21+$V46*('3 - Phase Durations'!$AN$22+'3 - Phase Durations'!$AN$23)+$W46*'3 - Phase Durations'!$AN$24)/12</f>
        <v>0</v>
      </c>
      <c r="BG46" s="189">
        <f>($Q46*'3 - Phase Durations'!$AO$16+$R46*'3 - Phase Durations'!$AO$17+$S46*('3 - Phase Durations'!$AO$18+'3 - Phase Durations'!$AO$19)+$T46*'3 - Phase Durations'!$AO$20+$U46*'3 - Phase Durations'!$AO$21+$V46*('3 - Phase Durations'!$AO$22+'3 - Phase Durations'!$AO$23)+$W46*'3 - Phase Durations'!$AO$24)/12</f>
        <v>0</v>
      </c>
      <c r="BH46" s="190">
        <f t="shared" si="0"/>
        <v>0</v>
      </c>
    </row>
    <row r="47" spans="1:60" ht="30" customHeight="1">
      <c r="A47" s="181">
        <v>30</v>
      </c>
      <c r="B47" s="182" t="s">
        <v>1163</v>
      </c>
      <c r="C47" s="182" t="s">
        <v>1157</v>
      </c>
      <c r="D47" s="182" t="s">
        <v>1145</v>
      </c>
      <c r="E47" s="182" t="s">
        <v>1164</v>
      </c>
      <c r="F47" s="183" t="s">
        <v>1165</v>
      </c>
      <c r="G47" s="184" t="s">
        <v>1147</v>
      </c>
      <c r="H47" s="184"/>
      <c r="I47" s="184"/>
      <c r="J47" s="184" t="s">
        <v>601</v>
      </c>
      <c r="K47" s="185" t="s">
        <v>601</v>
      </c>
      <c r="L47" s="185" t="s">
        <v>1155</v>
      </c>
      <c r="M47" s="185"/>
      <c r="N47" s="185" t="s">
        <v>1148</v>
      </c>
      <c r="O47" s="186" t="s">
        <v>1149</v>
      </c>
      <c r="P47" s="185" t="s">
        <v>1150</v>
      </c>
      <c r="Q47" s="187"/>
      <c r="R47" s="187"/>
      <c r="S47" s="187"/>
      <c r="T47" s="187"/>
      <c r="U47" s="187"/>
      <c r="V47" s="187"/>
      <c r="W47" s="187"/>
      <c r="X47" s="188">
        <f>IFERROR(VLOOKUP($M47,'Labour Rates lookup'!$A:$B,2,FALSE()),0)</f>
        <v>0</v>
      </c>
      <c r="Y47" s="189">
        <f>($Q47*'3 - Phase Durations'!$G$16+$R47*'3 - Phase Durations'!$G$17+$S47*('3 - Phase Durations'!$G$18+'3 - Phase Durations'!$G$19)+$T47*'3 - Phase Durations'!$G$20+$U47*'3 - Phase Durations'!$G$21+$V47*('3 - Phase Durations'!$G$22+'3 - Phase Durations'!$G$23)+$W47*'3 - Phase Durations'!$G$24)/12</f>
        <v>0</v>
      </c>
      <c r="Z47" s="189">
        <f>($Q47*'3 - Phase Durations'!$H$16+$R47*'3 - Phase Durations'!$H$17+$S47*('3 - Phase Durations'!$H$18+'3 - Phase Durations'!$H$19)+$T47*'3 - Phase Durations'!$H$20+$U47*'3 - Phase Durations'!$H$21+$V47*('3 - Phase Durations'!$H$22+'3 - Phase Durations'!$H$23)+$W47*'3 - Phase Durations'!$H$24)/12</f>
        <v>0</v>
      </c>
      <c r="AA47" s="189">
        <f>($Q47*'3 - Phase Durations'!$I$16+$R47*'3 - Phase Durations'!$I$17+$S47*('3 - Phase Durations'!$I$18+'3 - Phase Durations'!$I$19)+$T47*'3 - Phase Durations'!$I$20+$U47*'3 - Phase Durations'!$I$21+$V47*('3 - Phase Durations'!$I$22+'3 - Phase Durations'!$I$23)+$W47*'3 - Phase Durations'!$I$24)/12</f>
        <v>0</v>
      </c>
      <c r="AB47" s="189">
        <f>($Q47*'3 - Phase Durations'!$J$16+$R47*'3 - Phase Durations'!$J$17+$S47*('3 - Phase Durations'!$J$18+'3 - Phase Durations'!$J$19)+$T47*'3 - Phase Durations'!$J$20+$U47*'3 - Phase Durations'!$J$21+$V47*('3 - Phase Durations'!$J$22+'3 - Phase Durations'!$J$23)+$W47*'3 - Phase Durations'!$J$24)/12</f>
        <v>0</v>
      </c>
      <c r="AC47" s="189">
        <f>($Q47*'3 - Phase Durations'!$K$16+$R47*'3 - Phase Durations'!$K$17+$S47*('3 - Phase Durations'!$K$18+'3 - Phase Durations'!$K$19)+$T47*'3 - Phase Durations'!$K$20+$U47*'3 - Phase Durations'!$K$21+$V47*('3 - Phase Durations'!$K$22+'3 - Phase Durations'!$K$23)+$W47*'3 - Phase Durations'!$K$24)/12</f>
        <v>0</v>
      </c>
      <c r="AD47" s="189">
        <f>($Q47*'3 - Phase Durations'!$L$16+$R47*'3 - Phase Durations'!$L$17+$S47*('3 - Phase Durations'!$L$18+'3 - Phase Durations'!$L$19)+$T47*'3 - Phase Durations'!$L$20+$U47*'3 - Phase Durations'!$L$21+$V47*('3 - Phase Durations'!$L$22+'3 - Phase Durations'!$L$23)+$W47*'3 - Phase Durations'!$L$24)/12</f>
        <v>0</v>
      </c>
      <c r="AE47" s="189">
        <f>($Q47*'3 - Phase Durations'!$M$16+$R47*'3 - Phase Durations'!$M$17+$S47*('3 - Phase Durations'!$M$18+'3 - Phase Durations'!$M$19)+$T47*'3 - Phase Durations'!$M$20+$U47*'3 - Phase Durations'!$M$21+$V47*('3 - Phase Durations'!$M$22+'3 - Phase Durations'!$M$23)+$W47*'3 - Phase Durations'!$M$24)/12</f>
        <v>0</v>
      </c>
      <c r="AF47" s="189">
        <f>($Q47*'3 - Phase Durations'!$N$16+$R47*'3 - Phase Durations'!$N$17+$S47*('3 - Phase Durations'!$N$18+'3 - Phase Durations'!$N$19)+$T47*'3 - Phase Durations'!$N$20+$U47*'3 - Phase Durations'!$N$21+$V47*('3 - Phase Durations'!$N$22+'3 - Phase Durations'!$N$23)+$W47*'3 - Phase Durations'!$N$24)/12</f>
        <v>0</v>
      </c>
      <c r="AG47" s="189">
        <f>($Q47*'3 - Phase Durations'!$O$16+$R47*'3 - Phase Durations'!$O$17+$S47*('3 - Phase Durations'!$O$18+'3 - Phase Durations'!$O$19)+$T47*'3 - Phase Durations'!$O$20+$U47*'3 - Phase Durations'!$O$21+$V47*('3 - Phase Durations'!$O$22+'3 - Phase Durations'!$O$23)+$W47*'3 - Phase Durations'!$O$24)/12</f>
        <v>0</v>
      </c>
      <c r="AH47" s="189">
        <f>($Q47*'3 - Phase Durations'!$P$16+$R47*'3 - Phase Durations'!$P$17+$S47*('3 - Phase Durations'!$P$18+'3 - Phase Durations'!$P$19)+$T47*'3 - Phase Durations'!$P$20+$U47*'3 - Phase Durations'!$P$21+$V47*('3 - Phase Durations'!$P$22+'3 - Phase Durations'!$P$23)+$W47*'3 - Phase Durations'!$P$24)/12</f>
        <v>0</v>
      </c>
      <c r="AI47" s="189">
        <f>($Q47*'3 - Phase Durations'!$Q$16+$R47*'3 - Phase Durations'!$Q$17+$S47*('3 - Phase Durations'!$Q$18+'3 - Phase Durations'!$Q$19)+$T47*'3 - Phase Durations'!$Q$20+$U47*'3 - Phase Durations'!$Q$21+$V47*('3 - Phase Durations'!$Q$22+'3 - Phase Durations'!$Q$23)+$W47*'3 - Phase Durations'!$Q$24)/12</f>
        <v>0</v>
      </c>
      <c r="AJ47" s="189">
        <f>($Q47*'3 - Phase Durations'!$R$16+$R47*'3 - Phase Durations'!$R$17+$S47*('3 - Phase Durations'!$R$18+'3 - Phase Durations'!$R$19)+$T47*'3 - Phase Durations'!$R$20+$U47*'3 - Phase Durations'!$R$21+$V47*('3 - Phase Durations'!$R$22+'3 - Phase Durations'!$R$23)+$W47*'3 - Phase Durations'!$R$24)/12</f>
        <v>0</v>
      </c>
      <c r="AK47" s="189">
        <f>($Q47*'3 - Phase Durations'!$S$16+$R47*'3 - Phase Durations'!$S$17+$S47*('3 - Phase Durations'!$S$18+'3 - Phase Durations'!$S$19)+$T47*'3 - Phase Durations'!$S$20+$U47*'3 - Phase Durations'!$S$21+$V47*('3 - Phase Durations'!$S$22+'3 - Phase Durations'!$S$23)+$W47*'3 - Phase Durations'!$S$24)/12</f>
        <v>0</v>
      </c>
      <c r="AL47" s="189">
        <f>($Q47*'3 - Phase Durations'!$T$16+$R47*'3 - Phase Durations'!$T$17+$S47*('3 - Phase Durations'!$T$18+'3 - Phase Durations'!$T$19)+$T47*'3 - Phase Durations'!$T$20+$U47*'3 - Phase Durations'!$T$21+$V47*('3 - Phase Durations'!$T$22+'3 - Phase Durations'!$T$23)+$W47*'3 - Phase Durations'!$T$24)/12</f>
        <v>0</v>
      </c>
      <c r="AM47" s="189">
        <f>($Q47*'3 - Phase Durations'!$U$16+$R47*'3 - Phase Durations'!$U$17+$S47*('3 - Phase Durations'!$U$18+'3 - Phase Durations'!$U$19)+$T47*'3 - Phase Durations'!$U$20+$U47*'3 - Phase Durations'!$U$21+$V47*('3 - Phase Durations'!$U$22+'3 - Phase Durations'!$U$23)+$W47*'3 - Phase Durations'!$U$24)/12</f>
        <v>0</v>
      </c>
      <c r="AN47" s="189">
        <f>($Q47*'3 - Phase Durations'!$V$16+$R47*'3 - Phase Durations'!$V$17+$S47*('3 - Phase Durations'!$V$18+'3 - Phase Durations'!$V$19)+$T47*'3 - Phase Durations'!$V$20+$U47*'3 - Phase Durations'!$V$21+$V47*('3 - Phase Durations'!$V$22+'3 - Phase Durations'!$V$23)+$W47*'3 - Phase Durations'!$V$24)/12</f>
        <v>0</v>
      </c>
      <c r="AO47" s="189">
        <f>($Q47*'3 - Phase Durations'!$W$16+$R47*'3 - Phase Durations'!$W$17+$S47*('3 - Phase Durations'!$W$18+'3 - Phase Durations'!$W$19)+$T47*'3 - Phase Durations'!$W$20+$U47*'3 - Phase Durations'!$W$21+$V47*('3 - Phase Durations'!$W$22+'3 - Phase Durations'!$W$23)+$W47*'3 - Phase Durations'!$W$24)/12</f>
        <v>0</v>
      </c>
      <c r="AP47" s="189">
        <f>($Q47*'3 - Phase Durations'!$X$16+$R47*'3 - Phase Durations'!$X$17+$S47*('3 - Phase Durations'!$X$18+'3 - Phase Durations'!$X$19)+$T47*'3 - Phase Durations'!$X$20+$U47*'3 - Phase Durations'!$X$21+$V47*('3 - Phase Durations'!$X$22+'3 - Phase Durations'!$X$23)+$W47*'3 - Phase Durations'!$X$24)/12</f>
        <v>0</v>
      </c>
      <c r="AQ47" s="189">
        <f>($Q47*'3 - Phase Durations'!$Y$16+$R47*'3 - Phase Durations'!$Y$17+$S47*('3 - Phase Durations'!$Y$18+'3 - Phase Durations'!$Y$19)+$T47*'3 - Phase Durations'!$Y$20+$U47*'3 - Phase Durations'!$Y$21+$V47*('3 - Phase Durations'!$Y$22+'3 - Phase Durations'!$Y$23)+$W47*'3 - Phase Durations'!$Y$24)/12</f>
        <v>0</v>
      </c>
      <c r="AR47" s="189">
        <f>($Q47*'3 - Phase Durations'!$Z$16+$R47*'3 - Phase Durations'!$Z$17+$S47*('3 - Phase Durations'!$Z$18+'3 - Phase Durations'!$Z$19)+$T47*'3 - Phase Durations'!$Z$20+$U47*'3 - Phase Durations'!$Z$21+$V47*('3 - Phase Durations'!$Z$22+'3 - Phase Durations'!$Z$23)+$W47*'3 - Phase Durations'!$Z$24)/12</f>
        <v>0</v>
      </c>
      <c r="AS47" s="189">
        <f>($Q47*'3 - Phase Durations'!$AA$16+$R47*'3 - Phase Durations'!$AA$17+$S47*('3 - Phase Durations'!$AA$18+'3 - Phase Durations'!$AA$19)+$T47*'3 - Phase Durations'!$AA$20+$U47*'3 - Phase Durations'!$AA$21+$V47*('3 - Phase Durations'!$AA$22+'3 - Phase Durations'!$AA$23)+$W47*'3 - Phase Durations'!$AA$24)/12</f>
        <v>0</v>
      </c>
      <c r="AT47" s="189">
        <f>($Q47*'3 - Phase Durations'!$AB$16+$R47*'3 - Phase Durations'!$AB$17+$S47*('3 - Phase Durations'!$AB$18+'3 - Phase Durations'!$AB$19)+$T47*'3 - Phase Durations'!$AB$20+$U47*'3 - Phase Durations'!$AB$21+$V47*('3 - Phase Durations'!$AB$22+'3 - Phase Durations'!$AB$23)+$W47*'3 - Phase Durations'!$AB$24)/12</f>
        <v>0</v>
      </c>
      <c r="AU47" s="189">
        <f>($Q47*'3 - Phase Durations'!$AC$16+$R47*'3 - Phase Durations'!$AC$17+$S47*('3 - Phase Durations'!$AC$18+'3 - Phase Durations'!$AC$19)+$T47*'3 - Phase Durations'!$AC$20+$U47*'3 - Phase Durations'!$AC$21+$V47*('3 - Phase Durations'!$AC$22+'3 - Phase Durations'!$AC$23)+$W47*'3 - Phase Durations'!$AC$24)/12</f>
        <v>0</v>
      </c>
      <c r="AV47" s="189">
        <f>($Q47*'3 - Phase Durations'!$AD$16+$R47*'3 - Phase Durations'!$AD$17+$S47*('3 - Phase Durations'!$AD$18+'3 - Phase Durations'!$AD$19)+$T47*'3 - Phase Durations'!$AD$20+$U47*'3 - Phase Durations'!$AD$21+$V47*('3 - Phase Durations'!$AD$22+'3 - Phase Durations'!$AD$23)+$W47*'3 - Phase Durations'!$AD$24)/12</f>
        <v>0</v>
      </c>
      <c r="AW47" s="189">
        <f>($Q47*'3 - Phase Durations'!$AE$16+$R47*'3 - Phase Durations'!$AE$17+$S47*('3 - Phase Durations'!$AE$18+'3 - Phase Durations'!$AE$19)+$T47*'3 - Phase Durations'!$AE$20+$U47*'3 - Phase Durations'!$AE$21+$V47*('3 - Phase Durations'!$AE$22+'3 - Phase Durations'!$AE$23)+$W47*'3 - Phase Durations'!$AE$24)/12</f>
        <v>0</v>
      </c>
      <c r="AX47" s="189">
        <f>($Q47*'3 - Phase Durations'!$AF$16+$R47*'3 - Phase Durations'!$AF$17+$S47*('3 - Phase Durations'!$AF$18+'3 - Phase Durations'!$AF$19)+$T47*'3 - Phase Durations'!$AF$20+$U47*'3 - Phase Durations'!$AF$21+$V47*('3 - Phase Durations'!$AF$22+'3 - Phase Durations'!$AF$23)+$W47*'3 - Phase Durations'!$AF$24)/12</f>
        <v>0</v>
      </c>
      <c r="AY47" s="189">
        <f>($Q47*'3 - Phase Durations'!$AG$16+$R47*'3 - Phase Durations'!$AG$17+$S47*('3 - Phase Durations'!$AG$18+'3 - Phase Durations'!$AG$19)+$T47*'3 - Phase Durations'!$AG$20+$U47*'3 - Phase Durations'!$AG$21+$V47*('3 - Phase Durations'!$AG$22+'3 - Phase Durations'!$AG$23)+$W47*'3 - Phase Durations'!$AG$24)/12</f>
        <v>0</v>
      </c>
      <c r="AZ47" s="189">
        <f>($Q47*'3 - Phase Durations'!$AH$16+$R47*'3 - Phase Durations'!$AH$17+$S47*('3 - Phase Durations'!$AH$18+'3 - Phase Durations'!$AH$19)+$T47*'3 - Phase Durations'!$AH$20+$U47*'3 - Phase Durations'!$AH$21+$V47*('3 - Phase Durations'!$AH$22+'3 - Phase Durations'!$AH$23)+$W47*'3 - Phase Durations'!$AH$24)/12</f>
        <v>0</v>
      </c>
      <c r="BA47" s="189">
        <f>($Q47*'3 - Phase Durations'!$AI$16+$R47*'3 - Phase Durations'!$AI$17+$S47*('3 - Phase Durations'!$AI$18+'3 - Phase Durations'!$AI$19)+$T47*'3 - Phase Durations'!$AI$20+$U47*'3 - Phase Durations'!$AI$21+$V47*('3 - Phase Durations'!$AI$22+'3 - Phase Durations'!$AI$23)+$W47*'3 - Phase Durations'!$AI$24)/12</f>
        <v>0</v>
      </c>
      <c r="BB47" s="189">
        <f>($Q47*'3 - Phase Durations'!$AJ$16+$R47*'3 - Phase Durations'!$AJ$17+$S47*('3 - Phase Durations'!$AJ$18+'3 - Phase Durations'!$AJ$19)+$T47*'3 - Phase Durations'!$AJ$20+$U47*'3 - Phase Durations'!$AJ$21+$V47*('3 - Phase Durations'!$AJ$22+'3 - Phase Durations'!$AJ$23)+$W47*'3 - Phase Durations'!$AJ$24)/12</f>
        <v>0</v>
      </c>
      <c r="BC47" s="189">
        <f>($Q47*'3 - Phase Durations'!$AK$16+$R47*'3 - Phase Durations'!$AK$17+$S47*('3 - Phase Durations'!$AK$18+'3 - Phase Durations'!$AK$19)+$T47*'3 - Phase Durations'!$AK$20+$U47*'3 - Phase Durations'!$AK$21+$V47*('3 - Phase Durations'!$AK$22+'3 - Phase Durations'!$AK$23)+$W47*'3 - Phase Durations'!$AK$24)/12</f>
        <v>0</v>
      </c>
      <c r="BD47" s="189">
        <f>($Q47*'3 - Phase Durations'!$AL$16+$R47*'3 - Phase Durations'!$AL$17+$S47*('3 - Phase Durations'!$AL$18+'3 - Phase Durations'!$AL$19)+$T47*'3 - Phase Durations'!$AL$20+$U47*'3 - Phase Durations'!$AL$21+$V47*('3 - Phase Durations'!$AL$22+'3 - Phase Durations'!$AL$23)+$W47*'3 - Phase Durations'!$AL$24)/12</f>
        <v>0</v>
      </c>
      <c r="BE47" s="189">
        <f>($Q47*'3 - Phase Durations'!$AM$16+$R47*'3 - Phase Durations'!$AM$17+$S47*('3 - Phase Durations'!$AM$18+'3 - Phase Durations'!$AM$19)+$T47*'3 - Phase Durations'!$AM$20+$U47*'3 - Phase Durations'!$AM$21+$V47*('3 - Phase Durations'!$AM$22+'3 - Phase Durations'!$AM$23)+$W47*'3 - Phase Durations'!$AM$24)/12</f>
        <v>0</v>
      </c>
      <c r="BF47" s="189">
        <f>($Q47*'3 - Phase Durations'!$AN$16+$R47*'3 - Phase Durations'!$AN$17+$S47*('3 - Phase Durations'!$AN$18+'3 - Phase Durations'!$AN$19)+$T47*'3 - Phase Durations'!$AN$20+$U47*'3 - Phase Durations'!$AN$21+$V47*('3 - Phase Durations'!$AN$22+'3 - Phase Durations'!$AN$23)+$W47*'3 - Phase Durations'!$AN$24)/12</f>
        <v>0</v>
      </c>
      <c r="BG47" s="189">
        <f>($Q47*'3 - Phase Durations'!$AO$16+$R47*'3 - Phase Durations'!$AO$17+$S47*('3 - Phase Durations'!$AO$18+'3 - Phase Durations'!$AO$19)+$T47*'3 - Phase Durations'!$AO$20+$U47*'3 - Phase Durations'!$AO$21+$V47*('3 - Phase Durations'!$AO$22+'3 - Phase Durations'!$AO$23)+$W47*'3 - Phase Durations'!$AO$24)/12</f>
        <v>0</v>
      </c>
      <c r="BH47" s="190">
        <f t="shared" si="0"/>
        <v>0</v>
      </c>
    </row>
    <row r="48" spans="1:60" ht="30" customHeight="1">
      <c r="A48" s="181">
        <v>31</v>
      </c>
      <c r="B48" s="182" t="s">
        <v>142</v>
      </c>
      <c r="C48" s="182" t="s">
        <v>1157</v>
      </c>
      <c r="D48" s="182" t="s">
        <v>1145</v>
      </c>
      <c r="E48" s="182" t="s">
        <v>1166</v>
      </c>
      <c r="F48" s="183" t="s">
        <v>156</v>
      </c>
      <c r="G48" s="184" t="s">
        <v>1147</v>
      </c>
      <c r="H48" s="184"/>
      <c r="I48" s="184"/>
      <c r="J48" s="184" t="s">
        <v>601</v>
      </c>
      <c r="K48" s="185" t="s">
        <v>601</v>
      </c>
      <c r="L48" s="185" t="s">
        <v>1155</v>
      </c>
      <c r="M48" s="185"/>
      <c r="N48" s="185" t="s">
        <v>1148</v>
      </c>
      <c r="O48" s="186" t="s">
        <v>1149</v>
      </c>
      <c r="P48" s="185" t="s">
        <v>1150</v>
      </c>
      <c r="Q48" s="187"/>
      <c r="R48" s="187"/>
      <c r="S48" s="187"/>
      <c r="T48" s="187"/>
      <c r="U48" s="187"/>
      <c r="V48" s="187"/>
      <c r="W48" s="187"/>
      <c r="X48" s="188">
        <f>IFERROR(VLOOKUP($M48,'Labour Rates lookup'!$A:$B,2,FALSE()),0)</f>
        <v>0</v>
      </c>
      <c r="Y48" s="189">
        <f>($Q48*'3 - Phase Durations'!$G$16+$R48*'3 - Phase Durations'!$G$17+$S48*('3 - Phase Durations'!$G$18+'3 - Phase Durations'!$G$19)+$T48*'3 - Phase Durations'!$G$20+$U48*'3 - Phase Durations'!$G$21+$V48*('3 - Phase Durations'!$G$22+'3 - Phase Durations'!$G$23)+$W48*'3 - Phase Durations'!$G$24)/12</f>
        <v>0</v>
      </c>
      <c r="Z48" s="189">
        <f>($Q48*'3 - Phase Durations'!$H$16+$R48*'3 - Phase Durations'!$H$17+$S48*('3 - Phase Durations'!$H$18+'3 - Phase Durations'!$H$19)+$T48*'3 - Phase Durations'!$H$20+$U48*'3 - Phase Durations'!$H$21+$V48*('3 - Phase Durations'!$H$22+'3 - Phase Durations'!$H$23)+$W48*'3 - Phase Durations'!$H$24)/12</f>
        <v>0</v>
      </c>
      <c r="AA48" s="189">
        <f>($Q48*'3 - Phase Durations'!$I$16+$R48*'3 - Phase Durations'!$I$17+$S48*('3 - Phase Durations'!$I$18+'3 - Phase Durations'!$I$19)+$T48*'3 - Phase Durations'!$I$20+$U48*'3 - Phase Durations'!$I$21+$V48*('3 - Phase Durations'!$I$22+'3 - Phase Durations'!$I$23)+$W48*'3 - Phase Durations'!$I$24)/12</f>
        <v>0</v>
      </c>
      <c r="AB48" s="189">
        <f>($Q48*'3 - Phase Durations'!$J$16+$R48*'3 - Phase Durations'!$J$17+$S48*('3 - Phase Durations'!$J$18+'3 - Phase Durations'!$J$19)+$T48*'3 - Phase Durations'!$J$20+$U48*'3 - Phase Durations'!$J$21+$V48*('3 - Phase Durations'!$J$22+'3 - Phase Durations'!$J$23)+$W48*'3 - Phase Durations'!$J$24)/12</f>
        <v>0</v>
      </c>
      <c r="AC48" s="189">
        <f>($Q48*'3 - Phase Durations'!$K$16+$R48*'3 - Phase Durations'!$K$17+$S48*('3 - Phase Durations'!$K$18+'3 - Phase Durations'!$K$19)+$T48*'3 - Phase Durations'!$K$20+$U48*'3 - Phase Durations'!$K$21+$V48*('3 - Phase Durations'!$K$22+'3 - Phase Durations'!$K$23)+$W48*'3 - Phase Durations'!$K$24)/12</f>
        <v>0</v>
      </c>
      <c r="AD48" s="189">
        <f>($Q48*'3 - Phase Durations'!$L$16+$R48*'3 - Phase Durations'!$L$17+$S48*('3 - Phase Durations'!$L$18+'3 - Phase Durations'!$L$19)+$T48*'3 - Phase Durations'!$L$20+$U48*'3 - Phase Durations'!$L$21+$V48*('3 - Phase Durations'!$L$22+'3 - Phase Durations'!$L$23)+$W48*'3 - Phase Durations'!$L$24)/12</f>
        <v>0</v>
      </c>
      <c r="AE48" s="189">
        <f>($Q48*'3 - Phase Durations'!$M$16+$R48*'3 - Phase Durations'!$M$17+$S48*('3 - Phase Durations'!$M$18+'3 - Phase Durations'!$M$19)+$T48*'3 - Phase Durations'!$M$20+$U48*'3 - Phase Durations'!$M$21+$V48*('3 - Phase Durations'!$M$22+'3 - Phase Durations'!$M$23)+$W48*'3 - Phase Durations'!$M$24)/12</f>
        <v>0</v>
      </c>
      <c r="AF48" s="189">
        <f>($Q48*'3 - Phase Durations'!$N$16+$R48*'3 - Phase Durations'!$N$17+$S48*('3 - Phase Durations'!$N$18+'3 - Phase Durations'!$N$19)+$T48*'3 - Phase Durations'!$N$20+$U48*'3 - Phase Durations'!$N$21+$V48*('3 - Phase Durations'!$N$22+'3 - Phase Durations'!$N$23)+$W48*'3 - Phase Durations'!$N$24)/12</f>
        <v>0</v>
      </c>
      <c r="AG48" s="189">
        <f>($Q48*'3 - Phase Durations'!$O$16+$R48*'3 - Phase Durations'!$O$17+$S48*('3 - Phase Durations'!$O$18+'3 - Phase Durations'!$O$19)+$T48*'3 - Phase Durations'!$O$20+$U48*'3 - Phase Durations'!$O$21+$V48*('3 - Phase Durations'!$O$22+'3 - Phase Durations'!$O$23)+$W48*'3 - Phase Durations'!$O$24)/12</f>
        <v>0</v>
      </c>
      <c r="AH48" s="189">
        <f>($Q48*'3 - Phase Durations'!$P$16+$R48*'3 - Phase Durations'!$P$17+$S48*('3 - Phase Durations'!$P$18+'3 - Phase Durations'!$P$19)+$T48*'3 - Phase Durations'!$P$20+$U48*'3 - Phase Durations'!$P$21+$V48*('3 - Phase Durations'!$P$22+'3 - Phase Durations'!$P$23)+$W48*'3 - Phase Durations'!$P$24)/12</f>
        <v>0</v>
      </c>
      <c r="AI48" s="189">
        <f>($Q48*'3 - Phase Durations'!$Q$16+$R48*'3 - Phase Durations'!$Q$17+$S48*('3 - Phase Durations'!$Q$18+'3 - Phase Durations'!$Q$19)+$T48*'3 - Phase Durations'!$Q$20+$U48*'3 - Phase Durations'!$Q$21+$V48*('3 - Phase Durations'!$Q$22+'3 - Phase Durations'!$Q$23)+$W48*'3 - Phase Durations'!$Q$24)/12</f>
        <v>0</v>
      </c>
      <c r="AJ48" s="189">
        <f>($Q48*'3 - Phase Durations'!$R$16+$R48*'3 - Phase Durations'!$R$17+$S48*('3 - Phase Durations'!$R$18+'3 - Phase Durations'!$R$19)+$T48*'3 - Phase Durations'!$R$20+$U48*'3 - Phase Durations'!$R$21+$V48*('3 - Phase Durations'!$R$22+'3 - Phase Durations'!$R$23)+$W48*'3 - Phase Durations'!$R$24)/12</f>
        <v>0</v>
      </c>
      <c r="AK48" s="189">
        <f>($Q48*'3 - Phase Durations'!$S$16+$R48*'3 - Phase Durations'!$S$17+$S48*('3 - Phase Durations'!$S$18+'3 - Phase Durations'!$S$19)+$T48*'3 - Phase Durations'!$S$20+$U48*'3 - Phase Durations'!$S$21+$V48*('3 - Phase Durations'!$S$22+'3 - Phase Durations'!$S$23)+$W48*'3 - Phase Durations'!$S$24)/12</f>
        <v>0</v>
      </c>
      <c r="AL48" s="189">
        <f>($Q48*'3 - Phase Durations'!$T$16+$R48*'3 - Phase Durations'!$T$17+$S48*('3 - Phase Durations'!$T$18+'3 - Phase Durations'!$T$19)+$T48*'3 - Phase Durations'!$T$20+$U48*'3 - Phase Durations'!$T$21+$V48*('3 - Phase Durations'!$T$22+'3 - Phase Durations'!$T$23)+$W48*'3 - Phase Durations'!$T$24)/12</f>
        <v>0</v>
      </c>
      <c r="AM48" s="189">
        <f>($Q48*'3 - Phase Durations'!$U$16+$R48*'3 - Phase Durations'!$U$17+$S48*('3 - Phase Durations'!$U$18+'3 - Phase Durations'!$U$19)+$T48*'3 - Phase Durations'!$U$20+$U48*'3 - Phase Durations'!$U$21+$V48*('3 - Phase Durations'!$U$22+'3 - Phase Durations'!$U$23)+$W48*'3 - Phase Durations'!$U$24)/12</f>
        <v>0</v>
      </c>
      <c r="AN48" s="189">
        <f>($Q48*'3 - Phase Durations'!$V$16+$R48*'3 - Phase Durations'!$V$17+$S48*('3 - Phase Durations'!$V$18+'3 - Phase Durations'!$V$19)+$T48*'3 - Phase Durations'!$V$20+$U48*'3 - Phase Durations'!$V$21+$V48*('3 - Phase Durations'!$V$22+'3 - Phase Durations'!$V$23)+$W48*'3 - Phase Durations'!$V$24)/12</f>
        <v>0</v>
      </c>
      <c r="AO48" s="189">
        <f>($Q48*'3 - Phase Durations'!$W$16+$R48*'3 - Phase Durations'!$W$17+$S48*('3 - Phase Durations'!$W$18+'3 - Phase Durations'!$W$19)+$T48*'3 - Phase Durations'!$W$20+$U48*'3 - Phase Durations'!$W$21+$V48*('3 - Phase Durations'!$W$22+'3 - Phase Durations'!$W$23)+$W48*'3 - Phase Durations'!$W$24)/12</f>
        <v>0</v>
      </c>
      <c r="AP48" s="189">
        <f>($Q48*'3 - Phase Durations'!$X$16+$R48*'3 - Phase Durations'!$X$17+$S48*('3 - Phase Durations'!$X$18+'3 - Phase Durations'!$X$19)+$T48*'3 - Phase Durations'!$X$20+$U48*'3 - Phase Durations'!$X$21+$V48*('3 - Phase Durations'!$X$22+'3 - Phase Durations'!$X$23)+$W48*'3 - Phase Durations'!$X$24)/12</f>
        <v>0</v>
      </c>
      <c r="AQ48" s="189">
        <f>($Q48*'3 - Phase Durations'!$Y$16+$R48*'3 - Phase Durations'!$Y$17+$S48*('3 - Phase Durations'!$Y$18+'3 - Phase Durations'!$Y$19)+$T48*'3 - Phase Durations'!$Y$20+$U48*'3 - Phase Durations'!$Y$21+$V48*('3 - Phase Durations'!$Y$22+'3 - Phase Durations'!$Y$23)+$W48*'3 - Phase Durations'!$Y$24)/12</f>
        <v>0</v>
      </c>
      <c r="AR48" s="189">
        <f>($Q48*'3 - Phase Durations'!$Z$16+$R48*'3 - Phase Durations'!$Z$17+$S48*('3 - Phase Durations'!$Z$18+'3 - Phase Durations'!$Z$19)+$T48*'3 - Phase Durations'!$Z$20+$U48*'3 - Phase Durations'!$Z$21+$V48*('3 - Phase Durations'!$Z$22+'3 - Phase Durations'!$Z$23)+$W48*'3 - Phase Durations'!$Z$24)/12</f>
        <v>0</v>
      </c>
      <c r="AS48" s="189">
        <f>($Q48*'3 - Phase Durations'!$AA$16+$R48*'3 - Phase Durations'!$AA$17+$S48*('3 - Phase Durations'!$AA$18+'3 - Phase Durations'!$AA$19)+$T48*'3 - Phase Durations'!$AA$20+$U48*'3 - Phase Durations'!$AA$21+$V48*('3 - Phase Durations'!$AA$22+'3 - Phase Durations'!$AA$23)+$W48*'3 - Phase Durations'!$AA$24)/12</f>
        <v>0</v>
      </c>
      <c r="AT48" s="189">
        <f>($Q48*'3 - Phase Durations'!$AB$16+$R48*'3 - Phase Durations'!$AB$17+$S48*('3 - Phase Durations'!$AB$18+'3 - Phase Durations'!$AB$19)+$T48*'3 - Phase Durations'!$AB$20+$U48*'3 - Phase Durations'!$AB$21+$V48*('3 - Phase Durations'!$AB$22+'3 - Phase Durations'!$AB$23)+$W48*'3 - Phase Durations'!$AB$24)/12</f>
        <v>0</v>
      </c>
      <c r="AU48" s="189">
        <f>($Q48*'3 - Phase Durations'!$AC$16+$R48*'3 - Phase Durations'!$AC$17+$S48*('3 - Phase Durations'!$AC$18+'3 - Phase Durations'!$AC$19)+$T48*'3 - Phase Durations'!$AC$20+$U48*'3 - Phase Durations'!$AC$21+$V48*('3 - Phase Durations'!$AC$22+'3 - Phase Durations'!$AC$23)+$W48*'3 - Phase Durations'!$AC$24)/12</f>
        <v>0</v>
      </c>
      <c r="AV48" s="189">
        <f>($Q48*'3 - Phase Durations'!$AD$16+$R48*'3 - Phase Durations'!$AD$17+$S48*('3 - Phase Durations'!$AD$18+'3 - Phase Durations'!$AD$19)+$T48*'3 - Phase Durations'!$AD$20+$U48*'3 - Phase Durations'!$AD$21+$V48*('3 - Phase Durations'!$AD$22+'3 - Phase Durations'!$AD$23)+$W48*'3 - Phase Durations'!$AD$24)/12</f>
        <v>0</v>
      </c>
      <c r="AW48" s="189">
        <f>($Q48*'3 - Phase Durations'!$AE$16+$R48*'3 - Phase Durations'!$AE$17+$S48*('3 - Phase Durations'!$AE$18+'3 - Phase Durations'!$AE$19)+$T48*'3 - Phase Durations'!$AE$20+$U48*'3 - Phase Durations'!$AE$21+$V48*('3 - Phase Durations'!$AE$22+'3 - Phase Durations'!$AE$23)+$W48*'3 - Phase Durations'!$AE$24)/12</f>
        <v>0</v>
      </c>
      <c r="AX48" s="189">
        <f>($Q48*'3 - Phase Durations'!$AF$16+$R48*'3 - Phase Durations'!$AF$17+$S48*('3 - Phase Durations'!$AF$18+'3 - Phase Durations'!$AF$19)+$T48*'3 - Phase Durations'!$AF$20+$U48*'3 - Phase Durations'!$AF$21+$V48*('3 - Phase Durations'!$AF$22+'3 - Phase Durations'!$AF$23)+$W48*'3 - Phase Durations'!$AF$24)/12</f>
        <v>0</v>
      </c>
      <c r="AY48" s="189">
        <f>($Q48*'3 - Phase Durations'!$AG$16+$R48*'3 - Phase Durations'!$AG$17+$S48*('3 - Phase Durations'!$AG$18+'3 - Phase Durations'!$AG$19)+$T48*'3 - Phase Durations'!$AG$20+$U48*'3 - Phase Durations'!$AG$21+$V48*('3 - Phase Durations'!$AG$22+'3 - Phase Durations'!$AG$23)+$W48*'3 - Phase Durations'!$AG$24)/12</f>
        <v>0</v>
      </c>
      <c r="AZ48" s="189">
        <f>($Q48*'3 - Phase Durations'!$AH$16+$R48*'3 - Phase Durations'!$AH$17+$S48*('3 - Phase Durations'!$AH$18+'3 - Phase Durations'!$AH$19)+$T48*'3 - Phase Durations'!$AH$20+$U48*'3 - Phase Durations'!$AH$21+$V48*('3 - Phase Durations'!$AH$22+'3 - Phase Durations'!$AH$23)+$W48*'3 - Phase Durations'!$AH$24)/12</f>
        <v>0</v>
      </c>
      <c r="BA48" s="189">
        <f>($Q48*'3 - Phase Durations'!$AI$16+$R48*'3 - Phase Durations'!$AI$17+$S48*('3 - Phase Durations'!$AI$18+'3 - Phase Durations'!$AI$19)+$T48*'3 - Phase Durations'!$AI$20+$U48*'3 - Phase Durations'!$AI$21+$V48*('3 - Phase Durations'!$AI$22+'3 - Phase Durations'!$AI$23)+$W48*'3 - Phase Durations'!$AI$24)/12</f>
        <v>0</v>
      </c>
      <c r="BB48" s="189">
        <f>($Q48*'3 - Phase Durations'!$AJ$16+$R48*'3 - Phase Durations'!$AJ$17+$S48*('3 - Phase Durations'!$AJ$18+'3 - Phase Durations'!$AJ$19)+$T48*'3 - Phase Durations'!$AJ$20+$U48*'3 - Phase Durations'!$AJ$21+$V48*('3 - Phase Durations'!$AJ$22+'3 - Phase Durations'!$AJ$23)+$W48*'3 - Phase Durations'!$AJ$24)/12</f>
        <v>0</v>
      </c>
      <c r="BC48" s="189">
        <f>($Q48*'3 - Phase Durations'!$AK$16+$R48*'3 - Phase Durations'!$AK$17+$S48*('3 - Phase Durations'!$AK$18+'3 - Phase Durations'!$AK$19)+$T48*'3 - Phase Durations'!$AK$20+$U48*'3 - Phase Durations'!$AK$21+$V48*('3 - Phase Durations'!$AK$22+'3 - Phase Durations'!$AK$23)+$W48*'3 - Phase Durations'!$AK$24)/12</f>
        <v>0</v>
      </c>
      <c r="BD48" s="189">
        <f>($Q48*'3 - Phase Durations'!$AL$16+$R48*'3 - Phase Durations'!$AL$17+$S48*('3 - Phase Durations'!$AL$18+'3 - Phase Durations'!$AL$19)+$T48*'3 - Phase Durations'!$AL$20+$U48*'3 - Phase Durations'!$AL$21+$V48*('3 - Phase Durations'!$AL$22+'3 - Phase Durations'!$AL$23)+$W48*'3 - Phase Durations'!$AL$24)/12</f>
        <v>0</v>
      </c>
      <c r="BE48" s="189">
        <f>($Q48*'3 - Phase Durations'!$AM$16+$R48*'3 - Phase Durations'!$AM$17+$S48*('3 - Phase Durations'!$AM$18+'3 - Phase Durations'!$AM$19)+$T48*'3 - Phase Durations'!$AM$20+$U48*'3 - Phase Durations'!$AM$21+$V48*('3 - Phase Durations'!$AM$22+'3 - Phase Durations'!$AM$23)+$W48*'3 - Phase Durations'!$AM$24)/12</f>
        <v>0</v>
      </c>
      <c r="BF48" s="189">
        <f>($Q48*'3 - Phase Durations'!$AN$16+$R48*'3 - Phase Durations'!$AN$17+$S48*('3 - Phase Durations'!$AN$18+'3 - Phase Durations'!$AN$19)+$T48*'3 - Phase Durations'!$AN$20+$U48*'3 - Phase Durations'!$AN$21+$V48*('3 - Phase Durations'!$AN$22+'3 - Phase Durations'!$AN$23)+$W48*'3 - Phase Durations'!$AN$24)/12</f>
        <v>0</v>
      </c>
      <c r="BG48" s="189">
        <f>($Q48*'3 - Phase Durations'!$AO$16+$R48*'3 - Phase Durations'!$AO$17+$S48*('3 - Phase Durations'!$AO$18+'3 - Phase Durations'!$AO$19)+$T48*'3 - Phase Durations'!$AO$20+$U48*'3 - Phase Durations'!$AO$21+$V48*('3 - Phase Durations'!$AO$22+'3 - Phase Durations'!$AO$23)+$W48*'3 - Phase Durations'!$AO$24)/12</f>
        <v>0</v>
      </c>
      <c r="BH48" s="190">
        <f t="shared" si="0"/>
        <v>0</v>
      </c>
    </row>
    <row r="49" spans="6:60" ht="15" customHeight="1"/>
    <row r="50" spans="6:60" ht="15" customHeight="1">
      <c r="F50" s="191" t="s">
        <v>1167</v>
      </c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3">
        <f t="shared" ref="Q50:W50" si="1">SUM(Q18:Q48)</f>
        <v>0</v>
      </c>
      <c r="R50" s="193">
        <f t="shared" si="1"/>
        <v>10.099999999999998</v>
      </c>
      <c r="S50" s="193">
        <f t="shared" si="1"/>
        <v>7.31</v>
      </c>
      <c r="T50" s="193">
        <f t="shared" si="1"/>
        <v>7.1999999999999993</v>
      </c>
      <c r="U50" s="193">
        <f t="shared" si="1"/>
        <v>7.7099999999999982</v>
      </c>
      <c r="V50" s="193">
        <f t="shared" si="1"/>
        <v>8.5799999999999983</v>
      </c>
      <c r="W50" s="193">
        <f t="shared" si="1"/>
        <v>0</v>
      </c>
      <c r="X50" s="192"/>
      <c r="Y50" s="193">
        <f t="shared" ref="Y50:BH50" si="2">SUM(Y18:Y48)</f>
        <v>0</v>
      </c>
      <c r="Z50" s="193">
        <f t="shared" si="2"/>
        <v>0</v>
      </c>
      <c r="AA50" s="193">
        <f t="shared" si="2"/>
        <v>2.518082191780822</v>
      </c>
      <c r="AB50" s="193">
        <f t="shared" si="2"/>
        <v>10.099999999999998</v>
      </c>
      <c r="AC50" s="193">
        <f t="shared" si="2"/>
        <v>9.4120547945205466</v>
      </c>
      <c r="AD50" s="193">
        <f t="shared" si="2"/>
        <v>7.31</v>
      </c>
      <c r="AE50" s="193">
        <f t="shared" si="2"/>
        <v>7.3026027397260274</v>
      </c>
      <c r="AF50" s="193">
        <f t="shared" si="2"/>
        <v>7.1999999999999993</v>
      </c>
      <c r="AG50" s="193">
        <f t="shared" si="2"/>
        <v>7.3257534246575347</v>
      </c>
      <c r="AH50" s="193">
        <f t="shared" si="2"/>
        <v>7.7099999999999982</v>
      </c>
      <c r="AI50" s="193">
        <f t="shared" si="2"/>
        <v>7.7311232876712346</v>
      </c>
      <c r="AJ50" s="193">
        <f t="shared" si="2"/>
        <v>7.7099999999999982</v>
      </c>
      <c r="AK50" s="193">
        <f t="shared" si="2"/>
        <v>7.7099999999999982</v>
      </c>
      <c r="AL50" s="193">
        <f t="shared" si="2"/>
        <v>7.7099999999999982</v>
      </c>
      <c r="AM50" s="193">
        <f t="shared" si="2"/>
        <v>7.7311232876712346</v>
      </c>
      <c r="AN50" s="193">
        <f t="shared" si="2"/>
        <v>7.924520547945205</v>
      </c>
      <c r="AO50" s="193">
        <f t="shared" si="2"/>
        <v>8.5799999999999983</v>
      </c>
      <c r="AP50" s="193">
        <f t="shared" si="2"/>
        <v>8.5799999999999983</v>
      </c>
      <c r="AQ50" s="193">
        <f t="shared" si="2"/>
        <v>8.6035068493150693</v>
      </c>
      <c r="AR50" s="193">
        <f t="shared" si="2"/>
        <v>8.5799999999999983</v>
      </c>
      <c r="AS50" s="193">
        <f t="shared" si="2"/>
        <v>8.5799999999999983</v>
      </c>
      <c r="AT50" s="193">
        <f t="shared" si="2"/>
        <v>8.5799999999999983</v>
      </c>
      <c r="AU50" s="193">
        <f t="shared" si="2"/>
        <v>8.6035068493150693</v>
      </c>
      <c r="AV50" s="193">
        <f t="shared" si="2"/>
        <v>8.5799999999999983</v>
      </c>
      <c r="AW50" s="193">
        <f t="shared" si="2"/>
        <v>8.5799999999999983</v>
      </c>
      <c r="AX50" s="193">
        <f t="shared" si="2"/>
        <v>8.5799999999999983</v>
      </c>
      <c r="AY50" s="193">
        <f t="shared" si="2"/>
        <v>8.6035068493150693</v>
      </c>
      <c r="AZ50" s="193">
        <f t="shared" si="2"/>
        <v>8.5799999999999983</v>
      </c>
      <c r="BA50" s="193">
        <f t="shared" si="2"/>
        <v>8.5799999999999983</v>
      </c>
      <c r="BB50" s="193">
        <f t="shared" si="2"/>
        <v>8.5799999999999983</v>
      </c>
      <c r="BC50" s="193">
        <f t="shared" si="2"/>
        <v>8.6035068493150693</v>
      </c>
      <c r="BD50" s="193">
        <f t="shared" si="2"/>
        <v>8.5799999999999983</v>
      </c>
      <c r="BE50" s="193">
        <f t="shared" si="2"/>
        <v>8.5799999999999983</v>
      </c>
      <c r="BF50" s="193">
        <f t="shared" si="2"/>
        <v>8.5799999999999983</v>
      </c>
      <c r="BG50" s="193">
        <f t="shared" si="2"/>
        <v>2.1391232876712327</v>
      </c>
      <c r="BH50" s="194">
        <f t="shared" si="2"/>
        <v>262.068410958904</v>
      </c>
    </row>
    <row r="51" spans="6:60" ht="45" customHeight="1"/>
    <row r="52" spans="6:60" ht="19.5" customHeight="1">
      <c r="F52" s="250" t="s">
        <v>1168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Y52" s="195">
        <f t="shared" ref="Y52:BG52" si="3">SUMPRODUCT(Y$18:Y$48,$X$18:$X$48)</f>
        <v>0</v>
      </c>
      <c r="Z52" s="195">
        <f t="shared" si="3"/>
        <v>0</v>
      </c>
      <c r="AA52" s="195">
        <f t="shared" si="3"/>
        <v>324471.095890411</v>
      </c>
      <c r="AB52" s="195">
        <f t="shared" si="3"/>
        <v>1301450</v>
      </c>
      <c r="AC52" s="195">
        <f t="shared" si="3"/>
        <v>1206567.8082191781</v>
      </c>
      <c r="AD52" s="195">
        <f t="shared" si="3"/>
        <v>916650</v>
      </c>
      <c r="AE52" s="195">
        <f t="shared" si="3"/>
        <v>925331.91780821944</v>
      </c>
      <c r="AF52" s="195">
        <f t="shared" si="3"/>
        <v>941400</v>
      </c>
      <c r="AG52" s="195">
        <f t="shared" si="3"/>
        <v>955171.23287671222</v>
      </c>
      <c r="AH52" s="195">
        <f t="shared" si="3"/>
        <v>997250</v>
      </c>
      <c r="AI52" s="195">
        <f t="shared" si="3"/>
        <v>999982.19178082189</v>
      </c>
      <c r="AJ52" s="195">
        <f t="shared" si="3"/>
        <v>997250</v>
      </c>
      <c r="AK52" s="195">
        <f t="shared" si="3"/>
        <v>997250</v>
      </c>
      <c r="AL52" s="195">
        <f t="shared" si="3"/>
        <v>997250</v>
      </c>
      <c r="AM52" s="195">
        <f t="shared" si="3"/>
        <v>999982.19178082189</v>
      </c>
      <c r="AN52" s="195">
        <f t="shared" si="3"/>
        <v>1040013.5616438356</v>
      </c>
      <c r="AO52" s="195">
        <f t="shared" si="3"/>
        <v>1170680</v>
      </c>
      <c r="AP52" s="195">
        <f t="shared" si="3"/>
        <v>1170680</v>
      </c>
      <c r="AQ52" s="195">
        <f t="shared" si="3"/>
        <v>1173887.3424657532</v>
      </c>
      <c r="AR52" s="195">
        <f t="shared" si="3"/>
        <v>1170680</v>
      </c>
      <c r="AS52" s="195">
        <f t="shared" si="3"/>
        <v>1170680</v>
      </c>
      <c r="AT52" s="195">
        <f t="shared" si="3"/>
        <v>1170680</v>
      </c>
      <c r="AU52" s="195">
        <f t="shared" si="3"/>
        <v>1173887.3424657532</v>
      </c>
      <c r="AV52" s="195">
        <f t="shared" si="3"/>
        <v>1170680</v>
      </c>
      <c r="AW52" s="195">
        <f t="shared" si="3"/>
        <v>1170680</v>
      </c>
      <c r="AX52" s="195">
        <f t="shared" si="3"/>
        <v>1170680</v>
      </c>
      <c r="AY52" s="195">
        <f t="shared" si="3"/>
        <v>1173887.3424657532</v>
      </c>
      <c r="AZ52" s="195">
        <f t="shared" si="3"/>
        <v>1170680</v>
      </c>
      <c r="BA52" s="195">
        <f t="shared" si="3"/>
        <v>1170680</v>
      </c>
      <c r="BB52" s="195">
        <f t="shared" si="3"/>
        <v>1170680</v>
      </c>
      <c r="BC52" s="195">
        <f t="shared" si="3"/>
        <v>1173887.3424657532</v>
      </c>
      <c r="BD52" s="195">
        <f t="shared" si="3"/>
        <v>1170680</v>
      </c>
      <c r="BE52" s="195">
        <f t="shared" si="3"/>
        <v>1170680</v>
      </c>
      <c r="BF52" s="195">
        <f t="shared" si="3"/>
        <v>1170680</v>
      </c>
      <c r="BG52" s="195">
        <f t="shared" si="3"/>
        <v>291868.1643835617</v>
      </c>
      <c r="BH52" s="195">
        <f t="shared" ref="BH52:BH57" si="4">SUM(Y52:BG52)</f>
        <v>34976957.534246579</v>
      </c>
    </row>
    <row r="53" spans="6:60" ht="19.5" customHeight="1">
      <c r="F53" s="250" t="s">
        <v>1169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196">
        <v>0.27</v>
      </c>
      <c r="Y53" s="195">
        <f t="shared" ref="Y53:BG53" si="5">Y52*$X$53</f>
        <v>0</v>
      </c>
      <c r="Z53" s="195">
        <f t="shared" si="5"/>
        <v>0</v>
      </c>
      <c r="AA53" s="195">
        <f t="shared" si="5"/>
        <v>87607.195890410978</v>
      </c>
      <c r="AB53" s="195">
        <f t="shared" si="5"/>
        <v>351391.5</v>
      </c>
      <c r="AC53" s="195">
        <f t="shared" si="5"/>
        <v>325773.30821917811</v>
      </c>
      <c r="AD53" s="195">
        <f t="shared" si="5"/>
        <v>247495.50000000003</v>
      </c>
      <c r="AE53" s="195">
        <f t="shared" si="5"/>
        <v>249839.61780821928</v>
      </c>
      <c r="AF53" s="195">
        <f t="shared" si="5"/>
        <v>254178.00000000003</v>
      </c>
      <c r="AG53" s="195">
        <f t="shared" si="5"/>
        <v>257896.23287671231</v>
      </c>
      <c r="AH53" s="195">
        <f t="shared" si="5"/>
        <v>269257.5</v>
      </c>
      <c r="AI53" s="195">
        <f t="shared" si="5"/>
        <v>269995.19178082194</v>
      </c>
      <c r="AJ53" s="195">
        <f t="shared" si="5"/>
        <v>269257.5</v>
      </c>
      <c r="AK53" s="195">
        <f t="shared" si="5"/>
        <v>269257.5</v>
      </c>
      <c r="AL53" s="195">
        <f t="shared" si="5"/>
        <v>269257.5</v>
      </c>
      <c r="AM53" s="195">
        <f t="shared" si="5"/>
        <v>269995.19178082194</v>
      </c>
      <c r="AN53" s="195">
        <f t="shared" si="5"/>
        <v>280803.66164383566</v>
      </c>
      <c r="AO53" s="195">
        <f t="shared" si="5"/>
        <v>316083.60000000003</v>
      </c>
      <c r="AP53" s="195">
        <f t="shared" si="5"/>
        <v>316083.60000000003</v>
      </c>
      <c r="AQ53" s="195">
        <f t="shared" si="5"/>
        <v>316949.58246575337</v>
      </c>
      <c r="AR53" s="195">
        <f t="shared" si="5"/>
        <v>316083.60000000003</v>
      </c>
      <c r="AS53" s="195">
        <f t="shared" si="5"/>
        <v>316083.60000000003</v>
      </c>
      <c r="AT53" s="195">
        <f t="shared" si="5"/>
        <v>316083.60000000003</v>
      </c>
      <c r="AU53" s="195">
        <f t="shared" si="5"/>
        <v>316949.58246575337</v>
      </c>
      <c r="AV53" s="195">
        <f t="shared" si="5"/>
        <v>316083.60000000003</v>
      </c>
      <c r="AW53" s="195">
        <f t="shared" si="5"/>
        <v>316083.60000000003</v>
      </c>
      <c r="AX53" s="195">
        <f t="shared" si="5"/>
        <v>316083.60000000003</v>
      </c>
      <c r="AY53" s="195">
        <f t="shared" si="5"/>
        <v>316949.58246575337</v>
      </c>
      <c r="AZ53" s="195">
        <f t="shared" si="5"/>
        <v>316083.60000000003</v>
      </c>
      <c r="BA53" s="195">
        <f t="shared" si="5"/>
        <v>316083.60000000003</v>
      </c>
      <c r="BB53" s="195">
        <f t="shared" si="5"/>
        <v>316083.60000000003</v>
      </c>
      <c r="BC53" s="195">
        <f t="shared" si="5"/>
        <v>316949.58246575337</v>
      </c>
      <c r="BD53" s="195">
        <f t="shared" si="5"/>
        <v>316083.60000000003</v>
      </c>
      <c r="BE53" s="195">
        <f t="shared" si="5"/>
        <v>316083.60000000003</v>
      </c>
      <c r="BF53" s="195">
        <f t="shared" si="5"/>
        <v>316083.60000000003</v>
      </c>
      <c r="BG53" s="195">
        <f t="shared" si="5"/>
        <v>78804.404383561661</v>
      </c>
      <c r="BH53" s="195">
        <f t="shared" si="4"/>
        <v>9443778.5342465714</v>
      </c>
    </row>
    <row r="54" spans="6:60" ht="19.5" customHeight="1">
      <c r="F54" s="250" t="s">
        <v>1170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Y54" s="195">
        <f t="shared" ref="Y54:BG54" si="6">Y52+Y53</f>
        <v>0</v>
      </c>
      <c r="Z54" s="195">
        <f t="shared" si="6"/>
        <v>0</v>
      </c>
      <c r="AA54" s="195">
        <f t="shared" si="6"/>
        <v>412078.29178082198</v>
      </c>
      <c r="AB54" s="195">
        <f t="shared" si="6"/>
        <v>1652841.5</v>
      </c>
      <c r="AC54" s="195">
        <f t="shared" si="6"/>
        <v>1532341.1164383562</v>
      </c>
      <c r="AD54" s="195">
        <f t="shared" si="6"/>
        <v>1164145.5</v>
      </c>
      <c r="AE54" s="195">
        <f t="shared" si="6"/>
        <v>1175171.5356164388</v>
      </c>
      <c r="AF54" s="195">
        <f t="shared" si="6"/>
        <v>1195578</v>
      </c>
      <c r="AG54" s="195">
        <f t="shared" si="6"/>
        <v>1213067.4657534244</v>
      </c>
      <c r="AH54" s="195">
        <f t="shared" si="6"/>
        <v>1266507.5</v>
      </c>
      <c r="AI54" s="195">
        <f t="shared" si="6"/>
        <v>1269977.3835616438</v>
      </c>
      <c r="AJ54" s="195">
        <f t="shared" si="6"/>
        <v>1266507.5</v>
      </c>
      <c r="AK54" s="195">
        <f t="shared" si="6"/>
        <v>1266507.5</v>
      </c>
      <c r="AL54" s="195">
        <f t="shared" si="6"/>
        <v>1266507.5</v>
      </c>
      <c r="AM54" s="195">
        <f t="shared" si="6"/>
        <v>1269977.3835616438</v>
      </c>
      <c r="AN54" s="195">
        <f t="shared" si="6"/>
        <v>1320817.2232876713</v>
      </c>
      <c r="AO54" s="195">
        <f t="shared" si="6"/>
        <v>1486763.6</v>
      </c>
      <c r="AP54" s="195">
        <f t="shared" si="6"/>
        <v>1486763.6</v>
      </c>
      <c r="AQ54" s="195">
        <f t="shared" si="6"/>
        <v>1490836.9249315066</v>
      </c>
      <c r="AR54" s="195">
        <f t="shared" si="6"/>
        <v>1486763.6</v>
      </c>
      <c r="AS54" s="195">
        <f t="shared" si="6"/>
        <v>1486763.6</v>
      </c>
      <c r="AT54" s="195">
        <f t="shared" si="6"/>
        <v>1486763.6</v>
      </c>
      <c r="AU54" s="195">
        <f t="shared" si="6"/>
        <v>1490836.9249315066</v>
      </c>
      <c r="AV54" s="195">
        <f t="shared" si="6"/>
        <v>1486763.6</v>
      </c>
      <c r="AW54" s="195">
        <f t="shared" si="6"/>
        <v>1486763.6</v>
      </c>
      <c r="AX54" s="195">
        <f t="shared" si="6"/>
        <v>1486763.6</v>
      </c>
      <c r="AY54" s="195">
        <f t="shared" si="6"/>
        <v>1490836.9249315066</v>
      </c>
      <c r="AZ54" s="195">
        <f t="shared" si="6"/>
        <v>1486763.6</v>
      </c>
      <c r="BA54" s="195">
        <f t="shared" si="6"/>
        <v>1486763.6</v>
      </c>
      <c r="BB54" s="195">
        <f t="shared" si="6"/>
        <v>1486763.6</v>
      </c>
      <c r="BC54" s="195">
        <f t="shared" si="6"/>
        <v>1490836.9249315066</v>
      </c>
      <c r="BD54" s="195">
        <f t="shared" si="6"/>
        <v>1486763.6</v>
      </c>
      <c r="BE54" s="195">
        <f t="shared" si="6"/>
        <v>1486763.6</v>
      </c>
      <c r="BF54" s="195">
        <f t="shared" si="6"/>
        <v>1486763.6</v>
      </c>
      <c r="BG54" s="195">
        <f t="shared" si="6"/>
        <v>370672.56876712339</v>
      </c>
      <c r="BH54" s="195">
        <f t="shared" si="4"/>
        <v>44420736.068493173</v>
      </c>
    </row>
    <row r="55" spans="6:60" ht="19.5" customHeight="1">
      <c r="F55" s="250" t="s">
        <v>1171</v>
      </c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Y55" s="195">
        <f>IF(Y$17&lt;2026,Y54*VLOOKUP(Y$17,'Inflation Rate'!$A:$C,3,FALSE()),Y54)</f>
        <v>0</v>
      </c>
      <c r="Z55" s="195">
        <f>IF(Z$17&lt;2026,Z54*VLOOKUP(Z$17,'Inflation Rate'!$A:$C,3,FALSE()),Z54)</f>
        <v>0</v>
      </c>
      <c r="AA55" s="195">
        <f>IF(AA$17&lt;2026,AA54*VLOOKUP(AA$17,'Inflation Rate'!$A:$C,3,FALSE()),AA54)</f>
        <v>412078.29178082198</v>
      </c>
      <c r="AB55" s="195">
        <f>IF(AB$17&lt;2026,AB54*VLOOKUP(AB$17,'Inflation Rate'!$A:$C,3,FALSE()),AB54)</f>
        <v>1652841.5</v>
      </c>
      <c r="AC55" s="195">
        <f>IF(AC$17&lt;2026,AC54*VLOOKUP(AC$17,'Inflation Rate'!$A:$C,3,FALSE()),AC54)</f>
        <v>1532341.1164383562</v>
      </c>
      <c r="AD55" s="195">
        <f>IF(AD$17&lt;2026,AD54*VLOOKUP(AD$17,'Inflation Rate'!$A:$C,3,FALSE()),AD54)</f>
        <v>1164145.5</v>
      </c>
      <c r="AE55" s="195">
        <f>IF(AE$17&lt;2026,AE54*VLOOKUP(AE$17,'Inflation Rate'!$A:$C,3,FALSE()),AE54)</f>
        <v>1175171.5356164388</v>
      </c>
      <c r="AF55" s="195">
        <f>IF(AF$17&lt;2026,AF54*VLOOKUP(AF$17,'Inflation Rate'!$A:$C,3,FALSE()),AF54)</f>
        <v>1195578</v>
      </c>
      <c r="AG55" s="195">
        <f>IF(AG$17&lt;2026,AG54*VLOOKUP(AG$17,'Inflation Rate'!$A:$C,3,FALSE()),AG54)</f>
        <v>1213067.4657534244</v>
      </c>
      <c r="AH55" s="195">
        <f>IF(AH$17&lt;2026,AH54*VLOOKUP(AH$17,'Inflation Rate'!$A:$C,3,FALSE()),AH54)</f>
        <v>1266507.5</v>
      </c>
      <c r="AI55" s="195">
        <f>IF(AI$17&lt;2026,AI54*VLOOKUP(AI$17,'Inflation Rate'!$A:$C,3,FALSE()),AI54)</f>
        <v>1269977.3835616438</v>
      </c>
      <c r="AJ55" s="195">
        <f>IF(AJ$17&lt;2026,AJ54*VLOOKUP(AJ$17,'Inflation Rate'!$A:$C,3,FALSE()),AJ54)</f>
        <v>1266507.5</v>
      </c>
      <c r="AK55" s="195">
        <f>IF(AK$17&lt;2026,AK54*VLOOKUP(AK$17,'Inflation Rate'!$A:$C,3,FALSE()),AK54)</f>
        <v>1266507.5</v>
      </c>
      <c r="AL55" s="195">
        <f>IF(AL$17&lt;2026,AL54*VLOOKUP(AL$17,'Inflation Rate'!$A:$C,3,FALSE()),AL54)</f>
        <v>1266507.5</v>
      </c>
      <c r="AM55" s="195">
        <f>IF(AM$17&lt;2026,AM54*VLOOKUP(AM$17,'Inflation Rate'!$A:$C,3,FALSE()),AM54)</f>
        <v>1269977.3835616438</v>
      </c>
      <c r="AN55" s="195">
        <f>IF(AN$17&lt;2026,AN54*VLOOKUP(AN$17,'Inflation Rate'!$A:$C,3,FALSE()),AN54)</f>
        <v>1320817.2232876713</v>
      </c>
      <c r="AO55" s="195">
        <f>IF(AO$17&lt;2026,AO54*VLOOKUP(AO$17,'Inflation Rate'!$A:$C,3,FALSE()),AO54)</f>
        <v>1486763.6</v>
      </c>
      <c r="AP55" s="195">
        <f>IF(AP$17&lt;2026,AP54*VLOOKUP(AP$17,'Inflation Rate'!$A:$C,3,FALSE()),AP54)</f>
        <v>1486763.6</v>
      </c>
      <c r="AQ55" s="195">
        <f>IF(AQ$17&lt;2026,AQ54*VLOOKUP(AQ$17,'Inflation Rate'!$A:$C,3,FALSE()),AQ54)</f>
        <v>1490836.9249315066</v>
      </c>
      <c r="AR55" s="195">
        <f>IF(AR$17&lt;2026,AR54*VLOOKUP(AR$17,'Inflation Rate'!$A:$C,3,FALSE()),AR54)</f>
        <v>1486763.6</v>
      </c>
      <c r="AS55" s="195">
        <f>IF(AS$17&lt;2026,AS54*VLOOKUP(AS$17,'Inflation Rate'!$A:$C,3,FALSE()),AS54)</f>
        <v>1486763.6</v>
      </c>
      <c r="AT55" s="195">
        <f>IF(AT$17&lt;2026,AT54*VLOOKUP(AT$17,'Inflation Rate'!$A:$C,3,FALSE()),AT54)</f>
        <v>1486763.6</v>
      </c>
      <c r="AU55" s="195">
        <f>IF(AU$17&lt;2026,AU54*VLOOKUP(AU$17,'Inflation Rate'!$A:$C,3,FALSE()),AU54)</f>
        <v>1490836.9249315066</v>
      </c>
      <c r="AV55" s="195">
        <f>IF(AV$17&lt;2026,AV54*VLOOKUP(AV$17,'Inflation Rate'!$A:$C,3,FALSE()),AV54)</f>
        <v>1486763.6</v>
      </c>
      <c r="AW55" s="195">
        <f>IF(AW$17&lt;2026,AW54*VLOOKUP(AW$17,'Inflation Rate'!$A:$C,3,FALSE()),AW54)</f>
        <v>1486763.6</v>
      </c>
      <c r="AX55" s="195">
        <f>IF(AX$17&lt;2026,AX54*VLOOKUP(AX$17,'Inflation Rate'!$A:$C,3,FALSE()),AX54)</f>
        <v>1486763.6</v>
      </c>
      <c r="AY55" s="195">
        <f>IF(AY$17&lt;2026,AY54*VLOOKUP(AY$17,'Inflation Rate'!$A:$C,3,FALSE()),AY54)</f>
        <v>1490836.9249315066</v>
      </c>
      <c r="AZ55" s="195">
        <f>IF(AZ$17&lt;2026,AZ54*VLOOKUP(AZ$17,'Inflation Rate'!$A:$C,3,FALSE()),AZ54)</f>
        <v>1486763.6</v>
      </c>
      <c r="BA55" s="195">
        <f>IF(BA$17&lt;2026,BA54*VLOOKUP(BA$17,'Inflation Rate'!$A:$C,3,FALSE()),BA54)</f>
        <v>1486763.6</v>
      </c>
      <c r="BB55" s="195">
        <f>IF(BB$17&lt;2026,BB54*VLOOKUP(BB$17,'Inflation Rate'!$A:$C,3,FALSE()),BB54)</f>
        <v>1486763.6</v>
      </c>
      <c r="BC55" s="195">
        <f>IF(BC$17&lt;2026,BC54*VLOOKUP(BC$17,'Inflation Rate'!$A:$C,3,FALSE()),BC54)</f>
        <v>1490836.9249315066</v>
      </c>
      <c r="BD55" s="195">
        <f>IF(BD$17&lt;2026,BD54*VLOOKUP(BD$17,'Inflation Rate'!$A:$C,3,FALSE()),BD54)</f>
        <v>1486763.6</v>
      </c>
      <c r="BE55" s="195">
        <f>IF(BE$17&lt;2026,BE54*VLOOKUP(BE$17,'Inflation Rate'!$A:$C,3,FALSE()),BE54)</f>
        <v>1486763.6</v>
      </c>
      <c r="BF55" s="195">
        <f>IF(BF$17&lt;2026,BF54*VLOOKUP(BF$17,'Inflation Rate'!$A:$C,3,FALSE()),BF54)</f>
        <v>1486763.6</v>
      </c>
      <c r="BG55" s="195">
        <f>IF(BG$17&lt;2026,BG54*VLOOKUP(BG$17,'Inflation Rate'!$A:$C,3,FALSE()),BG54)</f>
        <v>370672.56876712339</v>
      </c>
      <c r="BH55" s="195">
        <f t="shared" si="4"/>
        <v>44420736.068493173</v>
      </c>
    </row>
    <row r="56" spans="6:60" ht="19.5" customHeight="1">
      <c r="F56" s="250" t="s">
        <v>1172</v>
      </c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Y56" s="195">
        <f>IF(Y$17&gt;=2026,Y55*VLOOKUP(Y$17,'Inflation Rate'!$A:$D,4,FALSE()),Y55)</f>
        <v>0</v>
      </c>
      <c r="Z56" s="195">
        <f>IF(Z$17&gt;=2026,Z55*VLOOKUP(Z$17,'Inflation Rate'!$A:$D,4,FALSE()),Z55)</f>
        <v>0</v>
      </c>
      <c r="AA56" s="195">
        <f>IF(AA$17&gt;=2026,AA55*VLOOKUP(AA$17,'Inflation Rate'!$A:$D,4,FALSE()),AA55)</f>
        <v>432939.75530222605</v>
      </c>
      <c r="AB56" s="195">
        <f>IF(AB$17&gt;=2026,AB55*VLOOKUP(AB$17,'Inflation Rate'!$A:$D,4,FALSE()),AB55)</f>
        <v>1779929.5159609374</v>
      </c>
      <c r="AC56" s="195">
        <f>IF(AC$17&gt;=2026,AC55*VLOOKUP(AC$17,'Inflation Rate'!$A:$D,4,FALSE()),AC55)</f>
        <v>1691417.8771593613</v>
      </c>
      <c r="AD56" s="195">
        <f>IF(AD$17&gt;=2026,AD55*VLOOKUP(AD$17,'Inflation Rate'!$A:$D,4,FALSE()),AD55)</f>
        <v>1317123.7796996627</v>
      </c>
      <c r="AE56" s="195">
        <f>IF(AE$17&gt;=2026,AE55*VLOOKUP(AE$17,'Inflation Rate'!$A:$D,4,FALSE()),AE55)</f>
        <v>1362838.6951255191</v>
      </c>
      <c r="AF56" s="195">
        <f>IF(AF$17&gt;=2026,AF55*VLOOKUP(AF$17,'Inflation Rate'!$A:$D,4,FALSE()),AF55)</f>
        <v>1421166.535999134</v>
      </c>
      <c r="AG56" s="195">
        <f>IF(AG$17&gt;=2026,AG55*VLOOKUP(AG$17,'Inflation Rate'!$A:$D,4,FALSE()),AG55)</f>
        <v>1478004.9151489849</v>
      </c>
      <c r="AH56" s="195">
        <f>IF(AH$17&gt;=2026,AH55*VLOOKUP(AH$17,'Inflation Rate'!$A:$D,4,FALSE()),AH55)</f>
        <v>1581694.3179109925</v>
      </c>
      <c r="AI56" s="195">
        <f>IF(AI$17&gt;=2026,AI55*VLOOKUP(AI$17,'Inflation Rate'!$A:$D,4,FALSE()),AI55)</f>
        <v>1625678.4201761885</v>
      </c>
      <c r="AJ56" s="195">
        <f>IF(AJ$17&gt;=2026,AJ55*VLOOKUP(AJ$17,'Inflation Rate'!$A:$D,4,FALSE()),AJ55)</f>
        <v>1661767.5927552364</v>
      </c>
      <c r="AK56" s="195">
        <f>IF(AK$17&gt;=2026,AK55*VLOOKUP(AK$17,'Inflation Rate'!$A:$D,4,FALSE()),AK55)</f>
        <v>1703311.7825741172</v>
      </c>
      <c r="AL56" s="195">
        <f>IF(AL$17&gt;=2026,AL55*VLOOKUP(AL$17,'Inflation Rate'!$A:$D,4,FALSE()),AL55)</f>
        <v>1745894.57713847</v>
      </c>
      <c r="AM56" s="195">
        <f>IF(AM$17&gt;=2026,AM55*VLOOKUP(AM$17,'Inflation Rate'!$A:$D,4,FALSE()),AM55)</f>
        <v>1794444.7962013613</v>
      </c>
      <c r="AN56" s="195">
        <f>IF(AN$17&gt;=2026,AN55*VLOOKUP(AN$17,'Inflation Rate'!$A:$D,4,FALSE()),AN55)</f>
        <v>1912937.1627666587</v>
      </c>
      <c r="AO56" s="195">
        <f>IF(AO$17&gt;=2026,AO55*VLOOKUP(AO$17,'Inflation Rate'!$A:$D,4,FALSE()),AO55)</f>
        <v>2207108.9207935319</v>
      </c>
      <c r="AP56" s="195">
        <f>IF(AP$17&gt;=2026,AP55*VLOOKUP(AP$17,'Inflation Rate'!$A:$D,4,FALSE()),AP55)</f>
        <v>2262286.6438133703</v>
      </c>
      <c r="AQ56" s="195">
        <f>IF(AQ$17&gt;=2026,AQ55*VLOOKUP(AQ$17,'Inflation Rate'!$A:$D,4,FALSE()),AQ55)</f>
        <v>2325196.8066481794</v>
      </c>
      <c r="AR56" s="195">
        <f>IF(AR$17&gt;=2026,AR55*VLOOKUP(AR$17,'Inflation Rate'!$A:$D,4,FALSE()),AR55)</f>
        <v>2376814.9051564215</v>
      </c>
      <c r="AS56" s="195">
        <f>IF(AS$17&gt;=2026,AS55*VLOOKUP(AS$17,'Inflation Rate'!$A:$D,4,FALSE()),AS55)</f>
        <v>2436235.2777853315</v>
      </c>
      <c r="AT56" s="195">
        <f>IF(AT$17&gt;=2026,AT55*VLOOKUP(AT$17,'Inflation Rate'!$A:$D,4,FALSE()),AT55)</f>
        <v>2497141.1597299646</v>
      </c>
      <c r="AU56" s="195">
        <f>IF(AU$17&gt;=2026,AU55*VLOOKUP(AU$17,'Inflation Rate'!$A:$D,4,FALSE()),AU55)</f>
        <v>2566582.2084183451</v>
      </c>
      <c r="AV56" s="195">
        <f>IF(AV$17&gt;=2026,AV55*VLOOKUP(AV$17,'Inflation Rate'!$A:$D,4,FALSE()),AV55)</f>
        <v>2623558.9309412935</v>
      </c>
      <c r="AW56" s="195">
        <f>IF(AW$17&gt;=2026,AW55*VLOOKUP(AW$17,'Inflation Rate'!$A:$D,4,FALSE()),AW55)</f>
        <v>2689147.9042148259</v>
      </c>
      <c r="AX56" s="195">
        <f>IF(AX$17&gt;=2026,AX55*VLOOKUP(AX$17,'Inflation Rate'!$A:$D,4,FALSE()),AX55)</f>
        <v>2756376.601820196</v>
      </c>
      <c r="AY56" s="195">
        <f>IF(AY$17&gt;=2026,AY55*VLOOKUP(AY$17,'Inflation Rate'!$A:$D,4,FALSE()),AY55)</f>
        <v>2833026.5265009487</v>
      </c>
      <c r="AZ56" s="195">
        <f>IF(AZ$17&gt;=2026,AZ55*VLOOKUP(AZ$17,'Inflation Rate'!$A:$D,4,FALSE()),AZ55)</f>
        <v>2895918.1672873432</v>
      </c>
      <c r="BA56" s="195">
        <f>IF(BA$17&gt;=2026,BA55*VLOOKUP(BA$17,'Inflation Rate'!$A:$D,4,FALSE()),BA55)</f>
        <v>2968316.1214695266</v>
      </c>
      <c r="BB56" s="195">
        <f>IF(BB$17&gt;=2026,BB55*VLOOKUP(BB$17,'Inflation Rate'!$A:$D,4,FALSE()),BB55)</f>
        <v>3042524.0245062644</v>
      </c>
      <c r="BC56" s="195">
        <f>IF(BC$17&gt;=2026,BC55*VLOOKUP(BC$17,'Inflation Rate'!$A:$D,4,FALSE()),BC55)</f>
        <v>3127131.1994343144</v>
      </c>
      <c r="BD56" s="195">
        <f>IF(BD$17&gt;=2026,BD55*VLOOKUP(BD$17,'Inflation Rate'!$A:$D,4,FALSE()),BD55)</f>
        <v>3196551.8032468935</v>
      </c>
      <c r="BE56" s="195">
        <f>IF(BE$17&gt;=2026,BE55*VLOOKUP(BE$17,'Inflation Rate'!$A:$D,4,FALSE()),BE55)</f>
        <v>3276465.5983280651</v>
      </c>
      <c r="BF56" s="195">
        <f>IF(BF$17&gt;=2026,BF55*VLOOKUP(BF$17,'Inflation Rate'!$A:$D,4,FALSE()),BF55)</f>
        <v>3358377.2382862666</v>
      </c>
      <c r="BG56" s="195">
        <f>IF(BG$17&gt;=2026,BG55*VLOOKUP(BG$17,'Inflation Rate'!$A:$D,4,FALSE()),BG55)</f>
        <v>858226.40246890835</v>
      </c>
      <c r="BH56" s="195">
        <f t="shared" si="4"/>
        <v>71806136.164768845</v>
      </c>
    </row>
    <row r="57" spans="6:60" ht="19.5" customHeight="1">
      <c r="F57" s="251" t="s">
        <v>1173</v>
      </c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Y57" s="197">
        <f t="shared" ref="Y57:BG57" si="7">Y56</f>
        <v>0</v>
      </c>
      <c r="Z57" s="197">
        <f t="shared" si="7"/>
        <v>0</v>
      </c>
      <c r="AA57" s="197">
        <f t="shared" si="7"/>
        <v>432939.75530222605</v>
      </c>
      <c r="AB57" s="197">
        <f t="shared" si="7"/>
        <v>1779929.5159609374</v>
      </c>
      <c r="AC57" s="197">
        <f t="shared" si="7"/>
        <v>1691417.8771593613</v>
      </c>
      <c r="AD57" s="197">
        <f t="shared" si="7"/>
        <v>1317123.7796996627</v>
      </c>
      <c r="AE57" s="197">
        <f t="shared" si="7"/>
        <v>1362838.6951255191</v>
      </c>
      <c r="AF57" s="197">
        <f t="shared" si="7"/>
        <v>1421166.535999134</v>
      </c>
      <c r="AG57" s="197">
        <f t="shared" si="7"/>
        <v>1478004.9151489849</v>
      </c>
      <c r="AH57" s="197">
        <f t="shared" si="7"/>
        <v>1581694.3179109925</v>
      </c>
      <c r="AI57" s="197">
        <f t="shared" si="7"/>
        <v>1625678.4201761885</v>
      </c>
      <c r="AJ57" s="197">
        <f t="shared" si="7"/>
        <v>1661767.5927552364</v>
      </c>
      <c r="AK57" s="197">
        <f t="shared" si="7"/>
        <v>1703311.7825741172</v>
      </c>
      <c r="AL57" s="197">
        <f t="shared" si="7"/>
        <v>1745894.57713847</v>
      </c>
      <c r="AM57" s="197">
        <f t="shared" si="7"/>
        <v>1794444.7962013613</v>
      </c>
      <c r="AN57" s="197">
        <f t="shared" si="7"/>
        <v>1912937.1627666587</v>
      </c>
      <c r="AO57" s="197">
        <f t="shared" si="7"/>
        <v>2207108.9207935319</v>
      </c>
      <c r="AP57" s="197">
        <f t="shared" si="7"/>
        <v>2262286.6438133703</v>
      </c>
      <c r="AQ57" s="197">
        <f t="shared" si="7"/>
        <v>2325196.8066481794</v>
      </c>
      <c r="AR57" s="197">
        <f t="shared" si="7"/>
        <v>2376814.9051564215</v>
      </c>
      <c r="AS57" s="197">
        <f t="shared" si="7"/>
        <v>2436235.2777853315</v>
      </c>
      <c r="AT57" s="197">
        <f t="shared" si="7"/>
        <v>2497141.1597299646</v>
      </c>
      <c r="AU57" s="197">
        <f t="shared" si="7"/>
        <v>2566582.2084183451</v>
      </c>
      <c r="AV57" s="197">
        <f t="shared" si="7"/>
        <v>2623558.9309412935</v>
      </c>
      <c r="AW57" s="197">
        <f t="shared" si="7"/>
        <v>2689147.9042148259</v>
      </c>
      <c r="AX57" s="197">
        <f t="shared" si="7"/>
        <v>2756376.601820196</v>
      </c>
      <c r="AY57" s="197">
        <f t="shared" si="7"/>
        <v>2833026.5265009487</v>
      </c>
      <c r="AZ57" s="197">
        <f t="shared" si="7"/>
        <v>2895918.1672873432</v>
      </c>
      <c r="BA57" s="197">
        <f t="shared" si="7"/>
        <v>2968316.1214695266</v>
      </c>
      <c r="BB57" s="197">
        <f t="shared" si="7"/>
        <v>3042524.0245062644</v>
      </c>
      <c r="BC57" s="197">
        <f t="shared" si="7"/>
        <v>3127131.1994343144</v>
      </c>
      <c r="BD57" s="197">
        <f t="shared" si="7"/>
        <v>3196551.8032468935</v>
      </c>
      <c r="BE57" s="197">
        <f t="shared" si="7"/>
        <v>3276465.5983280651</v>
      </c>
      <c r="BF57" s="197">
        <f t="shared" si="7"/>
        <v>3358377.2382862666</v>
      </c>
      <c r="BG57" s="197">
        <f t="shared" si="7"/>
        <v>858226.40246890835</v>
      </c>
      <c r="BH57" s="197">
        <f t="shared" si="4"/>
        <v>71806136.164768845</v>
      </c>
    </row>
    <row r="59" spans="6:60" ht="15" customHeight="1">
      <c r="F59" s="198" t="s">
        <v>1174</v>
      </c>
    </row>
    <row r="60" spans="6:60" ht="15" customHeight="1"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</row>
    <row r="61" spans="6:60" ht="15" customHeight="1"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</row>
    <row r="62" spans="6:60" ht="15" customHeight="1"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</row>
    <row r="64" spans="6:60" ht="30" customHeight="1">
      <c r="F64" s="253" t="s">
        <v>1175</v>
      </c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</row>
    <row r="65" spans="6:23" ht="15" customHeight="1"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</row>
  </sheetData>
  <mergeCells count="9">
    <mergeCell ref="F56:W56"/>
    <mergeCell ref="F57:W57"/>
    <mergeCell ref="F60:W62"/>
    <mergeCell ref="F64:W65"/>
    <mergeCell ref="B5:W7"/>
    <mergeCell ref="F52:W52"/>
    <mergeCell ref="F53:W53"/>
    <mergeCell ref="F54:W54"/>
    <mergeCell ref="F55:W55"/>
  </mergeCells>
  <conditionalFormatting sqref="Q18:W44">
    <cfRule type="colorScale" priority="2">
      <colorScale>
        <cfvo type="min"/>
        <cfvo type="num" val="0.5"/>
        <cfvo type="max"/>
        <color rgb="FFFFFFFF"/>
        <color rgb="FFFFE699"/>
        <color rgb="FF70AD47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'Raw Labour Rates'!$A$5:$A$19</xm:f>
          </x14:formula1>
          <x14:formula2>
            <xm:f>0</xm:f>
          </x14:formula2>
          <xm:sqref>M18:M42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5"/>
  <sheetViews>
    <sheetView zoomScale="90" zoomScaleNormal="90" workbookViewId="0"/>
  </sheetViews>
  <sheetFormatPr defaultColWidth="8.7109375" defaultRowHeight="15"/>
  <cols>
    <col min="1" max="1" width="3" customWidth="1"/>
    <col min="2" max="2" width="6.42578125" customWidth="1"/>
    <col min="3" max="3" width="9" customWidth="1"/>
    <col min="4" max="4" width="24" customWidth="1"/>
    <col min="5" max="5" width="22" customWidth="1"/>
    <col min="6" max="6" width="27.42578125" customWidth="1"/>
    <col min="7" max="7" width="13.7109375" customWidth="1"/>
    <col min="8" max="8" width="38" customWidth="1"/>
    <col min="9" max="10" width="30" customWidth="1"/>
    <col min="11" max="11" width="11.42578125" customWidth="1"/>
    <col min="12" max="12" width="13" customWidth="1"/>
    <col min="13" max="13" width="38" customWidth="1"/>
    <col min="14" max="17" width="14" customWidth="1"/>
    <col min="18" max="19" width="12" customWidth="1"/>
    <col min="20" max="21" width="34" customWidth="1"/>
  </cols>
  <sheetData>
    <row r="1" spans="1:21" ht="15" customHeight="1">
      <c r="A1" s="199" t="s">
        <v>25</v>
      </c>
    </row>
    <row r="3" spans="1:21" ht="28.5" customHeight="1">
      <c r="A3" s="200" t="s">
        <v>1176</v>
      </c>
    </row>
    <row r="4" spans="1:21" ht="15" customHeight="1">
      <c r="A4" t="s">
        <v>61</v>
      </c>
    </row>
    <row r="5" spans="1:21" ht="15" customHeight="1">
      <c r="B5" t="s">
        <v>1177</v>
      </c>
    </row>
    <row r="6" spans="1:21" ht="15" customHeight="1">
      <c r="B6" s="163" t="s">
        <v>1178</v>
      </c>
    </row>
    <row r="8" spans="1:21" ht="42" customHeight="1">
      <c r="B8" s="201" t="s">
        <v>1</v>
      </c>
      <c r="C8" s="201" t="s">
        <v>679</v>
      </c>
      <c r="D8" s="201" t="s">
        <v>1179</v>
      </c>
      <c r="E8" s="201" t="s">
        <v>1180</v>
      </c>
      <c r="F8" s="201" t="s">
        <v>1181</v>
      </c>
      <c r="G8" s="201" t="s">
        <v>1182</v>
      </c>
      <c r="H8" s="201" t="s">
        <v>686</v>
      </c>
      <c r="I8" s="201" t="s">
        <v>1183</v>
      </c>
      <c r="J8" s="201" t="s">
        <v>1184</v>
      </c>
      <c r="K8" s="201" t="s">
        <v>1185</v>
      </c>
      <c r="L8" s="201" t="s">
        <v>1186</v>
      </c>
      <c r="M8" s="201" t="s">
        <v>1187</v>
      </c>
      <c r="N8" s="202" t="s">
        <v>1188</v>
      </c>
      <c r="O8" s="202" t="s">
        <v>1189</v>
      </c>
      <c r="P8" s="202" t="s">
        <v>1190</v>
      </c>
      <c r="Q8" s="202" t="s">
        <v>1191</v>
      </c>
      <c r="R8" s="203" t="s">
        <v>1192</v>
      </c>
      <c r="S8" s="203" t="s">
        <v>1193</v>
      </c>
      <c r="T8" s="203" t="s">
        <v>688</v>
      </c>
      <c r="U8" s="203" t="s">
        <v>1194</v>
      </c>
    </row>
    <row r="9" spans="1:21" ht="60" customHeight="1">
      <c r="B9" s="204">
        <v>1</v>
      </c>
      <c r="C9" s="204" t="s">
        <v>1195</v>
      </c>
      <c r="D9" s="205" t="s">
        <v>1196</v>
      </c>
      <c r="E9" s="205" t="s">
        <v>1197</v>
      </c>
      <c r="F9" s="205" t="s">
        <v>1198</v>
      </c>
      <c r="G9" s="205" t="s">
        <v>1199</v>
      </c>
      <c r="H9" s="205" t="s">
        <v>1200</v>
      </c>
      <c r="I9" s="205" t="s">
        <v>1201</v>
      </c>
      <c r="J9" s="205" t="s">
        <v>1202</v>
      </c>
      <c r="K9" s="206">
        <v>0.5</v>
      </c>
      <c r="L9" s="207" t="s">
        <v>1203</v>
      </c>
      <c r="M9" s="205" t="s">
        <v>1204</v>
      </c>
      <c r="N9" s="208">
        <v>1000</v>
      </c>
      <c r="O9" s="208">
        <v>4000</v>
      </c>
      <c r="P9" s="208">
        <v>9500</v>
      </c>
      <c r="Q9" s="209">
        <f t="shared" ref="Q9:Q33" si="0">K9*O9</f>
        <v>2000</v>
      </c>
      <c r="R9" s="204" t="s">
        <v>1205</v>
      </c>
      <c r="S9" s="204" t="s">
        <v>1206</v>
      </c>
      <c r="T9" s="205" t="s">
        <v>1207</v>
      </c>
      <c r="U9" s="205" t="s">
        <v>1208</v>
      </c>
    </row>
    <row r="10" spans="1:21" ht="60" customHeight="1">
      <c r="B10" s="204">
        <v>2</v>
      </c>
      <c r="C10" s="204" t="s">
        <v>1209</v>
      </c>
      <c r="D10" s="205" t="s">
        <v>1210</v>
      </c>
      <c r="E10" s="205" t="s">
        <v>1211</v>
      </c>
      <c r="F10" s="205" t="s">
        <v>1212</v>
      </c>
      <c r="G10" s="205" t="s">
        <v>1213</v>
      </c>
      <c r="H10" s="205" t="s">
        <v>1214</v>
      </c>
      <c r="I10" s="205" t="s">
        <v>1215</v>
      </c>
      <c r="J10" s="205" t="s">
        <v>1216</v>
      </c>
      <c r="K10" s="206">
        <v>0.5</v>
      </c>
      <c r="L10" s="207" t="s">
        <v>1203</v>
      </c>
      <c r="M10" s="205" t="s">
        <v>1217</v>
      </c>
      <c r="N10" s="208">
        <v>450</v>
      </c>
      <c r="O10" s="208">
        <v>1800</v>
      </c>
      <c r="P10" s="208">
        <v>4200</v>
      </c>
      <c r="Q10" s="209">
        <f t="shared" si="0"/>
        <v>900</v>
      </c>
      <c r="R10" s="204" t="s">
        <v>1218</v>
      </c>
      <c r="S10" s="204" t="s">
        <v>1219</v>
      </c>
      <c r="T10" s="205" t="s">
        <v>1220</v>
      </c>
      <c r="U10" s="205" t="s">
        <v>1221</v>
      </c>
    </row>
    <row r="11" spans="1:21" ht="60" customHeight="1">
      <c r="B11" s="204">
        <v>3</v>
      </c>
      <c r="C11" s="204" t="s">
        <v>1222</v>
      </c>
      <c r="D11" s="205" t="s">
        <v>1210</v>
      </c>
      <c r="E11" s="205" t="s">
        <v>1223</v>
      </c>
      <c r="F11" s="205" t="s">
        <v>1224</v>
      </c>
      <c r="G11" s="205" t="s">
        <v>1213</v>
      </c>
      <c r="H11" s="205" t="s">
        <v>1225</v>
      </c>
      <c r="I11" s="205" t="s">
        <v>1226</v>
      </c>
      <c r="J11" s="205" t="s">
        <v>1227</v>
      </c>
      <c r="K11" s="206">
        <v>0.5</v>
      </c>
      <c r="L11" s="207" t="s">
        <v>1203</v>
      </c>
      <c r="M11" s="205" t="s">
        <v>1228</v>
      </c>
      <c r="N11" s="208">
        <v>350</v>
      </c>
      <c r="O11" s="208">
        <v>1500</v>
      </c>
      <c r="P11" s="208">
        <v>3500</v>
      </c>
      <c r="Q11" s="209">
        <f t="shared" si="0"/>
        <v>750</v>
      </c>
      <c r="R11" s="204" t="s">
        <v>1219</v>
      </c>
      <c r="S11" s="204" t="s">
        <v>1206</v>
      </c>
      <c r="T11" s="205" t="s">
        <v>1229</v>
      </c>
      <c r="U11" s="205" t="s">
        <v>1230</v>
      </c>
    </row>
    <row r="12" spans="1:21" ht="60" customHeight="1">
      <c r="B12" s="204">
        <v>4</v>
      </c>
      <c r="C12" s="204" t="s">
        <v>1231</v>
      </c>
      <c r="D12" s="205" t="s">
        <v>1232</v>
      </c>
      <c r="E12" s="205" t="s">
        <v>1233</v>
      </c>
      <c r="F12" s="205" t="s">
        <v>1234</v>
      </c>
      <c r="G12" s="205" t="s">
        <v>1235</v>
      </c>
      <c r="H12" s="205" t="s">
        <v>1236</v>
      </c>
      <c r="I12" s="205" t="s">
        <v>1237</v>
      </c>
      <c r="J12" s="205" t="s">
        <v>1238</v>
      </c>
      <c r="K12" s="206">
        <v>0.5</v>
      </c>
      <c r="L12" s="207" t="s">
        <v>1203</v>
      </c>
      <c r="M12" s="205" t="s">
        <v>1239</v>
      </c>
      <c r="N12" s="208">
        <v>200</v>
      </c>
      <c r="O12" s="208">
        <v>900</v>
      </c>
      <c r="P12" s="208">
        <v>2100</v>
      </c>
      <c r="Q12" s="209">
        <f t="shared" si="0"/>
        <v>450</v>
      </c>
      <c r="R12" s="204" t="s">
        <v>1240</v>
      </c>
      <c r="S12" s="204" t="s">
        <v>1218</v>
      </c>
      <c r="T12" s="205" t="s">
        <v>1241</v>
      </c>
      <c r="U12" s="205" t="s">
        <v>1242</v>
      </c>
    </row>
    <row r="13" spans="1:21" ht="60" customHeight="1">
      <c r="B13" s="204">
        <v>5</v>
      </c>
      <c r="C13" s="204" t="s">
        <v>1243</v>
      </c>
      <c r="D13" s="205" t="s">
        <v>1196</v>
      </c>
      <c r="E13" s="205" t="s">
        <v>1197</v>
      </c>
      <c r="F13" s="205" t="s">
        <v>1244</v>
      </c>
      <c r="G13" s="205" t="s">
        <v>1245</v>
      </c>
      <c r="H13" s="205" t="s">
        <v>1246</v>
      </c>
      <c r="I13" s="205" t="s">
        <v>1247</v>
      </c>
      <c r="J13" s="205" t="s">
        <v>1248</v>
      </c>
      <c r="K13" s="206">
        <v>0.5</v>
      </c>
      <c r="L13" s="207" t="s">
        <v>1203</v>
      </c>
      <c r="M13" s="205" t="s">
        <v>1249</v>
      </c>
      <c r="N13" s="208">
        <v>700</v>
      </c>
      <c r="O13" s="208">
        <v>3000</v>
      </c>
      <c r="P13" s="208">
        <v>7000</v>
      </c>
      <c r="Q13" s="209">
        <f t="shared" si="0"/>
        <v>1500</v>
      </c>
      <c r="R13" s="204" t="s">
        <v>1206</v>
      </c>
      <c r="S13" s="204" t="s">
        <v>1206</v>
      </c>
      <c r="T13" s="205" t="s">
        <v>1250</v>
      </c>
      <c r="U13" s="205" t="s">
        <v>1251</v>
      </c>
    </row>
    <row r="14" spans="1:21" ht="60" customHeight="1">
      <c r="B14" s="204">
        <v>6</v>
      </c>
      <c r="C14" s="204" t="s">
        <v>1252</v>
      </c>
      <c r="D14" s="205" t="s">
        <v>1196</v>
      </c>
      <c r="E14" s="205" t="s">
        <v>1253</v>
      </c>
      <c r="F14" s="205" t="s">
        <v>1254</v>
      </c>
      <c r="G14" s="205" t="s">
        <v>1199</v>
      </c>
      <c r="H14" s="205" t="s">
        <v>1255</v>
      </c>
      <c r="I14" s="205" t="s">
        <v>1256</v>
      </c>
      <c r="J14" s="205" t="s">
        <v>1257</v>
      </c>
      <c r="K14" s="206">
        <v>0.3</v>
      </c>
      <c r="L14" s="207" t="s">
        <v>1258</v>
      </c>
      <c r="M14" s="205" t="s">
        <v>1259</v>
      </c>
      <c r="N14" s="208">
        <v>800</v>
      </c>
      <c r="O14" s="208">
        <v>3500</v>
      </c>
      <c r="P14" s="208">
        <v>8000</v>
      </c>
      <c r="Q14" s="209">
        <f t="shared" si="0"/>
        <v>1050</v>
      </c>
      <c r="R14" s="204" t="s">
        <v>1260</v>
      </c>
      <c r="S14" s="204" t="s">
        <v>1261</v>
      </c>
      <c r="T14" s="205" t="s">
        <v>1262</v>
      </c>
      <c r="U14" s="205" t="s">
        <v>1263</v>
      </c>
    </row>
    <row r="15" spans="1:21" ht="60" customHeight="1">
      <c r="B15" s="204">
        <v>7</v>
      </c>
      <c r="C15" s="204" t="s">
        <v>1264</v>
      </c>
      <c r="D15" s="205" t="s">
        <v>1196</v>
      </c>
      <c r="E15" s="205" t="s">
        <v>1265</v>
      </c>
      <c r="F15" s="205" t="s">
        <v>1266</v>
      </c>
      <c r="G15" s="205" t="s">
        <v>1267</v>
      </c>
      <c r="H15" s="205" t="s">
        <v>1268</v>
      </c>
      <c r="I15" s="205" t="s">
        <v>1269</v>
      </c>
      <c r="J15" s="205" t="s">
        <v>1270</v>
      </c>
      <c r="K15" s="206">
        <v>0.5</v>
      </c>
      <c r="L15" s="207" t="s">
        <v>1203</v>
      </c>
      <c r="M15" s="205" t="s">
        <v>1271</v>
      </c>
      <c r="N15" s="208">
        <v>600</v>
      </c>
      <c r="O15" s="208">
        <v>2500</v>
      </c>
      <c r="P15" s="208">
        <v>6000</v>
      </c>
      <c r="Q15" s="209">
        <f t="shared" si="0"/>
        <v>1250</v>
      </c>
      <c r="R15" s="204" t="s">
        <v>1272</v>
      </c>
      <c r="S15" s="204" t="s">
        <v>1205</v>
      </c>
      <c r="T15" s="205" t="s">
        <v>1273</v>
      </c>
      <c r="U15" s="205" t="s">
        <v>1274</v>
      </c>
    </row>
    <row r="16" spans="1:21" ht="60" customHeight="1">
      <c r="B16" s="204">
        <v>8</v>
      </c>
      <c r="C16" s="204" t="s">
        <v>1275</v>
      </c>
      <c r="D16" s="205" t="s">
        <v>1232</v>
      </c>
      <c r="E16" s="205" t="s">
        <v>1276</v>
      </c>
      <c r="F16" s="205" t="s">
        <v>1277</v>
      </c>
      <c r="G16" s="205" t="s">
        <v>1267</v>
      </c>
      <c r="H16" s="205" t="s">
        <v>1278</v>
      </c>
      <c r="I16" s="205" t="s">
        <v>1279</v>
      </c>
      <c r="J16" s="205" t="s">
        <v>1280</v>
      </c>
      <c r="K16" s="206">
        <v>0.5</v>
      </c>
      <c r="L16" s="207" t="s">
        <v>1281</v>
      </c>
      <c r="M16" s="205" t="s">
        <v>1282</v>
      </c>
      <c r="N16" s="208">
        <v>300</v>
      </c>
      <c r="O16" s="208">
        <v>1200</v>
      </c>
      <c r="P16" s="208">
        <v>2800</v>
      </c>
      <c r="Q16" s="209">
        <f t="shared" si="0"/>
        <v>600</v>
      </c>
      <c r="R16" s="204" t="s">
        <v>1206</v>
      </c>
      <c r="S16" s="204" t="s">
        <v>1206</v>
      </c>
      <c r="T16" s="205" t="s">
        <v>1283</v>
      </c>
      <c r="U16" s="205" t="s">
        <v>1284</v>
      </c>
    </row>
    <row r="17" spans="2:21" ht="60" customHeight="1">
      <c r="B17" s="204">
        <v>9</v>
      </c>
      <c r="C17" s="204" t="s">
        <v>1285</v>
      </c>
      <c r="D17" s="205" t="s">
        <v>1210</v>
      </c>
      <c r="E17" s="205" t="s">
        <v>1223</v>
      </c>
      <c r="F17" s="205" t="s">
        <v>1286</v>
      </c>
      <c r="G17" s="205" t="s">
        <v>1213</v>
      </c>
      <c r="H17" s="205" t="s">
        <v>1287</v>
      </c>
      <c r="I17" s="205" t="s">
        <v>1288</v>
      </c>
      <c r="J17" s="205" t="s">
        <v>1289</v>
      </c>
      <c r="K17" s="206">
        <v>0.3</v>
      </c>
      <c r="L17" s="207" t="s">
        <v>1203</v>
      </c>
      <c r="M17" s="205" t="s">
        <v>1290</v>
      </c>
      <c r="N17" s="208">
        <v>650</v>
      </c>
      <c r="O17" s="208">
        <v>2800</v>
      </c>
      <c r="P17" s="208">
        <v>6500</v>
      </c>
      <c r="Q17" s="209">
        <f t="shared" si="0"/>
        <v>840</v>
      </c>
      <c r="R17" s="204" t="s">
        <v>1219</v>
      </c>
      <c r="S17" s="204" t="s">
        <v>1206</v>
      </c>
      <c r="T17" s="205" t="s">
        <v>1291</v>
      </c>
      <c r="U17" s="205" t="s">
        <v>1292</v>
      </c>
    </row>
    <row r="18" spans="2:21" ht="60" customHeight="1">
      <c r="B18" s="204">
        <v>10</v>
      </c>
      <c r="C18" s="204" t="s">
        <v>1293</v>
      </c>
      <c r="D18" s="205" t="s">
        <v>1210</v>
      </c>
      <c r="E18" s="205" t="s">
        <v>1294</v>
      </c>
      <c r="F18" s="205" t="s">
        <v>1295</v>
      </c>
      <c r="G18" s="205" t="s">
        <v>1213</v>
      </c>
      <c r="H18" s="205" t="s">
        <v>1296</v>
      </c>
      <c r="I18" s="205" t="s">
        <v>1297</v>
      </c>
      <c r="J18" s="205" t="s">
        <v>1298</v>
      </c>
      <c r="K18" s="206">
        <v>0.5</v>
      </c>
      <c r="L18" s="207" t="s">
        <v>1203</v>
      </c>
      <c r="M18" s="205" t="s">
        <v>1299</v>
      </c>
      <c r="N18" s="208">
        <v>400</v>
      </c>
      <c r="O18" s="208">
        <v>1600</v>
      </c>
      <c r="P18" s="208">
        <v>3700</v>
      </c>
      <c r="Q18" s="209">
        <f t="shared" si="0"/>
        <v>800</v>
      </c>
      <c r="R18" s="204" t="s">
        <v>1205</v>
      </c>
      <c r="S18" s="204" t="s">
        <v>1206</v>
      </c>
      <c r="T18" s="205" t="s">
        <v>1300</v>
      </c>
      <c r="U18" s="205" t="s">
        <v>1301</v>
      </c>
    </row>
    <row r="19" spans="2:21" ht="60" customHeight="1">
      <c r="B19" s="204">
        <v>11</v>
      </c>
      <c r="C19" s="204" t="s">
        <v>1302</v>
      </c>
      <c r="D19" s="205" t="s">
        <v>1196</v>
      </c>
      <c r="E19" s="205" t="s">
        <v>1197</v>
      </c>
      <c r="F19" s="205" t="s">
        <v>1303</v>
      </c>
      <c r="G19" s="205" t="s">
        <v>1245</v>
      </c>
      <c r="H19" s="205" t="s">
        <v>1304</v>
      </c>
      <c r="I19" s="205" t="s">
        <v>1305</v>
      </c>
      <c r="J19" s="205" t="s">
        <v>1306</v>
      </c>
      <c r="K19" s="206">
        <v>0.5</v>
      </c>
      <c r="L19" s="207" t="s">
        <v>1203</v>
      </c>
      <c r="M19" s="205" t="s">
        <v>1307</v>
      </c>
      <c r="N19" s="208">
        <v>200</v>
      </c>
      <c r="O19" s="208">
        <v>900</v>
      </c>
      <c r="P19" s="208">
        <v>2100</v>
      </c>
      <c r="Q19" s="209">
        <f t="shared" si="0"/>
        <v>450</v>
      </c>
      <c r="R19" s="204" t="s">
        <v>1308</v>
      </c>
      <c r="S19" s="204" t="s">
        <v>1308</v>
      </c>
      <c r="T19" s="205" t="s">
        <v>1309</v>
      </c>
      <c r="U19" s="205" t="s">
        <v>1310</v>
      </c>
    </row>
    <row r="20" spans="2:21" ht="60" customHeight="1">
      <c r="B20" s="204">
        <v>12</v>
      </c>
      <c r="C20" s="204" t="s">
        <v>1311</v>
      </c>
      <c r="D20" s="205" t="s">
        <v>1210</v>
      </c>
      <c r="E20" s="205" t="s">
        <v>1211</v>
      </c>
      <c r="F20" s="205" t="s">
        <v>1312</v>
      </c>
      <c r="G20" s="205" t="s">
        <v>1213</v>
      </c>
      <c r="H20" s="205" t="s">
        <v>1313</v>
      </c>
      <c r="I20" s="205" t="s">
        <v>1314</v>
      </c>
      <c r="J20" s="205" t="s">
        <v>1315</v>
      </c>
      <c r="K20" s="206">
        <v>0.5</v>
      </c>
      <c r="L20" s="207" t="s">
        <v>1203</v>
      </c>
      <c r="M20" s="205" t="s">
        <v>1316</v>
      </c>
      <c r="N20" s="208">
        <v>350</v>
      </c>
      <c r="O20" s="208">
        <v>1400</v>
      </c>
      <c r="P20" s="208">
        <v>3300</v>
      </c>
      <c r="Q20" s="209">
        <f t="shared" si="0"/>
        <v>700</v>
      </c>
      <c r="R20" s="204" t="s">
        <v>1317</v>
      </c>
      <c r="S20" s="204" t="s">
        <v>1218</v>
      </c>
      <c r="T20" s="205" t="s">
        <v>1318</v>
      </c>
      <c r="U20" s="205" t="s">
        <v>1319</v>
      </c>
    </row>
    <row r="21" spans="2:21" ht="60" customHeight="1">
      <c r="B21" s="204">
        <v>13</v>
      </c>
      <c r="C21" s="204" t="s">
        <v>1320</v>
      </c>
      <c r="D21" s="205" t="s">
        <v>1321</v>
      </c>
      <c r="E21" s="205" t="s">
        <v>1322</v>
      </c>
      <c r="F21" s="205" t="s">
        <v>1323</v>
      </c>
      <c r="G21" s="205" t="s">
        <v>1235</v>
      </c>
      <c r="H21" s="205" t="s">
        <v>1324</v>
      </c>
      <c r="I21" s="205" t="s">
        <v>1325</v>
      </c>
      <c r="J21" s="205" t="s">
        <v>1326</v>
      </c>
      <c r="K21" s="206">
        <v>0.5</v>
      </c>
      <c r="L21" s="207" t="s">
        <v>1203</v>
      </c>
      <c r="M21" s="205" t="s">
        <v>1327</v>
      </c>
      <c r="N21" s="208">
        <v>250</v>
      </c>
      <c r="O21" s="208">
        <v>1100</v>
      </c>
      <c r="P21" s="208">
        <v>2600</v>
      </c>
      <c r="Q21" s="209">
        <f t="shared" si="0"/>
        <v>550</v>
      </c>
      <c r="R21" s="204" t="s">
        <v>1328</v>
      </c>
      <c r="S21" s="204" t="s">
        <v>1206</v>
      </c>
      <c r="T21" s="205" t="s">
        <v>1329</v>
      </c>
      <c r="U21" s="205" t="s">
        <v>1330</v>
      </c>
    </row>
    <row r="22" spans="2:21" ht="60" customHeight="1">
      <c r="B22" s="204">
        <v>14</v>
      </c>
      <c r="C22" s="204" t="s">
        <v>1331</v>
      </c>
      <c r="D22" s="205" t="s">
        <v>1332</v>
      </c>
      <c r="E22" s="205" t="s">
        <v>1333</v>
      </c>
      <c r="F22" s="205" t="s">
        <v>1334</v>
      </c>
      <c r="G22" s="205" t="s">
        <v>1245</v>
      </c>
      <c r="H22" s="205" t="s">
        <v>1335</v>
      </c>
      <c r="I22" s="205" t="s">
        <v>1336</v>
      </c>
      <c r="J22" s="205" t="s">
        <v>1337</v>
      </c>
      <c r="K22" s="206">
        <v>0.5</v>
      </c>
      <c r="L22" s="207" t="s">
        <v>1203</v>
      </c>
      <c r="M22" s="205" t="s">
        <v>1338</v>
      </c>
      <c r="N22" s="208">
        <v>150</v>
      </c>
      <c r="O22" s="208">
        <v>700</v>
      </c>
      <c r="P22" s="208">
        <v>1600</v>
      </c>
      <c r="Q22" s="209">
        <f t="shared" si="0"/>
        <v>350</v>
      </c>
      <c r="R22" s="204" t="s">
        <v>1339</v>
      </c>
      <c r="S22" s="204" t="s">
        <v>1340</v>
      </c>
      <c r="T22" s="205" t="s">
        <v>1341</v>
      </c>
      <c r="U22" s="205" t="s">
        <v>1342</v>
      </c>
    </row>
    <row r="23" spans="2:21" ht="60" customHeight="1">
      <c r="B23" s="204">
        <v>15</v>
      </c>
      <c r="C23" s="204" t="s">
        <v>1343</v>
      </c>
      <c r="D23" s="205" t="s">
        <v>1321</v>
      </c>
      <c r="E23" s="205" t="s">
        <v>1344</v>
      </c>
      <c r="F23" s="205" t="s">
        <v>1345</v>
      </c>
      <c r="G23" s="205" t="s">
        <v>1213</v>
      </c>
      <c r="H23" s="205" t="s">
        <v>1346</v>
      </c>
      <c r="I23" s="205" t="s">
        <v>1347</v>
      </c>
      <c r="J23" s="205" t="s">
        <v>1348</v>
      </c>
      <c r="K23" s="206">
        <v>0.5</v>
      </c>
      <c r="L23" s="207" t="s">
        <v>1203</v>
      </c>
      <c r="M23" s="205" t="s">
        <v>1349</v>
      </c>
      <c r="N23" s="208">
        <v>200</v>
      </c>
      <c r="O23" s="208">
        <v>800</v>
      </c>
      <c r="P23" s="208">
        <v>1900</v>
      </c>
      <c r="Q23" s="209">
        <f t="shared" si="0"/>
        <v>400</v>
      </c>
      <c r="R23" s="204" t="s">
        <v>1205</v>
      </c>
      <c r="S23" s="204" t="s">
        <v>1206</v>
      </c>
      <c r="T23" s="205" t="s">
        <v>1350</v>
      </c>
      <c r="U23" s="205" t="s">
        <v>1351</v>
      </c>
    </row>
    <row r="24" spans="2:21" ht="60" customHeight="1">
      <c r="B24" s="204">
        <v>16</v>
      </c>
      <c r="C24" s="204" t="s">
        <v>1352</v>
      </c>
      <c r="D24" s="205" t="s">
        <v>1353</v>
      </c>
      <c r="E24" s="205" t="s">
        <v>1354</v>
      </c>
      <c r="F24" s="205" t="s">
        <v>1355</v>
      </c>
      <c r="G24" s="205" t="s">
        <v>1356</v>
      </c>
      <c r="H24" s="205" t="s">
        <v>1357</v>
      </c>
      <c r="I24" s="205" t="s">
        <v>1358</v>
      </c>
      <c r="J24" s="205" t="s">
        <v>1359</v>
      </c>
      <c r="K24" s="206">
        <v>0.3</v>
      </c>
      <c r="L24" s="207" t="s">
        <v>1258</v>
      </c>
      <c r="M24" s="205" t="s">
        <v>1360</v>
      </c>
      <c r="N24" s="208">
        <v>1000</v>
      </c>
      <c r="O24" s="208">
        <v>4500</v>
      </c>
      <c r="P24" s="208">
        <v>10500</v>
      </c>
      <c r="Q24" s="209">
        <f t="shared" si="0"/>
        <v>1350</v>
      </c>
      <c r="R24" s="204" t="s">
        <v>1340</v>
      </c>
      <c r="S24" s="204" t="s">
        <v>1361</v>
      </c>
      <c r="T24" s="205" t="s">
        <v>1362</v>
      </c>
      <c r="U24" s="205" t="s">
        <v>1363</v>
      </c>
    </row>
    <row r="25" spans="2:21" ht="60" customHeight="1">
      <c r="B25" s="204">
        <v>17</v>
      </c>
      <c r="C25" s="204" t="s">
        <v>1364</v>
      </c>
      <c r="D25" s="205" t="s">
        <v>1196</v>
      </c>
      <c r="E25" s="205" t="s">
        <v>1365</v>
      </c>
      <c r="F25" s="205" t="s">
        <v>1366</v>
      </c>
      <c r="G25" s="205" t="s">
        <v>1235</v>
      </c>
      <c r="H25" s="205" t="s">
        <v>1367</v>
      </c>
      <c r="I25" s="205" t="s">
        <v>1368</v>
      </c>
      <c r="J25" s="205" t="s">
        <v>1369</v>
      </c>
      <c r="K25" s="206">
        <v>0.5</v>
      </c>
      <c r="L25" s="207" t="s">
        <v>1258</v>
      </c>
      <c r="M25" s="205" t="s">
        <v>1370</v>
      </c>
      <c r="N25" s="208">
        <v>75</v>
      </c>
      <c r="O25" s="208">
        <v>300</v>
      </c>
      <c r="P25" s="208">
        <v>700</v>
      </c>
      <c r="Q25" s="209">
        <f t="shared" si="0"/>
        <v>150</v>
      </c>
      <c r="R25" s="204" t="s">
        <v>1317</v>
      </c>
      <c r="S25" s="204" t="s">
        <v>1317</v>
      </c>
      <c r="T25" s="205" t="s">
        <v>1371</v>
      </c>
      <c r="U25" s="205" t="s">
        <v>1372</v>
      </c>
    </row>
    <row r="26" spans="2:21" ht="60" customHeight="1">
      <c r="B26" s="204">
        <v>18</v>
      </c>
      <c r="C26" s="204" t="s">
        <v>1373</v>
      </c>
      <c r="D26" s="205" t="s">
        <v>1196</v>
      </c>
      <c r="E26" s="205" t="s">
        <v>1265</v>
      </c>
      <c r="F26" s="205" t="s">
        <v>1374</v>
      </c>
      <c r="G26" s="205" t="s">
        <v>1267</v>
      </c>
      <c r="H26" s="205" t="s">
        <v>1375</v>
      </c>
      <c r="I26" s="205" t="s">
        <v>1376</v>
      </c>
      <c r="J26" s="205" t="s">
        <v>1377</v>
      </c>
      <c r="K26" s="206">
        <v>0.5</v>
      </c>
      <c r="L26" s="207" t="s">
        <v>1258</v>
      </c>
      <c r="M26" s="205" t="s">
        <v>1378</v>
      </c>
      <c r="N26" s="208">
        <v>400</v>
      </c>
      <c r="O26" s="208">
        <v>1500</v>
      </c>
      <c r="P26" s="208">
        <v>3500</v>
      </c>
      <c r="Q26" s="209">
        <f t="shared" si="0"/>
        <v>750</v>
      </c>
      <c r="R26" s="204" t="s">
        <v>1339</v>
      </c>
      <c r="S26" s="204" t="s">
        <v>1339</v>
      </c>
      <c r="T26" s="205" t="s">
        <v>1379</v>
      </c>
      <c r="U26" s="205" t="s">
        <v>1380</v>
      </c>
    </row>
    <row r="27" spans="2:21" ht="60" customHeight="1">
      <c r="B27" s="204">
        <v>19</v>
      </c>
      <c r="C27" s="204" t="s">
        <v>1381</v>
      </c>
      <c r="D27" s="205" t="s">
        <v>1210</v>
      </c>
      <c r="E27" s="205" t="s">
        <v>1223</v>
      </c>
      <c r="F27" s="205" t="s">
        <v>1382</v>
      </c>
      <c r="G27" s="205" t="s">
        <v>1213</v>
      </c>
      <c r="H27" s="205" t="s">
        <v>1383</v>
      </c>
      <c r="I27" s="205" t="s">
        <v>1384</v>
      </c>
      <c r="J27" s="205" t="s">
        <v>1385</v>
      </c>
      <c r="K27" s="206">
        <v>0.3</v>
      </c>
      <c r="L27" s="207" t="s">
        <v>1203</v>
      </c>
      <c r="M27" s="205" t="s">
        <v>1386</v>
      </c>
      <c r="N27" s="208">
        <v>350</v>
      </c>
      <c r="O27" s="208">
        <v>1500</v>
      </c>
      <c r="P27" s="208">
        <v>3500</v>
      </c>
      <c r="Q27" s="209">
        <f t="shared" si="0"/>
        <v>450</v>
      </c>
      <c r="R27" s="204" t="s">
        <v>1308</v>
      </c>
      <c r="S27" s="204" t="s">
        <v>1308</v>
      </c>
      <c r="T27" s="205" t="s">
        <v>1387</v>
      </c>
      <c r="U27" s="205" t="s">
        <v>1388</v>
      </c>
    </row>
    <row r="28" spans="2:21" ht="60" customHeight="1">
      <c r="B28" s="204">
        <v>20</v>
      </c>
      <c r="C28" s="204" t="s">
        <v>1389</v>
      </c>
      <c r="D28" s="205" t="s">
        <v>1210</v>
      </c>
      <c r="E28" s="205" t="s">
        <v>1390</v>
      </c>
      <c r="F28" s="205" t="s">
        <v>1391</v>
      </c>
      <c r="G28" s="205" t="s">
        <v>1213</v>
      </c>
      <c r="H28" s="205" t="s">
        <v>1392</v>
      </c>
      <c r="I28" s="205" t="s">
        <v>1393</v>
      </c>
      <c r="J28" s="205" t="s">
        <v>1394</v>
      </c>
      <c r="K28" s="206">
        <v>0.3</v>
      </c>
      <c r="L28" s="207" t="s">
        <v>1203</v>
      </c>
      <c r="M28" s="205" t="s">
        <v>1395</v>
      </c>
      <c r="N28" s="208">
        <v>300</v>
      </c>
      <c r="O28" s="208">
        <v>1200</v>
      </c>
      <c r="P28" s="208">
        <v>2800</v>
      </c>
      <c r="Q28" s="209">
        <f t="shared" si="0"/>
        <v>360</v>
      </c>
      <c r="R28" s="204" t="s">
        <v>1206</v>
      </c>
      <c r="S28" s="204" t="s">
        <v>1260</v>
      </c>
      <c r="T28" s="205" t="s">
        <v>1396</v>
      </c>
      <c r="U28" s="205" t="s">
        <v>1397</v>
      </c>
    </row>
    <row r="29" spans="2:21" ht="60" customHeight="1">
      <c r="B29" s="204">
        <v>21</v>
      </c>
      <c r="C29" s="204" t="s">
        <v>1398</v>
      </c>
      <c r="D29" s="205" t="s">
        <v>1399</v>
      </c>
      <c r="E29" s="205" t="s">
        <v>1400</v>
      </c>
      <c r="F29" s="205" t="s">
        <v>1401</v>
      </c>
      <c r="G29" s="205" t="s">
        <v>1213</v>
      </c>
      <c r="H29" s="205" t="s">
        <v>1402</v>
      </c>
      <c r="I29" s="205" t="s">
        <v>1403</v>
      </c>
      <c r="J29" s="205" t="s">
        <v>1404</v>
      </c>
      <c r="K29" s="206">
        <v>0.3</v>
      </c>
      <c r="L29" s="207" t="s">
        <v>1203</v>
      </c>
      <c r="M29" s="205" t="s">
        <v>1405</v>
      </c>
      <c r="N29" s="208">
        <v>250</v>
      </c>
      <c r="O29" s="208">
        <v>1000</v>
      </c>
      <c r="P29" s="208">
        <v>2400</v>
      </c>
      <c r="Q29" s="209">
        <f t="shared" si="0"/>
        <v>300</v>
      </c>
      <c r="R29" s="204" t="s">
        <v>1261</v>
      </c>
      <c r="S29" s="204" t="s">
        <v>1261</v>
      </c>
      <c r="T29" s="205" t="s">
        <v>1406</v>
      </c>
      <c r="U29" s="205" t="s">
        <v>1407</v>
      </c>
    </row>
    <row r="30" spans="2:21" ht="60" customHeight="1">
      <c r="B30" s="204">
        <v>22</v>
      </c>
      <c r="C30" s="204" t="s">
        <v>1408</v>
      </c>
      <c r="D30" s="205" t="s">
        <v>1232</v>
      </c>
      <c r="E30" s="205" t="s">
        <v>1409</v>
      </c>
      <c r="F30" s="205" t="s">
        <v>1410</v>
      </c>
      <c r="G30" s="205" t="s">
        <v>1267</v>
      </c>
      <c r="H30" s="205" t="s">
        <v>1411</v>
      </c>
      <c r="I30" s="205" t="s">
        <v>1412</v>
      </c>
      <c r="J30" s="205" t="s">
        <v>1413</v>
      </c>
      <c r="K30" s="206">
        <v>0.2</v>
      </c>
      <c r="L30" s="207" t="s">
        <v>1281</v>
      </c>
      <c r="M30" s="205" t="s">
        <v>1414</v>
      </c>
      <c r="N30" s="208">
        <v>400</v>
      </c>
      <c r="O30" s="208">
        <v>1800</v>
      </c>
      <c r="P30" s="208">
        <v>4300</v>
      </c>
      <c r="Q30" s="209">
        <f t="shared" si="0"/>
        <v>360</v>
      </c>
      <c r="R30" s="204" t="s">
        <v>1206</v>
      </c>
      <c r="S30" s="204" t="s">
        <v>1206</v>
      </c>
      <c r="T30" s="205" t="s">
        <v>1415</v>
      </c>
      <c r="U30" s="205" t="s">
        <v>1416</v>
      </c>
    </row>
    <row r="31" spans="2:21" ht="60" customHeight="1">
      <c r="B31" s="204">
        <v>23</v>
      </c>
      <c r="C31" s="204" t="s">
        <v>1417</v>
      </c>
      <c r="D31" s="205" t="s">
        <v>1210</v>
      </c>
      <c r="E31" s="205" t="s">
        <v>1418</v>
      </c>
      <c r="F31" s="205" t="s">
        <v>1419</v>
      </c>
      <c r="G31" s="205" t="s">
        <v>1199</v>
      </c>
      <c r="H31" s="205" t="s">
        <v>1420</v>
      </c>
      <c r="I31" s="205" t="s">
        <v>1421</v>
      </c>
      <c r="J31" s="205" t="s">
        <v>1422</v>
      </c>
      <c r="K31" s="206">
        <v>0.4</v>
      </c>
      <c r="L31" s="207" t="s">
        <v>1203</v>
      </c>
      <c r="M31" s="205" t="s">
        <v>1423</v>
      </c>
      <c r="N31" s="208">
        <v>250</v>
      </c>
      <c r="O31" s="208">
        <v>1000</v>
      </c>
      <c r="P31" s="208">
        <v>2400</v>
      </c>
      <c r="Q31" s="209">
        <f t="shared" si="0"/>
        <v>400</v>
      </c>
      <c r="R31" s="204" t="s">
        <v>1205</v>
      </c>
      <c r="S31" s="204" t="s">
        <v>1206</v>
      </c>
      <c r="T31" s="205" t="s">
        <v>1424</v>
      </c>
      <c r="U31" s="205" t="s">
        <v>1425</v>
      </c>
    </row>
    <row r="32" spans="2:21" ht="60" customHeight="1">
      <c r="B32" s="204">
        <v>24</v>
      </c>
      <c r="C32" s="204" t="s">
        <v>1426</v>
      </c>
      <c r="D32" s="205" t="s">
        <v>1210</v>
      </c>
      <c r="E32" s="205" t="s">
        <v>1427</v>
      </c>
      <c r="F32" s="205" t="s">
        <v>1428</v>
      </c>
      <c r="G32" s="205" t="s">
        <v>1213</v>
      </c>
      <c r="H32" s="205" t="s">
        <v>1429</v>
      </c>
      <c r="I32" s="205" t="s">
        <v>1430</v>
      </c>
      <c r="J32" s="205" t="s">
        <v>1431</v>
      </c>
      <c r="K32" s="206">
        <v>0.3</v>
      </c>
      <c r="L32" s="207" t="s">
        <v>1203</v>
      </c>
      <c r="M32" s="205" t="s">
        <v>1432</v>
      </c>
      <c r="N32" s="208">
        <v>300</v>
      </c>
      <c r="O32" s="208">
        <v>1300</v>
      </c>
      <c r="P32" s="208">
        <v>3000</v>
      </c>
      <c r="Q32" s="209">
        <f t="shared" si="0"/>
        <v>390</v>
      </c>
      <c r="R32" s="204" t="s">
        <v>1260</v>
      </c>
      <c r="S32" s="204" t="s">
        <v>1260</v>
      </c>
      <c r="T32" s="205" t="s">
        <v>1433</v>
      </c>
      <c r="U32" s="205" t="s">
        <v>1434</v>
      </c>
    </row>
    <row r="33" spans="2:21" ht="60" customHeight="1">
      <c r="B33" s="204">
        <v>25</v>
      </c>
      <c r="C33" s="204" t="s">
        <v>1435</v>
      </c>
      <c r="D33" s="205" t="s">
        <v>1321</v>
      </c>
      <c r="E33" s="205" t="s">
        <v>1322</v>
      </c>
      <c r="F33" s="205" t="s">
        <v>1436</v>
      </c>
      <c r="G33" s="205" t="s">
        <v>1245</v>
      </c>
      <c r="H33" s="205" t="s">
        <v>1437</v>
      </c>
      <c r="I33" s="205" t="s">
        <v>1438</v>
      </c>
      <c r="J33" s="205" t="s">
        <v>1439</v>
      </c>
      <c r="K33" s="206">
        <v>0.2</v>
      </c>
      <c r="L33" s="207" t="s">
        <v>1258</v>
      </c>
      <c r="M33" s="205" t="s">
        <v>1440</v>
      </c>
      <c r="N33" s="208">
        <v>100</v>
      </c>
      <c r="O33" s="208">
        <v>500</v>
      </c>
      <c r="P33" s="208">
        <v>1200</v>
      </c>
      <c r="Q33" s="209">
        <f t="shared" si="0"/>
        <v>100</v>
      </c>
      <c r="R33" s="204" t="s">
        <v>1441</v>
      </c>
      <c r="S33" s="204" t="s">
        <v>1441</v>
      </c>
      <c r="T33" s="205" t="s">
        <v>1442</v>
      </c>
      <c r="U33" s="205" t="s">
        <v>1443</v>
      </c>
    </row>
    <row r="35" spans="2:21" ht="15" customHeight="1">
      <c r="M35" s="210" t="s">
        <v>1444</v>
      </c>
      <c r="N35" s="211">
        <f>SUBTOTAL(109,N9:N33)</f>
        <v>10025</v>
      </c>
      <c r="O35" s="211">
        <f>SUBTOTAL(109,O9:O33)</f>
        <v>42300</v>
      </c>
      <c r="P35" s="211">
        <f>SUBTOTAL(109,P9:P33)</f>
        <v>99100</v>
      </c>
      <c r="Q35" s="211">
        <f>SUBTOTAL(109,Q9:Q33)</f>
        <v>17200</v>
      </c>
    </row>
  </sheetData>
  <conditionalFormatting sqref="K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:Q33">
    <cfRule type="colorScale" priority="3">
      <colorScale>
        <cfvo type="min"/>
        <cfvo type="percentile" val="50"/>
        <cfvo type="max"/>
        <color rgb="FFE8F4F3"/>
        <color rgb="FFFFD966"/>
        <color rgb="FFC00000"/>
      </colorScale>
    </cfRule>
  </conditionalFormatting>
  <dataValidations count="3">
    <dataValidation type="list" allowBlank="1" sqref="L9:L33" xr:uid="{00000000-0002-0000-0900-000000000000}">
      <formula1>"Mitigate,Accept,Transfer,Avoid"</formula1>
      <formula2>0</formula2>
    </dataValidation>
    <dataValidation type="list" allowBlank="1" sqref="G9:G33" xr:uid="{00000000-0002-0000-0900-000001000000}">
      <formula1>"Technical,Schedule,Cost,Programmatic,Governance,Strategic,Operational"</formula1>
      <formula2>0</formula2>
    </dataValidation>
    <dataValidation type="decimal" allowBlank="1" sqref="K9:K33" xr:uid="{00000000-0002-0000-0900-000002000000}">
      <formula1>0</formula1>
      <formula2>1</formula2>
    </dataValidation>
  </dataValidations>
  <hyperlinks>
    <hyperlink ref="A1" r:id="rId1" location="'Table%20of%20Contents'!A1" xr:uid="{00000000-0004-0000-0900-000000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7"/>
  <sheetViews>
    <sheetView zoomScale="70" zoomScaleNormal="70" workbookViewId="0"/>
  </sheetViews>
  <sheetFormatPr defaultColWidth="8.7109375" defaultRowHeight="15"/>
  <cols>
    <col min="1" max="1" width="23.85546875" customWidth="1"/>
    <col min="2" max="2" width="24.7109375" customWidth="1"/>
    <col min="3" max="3" width="34.28515625" customWidth="1"/>
    <col min="4" max="4" width="15.28515625" customWidth="1"/>
    <col min="5" max="5" width="40" customWidth="1"/>
    <col min="6" max="7" width="32.42578125" customWidth="1"/>
    <col min="8" max="8" width="21.85546875" customWidth="1"/>
    <col min="9" max="9" width="23.85546875" customWidth="1"/>
    <col min="10" max="10" width="17.140625" customWidth="1"/>
  </cols>
  <sheetData>
    <row r="1" spans="1:10" ht="37.5" customHeight="1">
      <c r="A1" s="107" t="s">
        <v>1179</v>
      </c>
      <c r="B1" s="107" t="s">
        <v>1180</v>
      </c>
      <c r="C1" s="107" t="s">
        <v>1181</v>
      </c>
      <c r="D1" s="107" t="s">
        <v>1182</v>
      </c>
      <c r="E1" s="107" t="s">
        <v>686</v>
      </c>
      <c r="F1" s="107" t="s">
        <v>1183</v>
      </c>
      <c r="G1" s="107" t="s">
        <v>1184</v>
      </c>
      <c r="H1" s="107" t="s">
        <v>1445</v>
      </c>
      <c r="I1" s="107" t="s">
        <v>1446</v>
      </c>
      <c r="J1" s="107" t="s">
        <v>1447</v>
      </c>
    </row>
    <row r="2" spans="1:10" ht="54" customHeight="1">
      <c r="A2" s="212" t="s">
        <v>1332</v>
      </c>
      <c r="B2" s="213" t="s">
        <v>1448</v>
      </c>
      <c r="C2" s="213" t="s">
        <v>1449</v>
      </c>
      <c r="D2" s="214" t="s">
        <v>1235</v>
      </c>
      <c r="E2" s="215" t="s">
        <v>1450</v>
      </c>
      <c r="F2" s="215" t="s">
        <v>1451</v>
      </c>
      <c r="G2" s="215" t="s">
        <v>1452</v>
      </c>
      <c r="H2" s="216" t="s">
        <v>1453</v>
      </c>
      <c r="I2" s="216" t="s">
        <v>1453</v>
      </c>
      <c r="J2" s="217"/>
    </row>
    <row r="3" spans="1:10" ht="40.5" customHeight="1">
      <c r="A3" s="218" t="s">
        <v>1332</v>
      </c>
      <c r="B3" s="219" t="s">
        <v>1448</v>
      </c>
      <c r="C3" s="219" t="s">
        <v>1454</v>
      </c>
      <c r="D3" s="220" t="s">
        <v>1356</v>
      </c>
      <c r="E3" s="221" t="s">
        <v>1455</v>
      </c>
      <c r="F3" s="221" t="s">
        <v>1456</v>
      </c>
      <c r="G3" s="221" t="s">
        <v>1457</v>
      </c>
      <c r="H3" s="222" t="s">
        <v>1458</v>
      </c>
      <c r="I3" s="222" t="s">
        <v>1459</v>
      </c>
      <c r="J3" s="223"/>
    </row>
    <row r="4" spans="1:10" ht="40.5" customHeight="1">
      <c r="A4" s="218" t="s">
        <v>1332</v>
      </c>
      <c r="B4" s="219" t="s">
        <v>1448</v>
      </c>
      <c r="C4" s="219" t="s">
        <v>1460</v>
      </c>
      <c r="D4" s="220" t="s">
        <v>1235</v>
      </c>
      <c r="E4" s="221" t="s">
        <v>1461</v>
      </c>
      <c r="F4" s="221" t="s">
        <v>1462</v>
      </c>
      <c r="G4" s="221" t="s">
        <v>1463</v>
      </c>
      <c r="H4" s="222" t="s">
        <v>1453</v>
      </c>
      <c r="I4" s="222" t="s">
        <v>1453</v>
      </c>
      <c r="J4" s="223"/>
    </row>
    <row r="5" spans="1:10" ht="40.5" customHeight="1">
      <c r="A5" s="218" t="s">
        <v>1332</v>
      </c>
      <c r="B5" s="219" t="s">
        <v>1448</v>
      </c>
      <c r="C5" s="219" t="s">
        <v>1464</v>
      </c>
      <c r="D5" s="220" t="s">
        <v>1245</v>
      </c>
      <c r="E5" s="221" t="s">
        <v>1465</v>
      </c>
      <c r="F5" s="221" t="s">
        <v>1466</v>
      </c>
      <c r="G5" s="221" t="s">
        <v>1467</v>
      </c>
      <c r="H5" s="222" t="s">
        <v>1458</v>
      </c>
      <c r="I5" s="222" t="s">
        <v>1458</v>
      </c>
      <c r="J5" s="223"/>
    </row>
    <row r="6" spans="1:10" ht="40.5" customHeight="1">
      <c r="A6" s="218" t="s">
        <v>1332</v>
      </c>
      <c r="B6" s="219" t="s">
        <v>1468</v>
      </c>
      <c r="C6" s="219" t="s">
        <v>1469</v>
      </c>
      <c r="D6" s="220" t="s">
        <v>1245</v>
      </c>
      <c r="E6" s="221" t="s">
        <v>1470</v>
      </c>
      <c r="F6" s="221" t="s">
        <v>1471</v>
      </c>
      <c r="G6" s="221" t="s">
        <v>1472</v>
      </c>
      <c r="H6" s="222" t="s">
        <v>1458</v>
      </c>
      <c r="I6" s="222" t="s">
        <v>1458</v>
      </c>
      <c r="J6" s="223"/>
    </row>
    <row r="7" spans="1:10" ht="40.5" customHeight="1">
      <c r="A7" s="218" t="s">
        <v>1332</v>
      </c>
      <c r="B7" s="219" t="s">
        <v>1468</v>
      </c>
      <c r="C7" s="219" t="s">
        <v>1473</v>
      </c>
      <c r="D7" s="220" t="s">
        <v>1213</v>
      </c>
      <c r="E7" s="221" t="s">
        <v>1474</v>
      </c>
      <c r="F7" s="221" t="s">
        <v>1475</v>
      </c>
      <c r="G7" s="221" t="s">
        <v>1476</v>
      </c>
      <c r="H7" s="222" t="s">
        <v>1477</v>
      </c>
      <c r="I7" s="222" t="s">
        <v>1477</v>
      </c>
      <c r="J7" s="223"/>
    </row>
    <row r="8" spans="1:10" ht="40.5" customHeight="1">
      <c r="A8" s="218" t="s">
        <v>1332</v>
      </c>
      <c r="B8" s="219" t="s">
        <v>1468</v>
      </c>
      <c r="C8" s="219" t="s">
        <v>1478</v>
      </c>
      <c r="D8" s="220" t="s">
        <v>1245</v>
      </c>
      <c r="E8" s="221" t="s">
        <v>1479</v>
      </c>
      <c r="F8" s="221" t="s">
        <v>1480</v>
      </c>
      <c r="G8" s="221" t="s">
        <v>1481</v>
      </c>
      <c r="H8" s="222" t="s">
        <v>1453</v>
      </c>
      <c r="I8" s="222" t="s">
        <v>1453</v>
      </c>
      <c r="J8" s="223"/>
    </row>
    <row r="9" spans="1:10" ht="40.5" customHeight="1">
      <c r="A9" s="218" t="s">
        <v>1332</v>
      </c>
      <c r="B9" s="219" t="s">
        <v>1482</v>
      </c>
      <c r="C9" s="219" t="s">
        <v>1483</v>
      </c>
      <c r="D9" s="220" t="s">
        <v>1356</v>
      </c>
      <c r="E9" s="221" t="s">
        <v>1484</v>
      </c>
      <c r="F9" s="221" t="s">
        <v>1485</v>
      </c>
      <c r="G9" s="221" t="s">
        <v>1486</v>
      </c>
      <c r="H9" s="222" t="s">
        <v>1487</v>
      </c>
      <c r="I9" s="222" t="s">
        <v>1487</v>
      </c>
      <c r="J9" s="223"/>
    </row>
    <row r="10" spans="1:10" ht="40.5" customHeight="1">
      <c r="A10" s="218" t="s">
        <v>1332</v>
      </c>
      <c r="B10" s="219" t="s">
        <v>1482</v>
      </c>
      <c r="C10" s="219" t="s">
        <v>1488</v>
      </c>
      <c r="D10" s="220" t="s">
        <v>1235</v>
      </c>
      <c r="E10" s="221" t="s">
        <v>1489</v>
      </c>
      <c r="F10" s="221" t="s">
        <v>1490</v>
      </c>
      <c r="G10" s="221" t="s">
        <v>1491</v>
      </c>
      <c r="H10" s="222" t="s">
        <v>1487</v>
      </c>
      <c r="I10" s="222" t="s">
        <v>1487</v>
      </c>
      <c r="J10" s="223"/>
    </row>
    <row r="11" spans="1:10" ht="27" customHeight="1">
      <c r="A11" s="218" t="s">
        <v>1332</v>
      </c>
      <c r="B11" s="219" t="s">
        <v>1333</v>
      </c>
      <c r="C11" s="219" t="s">
        <v>1492</v>
      </c>
      <c r="D11" s="220" t="s">
        <v>1245</v>
      </c>
      <c r="E11" s="221" t="s">
        <v>1493</v>
      </c>
      <c r="F11" s="221" t="s">
        <v>1494</v>
      </c>
      <c r="G11" s="221" t="s">
        <v>1495</v>
      </c>
      <c r="H11" s="222" t="s">
        <v>1487</v>
      </c>
      <c r="I11" s="222" t="s">
        <v>1487</v>
      </c>
      <c r="J11" s="223"/>
    </row>
    <row r="12" spans="1:10" ht="27" customHeight="1">
      <c r="A12" s="218" t="s">
        <v>1332</v>
      </c>
      <c r="B12" s="219" t="s">
        <v>1333</v>
      </c>
      <c r="C12" s="219" t="s">
        <v>1496</v>
      </c>
      <c r="D12" s="220" t="s">
        <v>1245</v>
      </c>
      <c r="E12" s="221" t="s">
        <v>1497</v>
      </c>
      <c r="F12" s="221" t="s">
        <v>1498</v>
      </c>
      <c r="G12" s="221" t="s">
        <v>1499</v>
      </c>
      <c r="H12" s="222" t="s">
        <v>1453</v>
      </c>
      <c r="I12" s="222" t="s">
        <v>1453</v>
      </c>
      <c r="J12" s="223"/>
    </row>
    <row r="13" spans="1:10" ht="27.75" customHeight="1">
      <c r="A13" s="224" t="s">
        <v>1332</v>
      </c>
      <c r="B13" s="225" t="s">
        <v>1333</v>
      </c>
      <c r="C13" s="225" t="s">
        <v>1500</v>
      </c>
      <c r="D13" s="226" t="s">
        <v>1245</v>
      </c>
      <c r="E13" s="227" t="s">
        <v>1501</v>
      </c>
      <c r="F13" s="227" t="s">
        <v>1502</v>
      </c>
      <c r="G13" s="227" t="s">
        <v>1503</v>
      </c>
      <c r="H13" s="228" t="s">
        <v>1453</v>
      </c>
      <c r="I13" s="228" t="s">
        <v>1453</v>
      </c>
      <c r="J13" s="229"/>
    </row>
    <row r="14" spans="1:10" ht="40.5" customHeight="1">
      <c r="A14" s="230" t="s">
        <v>1210</v>
      </c>
      <c r="B14" s="231" t="s">
        <v>1211</v>
      </c>
      <c r="C14" s="231" t="s">
        <v>1504</v>
      </c>
      <c r="D14" s="232" t="s">
        <v>1213</v>
      </c>
      <c r="E14" s="233" t="s">
        <v>1505</v>
      </c>
      <c r="F14" s="233" t="s">
        <v>1506</v>
      </c>
      <c r="G14" s="233" t="s">
        <v>1507</v>
      </c>
      <c r="H14" s="234" t="s">
        <v>1487</v>
      </c>
      <c r="I14" s="234" t="s">
        <v>1487</v>
      </c>
      <c r="J14" s="235"/>
    </row>
    <row r="15" spans="1:10" ht="27" customHeight="1">
      <c r="A15" s="212" t="s">
        <v>1210</v>
      </c>
      <c r="B15" s="213" t="s">
        <v>1211</v>
      </c>
      <c r="C15" s="213" t="s">
        <v>1508</v>
      </c>
      <c r="D15" s="214" t="s">
        <v>1213</v>
      </c>
      <c r="E15" s="215" t="s">
        <v>1509</v>
      </c>
      <c r="F15" s="215" t="s">
        <v>1510</v>
      </c>
      <c r="G15" s="215" t="s">
        <v>1511</v>
      </c>
      <c r="H15" s="216" t="s">
        <v>547</v>
      </c>
      <c r="I15" s="216" t="s">
        <v>547</v>
      </c>
      <c r="J15" s="217"/>
    </row>
    <row r="16" spans="1:10" ht="27" customHeight="1">
      <c r="A16" s="218" t="s">
        <v>1210</v>
      </c>
      <c r="B16" s="219" t="s">
        <v>1390</v>
      </c>
      <c r="C16" s="219" t="s">
        <v>1512</v>
      </c>
      <c r="D16" s="220" t="s">
        <v>1213</v>
      </c>
      <c r="E16" s="221" t="s">
        <v>1513</v>
      </c>
      <c r="F16" s="221" t="s">
        <v>1514</v>
      </c>
      <c r="G16" s="221" t="s">
        <v>1515</v>
      </c>
      <c r="H16" s="222" t="s">
        <v>1516</v>
      </c>
      <c r="I16" s="222" t="s">
        <v>1516</v>
      </c>
      <c r="J16" s="223"/>
    </row>
    <row r="17" spans="1:10" ht="27" customHeight="1">
      <c r="A17" s="218" t="s">
        <v>1210</v>
      </c>
      <c r="B17" s="219" t="s">
        <v>1390</v>
      </c>
      <c r="C17" s="219" t="s">
        <v>1517</v>
      </c>
      <c r="D17" s="220" t="s">
        <v>1213</v>
      </c>
      <c r="E17" s="221" t="s">
        <v>1518</v>
      </c>
      <c r="F17" s="221" t="s">
        <v>1519</v>
      </c>
      <c r="G17" s="221" t="s">
        <v>1520</v>
      </c>
      <c r="H17" s="222" t="s">
        <v>1487</v>
      </c>
      <c r="I17" s="222" t="s">
        <v>1487</v>
      </c>
      <c r="J17" s="223"/>
    </row>
    <row r="18" spans="1:10" ht="40.5" customHeight="1">
      <c r="A18" s="218" t="s">
        <v>1210</v>
      </c>
      <c r="B18" s="219" t="s">
        <v>1390</v>
      </c>
      <c r="C18" s="219" t="s">
        <v>1521</v>
      </c>
      <c r="D18" s="220" t="s">
        <v>1213</v>
      </c>
      <c r="E18" s="221" t="s">
        <v>1522</v>
      </c>
      <c r="F18" s="221" t="s">
        <v>1523</v>
      </c>
      <c r="G18" s="221" t="s">
        <v>1524</v>
      </c>
      <c r="H18" s="222" t="s">
        <v>1487</v>
      </c>
      <c r="I18" s="222" t="s">
        <v>1487</v>
      </c>
      <c r="J18" s="223"/>
    </row>
    <row r="19" spans="1:10" ht="27" customHeight="1">
      <c r="A19" s="218" t="s">
        <v>1210</v>
      </c>
      <c r="B19" s="219" t="s">
        <v>1418</v>
      </c>
      <c r="C19" s="219" t="s">
        <v>1525</v>
      </c>
      <c r="D19" s="220" t="s">
        <v>1213</v>
      </c>
      <c r="E19" s="221" t="s">
        <v>1526</v>
      </c>
      <c r="F19" s="221" t="s">
        <v>1527</v>
      </c>
      <c r="G19" s="221" t="s">
        <v>1528</v>
      </c>
      <c r="H19" s="222" t="s">
        <v>1529</v>
      </c>
      <c r="I19" s="222" t="s">
        <v>1529</v>
      </c>
      <c r="J19" s="223"/>
    </row>
    <row r="20" spans="1:10" ht="27" customHeight="1">
      <c r="A20" s="218" t="s">
        <v>1210</v>
      </c>
      <c r="B20" s="219" t="s">
        <v>1418</v>
      </c>
      <c r="C20" s="219" t="s">
        <v>1530</v>
      </c>
      <c r="D20" s="220" t="s">
        <v>1199</v>
      </c>
      <c r="E20" s="221" t="s">
        <v>1531</v>
      </c>
      <c r="F20" s="221" t="s">
        <v>1532</v>
      </c>
      <c r="G20" s="221" t="s">
        <v>1533</v>
      </c>
      <c r="H20" s="222" t="s">
        <v>1529</v>
      </c>
      <c r="I20" s="222" t="s">
        <v>1529</v>
      </c>
      <c r="J20" s="223"/>
    </row>
    <row r="21" spans="1:10" ht="27" customHeight="1">
      <c r="A21" s="218" t="s">
        <v>1210</v>
      </c>
      <c r="B21" s="219" t="s">
        <v>1427</v>
      </c>
      <c r="C21" s="219" t="s">
        <v>1534</v>
      </c>
      <c r="D21" s="220" t="s">
        <v>1245</v>
      </c>
      <c r="E21" s="221" t="s">
        <v>1535</v>
      </c>
      <c r="F21" s="221" t="s">
        <v>1536</v>
      </c>
      <c r="G21" s="221" t="s">
        <v>1537</v>
      </c>
      <c r="H21" s="222" t="s">
        <v>1529</v>
      </c>
      <c r="I21" s="222" t="s">
        <v>1529</v>
      </c>
      <c r="J21" s="223"/>
    </row>
    <row r="22" spans="1:10" ht="40.5" customHeight="1">
      <c r="A22" s="218" t="s">
        <v>1210</v>
      </c>
      <c r="B22" s="219" t="s">
        <v>1427</v>
      </c>
      <c r="C22" s="219" t="s">
        <v>1538</v>
      </c>
      <c r="D22" s="220" t="s">
        <v>1213</v>
      </c>
      <c r="E22" s="221" t="s">
        <v>1539</v>
      </c>
      <c r="F22" s="221" t="s">
        <v>1540</v>
      </c>
      <c r="G22" s="221" t="s">
        <v>1541</v>
      </c>
      <c r="H22" s="222" t="s">
        <v>1542</v>
      </c>
      <c r="I22" s="222" t="s">
        <v>1542</v>
      </c>
      <c r="J22" s="223"/>
    </row>
    <row r="23" spans="1:10" ht="27" customHeight="1">
      <c r="A23" s="218" t="s">
        <v>1210</v>
      </c>
      <c r="B23" s="219" t="s">
        <v>1543</v>
      </c>
      <c r="C23" s="219" t="s">
        <v>1544</v>
      </c>
      <c r="D23" s="220" t="s">
        <v>1213</v>
      </c>
      <c r="E23" s="221" t="s">
        <v>1545</v>
      </c>
      <c r="F23" s="221" t="s">
        <v>1546</v>
      </c>
      <c r="G23" s="221" t="s">
        <v>1547</v>
      </c>
      <c r="H23" s="222" t="s">
        <v>1529</v>
      </c>
      <c r="I23" s="222" t="s">
        <v>1529</v>
      </c>
      <c r="J23" s="223"/>
    </row>
    <row r="24" spans="1:10" ht="27" customHeight="1">
      <c r="A24" s="218" t="s">
        <v>1210</v>
      </c>
      <c r="B24" s="219" t="s">
        <v>1543</v>
      </c>
      <c r="C24" s="219" t="s">
        <v>1548</v>
      </c>
      <c r="D24" s="220" t="s">
        <v>1213</v>
      </c>
      <c r="E24" s="221" t="s">
        <v>1549</v>
      </c>
      <c r="F24" s="221" t="s">
        <v>1550</v>
      </c>
      <c r="G24" s="221" t="s">
        <v>1551</v>
      </c>
      <c r="H24" s="222" t="s">
        <v>1529</v>
      </c>
      <c r="I24" s="222" t="s">
        <v>1529</v>
      </c>
      <c r="J24" s="223"/>
    </row>
    <row r="25" spans="1:10" ht="40.5" customHeight="1">
      <c r="A25" s="218" t="s">
        <v>1210</v>
      </c>
      <c r="B25" s="219" t="s">
        <v>1294</v>
      </c>
      <c r="C25" s="219" t="s">
        <v>1552</v>
      </c>
      <c r="D25" s="220" t="s">
        <v>1213</v>
      </c>
      <c r="E25" s="221" t="s">
        <v>1553</v>
      </c>
      <c r="F25" s="221" t="s">
        <v>1554</v>
      </c>
      <c r="G25" s="221" t="s">
        <v>1555</v>
      </c>
      <c r="H25" s="222" t="s">
        <v>1556</v>
      </c>
      <c r="I25" s="222" t="s">
        <v>1556</v>
      </c>
      <c r="J25" s="223"/>
    </row>
    <row r="26" spans="1:10" ht="27" customHeight="1">
      <c r="A26" s="218" t="s">
        <v>1210</v>
      </c>
      <c r="B26" s="219" t="s">
        <v>1294</v>
      </c>
      <c r="C26" s="219" t="s">
        <v>1557</v>
      </c>
      <c r="D26" s="220" t="s">
        <v>1213</v>
      </c>
      <c r="E26" s="221" t="s">
        <v>1558</v>
      </c>
      <c r="F26" s="221" t="s">
        <v>1559</v>
      </c>
      <c r="G26" s="221" t="s">
        <v>1560</v>
      </c>
      <c r="H26" s="222" t="s">
        <v>1556</v>
      </c>
      <c r="I26" s="222" t="s">
        <v>1556</v>
      </c>
      <c r="J26" s="223"/>
    </row>
    <row r="27" spans="1:10" ht="27" customHeight="1">
      <c r="A27" s="218" t="s">
        <v>1210</v>
      </c>
      <c r="B27" s="219" t="s">
        <v>1223</v>
      </c>
      <c r="C27" s="219" t="s">
        <v>1561</v>
      </c>
      <c r="D27" s="220" t="s">
        <v>1213</v>
      </c>
      <c r="E27" s="221" t="s">
        <v>1562</v>
      </c>
      <c r="F27" s="221" t="s">
        <v>1563</v>
      </c>
      <c r="G27" s="221" t="s">
        <v>1564</v>
      </c>
      <c r="H27" s="222" t="s">
        <v>1556</v>
      </c>
      <c r="I27" s="222" t="s">
        <v>1556</v>
      </c>
      <c r="J27" s="223"/>
    </row>
    <row r="28" spans="1:10" ht="27" customHeight="1">
      <c r="A28" s="218" t="s">
        <v>1210</v>
      </c>
      <c r="B28" s="219" t="s">
        <v>1223</v>
      </c>
      <c r="C28" s="219" t="s">
        <v>1565</v>
      </c>
      <c r="D28" s="220" t="s">
        <v>1213</v>
      </c>
      <c r="E28" s="221" t="s">
        <v>1566</v>
      </c>
      <c r="F28" s="221" t="s">
        <v>1567</v>
      </c>
      <c r="G28" s="221" t="s">
        <v>1568</v>
      </c>
      <c r="H28" s="222" t="s">
        <v>1556</v>
      </c>
      <c r="I28" s="222" t="s">
        <v>1556</v>
      </c>
      <c r="J28" s="223"/>
    </row>
    <row r="29" spans="1:10" ht="40.5" customHeight="1">
      <c r="A29" s="218" t="s">
        <v>1210</v>
      </c>
      <c r="B29" s="219" t="s">
        <v>1569</v>
      </c>
      <c r="C29" s="219" t="s">
        <v>1570</v>
      </c>
      <c r="D29" s="220" t="s">
        <v>1213</v>
      </c>
      <c r="E29" s="221" t="s">
        <v>1571</v>
      </c>
      <c r="F29" s="221" t="s">
        <v>1572</v>
      </c>
      <c r="G29" s="221" t="s">
        <v>1573</v>
      </c>
      <c r="H29" s="222" t="s">
        <v>1574</v>
      </c>
      <c r="I29" s="222"/>
      <c r="J29" s="223"/>
    </row>
    <row r="30" spans="1:10" ht="27.75" customHeight="1">
      <c r="A30" s="224" t="s">
        <v>1210</v>
      </c>
      <c r="B30" s="225" t="s">
        <v>1569</v>
      </c>
      <c r="C30" s="225" t="s">
        <v>1575</v>
      </c>
      <c r="D30" s="226" t="s">
        <v>1245</v>
      </c>
      <c r="E30" s="227" t="s">
        <v>1576</v>
      </c>
      <c r="F30" s="227" t="s">
        <v>1577</v>
      </c>
      <c r="G30" s="227" t="s">
        <v>1578</v>
      </c>
      <c r="H30" s="228" t="s">
        <v>1579</v>
      </c>
      <c r="I30" s="228"/>
      <c r="J30" s="229"/>
    </row>
    <row r="31" spans="1:10" ht="40.5" customHeight="1">
      <c r="A31" s="230" t="s">
        <v>1196</v>
      </c>
      <c r="B31" s="231" t="s">
        <v>1265</v>
      </c>
      <c r="C31" s="231" t="s">
        <v>1580</v>
      </c>
      <c r="D31" s="232" t="s">
        <v>1267</v>
      </c>
      <c r="E31" s="233" t="s">
        <v>1581</v>
      </c>
      <c r="F31" s="233" t="s">
        <v>1582</v>
      </c>
      <c r="G31" s="233" t="s">
        <v>1583</v>
      </c>
      <c r="H31" s="234" t="s">
        <v>1584</v>
      </c>
      <c r="I31" s="234"/>
      <c r="J31" s="235"/>
    </row>
    <row r="32" spans="1:10" ht="27" customHeight="1">
      <c r="A32" s="212" t="s">
        <v>1196</v>
      </c>
      <c r="B32" s="213" t="s">
        <v>1265</v>
      </c>
      <c r="C32" s="213" t="s">
        <v>1585</v>
      </c>
      <c r="D32" s="214" t="s">
        <v>1267</v>
      </c>
      <c r="E32" s="215" t="s">
        <v>1586</v>
      </c>
      <c r="F32" s="215" t="s">
        <v>1587</v>
      </c>
      <c r="G32" s="215" t="s">
        <v>1588</v>
      </c>
      <c r="H32" s="216" t="s">
        <v>1453</v>
      </c>
      <c r="I32" s="216"/>
      <c r="J32" s="217"/>
    </row>
    <row r="33" spans="1:10" ht="27" customHeight="1">
      <c r="A33" s="218" t="s">
        <v>1196</v>
      </c>
      <c r="B33" s="219" t="s">
        <v>1265</v>
      </c>
      <c r="C33" s="219" t="s">
        <v>1589</v>
      </c>
      <c r="D33" s="220" t="s">
        <v>1245</v>
      </c>
      <c r="E33" s="221" t="s">
        <v>1590</v>
      </c>
      <c r="F33" s="221" t="s">
        <v>1591</v>
      </c>
      <c r="G33" s="221" t="s">
        <v>1592</v>
      </c>
      <c r="H33" s="222" t="s">
        <v>1487</v>
      </c>
      <c r="I33" s="222" t="s">
        <v>1487</v>
      </c>
      <c r="J33" s="223"/>
    </row>
    <row r="34" spans="1:10" ht="27" customHeight="1">
      <c r="A34" s="218" t="s">
        <v>1196</v>
      </c>
      <c r="B34" s="219" t="s">
        <v>1265</v>
      </c>
      <c r="C34" s="219" t="s">
        <v>1593</v>
      </c>
      <c r="D34" s="220" t="s">
        <v>1267</v>
      </c>
      <c r="E34" s="221" t="s">
        <v>1594</v>
      </c>
      <c r="F34" s="221" t="s">
        <v>1595</v>
      </c>
      <c r="G34" s="221" t="s">
        <v>1596</v>
      </c>
      <c r="H34" s="222" t="s">
        <v>1579</v>
      </c>
      <c r="I34" s="222"/>
      <c r="J34" s="223"/>
    </row>
    <row r="35" spans="1:10" ht="40.5" customHeight="1">
      <c r="A35" s="218" t="s">
        <v>1196</v>
      </c>
      <c r="B35" s="219" t="s">
        <v>1253</v>
      </c>
      <c r="C35" s="219" t="s">
        <v>1597</v>
      </c>
      <c r="D35" s="220" t="s">
        <v>1199</v>
      </c>
      <c r="E35" s="221" t="s">
        <v>1598</v>
      </c>
      <c r="F35" s="221" t="s">
        <v>1599</v>
      </c>
      <c r="G35" s="221" t="s">
        <v>1600</v>
      </c>
      <c r="H35" s="222" t="s">
        <v>1601</v>
      </c>
      <c r="I35" s="222" t="s">
        <v>1601</v>
      </c>
      <c r="J35" s="223"/>
    </row>
    <row r="36" spans="1:10" ht="27" customHeight="1">
      <c r="A36" s="218" t="s">
        <v>1196</v>
      </c>
      <c r="B36" s="219" t="s">
        <v>1253</v>
      </c>
      <c r="C36" s="219" t="s">
        <v>1602</v>
      </c>
      <c r="D36" s="220" t="s">
        <v>1199</v>
      </c>
      <c r="E36" s="221" t="s">
        <v>1603</v>
      </c>
      <c r="F36" s="221" t="s">
        <v>1604</v>
      </c>
      <c r="G36" s="221" t="s">
        <v>1605</v>
      </c>
      <c r="H36" s="222"/>
      <c r="I36" s="222" t="s">
        <v>1516</v>
      </c>
      <c r="J36" s="223"/>
    </row>
    <row r="37" spans="1:10" ht="40.5" customHeight="1">
      <c r="A37" s="218" t="s">
        <v>1196</v>
      </c>
      <c r="B37" s="219" t="s">
        <v>1253</v>
      </c>
      <c r="C37" s="219" t="s">
        <v>1606</v>
      </c>
      <c r="D37" s="220" t="s">
        <v>1199</v>
      </c>
      <c r="E37" s="221" t="s">
        <v>1607</v>
      </c>
      <c r="F37" s="221" t="s">
        <v>1608</v>
      </c>
      <c r="G37" s="221" t="s">
        <v>1609</v>
      </c>
      <c r="H37" s="222"/>
      <c r="I37" s="222" t="s">
        <v>1516</v>
      </c>
      <c r="J37" s="223"/>
    </row>
    <row r="38" spans="1:10" ht="27" customHeight="1">
      <c r="A38" s="218" t="s">
        <v>1196</v>
      </c>
      <c r="B38" s="219" t="s">
        <v>1610</v>
      </c>
      <c r="C38" s="219" t="s">
        <v>1611</v>
      </c>
      <c r="D38" s="220" t="s">
        <v>1213</v>
      </c>
      <c r="E38" s="221" t="s">
        <v>1612</v>
      </c>
      <c r="F38" s="221" t="s">
        <v>1613</v>
      </c>
      <c r="G38" s="221" t="s">
        <v>1614</v>
      </c>
      <c r="H38" s="222" t="s">
        <v>1615</v>
      </c>
      <c r="I38" s="222" t="s">
        <v>1615</v>
      </c>
      <c r="J38" s="223"/>
    </row>
    <row r="39" spans="1:10" ht="40.5" customHeight="1">
      <c r="A39" s="218" t="s">
        <v>1196</v>
      </c>
      <c r="B39" s="219" t="s">
        <v>1610</v>
      </c>
      <c r="C39" s="219" t="s">
        <v>1616</v>
      </c>
      <c r="D39" s="220" t="s">
        <v>1245</v>
      </c>
      <c r="E39" s="221" t="s">
        <v>1617</v>
      </c>
      <c r="F39" s="221" t="s">
        <v>1618</v>
      </c>
      <c r="G39" s="221" t="s">
        <v>1619</v>
      </c>
      <c r="H39" s="222" t="s">
        <v>1615</v>
      </c>
      <c r="I39" s="222" t="s">
        <v>1615</v>
      </c>
      <c r="J39" s="223"/>
    </row>
    <row r="40" spans="1:10" ht="40.5" customHeight="1">
      <c r="A40" s="218" t="s">
        <v>1196</v>
      </c>
      <c r="B40" s="219" t="s">
        <v>1610</v>
      </c>
      <c r="C40" s="219" t="s">
        <v>1620</v>
      </c>
      <c r="D40" s="220" t="s">
        <v>1245</v>
      </c>
      <c r="E40" s="221" t="s">
        <v>1621</v>
      </c>
      <c r="F40" s="221" t="s">
        <v>1622</v>
      </c>
      <c r="G40" s="221" t="s">
        <v>1623</v>
      </c>
      <c r="H40" s="222" t="s">
        <v>1615</v>
      </c>
      <c r="I40" s="222" t="s">
        <v>1615</v>
      </c>
      <c r="J40" s="223"/>
    </row>
    <row r="41" spans="1:10" ht="40.5" customHeight="1">
      <c r="A41" s="218" t="s">
        <v>1196</v>
      </c>
      <c r="B41" s="219" t="s">
        <v>1624</v>
      </c>
      <c r="C41" s="219" t="s">
        <v>1625</v>
      </c>
      <c r="D41" s="220" t="s">
        <v>1199</v>
      </c>
      <c r="E41" s="221" t="s">
        <v>1626</v>
      </c>
      <c r="F41" s="221" t="s">
        <v>1627</v>
      </c>
      <c r="G41" s="221" t="s">
        <v>1628</v>
      </c>
      <c r="H41" s="222" t="s">
        <v>1629</v>
      </c>
      <c r="I41" s="222" t="s">
        <v>1629</v>
      </c>
      <c r="J41" s="223"/>
    </row>
    <row r="42" spans="1:10" ht="27" customHeight="1">
      <c r="A42" s="218" t="s">
        <v>1196</v>
      </c>
      <c r="B42" s="219" t="s">
        <v>1624</v>
      </c>
      <c r="C42" s="219" t="s">
        <v>1630</v>
      </c>
      <c r="D42" s="220" t="s">
        <v>1235</v>
      </c>
      <c r="E42" s="221" t="s">
        <v>1631</v>
      </c>
      <c r="F42" s="221" t="s">
        <v>1632</v>
      </c>
      <c r="G42" s="221" t="s">
        <v>1633</v>
      </c>
      <c r="H42" s="222" t="s">
        <v>1458</v>
      </c>
      <c r="I42" s="222" t="s">
        <v>1458</v>
      </c>
      <c r="J42" s="223"/>
    </row>
    <row r="43" spans="1:10" ht="27" customHeight="1">
      <c r="A43" s="218" t="s">
        <v>1196</v>
      </c>
      <c r="B43" s="219" t="s">
        <v>1624</v>
      </c>
      <c r="C43" s="219" t="s">
        <v>1634</v>
      </c>
      <c r="D43" s="220" t="s">
        <v>1245</v>
      </c>
      <c r="E43" s="221" t="s">
        <v>1635</v>
      </c>
      <c r="F43" s="221" t="s">
        <v>1636</v>
      </c>
      <c r="G43" s="221" t="s">
        <v>1637</v>
      </c>
      <c r="H43" s="222" t="s">
        <v>1458</v>
      </c>
      <c r="I43" s="222" t="s">
        <v>1458</v>
      </c>
      <c r="J43" s="223"/>
    </row>
    <row r="44" spans="1:10" ht="40.5" customHeight="1">
      <c r="A44" s="218" t="s">
        <v>1196</v>
      </c>
      <c r="B44" s="219" t="s">
        <v>1624</v>
      </c>
      <c r="C44" s="219" t="s">
        <v>1638</v>
      </c>
      <c r="D44" s="220" t="s">
        <v>1235</v>
      </c>
      <c r="E44" s="221" t="s">
        <v>1639</v>
      </c>
      <c r="F44" s="221" t="s">
        <v>1640</v>
      </c>
      <c r="G44" s="221" t="s">
        <v>1641</v>
      </c>
      <c r="H44" s="222" t="s">
        <v>1453</v>
      </c>
      <c r="I44" s="222"/>
      <c r="J44" s="223"/>
    </row>
    <row r="45" spans="1:10" ht="40.5" customHeight="1">
      <c r="A45" s="218" t="s">
        <v>1196</v>
      </c>
      <c r="B45" s="219" t="s">
        <v>1642</v>
      </c>
      <c r="C45" s="219" t="s">
        <v>1643</v>
      </c>
      <c r="D45" s="220" t="s">
        <v>1245</v>
      </c>
      <c r="E45" s="221" t="s">
        <v>1644</v>
      </c>
      <c r="F45" s="221" t="s">
        <v>1645</v>
      </c>
      <c r="G45" s="221" t="s">
        <v>1646</v>
      </c>
      <c r="H45" s="222" t="s">
        <v>1529</v>
      </c>
      <c r="I45" s="222" t="s">
        <v>1529</v>
      </c>
      <c r="J45" s="223"/>
    </row>
    <row r="46" spans="1:10" ht="27" customHeight="1">
      <c r="A46" s="218" t="s">
        <v>1196</v>
      </c>
      <c r="B46" s="219" t="s">
        <v>1642</v>
      </c>
      <c r="C46" s="219" t="s">
        <v>1647</v>
      </c>
      <c r="D46" s="220" t="s">
        <v>1213</v>
      </c>
      <c r="E46" s="221" t="s">
        <v>1648</v>
      </c>
      <c r="F46" s="221" t="s">
        <v>1649</v>
      </c>
      <c r="G46" s="221" t="s">
        <v>1650</v>
      </c>
      <c r="H46" s="222" t="s">
        <v>1529</v>
      </c>
      <c r="I46" s="222" t="s">
        <v>1529</v>
      </c>
      <c r="J46" s="223"/>
    </row>
    <row r="47" spans="1:10" ht="27" customHeight="1">
      <c r="A47" s="218" t="s">
        <v>1196</v>
      </c>
      <c r="B47" s="219" t="s">
        <v>1642</v>
      </c>
      <c r="C47" s="219" t="s">
        <v>1651</v>
      </c>
      <c r="D47" s="220" t="s">
        <v>1245</v>
      </c>
      <c r="E47" s="221" t="s">
        <v>1652</v>
      </c>
      <c r="F47" s="221" t="s">
        <v>1653</v>
      </c>
      <c r="G47" s="221" t="s">
        <v>1654</v>
      </c>
      <c r="H47" s="222" t="s">
        <v>1529</v>
      </c>
      <c r="I47" s="222" t="s">
        <v>1529</v>
      </c>
      <c r="J47" s="223"/>
    </row>
    <row r="48" spans="1:10" ht="40.5" customHeight="1">
      <c r="A48" s="218" t="s">
        <v>1196</v>
      </c>
      <c r="B48" s="219" t="s">
        <v>1197</v>
      </c>
      <c r="C48" s="219" t="s">
        <v>1655</v>
      </c>
      <c r="D48" s="220" t="s">
        <v>1199</v>
      </c>
      <c r="E48" s="221" t="s">
        <v>1656</v>
      </c>
      <c r="F48" s="221" t="s">
        <v>1657</v>
      </c>
      <c r="G48" s="221" t="s">
        <v>1658</v>
      </c>
      <c r="H48" s="222" t="s">
        <v>1659</v>
      </c>
      <c r="I48" s="222" t="s">
        <v>1659</v>
      </c>
      <c r="J48" s="223"/>
    </row>
    <row r="49" spans="1:10" ht="40.5" customHeight="1">
      <c r="A49" s="218" t="s">
        <v>1196</v>
      </c>
      <c r="B49" s="219" t="s">
        <v>1197</v>
      </c>
      <c r="C49" s="219" t="s">
        <v>1660</v>
      </c>
      <c r="D49" s="220" t="s">
        <v>1356</v>
      </c>
      <c r="E49" s="221" t="s">
        <v>1661</v>
      </c>
      <c r="F49" s="221" t="s">
        <v>1662</v>
      </c>
      <c r="G49" s="221" t="s">
        <v>1663</v>
      </c>
      <c r="H49" s="222" t="s">
        <v>1664</v>
      </c>
      <c r="I49" s="222" t="s">
        <v>1664</v>
      </c>
      <c r="J49" s="223"/>
    </row>
    <row r="50" spans="1:10" ht="27" customHeight="1">
      <c r="A50" s="218" t="s">
        <v>1196</v>
      </c>
      <c r="B50" s="219" t="s">
        <v>1197</v>
      </c>
      <c r="C50" s="219" t="s">
        <v>1665</v>
      </c>
      <c r="D50" s="220" t="s">
        <v>1235</v>
      </c>
      <c r="E50" s="221" t="s">
        <v>1666</v>
      </c>
      <c r="F50" s="221" t="s">
        <v>1667</v>
      </c>
      <c r="G50" s="221" t="s">
        <v>1668</v>
      </c>
      <c r="H50" s="222" t="s">
        <v>1669</v>
      </c>
      <c r="I50" s="222" t="s">
        <v>1669</v>
      </c>
      <c r="J50" s="223"/>
    </row>
    <row r="51" spans="1:10" ht="27" customHeight="1">
      <c r="A51" s="218" t="s">
        <v>1196</v>
      </c>
      <c r="B51" s="219" t="s">
        <v>1365</v>
      </c>
      <c r="C51" s="219" t="s">
        <v>1670</v>
      </c>
      <c r="D51" s="220" t="s">
        <v>1235</v>
      </c>
      <c r="E51" s="221" t="s">
        <v>1671</v>
      </c>
      <c r="F51" s="221" t="s">
        <v>1672</v>
      </c>
      <c r="G51" s="221" t="s">
        <v>1673</v>
      </c>
      <c r="H51" s="222" t="s">
        <v>1674</v>
      </c>
      <c r="I51" s="222" t="s">
        <v>1674</v>
      </c>
      <c r="J51" s="223"/>
    </row>
    <row r="52" spans="1:10" ht="27.75" customHeight="1">
      <c r="A52" s="224" t="s">
        <v>1196</v>
      </c>
      <c r="B52" s="225" t="s">
        <v>1365</v>
      </c>
      <c r="C52" s="225" t="s">
        <v>1675</v>
      </c>
      <c r="D52" s="226" t="s">
        <v>1245</v>
      </c>
      <c r="E52" s="227" t="s">
        <v>1676</v>
      </c>
      <c r="F52" s="227" t="s">
        <v>1677</v>
      </c>
      <c r="G52" s="227" t="s">
        <v>1678</v>
      </c>
      <c r="H52" s="228" t="s">
        <v>1453</v>
      </c>
      <c r="I52" s="228" t="s">
        <v>1453</v>
      </c>
      <c r="J52" s="229"/>
    </row>
    <row r="53" spans="1:10" ht="40.5" customHeight="1">
      <c r="A53" s="230" t="s">
        <v>1232</v>
      </c>
      <c r="B53" s="231" t="s">
        <v>1233</v>
      </c>
      <c r="C53" s="231" t="s">
        <v>1679</v>
      </c>
      <c r="D53" s="232" t="s">
        <v>1235</v>
      </c>
      <c r="E53" s="233" t="s">
        <v>1680</v>
      </c>
      <c r="F53" s="233" t="s">
        <v>1681</v>
      </c>
      <c r="G53" s="233" t="s">
        <v>1682</v>
      </c>
      <c r="H53" s="234" t="s">
        <v>1683</v>
      </c>
      <c r="I53" s="234" t="s">
        <v>1683</v>
      </c>
      <c r="J53" s="235"/>
    </row>
    <row r="54" spans="1:10" ht="40.5" customHeight="1">
      <c r="A54" s="212" t="s">
        <v>1232</v>
      </c>
      <c r="B54" s="213" t="s">
        <v>1233</v>
      </c>
      <c r="C54" s="213" t="s">
        <v>1684</v>
      </c>
      <c r="D54" s="214" t="s">
        <v>1356</v>
      </c>
      <c r="E54" s="215" t="s">
        <v>1685</v>
      </c>
      <c r="F54" s="215" t="s">
        <v>1686</v>
      </c>
      <c r="G54" s="215" t="s">
        <v>1687</v>
      </c>
      <c r="H54" s="216" t="s">
        <v>1615</v>
      </c>
      <c r="I54" s="216" t="s">
        <v>1615</v>
      </c>
      <c r="J54" s="217"/>
    </row>
    <row r="55" spans="1:10" ht="27" customHeight="1">
      <c r="A55" s="218" t="s">
        <v>1232</v>
      </c>
      <c r="B55" s="219" t="s">
        <v>1409</v>
      </c>
      <c r="C55" s="219" t="s">
        <v>1688</v>
      </c>
      <c r="D55" s="220" t="s">
        <v>1245</v>
      </c>
      <c r="E55" s="221" t="s">
        <v>1689</v>
      </c>
      <c r="F55" s="221" t="s">
        <v>1690</v>
      </c>
      <c r="G55" s="221" t="s">
        <v>1691</v>
      </c>
      <c r="H55" s="222" t="s">
        <v>1516</v>
      </c>
      <c r="I55" s="222" t="s">
        <v>1516</v>
      </c>
      <c r="J55" s="223"/>
    </row>
    <row r="56" spans="1:10" ht="27" customHeight="1">
      <c r="A56" s="218" t="s">
        <v>1232</v>
      </c>
      <c r="B56" s="219" t="s">
        <v>1409</v>
      </c>
      <c r="C56" s="219" t="s">
        <v>1692</v>
      </c>
      <c r="D56" s="220" t="s">
        <v>1267</v>
      </c>
      <c r="E56" s="221" t="s">
        <v>1693</v>
      </c>
      <c r="F56" s="221" t="s">
        <v>1694</v>
      </c>
      <c r="G56" s="221" t="s">
        <v>1695</v>
      </c>
      <c r="H56" s="222" t="s">
        <v>1529</v>
      </c>
      <c r="I56" s="222" t="s">
        <v>1529</v>
      </c>
      <c r="J56" s="223"/>
    </row>
    <row r="57" spans="1:10" ht="27" customHeight="1">
      <c r="A57" s="218" t="s">
        <v>1232</v>
      </c>
      <c r="B57" s="219" t="s">
        <v>1409</v>
      </c>
      <c r="C57" s="219" t="s">
        <v>1696</v>
      </c>
      <c r="D57" s="220" t="s">
        <v>1199</v>
      </c>
      <c r="E57" s="221" t="s">
        <v>1697</v>
      </c>
      <c r="F57" s="221" t="s">
        <v>1698</v>
      </c>
      <c r="G57" s="221" t="s">
        <v>1699</v>
      </c>
      <c r="H57" s="222" t="s">
        <v>1683</v>
      </c>
      <c r="I57" s="222" t="s">
        <v>1683</v>
      </c>
      <c r="J57" s="223"/>
    </row>
    <row r="58" spans="1:10" ht="27" customHeight="1">
      <c r="A58" s="218" t="s">
        <v>1232</v>
      </c>
      <c r="B58" s="219" t="s">
        <v>1276</v>
      </c>
      <c r="C58" s="219" t="s">
        <v>1700</v>
      </c>
      <c r="D58" s="220" t="s">
        <v>1267</v>
      </c>
      <c r="E58" s="221" t="s">
        <v>1701</v>
      </c>
      <c r="F58" s="221" t="s">
        <v>1702</v>
      </c>
      <c r="G58" s="221" t="s">
        <v>1703</v>
      </c>
      <c r="H58" s="222" t="s">
        <v>1516</v>
      </c>
      <c r="I58" s="222"/>
      <c r="J58" s="223"/>
    </row>
    <row r="59" spans="1:10" ht="27" customHeight="1">
      <c r="A59" s="218" t="s">
        <v>1232</v>
      </c>
      <c r="B59" s="219" t="s">
        <v>1276</v>
      </c>
      <c r="C59" s="219" t="s">
        <v>1704</v>
      </c>
      <c r="D59" s="220" t="s">
        <v>1267</v>
      </c>
      <c r="E59" s="221" t="s">
        <v>1705</v>
      </c>
      <c r="F59" s="221" t="s">
        <v>1706</v>
      </c>
      <c r="G59" s="221" t="s">
        <v>1707</v>
      </c>
      <c r="H59" s="222" t="s">
        <v>1516</v>
      </c>
      <c r="I59" s="222"/>
      <c r="J59" s="223"/>
    </row>
    <row r="60" spans="1:10" ht="27" customHeight="1">
      <c r="A60" s="218" t="s">
        <v>1232</v>
      </c>
      <c r="B60" s="219" t="s">
        <v>1276</v>
      </c>
      <c r="C60" s="219" t="s">
        <v>1708</v>
      </c>
      <c r="D60" s="220" t="s">
        <v>1356</v>
      </c>
      <c r="E60" s="221" t="s">
        <v>1709</v>
      </c>
      <c r="F60" s="221" t="s">
        <v>1710</v>
      </c>
      <c r="G60" s="221" t="s">
        <v>1711</v>
      </c>
      <c r="H60" s="222" t="s">
        <v>1664</v>
      </c>
      <c r="I60" s="222" t="s">
        <v>1664</v>
      </c>
      <c r="J60" s="223"/>
    </row>
    <row r="61" spans="1:10" ht="27" customHeight="1">
      <c r="A61" s="218" t="s">
        <v>1232</v>
      </c>
      <c r="B61" s="219" t="s">
        <v>1712</v>
      </c>
      <c r="C61" s="219" t="s">
        <v>1713</v>
      </c>
      <c r="D61" s="220" t="s">
        <v>1199</v>
      </c>
      <c r="E61" s="221" t="s">
        <v>1714</v>
      </c>
      <c r="F61" s="221" t="s">
        <v>1715</v>
      </c>
      <c r="G61" s="221" t="s">
        <v>1716</v>
      </c>
      <c r="H61" s="222" t="s">
        <v>1529</v>
      </c>
      <c r="I61" s="222" t="s">
        <v>1529</v>
      </c>
      <c r="J61" s="223"/>
    </row>
    <row r="62" spans="1:10" ht="27.75" customHeight="1">
      <c r="A62" s="224" t="s">
        <v>1232</v>
      </c>
      <c r="B62" s="225" t="s">
        <v>1712</v>
      </c>
      <c r="C62" s="225" t="s">
        <v>1717</v>
      </c>
      <c r="D62" s="226" t="s">
        <v>1213</v>
      </c>
      <c r="E62" s="227" t="s">
        <v>1718</v>
      </c>
      <c r="F62" s="227" t="s">
        <v>1719</v>
      </c>
      <c r="G62" s="227" t="s">
        <v>1720</v>
      </c>
      <c r="H62" s="228" t="s">
        <v>1516</v>
      </c>
      <c r="I62" s="228" t="s">
        <v>1516</v>
      </c>
      <c r="J62" s="229"/>
    </row>
    <row r="63" spans="1:10" ht="40.5" customHeight="1">
      <c r="A63" s="230" t="s">
        <v>1353</v>
      </c>
      <c r="B63" s="231" t="s">
        <v>1354</v>
      </c>
      <c r="C63" s="231" t="s">
        <v>1721</v>
      </c>
      <c r="D63" s="232" t="s">
        <v>1356</v>
      </c>
      <c r="E63" s="233" t="s">
        <v>1722</v>
      </c>
      <c r="F63" s="233" t="s">
        <v>1723</v>
      </c>
      <c r="G63" s="233" t="s">
        <v>1724</v>
      </c>
      <c r="H63" s="234" t="s">
        <v>1615</v>
      </c>
      <c r="I63" s="234" t="s">
        <v>1615</v>
      </c>
      <c r="J63" s="235"/>
    </row>
    <row r="64" spans="1:10" ht="40.5" customHeight="1">
      <c r="A64" s="212" t="s">
        <v>1353</v>
      </c>
      <c r="B64" s="213" t="s">
        <v>1354</v>
      </c>
      <c r="C64" s="213" t="s">
        <v>1725</v>
      </c>
      <c r="D64" s="214" t="s">
        <v>1356</v>
      </c>
      <c r="E64" s="215" t="s">
        <v>1726</v>
      </c>
      <c r="F64" s="215" t="s">
        <v>1727</v>
      </c>
      <c r="G64" s="215" t="s">
        <v>1728</v>
      </c>
      <c r="H64" s="216" t="s">
        <v>1615</v>
      </c>
      <c r="I64" s="216" t="s">
        <v>1615</v>
      </c>
      <c r="J64" s="217"/>
    </row>
    <row r="65" spans="1:10" ht="40.5" customHeight="1">
      <c r="A65" s="218" t="s">
        <v>1353</v>
      </c>
      <c r="B65" s="219" t="s">
        <v>1729</v>
      </c>
      <c r="C65" s="219" t="s">
        <v>1730</v>
      </c>
      <c r="D65" s="220" t="s">
        <v>1356</v>
      </c>
      <c r="E65" s="221" t="s">
        <v>1731</v>
      </c>
      <c r="F65" s="221" t="s">
        <v>1732</v>
      </c>
      <c r="G65" s="221" t="s">
        <v>1733</v>
      </c>
      <c r="H65" s="222" t="s">
        <v>1664</v>
      </c>
      <c r="I65" s="222"/>
      <c r="J65" s="223"/>
    </row>
    <row r="66" spans="1:10" ht="41.25" customHeight="1">
      <c r="A66" s="224" t="s">
        <v>1353</v>
      </c>
      <c r="B66" s="225" t="s">
        <v>1729</v>
      </c>
      <c r="C66" s="225" t="s">
        <v>1734</v>
      </c>
      <c r="D66" s="226" t="s">
        <v>1235</v>
      </c>
      <c r="E66" s="227" t="s">
        <v>1735</v>
      </c>
      <c r="F66" s="227" t="s">
        <v>1736</v>
      </c>
      <c r="G66" s="227" t="s">
        <v>1737</v>
      </c>
      <c r="H66" s="228" t="s">
        <v>1664</v>
      </c>
      <c r="I66" s="228" t="s">
        <v>1664</v>
      </c>
      <c r="J66" s="229"/>
    </row>
    <row r="67" spans="1:10" ht="27" customHeight="1">
      <c r="A67" s="230" t="s">
        <v>1321</v>
      </c>
      <c r="B67" s="231" t="s">
        <v>1738</v>
      </c>
      <c r="C67" s="231" t="s">
        <v>1739</v>
      </c>
      <c r="D67" s="232" t="s">
        <v>1740</v>
      </c>
      <c r="E67" s="233" t="s">
        <v>1741</v>
      </c>
      <c r="F67" s="233" t="s">
        <v>1742</v>
      </c>
      <c r="G67" s="233" t="s">
        <v>1743</v>
      </c>
      <c r="H67" s="234" t="s">
        <v>1529</v>
      </c>
      <c r="I67" s="234" t="s">
        <v>1529</v>
      </c>
      <c r="J67" s="235"/>
    </row>
    <row r="68" spans="1:10" ht="27" customHeight="1">
      <c r="A68" s="212" t="s">
        <v>1321</v>
      </c>
      <c r="B68" s="213" t="s">
        <v>1738</v>
      </c>
      <c r="C68" s="213" t="s">
        <v>1744</v>
      </c>
      <c r="D68" s="214" t="s">
        <v>1740</v>
      </c>
      <c r="E68" s="215" t="s">
        <v>1745</v>
      </c>
      <c r="F68" s="215" t="s">
        <v>1746</v>
      </c>
      <c r="G68" s="215" t="s">
        <v>1747</v>
      </c>
      <c r="H68" s="216" t="s">
        <v>1529</v>
      </c>
      <c r="I68" s="216" t="s">
        <v>1529</v>
      </c>
      <c r="J68" s="217"/>
    </row>
    <row r="69" spans="1:10" ht="27" customHeight="1">
      <c r="A69" s="218" t="s">
        <v>1321</v>
      </c>
      <c r="B69" s="219" t="s">
        <v>1344</v>
      </c>
      <c r="C69" s="219" t="s">
        <v>1748</v>
      </c>
      <c r="D69" s="220" t="s">
        <v>1213</v>
      </c>
      <c r="E69" s="221" t="s">
        <v>1749</v>
      </c>
      <c r="F69" s="221" t="s">
        <v>1750</v>
      </c>
      <c r="G69" s="221" t="s">
        <v>1751</v>
      </c>
      <c r="H69" s="222" t="s">
        <v>1529</v>
      </c>
      <c r="I69" s="222" t="s">
        <v>1529</v>
      </c>
      <c r="J69" s="223"/>
    </row>
    <row r="70" spans="1:10" ht="27" customHeight="1">
      <c r="A70" s="218" t="s">
        <v>1321</v>
      </c>
      <c r="B70" s="219" t="s">
        <v>1344</v>
      </c>
      <c r="C70" s="219" t="s">
        <v>1752</v>
      </c>
      <c r="D70" s="220" t="s">
        <v>1213</v>
      </c>
      <c r="E70" s="221" t="s">
        <v>1753</v>
      </c>
      <c r="F70" s="221" t="s">
        <v>1754</v>
      </c>
      <c r="G70" s="221" t="s">
        <v>1755</v>
      </c>
      <c r="H70" s="222" t="s">
        <v>1529</v>
      </c>
      <c r="I70" s="222" t="s">
        <v>1529</v>
      </c>
      <c r="J70" s="223"/>
    </row>
    <row r="71" spans="1:10" ht="27" customHeight="1">
      <c r="A71" s="218" t="s">
        <v>1321</v>
      </c>
      <c r="B71" s="219" t="s">
        <v>1756</v>
      </c>
      <c r="C71" s="219" t="s">
        <v>1757</v>
      </c>
      <c r="D71" s="220" t="s">
        <v>1213</v>
      </c>
      <c r="E71" s="221" t="s">
        <v>1758</v>
      </c>
      <c r="F71" s="221" t="s">
        <v>1759</v>
      </c>
      <c r="G71" s="221" t="s">
        <v>1760</v>
      </c>
      <c r="H71" s="222" t="s">
        <v>1761</v>
      </c>
      <c r="I71" s="222" t="s">
        <v>1761</v>
      </c>
      <c r="J71" s="223"/>
    </row>
    <row r="72" spans="1:10" ht="40.5" customHeight="1">
      <c r="A72" s="218" t="s">
        <v>1321</v>
      </c>
      <c r="B72" s="219" t="s">
        <v>1756</v>
      </c>
      <c r="C72" s="219" t="s">
        <v>1762</v>
      </c>
      <c r="D72" s="220" t="s">
        <v>1213</v>
      </c>
      <c r="E72" s="221" t="s">
        <v>1763</v>
      </c>
      <c r="F72" s="221" t="s">
        <v>1764</v>
      </c>
      <c r="G72" s="221" t="s">
        <v>1765</v>
      </c>
      <c r="H72" s="222" t="s">
        <v>1529</v>
      </c>
      <c r="I72" s="222" t="s">
        <v>1529</v>
      </c>
      <c r="J72" s="223"/>
    </row>
    <row r="73" spans="1:10" ht="27.75" customHeight="1">
      <c r="A73" s="224" t="s">
        <v>1321</v>
      </c>
      <c r="B73" s="225" t="s">
        <v>1322</v>
      </c>
      <c r="C73" s="225" t="s">
        <v>1766</v>
      </c>
      <c r="D73" s="226" t="s">
        <v>1235</v>
      </c>
      <c r="E73" s="227" t="s">
        <v>1767</v>
      </c>
      <c r="F73" s="227" t="s">
        <v>1768</v>
      </c>
      <c r="G73" s="227" t="s">
        <v>1769</v>
      </c>
      <c r="H73" s="228" t="s">
        <v>1770</v>
      </c>
      <c r="I73" s="228" t="s">
        <v>1770</v>
      </c>
      <c r="J73" s="229"/>
    </row>
    <row r="74" spans="1:10" ht="40.5" customHeight="1">
      <c r="A74" s="230" t="s">
        <v>1399</v>
      </c>
      <c r="B74" s="231" t="s">
        <v>1400</v>
      </c>
      <c r="C74" s="231" t="s">
        <v>1771</v>
      </c>
      <c r="D74" s="232" t="s">
        <v>1245</v>
      </c>
      <c r="E74" s="233" t="s">
        <v>1772</v>
      </c>
      <c r="F74" s="233" t="s">
        <v>1773</v>
      </c>
      <c r="G74" s="233" t="s">
        <v>1774</v>
      </c>
      <c r="H74" s="234" t="s">
        <v>1664</v>
      </c>
      <c r="I74" s="234" t="s">
        <v>1664</v>
      </c>
      <c r="J74" s="235"/>
    </row>
    <row r="75" spans="1:10" ht="27" customHeight="1">
      <c r="A75" s="212" t="s">
        <v>1399</v>
      </c>
      <c r="B75" s="213" t="s">
        <v>1400</v>
      </c>
      <c r="C75" s="213" t="s">
        <v>1775</v>
      </c>
      <c r="D75" s="214" t="s">
        <v>1245</v>
      </c>
      <c r="E75" s="215" t="s">
        <v>1776</v>
      </c>
      <c r="F75" s="215" t="s">
        <v>1777</v>
      </c>
      <c r="G75" s="215" t="s">
        <v>1778</v>
      </c>
      <c r="H75" s="216" t="s">
        <v>1664</v>
      </c>
      <c r="I75" s="216" t="s">
        <v>1664</v>
      </c>
      <c r="J75" s="217"/>
    </row>
    <row r="76" spans="1:10" ht="27" customHeight="1">
      <c r="A76" s="218" t="s">
        <v>1399</v>
      </c>
      <c r="B76" s="219" t="s">
        <v>1779</v>
      </c>
      <c r="C76" s="219" t="s">
        <v>1780</v>
      </c>
      <c r="D76" s="220" t="s">
        <v>1245</v>
      </c>
      <c r="E76" s="221" t="s">
        <v>1781</v>
      </c>
      <c r="F76" s="221" t="s">
        <v>1782</v>
      </c>
      <c r="G76" s="221" t="s">
        <v>1783</v>
      </c>
      <c r="H76" s="222" t="s">
        <v>1615</v>
      </c>
      <c r="I76" s="222" t="s">
        <v>1615</v>
      </c>
      <c r="J76" s="223"/>
    </row>
    <row r="77" spans="1:10" ht="40.5" customHeight="1">
      <c r="A77" s="236" t="s">
        <v>1399</v>
      </c>
      <c r="B77" s="237" t="s">
        <v>1779</v>
      </c>
      <c r="C77" s="237" t="s">
        <v>1784</v>
      </c>
      <c r="D77" s="238" t="s">
        <v>1235</v>
      </c>
      <c r="E77" s="239" t="s">
        <v>1785</v>
      </c>
      <c r="F77" s="239" t="s">
        <v>1786</v>
      </c>
      <c r="G77" s="239" t="s">
        <v>1787</v>
      </c>
      <c r="H77" s="240" t="s">
        <v>1487</v>
      </c>
      <c r="I77" s="240" t="s">
        <v>1487</v>
      </c>
      <c r="J77" s="24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zoomScaleNormal="100" workbookViewId="0"/>
  </sheetViews>
  <sheetFormatPr defaultColWidth="8.7109375" defaultRowHeight="15"/>
  <cols>
    <col min="1" max="1" width="16" customWidth="1"/>
    <col min="2" max="2" width="32" customWidth="1"/>
    <col min="3" max="3" width="8" customWidth="1"/>
    <col min="4" max="4" width="14" customWidth="1"/>
    <col min="5" max="5" width="16" customWidth="1"/>
    <col min="6" max="6" width="10" customWidth="1"/>
  </cols>
  <sheetData>
    <row r="1" spans="1:6" ht="15" customHeight="1">
      <c r="A1" s="242" t="s">
        <v>13</v>
      </c>
    </row>
    <row r="2" spans="1:6" ht="30" customHeight="1">
      <c r="A2" s="254" t="s">
        <v>1788</v>
      </c>
      <c r="B2" s="254"/>
      <c r="C2" s="254"/>
      <c r="D2" s="254"/>
      <c r="E2" s="254"/>
      <c r="F2" s="254"/>
    </row>
    <row r="4" spans="1:6" ht="15" customHeight="1">
      <c r="A4" s="243" t="s">
        <v>1026</v>
      </c>
      <c r="B4" s="243" t="s">
        <v>1789</v>
      </c>
      <c r="C4" s="243" t="s">
        <v>1790</v>
      </c>
      <c r="D4" s="243" t="s">
        <v>1791</v>
      </c>
      <c r="E4" s="243" t="s">
        <v>1792</v>
      </c>
      <c r="F4" s="243" t="s">
        <v>1793</v>
      </c>
    </row>
    <row r="5" spans="1:6" ht="15" customHeight="1">
      <c r="A5" s="28" t="s">
        <v>1794</v>
      </c>
      <c r="B5" s="28" t="s">
        <v>1795</v>
      </c>
      <c r="C5" s="28" t="s">
        <v>1796</v>
      </c>
      <c r="D5" s="244">
        <v>55000</v>
      </c>
      <c r="E5" s="28" t="s">
        <v>1797</v>
      </c>
      <c r="F5" s="28" t="s">
        <v>1798</v>
      </c>
    </row>
    <row r="6" spans="1:6" ht="15" customHeight="1">
      <c r="A6" s="28" t="s">
        <v>1799</v>
      </c>
      <c r="B6" s="28" t="s">
        <v>1800</v>
      </c>
      <c r="C6" s="28" t="s">
        <v>1796</v>
      </c>
      <c r="D6" s="244">
        <v>62000</v>
      </c>
      <c r="E6" s="28" t="s">
        <v>1797</v>
      </c>
      <c r="F6" s="28" t="s">
        <v>1798</v>
      </c>
    </row>
    <row r="7" spans="1:6" ht="15" customHeight="1">
      <c r="A7" s="28" t="s">
        <v>1801</v>
      </c>
      <c r="B7" s="28" t="s">
        <v>1802</v>
      </c>
      <c r="C7" s="28" t="s">
        <v>1796</v>
      </c>
      <c r="D7" s="244">
        <v>58000</v>
      </c>
      <c r="E7" s="28" t="s">
        <v>1797</v>
      </c>
      <c r="F7" s="28" t="s">
        <v>1798</v>
      </c>
    </row>
    <row r="8" spans="1:6" ht="15" customHeight="1">
      <c r="A8" s="28" t="s">
        <v>1803</v>
      </c>
      <c r="B8" s="28" t="s">
        <v>1804</v>
      </c>
      <c r="C8" s="28" t="s">
        <v>1796</v>
      </c>
      <c r="D8" s="244">
        <v>78000</v>
      </c>
      <c r="E8" s="28" t="s">
        <v>1797</v>
      </c>
      <c r="F8" s="28" t="s">
        <v>1798</v>
      </c>
    </row>
    <row r="9" spans="1:6" ht="15" customHeight="1">
      <c r="A9" s="28" t="s">
        <v>1805</v>
      </c>
      <c r="B9" s="28" t="s">
        <v>1806</v>
      </c>
      <c r="C9" s="28" t="s">
        <v>1796</v>
      </c>
      <c r="D9" s="244">
        <v>70000</v>
      </c>
      <c r="E9" s="28" t="s">
        <v>1797</v>
      </c>
      <c r="F9" s="28" t="s">
        <v>1798</v>
      </c>
    </row>
    <row r="10" spans="1:6" ht="15" customHeight="1">
      <c r="A10" s="28" t="s">
        <v>1807</v>
      </c>
      <c r="B10" s="28" t="s">
        <v>1808</v>
      </c>
      <c r="C10" s="28" t="s">
        <v>1796</v>
      </c>
      <c r="D10" s="244">
        <v>95000</v>
      </c>
      <c r="E10" s="28" t="s">
        <v>1797</v>
      </c>
      <c r="F10" s="28" t="s">
        <v>1798</v>
      </c>
    </row>
    <row r="11" spans="1:6" ht="15" customHeight="1">
      <c r="A11" s="28" t="s">
        <v>1809</v>
      </c>
      <c r="B11" s="28" t="s">
        <v>1810</v>
      </c>
      <c r="C11" s="28" t="s">
        <v>1796</v>
      </c>
      <c r="D11" s="244">
        <v>110000</v>
      </c>
      <c r="E11" s="28" t="s">
        <v>1797</v>
      </c>
      <c r="F11" s="28" t="s">
        <v>1798</v>
      </c>
    </row>
    <row r="12" spans="1:6" ht="15" customHeight="1">
      <c r="A12" s="28" t="s">
        <v>1066</v>
      </c>
      <c r="B12" s="28" t="s">
        <v>1811</v>
      </c>
      <c r="C12" s="28" t="s">
        <v>1796</v>
      </c>
      <c r="D12" s="244">
        <v>128000</v>
      </c>
      <c r="E12" s="28" t="s">
        <v>1797</v>
      </c>
      <c r="F12" s="28" t="s">
        <v>1798</v>
      </c>
    </row>
    <row r="13" spans="1:6" ht="15" customHeight="1">
      <c r="A13" s="28" t="s">
        <v>1062</v>
      </c>
      <c r="B13" s="28" t="s">
        <v>1812</v>
      </c>
      <c r="C13" s="28" t="s">
        <v>1796</v>
      </c>
      <c r="D13" s="244">
        <v>145000</v>
      </c>
      <c r="E13" s="28" t="s">
        <v>1797</v>
      </c>
      <c r="F13" s="28" t="s">
        <v>1798</v>
      </c>
    </row>
    <row r="14" spans="1:6" ht="15" customHeight="1">
      <c r="A14" s="28" t="s">
        <v>1042</v>
      </c>
      <c r="B14" s="28" t="s">
        <v>1813</v>
      </c>
      <c r="C14" s="28" t="s">
        <v>1796</v>
      </c>
      <c r="D14" s="244">
        <v>165000</v>
      </c>
      <c r="E14" s="28" t="s">
        <v>1797</v>
      </c>
      <c r="F14" s="28" t="s">
        <v>1798</v>
      </c>
    </row>
    <row r="15" spans="1:6" ht="15" customHeight="1">
      <c r="A15" s="28" t="s">
        <v>1814</v>
      </c>
      <c r="B15" s="28" t="s">
        <v>1815</v>
      </c>
      <c r="C15" s="28" t="s">
        <v>1796</v>
      </c>
      <c r="D15" s="244">
        <v>175000</v>
      </c>
      <c r="E15" s="28" t="s">
        <v>1797</v>
      </c>
      <c r="F15" s="28" t="s">
        <v>1798</v>
      </c>
    </row>
    <row r="16" spans="1:6" ht="15" customHeight="1">
      <c r="A16" s="28" t="s">
        <v>1816</v>
      </c>
      <c r="B16" s="28" t="s">
        <v>1817</v>
      </c>
      <c r="C16" s="28" t="s">
        <v>1796</v>
      </c>
      <c r="D16" s="244">
        <v>72000</v>
      </c>
      <c r="E16" s="28" t="s">
        <v>1797</v>
      </c>
      <c r="F16" s="28" t="s">
        <v>1798</v>
      </c>
    </row>
    <row r="17" spans="1:6" ht="15" customHeight="1">
      <c r="A17" s="28" t="s">
        <v>1058</v>
      </c>
      <c r="B17" s="28" t="s">
        <v>1818</v>
      </c>
      <c r="C17" s="28" t="s">
        <v>1796</v>
      </c>
      <c r="D17" s="244">
        <v>105000</v>
      </c>
      <c r="E17" s="28" t="s">
        <v>1797</v>
      </c>
      <c r="F17" s="28" t="s">
        <v>1798</v>
      </c>
    </row>
    <row r="18" spans="1:6" ht="15" customHeight="1">
      <c r="A18" s="28" t="s">
        <v>1050</v>
      </c>
      <c r="B18" s="28" t="s">
        <v>1819</v>
      </c>
      <c r="C18" s="28" t="s">
        <v>1796</v>
      </c>
      <c r="D18" s="244">
        <v>122000</v>
      </c>
      <c r="E18" s="28" t="s">
        <v>1797</v>
      </c>
      <c r="F18" s="28" t="s">
        <v>1798</v>
      </c>
    </row>
    <row r="19" spans="1:6" ht="15" customHeight="1">
      <c r="A19" s="28" t="s">
        <v>1820</v>
      </c>
      <c r="B19" s="28" t="s">
        <v>1821</v>
      </c>
      <c r="C19" s="28" t="s">
        <v>1796</v>
      </c>
      <c r="D19" s="244">
        <v>140000</v>
      </c>
      <c r="E19" s="28" t="s">
        <v>1797</v>
      </c>
      <c r="F19" s="28" t="s">
        <v>1798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"/>
  <sheetViews>
    <sheetView zoomScaleNormal="100" workbookViewId="0"/>
  </sheetViews>
  <sheetFormatPr defaultColWidth="8.7109375" defaultRowHeight="15"/>
  <cols>
    <col min="1" max="1" width="16" customWidth="1"/>
    <col min="2" max="2" width="14" customWidth="1"/>
  </cols>
  <sheetData>
    <row r="1" spans="1:3" ht="15" customHeight="1">
      <c r="A1" s="242" t="s">
        <v>14</v>
      </c>
    </row>
    <row r="2" spans="1:3" ht="30" customHeight="1">
      <c r="A2" s="254" t="s">
        <v>1822</v>
      </c>
      <c r="B2" s="254"/>
      <c r="C2" s="254"/>
    </row>
    <row r="4" spans="1:3" ht="15" customHeight="1">
      <c r="A4" s="243" t="s">
        <v>1026</v>
      </c>
      <c r="B4" s="243" t="s">
        <v>1823</v>
      </c>
    </row>
    <row r="5" spans="1:3" ht="15" customHeight="1">
      <c r="A5" s="28" t="s">
        <v>1794</v>
      </c>
      <c r="B5" s="244">
        <f>INDEX('Raw Labour Rates'!$D$5:$D$19,MATCH(A5,'Raw Labour Rates'!$A$5:$A$19,0))</f>
        <v>55000</v>
      </c>
    </row>
    <row r="6" spans="1:3" ht="15" customHeight="1">
      <c r="A6" s="28" t="s">
        <v>1799</v>
      </c>
      <c r="B6" s="244">
        <f>INDEX('Raw Labour Rates'!$D$5:$D$19,MATCH(A6,'Raw Labour Rates'!$A$5:$A$19,0))</f>
        <v>62000</v>
      </c>
    </row>
    <row r="7" spans="1:3" ht="15" customHeight="1">
      <c r="A7" s="28" t="s">
        <v>1801</v>
      </c>
      <c r="B7" s="244">
        <f>INDEX('Raw Labour Rates'!$D$5:$D$19,MATCH(A7,'Raw Labour Rates'!$A$5:$A$19,0))</f>
        <v>58000</v>
      </c>
    </row>
    <row r="8" spans="1:3" ht="15" customHeight="1">
      <c r="A8" s="28" t="s">
        <v>1803</v>
      </c>
      <c r="B8" s="244">
        <f>INDEX('Raw Labour Rates'!$D$5:$D$19,MATCH(A8,'Raw Labour Rates'!$A$5:$A$19,0))</f>
        <v>78000</v>
      </c>
    </row>
    <row r="9" spans="1:3" ht="15" customHeight="1">
      <c r="A9" s="28" t="s">
        <v>1805</v>
      </c>
      <c r="B9" s="244">
        <f>INDEX('Raw Labour Rates'!$D$5:$D$19,MATCH(A9,'Raw Labour Rates'!$A$5:$A$19,0))</f>
        <v>70000</v>
      </c>
    </row>
    <row r="10" spans="1:3" ht="15" customHeight="1">
      <c r="A10" s="28" t="s">
        <v>1807</v>
      </c>
      <c r="B10" s="244">
        <f>INDEX('Raw Labour Rates'!$D$5:$D$19,MATCH(A10,'Raw Labour Rates'!$A$5:$A$19,0))</f>
        <v>95000</v>
      </c>
    </row>
    <row r="11" spans="1:3" ht="15" customHeight="1">
      <c r="A11" s="28" t="s">
        <v>1809</v>
      </c>
      <c r="B11" s="244">
        <f>INDEX('Raw Labour Rates'!$D$5:$D$19,MATCH(A11,'Raw Labour Rates'!$A$5:$A$19,0))</f>
        <v>110000</v>
      </c>
    </row>
    <row r="12" spans="1:3" ht="15" customHeight="1">
      <c r="A12" s="28" t="s">
        <v>1066</v>
      </c>
      <c r="B12" s="244">
        <f>INDEX('Raw Labour Rates'!$D$5:$D$19,MATCH(A12,'Raw Labour Rates'!$A$5:$A$19,0))</f>
        <v>128000</v>
      </c>
    </row>
    <row r="13" spans="1:3" ht="15" customHeight="1">
      <c r="A13" s="28" t="s">
        <v>1062</v>
      </c>
      <c r="B13" s="244">
        <f>INDEX('Raw Labour Rates'!$D$5:$D$19,MATCH(A13,'Raw Labour Rates'!$A$5:$A$19,0))</f>
        <v>145000</v>
      </c>
    </row>
    <row r="14" spans="1:3" ht="15" customHeight="1">
      <c r="A14" s="28" t="s">
        <v>1042</v>
      </c>
      <c r="B14" s="244">
        <f>INDEX('Raw Labour Rates'!$D$5:$D$19,MATCH(A14,'Raw Labour Rates'!$A$5:$A$19,0))</f>
        <v>165000</v>
      </c>
    </row>
    <row r="15" spans="1:3" ht="15" customHeight="1">
      <c r="A15" s="28" t="s">
        <v>1814</v>
      </c>
      <c r="B15" s="244">
        <f>INDEX('Raw Labour Rates'!$D$5:$D$19,MATCH(A15,'Raw Labour Rates'!$A$5:$A$19,0))</f>
        <v>175000</v>
      </c>
    </row>
    <row r="16" spans="1:3" ht="15" customHeight="1">
      <c r="A16" s="28" t="s">
        <v>1816</v>
      </c>
      <c r="B16" s="244">
        <f>INDEX('Raw Labour Rates'!$D$5:$D$19,MATCH(A16,'Raw Labour Rates'!$A$5:$A$19,0))</f>
        <v>72000</v>
      </c>
    </row>
    <row r="17" spans="1:2" ht="15" customHeight="1">
      <c r="A17" s="28" t="s">
        <v>1058</v>
      </c>
      <c r="B17" s="244">
        <f>INDEX('Raw Labour Rates'!$D$5:$D$19,MATCH(A17,'Raw Labour Rates'!$A$5:$A$19,0))</f>
        <v>105000</v>
      </c>
    </row>
    <row r="18" spans="1:2" ht="15" customHeight="1">
      <c r="A18" s="28" t="s">
        <v>1050</v>
      </c>
      <c r="B18" s="244">
        <f>INDEX('Raw Labour Rates'!$D$5:$D$19,MATCH(A18,'Raw Labour Rates'!$A$5:$A$19,0))</f>
        <v>122000</v>
      </c>
    </row>
    <row r="19" spans="1:2" ht="15" customHeight="1">
      <c r="A19" s="28" t="s">
        <v>1820</v>
      </c>
      <c r="B19" s="244">
        <f>INDEX('Raw Labour Rates'!$D$5:$D$19,MATCH(A19,'Raw Labour Rates'!$A$5:$A$19,0))</f>
        <v>140000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zoomScaleNormal="100" workbookViewId="0"/>
  </sheetViews>
  <sheetFormatPr defaultColWidth="8.7109375" defaultRowHeight="15"/>
  <cols>
    <col min="1" max="1" width="18" customWidth="1"/>
    <col min="2" max="2" width="14" customWidth="1"/>
    <col min="3" max="3" width="34" customWidth="1"/>
    <col min="4" max="4" width="14" customWidth="1"/>
    <col min="5" max="5" width="18" customWidth="1"/>
  </cols>
  <sheetData>
    <row r="1" spans="1:5" ht="15" customHeight="1">
      <c r="A1" s="242" t="s">
        <v>15</v>
      </c>
    </row>
    <row r="2" spans="1:5" ht="30" customHeight="1">
      <c r="A2" s="254" t="s">
        <v>1824</v>
      </c>
      <c r="B2" s="254"/>
      <c r="C2" s="254"/>
      <c r="D2" s="254"/>
      <c r="E2" s="254"/>
    </row>
    <row r="4" spans="1:5" ht="15" customHeight="1">
      <c r="A4" s="243" t="s">
        <v>1023</v>
      </c>
      <c r="B4" s="243" t="s">
        <v>1026</v>
      </c>
      <c r="C4" s="243" t="s">
        <v>1825</v>
      </c>
      <c r="D4" s="243" t="s">
        <v>1024</v>
      </c>
      <c r="E4" s="243" t="s">
        <v>1022</v>
      </c>
    </row>
    <row r="5" spans="1:5" ht="15" customHeight="1">
      <c r="A5" s="28" t="s">
        <v>1039</v>
      </c>
      <c r="B5" s="28" t="s">
        <v>1042</v>
      </c>
      <c r="C5" s="28" t="s">
        <v>1035</v>
      </c>
      <c r="D5" s="28" t="s">
        <v>1040</v>
      </c>
      <c r="E5" s="28" t="s">
        <v>1038</v>
      </c>
    </row>
    <row r="6" spans="1:5" ht="15" customHeight="1">
      <c r="A6" s="28" t="s">
        <v>1048</v>
      </c>
      <c r="B6" s="28" t="s">
        <v>1050</v>
      </c>
      <c r="C6" s="28" t="s">
        <v>1047</v>
      </c>
      <c r="D6" s="28" t="s">
        <v>1049</v>
      </c>
      <c r="E6" s="28" t="s">
        <v>1038</v>
      </c>
    </row>
    <row r="7" spans="1:5" ht="15" customHeight="1">
      <c r="A7" s="28" t="s">
        <v>1055</v>
      </c>
      <c r="B7" s="28" t="s">
        <v>1058</v>
      </c>
      <c r="C7" s="28" t="s">
        <v>1053</v>
      </c>
      <c r="D7" s="28" t="s">
        <v>1056</v>
      </c>
      <c r="E7" s="28" t="s">
        <v>1054</v>
      </c>
    </row>
    <row r="8" spans="1:5" ht="15" customHeight="1">
      <c r="A8" s="28" t="s">
        <v>1060</v>
      </c>
      <c r="B8" s="28" t="s">
        <v>1062</v>
      </c>
      <c r="C8" s="28" t="s">
        <v>1059</v>
      </c>
      <c r="D8" s="28" t="s">
        <v>1061</v>
      </c>
      <c r="E8" s="28" t="s">
        <v>1038</v>
      </c>
    </row>
    <row r="9" spans="1:5" ht="15" customHeight="1">
      <c r="A9" s="28" t="s">
        <v>1064</v>
      </c>
      <c r="B9" s="28" t="s">
        <v>1066</v>
      </c>
      <c r="C9" s="28" t="s">
        <v>1063</v>
      </c>
      <c r="D9" s="28" t="s">
        <v>1065</v>
      </c>
      <c r="E9" s="28" t="s">
        <v>1038</v>
      </c>
    </row>
    <row r="10" spans="1:5" ht="15" customHeight="1">
      <c r="A10" s="28" t="s">
        <v>1069</v>
      </c>
      <c r="B10" s="28" t="s">
        <v>1066</v>
      </c>
      <c r="C10" s="28" t="s">
        <v>1068</v>
      </c>
      <c r="D10" s="28" t="s">
        <v>1070</v>
      </c>
      <c r="E10" s="28" t="s">
        <v>1038</v>
      </c>
    </row>
    <row r="11" spans="1:5" ht="15" customHeight="1">
      <c r="A11" s="28" t="s">
        <v>1073</v>
      </c>
      <c r="B11" s="28" t="s">
        <v>1066</v>
      </c>
      <c r="C11" s="28" t="s">
        <v>1072</v>
      </c>
      <c r="D11" s="28" t="s">
        <v>1074</v>
      </c>
      <c r="E11" s="28" t="s">
        <v>1038</v>
      </c>
    </row>
    <row r="12" spans="1:5" ht="15" customHeight="1">
      <c r="A12" s="28" t="s">
        <v>1079</v>
      </c>
      <c r="B12" s="28" t="s">
        <v>1062</v>
      </c>
      <c r="C12" s="28" t="s">
        <v>1076</v>
      </c>
      <c r="D12" s="28" t="s">
        <v>1080</v>
      </c>
      <c r="E12" s="28" t="s">
        <v>1078</v>
      </c>
    </row>
    <row r="13" spans="1:5" ht="15" customHeight="1">
      <c r="A13" s="28" t="s">
        <v>1082</v>
      </c>
      <c r="B13" s="28" t="s">
        <v>1066</v>
      </c>
      <c r="C13" s="28" t="s">
        <v>1081</v>
      </c>
      <c r="D13" s="28" t="s">
        <v>1083</v>
      </c>
      <c r="E13" s="28" t="s">
        <v>1078</v>
      </c>
    </row>
    <row r="14" spans="1:5" ht="15" customHeight="1">
      <c r="A14" s="28" t="s">
        <v>1087</v>
      </c>
      <c r="B14" s="28" t="s">
        <v>1066</v>
      </c>
      <c r="C14" s="28" t="s">
        <v>1086</v>
      </c>
      <c r="D14" s="28" t="s">
        <v>1088</v>
      </c>
      <c r="E14" s="28" t="s">
        <v>1078</v>
      </c>
    </row>
    <row r="15" spans="1:5" ht="15" customHeight="1">
      <c r="A15" s="28" t="s">
        <v>1091</v>
      </c>
      <c r="B15" s="28" t="s">
        <v>1066</v>
      </c>
      <c r="C15" s="28" t="s">
        <v>1090</v>
      </c>
      <c r="D15" s="28" t="s">
        <v>1092</v>
      </c>
      <c r="E15" s="28" t="s">
        <v>1078</v>
      </c>
    </row>
    <row r="16" spans="1:5" ht="15" customHeight="1">
      <c r="A16" s="28" t="s">
        <v>1095</v>
      </c>
      <c r="B16" s="28" t="s">
        <v>1062</v>
      </c>
      <c r="C16" s="28" t="s">
        <v>1094</v>
      </c>
      <c r="D16" s="28" t="s">
        <v>1096</v>
      </c>
      <c r="E16" s="28" t="s">
        <v>1078</v>
      </c>
    </row>
    <row r="17" spans="1:5" ht="15" customHeight="1">
      <c r="A17" s="28" t="s">
        <v>1099</v>
      </c>
      <c r="B17" s="28" t="s">
        <v>1066</v>
      </c>
      <c r="C17" s="28" t="s">
        <v>1098</v>
      </c>
      <c r="D17" s="28" t="s">
        <v>1100</v>
      </c>
      <c r="E17" s="28" t="s">
        <v>1078</v>
      </c>
    </row>
    <row r="18" spans="1:5" ht="15" customHeight="1">
      <c r="A18" s="28" t="s">
        <v>1104</v>
      </c>
      <c r="B18" s="28" t="s">
        <v>1066</v>
      </c>
      <c r="C18" s="28" t="s">
        <v>1102</v>
      </c>
      <c r="D18" s="28" t="s">
        <v>1105</v>
      </c>
      <c r="E18" s="28" t="s">
        <v>1103</v>
      </c>
    </row>
    <row r="19" spans="1:5" ht="15" customHeight="1">
      <c r="A19" s="28" t="s">
        <v>1108</v>
      </c>
      <c r="B19" s="28" t="s">
        <v>1050</v>
      </c>
      <c r="C19" s="28" t="s">
        <v>1107</v>
      </c>
      <c r="D19" s="28" t="s">
        <v>1109</v>
      </c>
      <c r="E19" s="28" t="s">
        <v>1078</v>
      </c>
    </row>
    <row r="20" spans="1:5" ht="15" customHeight="1">
      <c r="A20" s="28" t="s">
        <v>1111</v>
      </c>
      <c r="B20" s="28" t="s">
        <v>1058</v>
      </c>
      <c r="C20" s="28" t="s">
        <v>1110</v>
      </c>
      <c r="D20" s="28" t="s">
        <v>1112</v>
      </c>
      <c r="E20" s="28" t="s">
        <v>1078</v>
      </c>
    </row>
    <row r="21" spans="1:5" ht="15" customHeight="1">
      <c r="A21" s="28" t="s">
        <v>1115</v>
      </c>
      <c r="B21" s="28" t="s">
        <v>1062</v>
      </c>
      <c r="C21" s="28" t="s">
        <v>1114</v>
      </c>
      <c r="D21" s="28" t="s">
        <v>1116</v>
      </c>
      <c r="E21" s="28" t="s">
        <v>1078</v>
      </c>
    </row>
    <row r="22" spans="1:5" ht="15" customHeight="1">
      <c r="A22" s="28" t="s">
        <v>1119</v>
      </c>
      <c r="B22" s="28" t="s">
        <v>1062</v>
      </c>
      <c r="C22" s="28" t="s">
        <v>1118</v>
      </c>
      <c r="D22" s="28" t="s">
        <v>1120</v>
      </c>
      <c r="E22" s="28" t="s">
        <v>1078</v>
      </c>
    </row>
    <row r="23" spans="1:5" ht="15" customHeight="1">
      <c r="A23" s="28" t="s">
        <v>1122</v>
      </c>
      <c r="B23" s="28" t="s">
        <v>1066</v>
      </c>
      <c r="C23" s="28" t="s">
        <v>1121</v>
      </c>
      <c r="D23" s="28" t="s">
        <v>1123</v>
      </c>
      <c r="E23" s="28" t="s">
        <v>1078</v>
      </c>
    </row>
    <row r="24" spans="1:5" ht="15" customHeight="1">
      <c r="A24" s="28" t="s">
        <v>1126</v>
      </c>
      <c r="B24" s="28" t="s">
        <v>1066</v>
      </c>
      <c r="C24" s="28" t="s">
        <v>1125</v>
      </c>
      <c r="D24" s="28" t="s">
        <v>1127</v>
      </c>
      <c r="E24" s="28" t="s">
        <v>1078</v>
      </c>
    </row>
    <row r="25" spans="1:5" ht="15" customHeight="1">
      <c r="A25" s="28" t="s">
        <v>1129</v>
      </c>
      <c r="B25" s="28" t="s">
        <v>1066</v>
      </c>
      <c r="C25" s="28" t="s">
        <v>1128</v>
      </c>
      <c r="D25" s="28" t="s">
        <v>1130</v>
      </c>
      <c r="E25" s="28" t="s">
        <v>1078</v>
      </c>
    </row>
    <row r="26" spans="1:5" ht="15" customHeight="1">
      <c r="A26" s="28" t="s">
        <v>1132</v>
      </c>
      <c r="B26" s="28" t="s">
        <v>1066</v>
      </c>
      <c r="C26" s="28" t="s">
        <v>1131</v>
      </c>
      <c r="D26" s="28" t="s">
        <v>1133</v>
      </c>
      <c r="E26" s="28" t="s">
        <v>1078</v>
      </c>
    </row>
    <row r="27" spans="1:5" ht="15" customHeight="1">
      <c r="A27" s="28" t="s">
        <v>1135</v>
      </c>
      <c r="B27" s="28" t="s">
        <v>1066</v>
      </c>
      <c r="C27" s="28" t="s">
        <v>1134</v>
      </c>
      <c r="D27" s="28" t="s">
        <v>1136</v>
      </c>
      <c r="E27" s="28" t="s">
        <v>1078</v>
      </c>
    </row>
    <row r="28" spans="1:5" ht="15" customHeight="1">
      <c r="A28" s="28" t="s">
        <v>1139</v>
      </c>
      <c r="B28" s="28" t="s">
        <v>1062</v>
      </c>
      <c r="C28" s="28" t="s">
        <v>1138</v>
      </c>
      <c r="D28" s="28" t="s">
        <v>1140</v>
      </c>
      <c r="E28" s="28" t="s">
        <v>1078</v>
      </c>
    </row>
    <row r="29" spans="1:5" ht="15" customHeight="1">
      <c r="A29" s="28" t="s">
        <v>1143</v>
      </c>
      <c r="B29" s="28" t="s">
        <v>1066</v>
      </c>
      <c r="C29" s="28" t="s">
        <v>1142</v>
      </c>
      <c r="D29" s="28" t="s">
        <v>1144</v>
      </c>
      <c r="E29" s="28" t="s">
        <v>1078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5"/>
  <sheetViews>
    <sheetView zoomScaleNormal="100" workbookViewId="0"/>
  </sheetViews>
  <sheetFormatPr defaultColWidth="8.7109375" defaultRowHeight="15"/>
  <cols>
    <col min="1" max="1" width="10" customWidth="1"/>
    <col min="2" max="2" width="16" customWidth="1"/>
    <col min="3" max="3" width="14" customWidth="1"/>
    <col min="4" max="4" width="16" customWidth="1"/>
    <col min="5" max="5" width="34" customWidth="1"/>
  </cols>
  <sheetData>
    <row r="1" spans="1:5" ht="15" customHeight="1">
      <c r="A1" s="242" t="s">
        <v>16</v>
      </c>
    </row>
    <row r="2" spans="1:5" ht="15" customHeight="1">
      <c r="B2" s="14" t="s">
        <v>1826</v>
      </c>
    </row>
    <row r="3" spans="1:5" ht="30" customHeight="1">
      <c r="A3" s="254" t="s">
        <v>1827</v>
      </c>
      <c r="B3" s="254"/>
      <c r="C3" s="254"/>
      <c r="D3" s="254"/>
      <c r="E3" s="254"/>
    </row>
    <row r="4" spans="1:5" ht="15" customHeight="1">
      <c r="A4" s="243" t="s">
        <v>1828</v>
      </c>
      <c r="B4" s="243" t="s">
        <v>16</v>
      </c>
      <c r="C4" s="243" t="s">
        <v>1829</v>
      </c>
      <c r="D4" s="243" t="s">
        <v>1830</v>
      </c>
      <c r="E4" s="243" t="s">
        <v>1831</v>
      </c>
    </row>
    <row r="5" spans="1:5" ht="15" customHeight="1">
      <c r="A5" s="28">
        <v>2010</v>
      </c>
      <c r="B5" s="28" t="s">
        <v>1832</v>
      </c>
      <c r="C5" s="245">
        <v>1.33</v>
      </c>
      <c r="D5" s="28"/>
      <c r="E5" s="28" t="s">
        <v>1833</v>
      </c>
    </row>
    <row r="6" spans="1:5" ht="15" customHeight="1">
      <c r="A6" s="28">
        <v>2011</v>
      </c>
      <c r="B6" s="28" t="s">
        <v>1832</v>
      </c>
      <c r="C6" s="245">
        <v>1.31</v>
      </c>
      <c r="D6" s="28"/>
      <c r="E6" s="28" t="s">
        <v>1833</v>
      </c>
    </row>
    <row r="7" spans="1:5" ht="15" customHeight="1">
      <c r="A7" s="28">
        <v>2012</v>
      </c>
      <c r="B7" s="28" t="s">
        <v>1832</v>
      </c>
      <c r="C7" s="245">
        <v>1.29</v>
      </c>
      <c r="D7" s="28"/>
      <c r="E7" s="28" t="s">
        <v>1833</v>
      </c>
    </row>
    <row r="8" spans="1:5" ht="15" customHeight="1">
      <c r="A8" s="28">
        <v>2013</v>
      </c>
      <c r="B8" s="28" t="s">
        <v>1832</v>
      </c>
      <c r="C8" s="245">
        <v>1.27</v>
      </c>
      <c r="D8" s="28"/>
      <c r="E8" s="28" t="s">
        <v>1833</v>
      </c>
    </row>
    <row r="9" spans="1:5" ht="15" customHeight="1">
      <c r="A9" s="28">
        <v>2014</v>
      </c>
      <c r="B9" s="28" t="s">
        <v>1832</v>
      </c>
      <c r="C9" s="245">
        <v>1.25</v>
      </c>
      <c r="D9" s="28"/>
      <c r="E9" s="28" t="s">
        <v>1833</v>
      </c>
    </row>
    <row r="10" spans="1:5" ht="15" customHeight="1">
      <c r="A10" s="28">
        <v>2015</v>
      </c>
      <c r="B10" s="28" t="s">
        <v>1832</v>
      </c>
      <c r="C10" s="245">
        <v>1.23</v>
      </c>
      <c r="D10" s="28"/>
      <c r="E10" s="28" t="s">
        <v>1833</v>
      </c>
    </row>
    <row r="11" spans="1:5" ht="15" customHeight="1">
      <c r="A11" s="28">
        <v>2016</v>
      </c>
      <c r="B11" s="28" t="s">
        <v>1832</v>
      </c>
      <c r="C11" s="245">
        <v>1.21</v>
      </c>
      <c r="D11" s="28"/>
      <c r="E11" s="28" t="s">
        <v>1833</v>
      </c>
    </row>
    <row r="12" spans="1:5" ht="15" customHeight="1">
      <c r="A12" s="28">
        <v>2017</v>
      </c>
      <c r="B12" s="28" t="s">
        <v>1832</v>
      </c>
      <c r="C12" s="245">
        <v>1.19</v>
      </c>
      <c r="D12" s="28"/>
      <c r="E12" s="28" t="s">
        <v>1833</v>
      </c>
    </row>
    <row r="13" spans="1:5" ht="15" customHeight="1">
      <c r="A13" s="28">
        <v>2018</v>
      </c>
      <c r="B13" s="28" t="s">
        <v>1832</v>
      </c>
      <c r="C13" s="245">
        <v>1.17</v>
      </c>
      <c r="D13" s="28"/>
      <c r="E13" s="28" t="s">
        <v>1833</v>
      </c>
    </row>
    <row r="14" spans="1:5" ht="15" customHeight="1">
      <c r="A14" s="28">
        <v>2019</v>
      </c>
      <c r="B14" s="28" t="s">
        <v>1832</v>
      </c>
      <c r="C14" s="245">
        <v>1.1499999999999999</v>
      </c>
      <c r="D14" s="28"/>
      <c r="E14" s="28" t="s">
        <v>1833</v>
      </c>
    </row>
    <row r="15" spans="1:5" ht="15" customHeight="1">
      <c r="A15" s="28">
        <v>2020</v>
      </c>
      <c r="B15" s="28" t="s">
        <v>1832</v>
      </c>
      <c r="C15" s="245">
        <v>1.1299999999999999</v>
      </c>
      <c r="D15" s="28"/>
      <c r="E15" s="28" t="s">
        <v>1833</v>
      </c>
    </row>
    <row r="16" spans="1:5" ht="15" customHeight="1">
      <c r="A16" s="28">
        <v>2021</v>
      </c>
      <c r="B16" s="28" t="s">
        <v>1832</v>
      </c>
      <c r="C16" s="245">
        <v>1.1100000000000001</v>
      </c>
      <c r="D16" s="28"/>
      <c r="E16" s="28" t="s">
        <v>1833</v>
      </c>
    </row>
    <row r="17" spans="1:5" ht="15" customHeight="1">
      <c r="A17" s="28">
        <v>2022</v>
      </c>
      <c r="B17" s="28" t="s">
        <v>1832</v>
      </c>
      <c r="C17" s="245">
        <v>1.0900000000000001</v>
      </c>
      <c r="D17" s="28"/>
      <c r="E17" s="28" t="s">
        <v>1833</v>
      </c>
    </row>
    <row r="18" spans="1:5" ht="15" customHeight="1">
      <c r="A18" s="28">
        <v>2023</v>
      </c>
      <c r="B18" s="28" t="s">
        <v>1832</v>
      </c>
      <c r="C18" s="245">
        <v>1.07</v>
      </c>
      <c r="D18" s="28"/>
      <c r="E18" s="28" t="s">
        <v>1833</v>
      </c>
    </row>
    <row r="19" spans="1:5" ht="15" customHeight="1">
      <c r="A19" s="28">
        <v>2024</v>
      </c>
      <c r="B19" s="28" t="s">
        <v>1832</v>
      </c>
      <c r="C19" s="245">
        <v>1.05</v>
      </c>
      <c r="D19" s="28"/>
      <c r="E19" s="28" t="s">
        <v>1833</v>
      </c>
    </row>
    <row r="20" spans="1:5" ht="15" customHeight="1">
      <c r="A20" s="28">
        <v>2025</v>
      </c>
      <c r="B20" s="28" t="s">
        <v>1832</v>
      </c>
      <c r="C20" s="245">
        <v>1.03</v>
      </c>
      <c r="D20" s="28"/>
      <c r="E20" s="28" t="s">
        <v>1833</v>
      </c>
    </row>
    <row r="21" spans="1:5" ht="15" customHeight="1">
      <c r="A21" s="28">
        <v>2026</v>
      </c>
      <c r="B21" s="28">
        <v>0</v>
      </c>
      <c r="C21" s="28">
        <v>1</v>
      </c>
      <c r="D21" s="28">
        <v>1</v>
      </c>
      <c r="E21" s="28" t="s">
        <v>1834</v>
      </c>
    </row>
    <row r="22" spans="1:5" ht="15" customHeight="1">
      <c r="A22" s="28">
        <v>2027</v>
      </c>
      <c r="B22" s="246">
        <v>2.5000000000000001E-2</v>
      </c>
      <c r="C22" s="28"/>
      <c r="D22" s="245">
        <f t="shared" ref="D22:D55" si="0">D21*(1+B22)</f>
        <v>1.0249999999999999</v>
      </c>
      <c r="E22" s="28" t="s">
        <v>1835</v>
      </c>
    </row>
    <row r="23" spans="1:5" ht="15" customHeight="1">
      <c r="A23" s="28">
        <v>2028</v>
      </c>
      <c r="B23" s="246">
        <v>2.5000000000000001E-2</v>
      </c>
      <c r="C23" s="28"/>
      <c r="D23" s="245">
        <f t="shared" si="0"/>
        <v>1.0506249999999999</v>
      </c>
      <c r="E23" s="28" t="s">
        <v>1835</v>
      </c>
    </row>
    <row r="24" spans="1:5" ht="15" customHeight="1">
      <c r="A24" s="28">
        <v>2029</v>
      </c>
      <c r="B24" s="246">
        <v>2.5000000000000001E-2</v>
      </c>
      <c r="C24" s="28"/>
      <c r="D24" s="245">
        <f t="shared" si="0"/>
        <v>1.0768906249999999</v>
      </c>
      <c r="E24" s="28" t="s">
        <v>1835</v>
      </c>
    </row>
    <row r="25" spans="1:5" ht="15" customHeight="1">
      <c r="A25" s="28">
        <v>2030</v>
      </c>
      <c r="B25" s="246">
        <v>2.5000000000000001E-2</v>
      </c>
      <c r="C25" s="28"/>
      <c r="D25" s="245">
        <f t="shared" si="0"/>
        <v>1.1038128906249998</v>
      </c>
      <c r="E25" s="28" t="s">
        <v>1835</v>
      </c>
    </row>
    <row r="26" spans="1:5" ht="15" customHeight="1">
      <c r="A26" s="28">
        <v>2031</v>
      </c>
      <c r="B26" s="246">
        <v>2.5000000000000001E-2</v>
      </c>
      <c r="C26" s="28"/>
      <c r="D26" s="245">
        <f t="shared" si="0"/>
        <v>1.1314082128906247</v>
      </c>
      <c r="E26" s="28" t="s">
        <v>1835</v>
      </c>
    </row>
    <row r="27" spans="1:5" ht="15" customHeight="1">
      <c r="A27" s="28">
        <v>2032</v>
      </c>
      <c r="B27" s="246">
        <v>2.5000000000000001E-2</v>
      </c>
      <c r="C27" s="28"/>
      <c r="D27" s="245">
        <f t="shared" si="0"/>
        <v>1.1596934182128902</v>
      </c>
      <c r="E27" s="28" t="s">
        <v>1835</v>
      </c>
    </row>
    <row r="28" spans="1:5" ht="15" customHeight="1">
      <c r="A28" s="28">
        <v>2033</v>
      </c>
      <c r="B28" s="246">
        <v>2.5000000000000001E-2</v>
      </c>
      <c r="C28" s="28"/>
      <c r="D28" s="245">
        <f t="shared" si="0"/>
        <v>1.1886857536682123</v>
      </c>
      <c r="E28" s="28" t="s">
        <v>1835</v>
      </c>
    </row>
    <row r="29" spans="1:5" ht="15" customHeight="1">
      <c r="A29" s="28">
        <v>2034</v>
      </c>
      <c r="B29" s="246">
        <v>2.5000000000000001E-2</v>
      </c>
      <c r="C29" s="28"/>
      <c r="D29" s="245">
        <f t="shared" si="0"/>
        <v>1.2184028975099175</v>
      </c>
      <c r="E29" s="28" t="s">
        <v>1835</v>
      </c>
    </row>
    <row r="30" spans="1:5" ht="15" customHeight="1">
      <c r="A30" s="28">
        <v>2035</v>
      </c>
      <c r="B30" s="246">
        <v>2.5000000000000001E-2</v>
      </c>
      <c r="C30" s="28"/>
      <c r="D30" s="245">
        <f t="shared" si="0"/>
        <v>1.2488629699476652</v>
      </c>
      <c r="E30" s="28" t="s">
        <v>1835</v>
      </c>
    </row>
    <row r="31" spans="1:5" ht="15" customHeight="1">
      <c r="A31" s="28">
        <v>2036</v>
      </c>
      <c r="B31" s="246">
        <v>2.5000000000000001E-2</v>
      </c>
      <c r="C31" s="28"/>
      <c r="D31" s="245">
        <f t="shared" si="0"/>
        <v>1.2800845441963566</v>
      </c>
      <c r="E31" s="28" t="s">
        <v>1835</v>
      </c>
    </row>
    <row r="32" spans="1:5" ht="15" customHeight="1">
      <c r="A32" s="28">
        <v>2037</v>
      </c>
      <c r="B32" s="246">
        <v>2.5000000000000001E-2</v>
      </c>
      <c r="C32" s="28"/>
      <c r="D32" s="245">
        <f t="shared" si="0"/>
        <v>1.3120866578012655</v>
      </c>
      <c r="E32" s="28" t="s">
        <v>1835</v>
      </c>
    </row>
    <row r="33" spans="1:5" ht="15" customHeight="1">
      <c r="A33" s="28">
        <v>2038</v>
      </c>
      <c r="B33" s="246">
        <v>2.5000000000000001E-2</v>
      </c>
      <c r="C33" s="28"/>
      <c r="D33" s="245">
        <f t="shared" si="0"/>
        <v>1.3448888242462971</v>
      </c>
      <c r="E33" s="28" t="s">
        <v>1835</v>
      </c>
    </row>
    <row r="34" spans="1:5" ht="15" customHeight="1">
      <c r="A34" s="28">
        <v>2039</v>
      </c>
      <c r="B34" s="246">
        <v>2.5000000000000001E-2</v>
      </c>
      <c r="C34" s="28"/>
      <c r="D34" s="245">
        <f t="shared" si="0"/>
        <v>1.3785110448524545</v>
      </c>
      <c r="E34" s="28" t="s">
        <v>1835</v>
      </c>
    </row>
    <row r="35" spans="1:5" ht="15" customHeight="1">
      <c r="A35" s="28">
        <v>2040</v>
      </c>
      <c r="B35" s="246">
        <v>2.5000000000000001E-2</v>
      </c>
      <c r="C35" s="28"/>
      <c r="D35" s="245">
        <f t="shared" si="0"/>
        <v>1.4129738209737657</v>
      </c>
      <c r="E35" s="28" t="s">
        <v>1835</v>
      </c>
    </row>
    <row r="36" spans="1:5" ht="15" customHeight="1">
      <c r="A36" s="28">
        <v>2041</v>
      </c>
      <c r="B36" s="246">
        <v>2.5000000000000001E-2</v>
      </c>
      <c r="C36" s="28"/>
      <c r="D36" s="245">
        <f t="shared" si="0"/>
        <v>1.4482981664981096</v>
      </c>
      <c r="E36" s="28" t="s">
        <v>1835</v>
      </c>
    </row>
    <row r="37" spans="1:5" ht="15" customHeight="1">
      <c r="A37" s="28">
        <v>2042</v>
      </c>
      <c r="B37" s="246">
        <v>2.5000000000000001E-2</v>
      </c>
      <c r="C37" s="28"/>
      <c r="D37" s="245">
        <f t="shared" si="0"/>
        <v>1.4845056206605622</v>
      </c>
      <c r="E37" s="28" t="s">
        <v>1835</v>
      </c>
    </row>
    <row r="38" spans="1:5" ht="15" customHeight="1">
      <c r="A38" s="28">
        <v>2043</v>
      </c>
      <c r="B38" s="246">
        <v>2.5000000000000001E-2</v>
      </c>
      <c r="C38" s="28"/>
      <c r="D38" s="245">
        <f t="shared" si="0"/>
        <v>1.5216182611770761</v>
      </c>
      <c r="E38" s="28" t="s">
        <v>1835</v>
      </c>
    </row>
    <row r="39" spans="1:5" ht="15" customHeight="1">
      <c r="A39" s="28">
        <v>2044</v>
      </c>
      <c r="B39" s="246">
        <v>2.5000000000000001E-2</v>
      </c>
      <c r="C39" s="28"/>
      <c r="D39" s="245">
        <f t="shared" si="0"/>
        <v>1.5596587177065029</v>
      </c>
      <c r="E39" s="28" t="s">
        <v>1835</v>
      </c>
    </row>
    <row r="40" spans="1:5" ht="15" customHeight="1">
      <c r="A40" s="28">
        <v>2045</v>
      </c>
      <c r="B40" s="246">
        <v>2.5000000000000001E-2</v>
      </c>
      <c r="C40" s="28"/>
      <c r="D40" s="245">
        <f t="shared" si="0"/>
        <v>1.5986501856491653</v>
      </c>
      <c r="E40" s="28" t="s">
        <v>1835</v>
      </c>
    </row>
    <row r="41" spans="1:5" ht="15" customHeight="1">
      <c r="A41" s="28">
        <v>2046</v>
      </c>
      <c r="B41" s="246">
        <v>2.5000000000000001E-2</v>
      </c>
      <c r="C41" s="28"/>
      <c r="D41" s="245">
        <f t="shared" si="0"/>
        <v>1.6386164402903942</v>
      </c>
      <c r="E41" s="28" t="s">
        <v>1835</v>
      </c>
    </row>
    <row r="42" spans="1:5" ht="15" customHeight="1">
      <c r="A42" s="28">
        <v>2047</v>
      </c>
      <c r="B42" s="246">
        <v>2.5000000000000001E-2</v>
      </c>
      <c r="C42" s="28"/>
      <c r="D42" s="245">
        <f t="shared" si="0"/>
        <v>1.6795818512976539</v>
      </c>
      <c r="E42" s="28" t="s">
        <v>1835</v>
      </c>
    </row>
    <row r="43" spans="1:5" ht="15" customHeight="1">
      <c r="A43" s="28">
        <v>2048</v>
      </c>
      <c r="B43" s="246">
        <v>2.5000000000000001E-2</v>
      </c>
      <c r="C43" s="28"/>
      <c r="D43" s="245">
        <f t="shared" si="0"/>
        <v>1.721571397580095</v>
      </c>
      <c r="E43" s="28" t="s">
        <v>1835</v>
      </c>
    </row>
    <row r="44" spans="1:5" ht="15" customHeight="1">
      <c r="A44" s="28">
        <v>2049</v>
      </c>
      <c r="B44" s="246">
        <v>2.5000000000000001E-2</v>
      </c>
      <c r="C44" s="28"/>
      <c r="D44" s="245">
        <f t="shared" si="0"/>
        <v>1.7646106825195973</v>
      </c>
      <c r="E44" s="28" t="s">
        <v>1835</v>
      </c>
    </row>
    <row r="45" spans="1:5" ht="15" customHeight="1">
      <c r="A45" s="28">
        <v>2050</v>
      </c>
      <c r="B45" s="246">
        <v>2.5000000000000001E-2</v>
      </c>
      <c r="C45" s="28"/>
      <c r="D45" s="245">
        <f t="shared" si="0"/>
        <v>1.8087259495825871</v>
      </c>
      <c r="E45" s="28" t="s">
        <v>1835</v>
      </c>
    </row>
    <row r="46" spans="1:5" ht="15" customHeight="1">
      <c r="A46" s="28">
        <v>2051</v>
      </c>
      <c r="B46" s="246">
        <v>2.5000000000000001E-2</v>
      </c>
      <c r="C46" s="28"/>
      <c r="D46" s="245">
        <f t="shared" si="0"/>
        <v>1.8539440983221516</v>
      </c>
      <c r="E46" s="28" t="s">
        <v>1835</v>
      </c>
    </row>
    <row r="47" spans="1:5" ht="15" customHeight="1">
      <c r="A47" s="28">
        <v>2052</v>
      </c>
      <c r="B47" s="246">
        <v>2.5000000000000001E-2</v>
      </c>
      <c r="C47" s="28"/>
      <c r="D47" s="245">
        <f t="shared" si="0"/>
        <v>1.9002927007802053</v>
      </c>
      <c r="E47" s="28" t="s">
        <v>1835</v>
      </c>
    </row>
    <row r="48" spans="1:5" ht="15" customHeight="1">
      <c r="A48" s="28">
        <v>2053</v>
      </c>
      <c r="B48" s="246">
        <v>2.5000000000000001E-2</v>
      </c>
      <c r="C48" s="28"/>
      <c r="D48" s="245">
        <f t="shared" si="0"/>
        <v>1.9478000182997102</v>
      </c>
      <c r="E48" s="28" t="s">
        <v>1835</v>
      </c>
    </row>
    <row r="49" spans="1:5" ht="15" customHeight="1">
      <c r="A49" s="28">
        <v>2054</v>
      </c>
      <c r="B49" s="246">
        <v>2.5000000000000001E-2</v>
      </c>
      <c r="C49" s="28"/>
      <c r="D49" s="245">
        <f t="shared" si="0"/>
        <v>1.9964950187572028</v>
      </c>
      <c r="E49" s="28" t="s">
        <v>1835</v>
      </c>
    </row>
    <row r="50" spans="1:5" ht="15" customHeight="1">
      <c r="A50" s="28">
        <v>2055</v>
      </c>
      <c r="B50" s="246">
        <v>2.5000000000000001E-2</v>
      </c>
      <c r="C50" s="28"/>
      <c r="D50" s="245">
        <f t="shared" si="0"/>
        <v>2.0464073942261325</v>
      </c>
      <c r="E50" s="28" t="s">
        <v>1835</v>
      </c>
    </row>
    <row r="51" spans="1:5" ht="15" customHeight="1">
      <c r="A51" s="28">
        <v>2056</v>
      </c>
      <c r="B51" s="246">
        <v>2.5000000000000001E-2</v>
      </c>
      <c r="C51" s="28"/>
      <c r="D51" s="245">
        <f t="shared" si="0"/>
        <v>2.0975675790817858</v>
      </c>
      <c r="E51" s="28" t="s">
        <v>1835</v>
      </c>
    </row>
    <row r="52" spans="1:5" ht="15" customHeight="1">
      <c r="A52" s="28">
        <v>2057</v>
      </c>
      <c r="B52" s="246">
        <v>2.5000000000000001E-2</v>
      </c>
      <c r="C52" s="28"/>
      <c r="D52" s="245">
        <f t="shared" si="0"/>
        <v>2.1500067685588302</v>
      </c>
      <c r="E52" s="28" t="s">
        <v>1835</v>
      </c>
    </row>
    <row r="53" spans="1:5" ht="15" customHeight="1">
      <c r="A53" s="28">
        <v>2058</v>
      </c>
      <c r="B53" s="246">
        <v>2.5000000000000001E-2</v>
      </c>
      <c r="C53" s="28"/>
      <c r="D53" s="245">
        <f t="shared" si="0"/>
        <v>2.2037569377728006</v>
      </c>
      <c r="E53" s="28" t="s">
        <v>1835</v>
      </c>
    </row>
    <row r="54" spans="1:5" ht="15" customHeight="1">
      <c r="A54" s="28">
        <v>2059</v>
      </c>
      <c r="B54" s="246">
        <v>2.5000000000000001E-2</v>
      </c>
      <c r="C54" s="28"/>
      <c r="D54" s="245">
        <f t="shared" si="0"/>
        <v>2.2588508612171205</v>
      </c>
      <c r="E54" s="28" t="s">
        <v>1835</v>
      </c>
    </row>
    <row r="55" spans="1:5" ht="15" customHeight="1">
      <c r="A55" s="28">
        <v>2060</v>
      </c>
      <c r="B55" s="246">
        <v>2.5000000000000001E-2</v>
      </c>
      <c r="C55" s="28"/>
      <c r="D55" s="245">
        <f t="shared" si="0"/>
        <v>2.3153221327475482</v>
      </c>
      <c r="E55" s="28" t="s">
        <v>1835</v>
      </c>
    </row>
  </sheetData>
  <mergeCells count="1"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Cover Page</vt:lpstr>
      <vt:lpstr>Table of Contents</vt:lpstr>
      <vt:lpstr>1 - Change History</vt:lpstr>
      <vt:lpstr>4d - CBS in JS format</vt:lpstr>
      <vt:lpstr>2 - Phasing Nomenclature</vt:lpstr>
      <vt:lpstr>3 - Phase Durations</vt:lpstr>
      <vt:lpstr>PM's sched Scenarios</vt:lpstr>
      <vt:lpstr>GR&amp;A</vt:lpstr>
      <vt:lpstr>4 - RAM LoE</vt:lpstr>
      <vt:lpstr>5 - Risk Register</vt:lpstr>
      <vt:lpstr>Risk Breakdown Structure</vt:lpstr>
      <vt:lpstr>Raw Labour Rates</vt:lpstr>
      <vt:lpstr>Labour Rates lookup</vt:lpstr>
      <vt:lpstr>Rolodex</vt:lpstr>
      <vt:lpstr>Inflation Rate</vt:lpstr>
      <vt:lpstr>Costing_Phases</vt:lpstr>
      <vt:lpstr>Costing_Phases_PM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Mireille Bedirian</dc:creator>
  <dc:description/>
  <cp:lastModifiedBy>Vaibhav, Vaibhav (ASC/CSA)</cp:lastModifiedBy>
  <cp:revision>37</cp:revision>
  <dcterms:created xsi:type="dcterms:W3CDTF">2025-03-21T19:01:03Z</dcterms:created>
  <dcterms:modified xsi:type="dcterms:W3CDTF">2026-09-25T14:23:00Z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8a8773-bcd3-476c-8adc-f986a36f2c00_ActionId">
    <vt:lpwstr>94a9cdcd-8848-4587-81a8-0b8a7490100b</vt:lpwstr>
  </property>
  <property fmtid="{D5CDD505-2E9C-101B-9397-08002B2CF9AE}" pid="3" name="MSIP_Label_658a8773-bcd3-476c-8adc-f986a36f2c00_ContentBits">
    <vt:lpwstr>0</vt:lpwstr>
  </property>
  <property fmtid="{D5CDD505-2E9C-101B-9397-08002B2CF9AE}" pid="4" name="MSIP_Label_658a8773-bcd3-476c-8adc-f986a36f2c00_Enabled">
    <vt:lpwstr>true</vt:lpwstr>
  </property>
  <property fmtid="{D5CDD505-2E9C-101B-9397-08002B2CF9AE}" pid="5" name="MSIP_Label_658a8773-bcd3-476c-8adc-f986a36f2c00_Method">
    <vt:lpwstr>Privileged</vt:lpwstr>
  </property>
  <property fmtid="{D5CDD505-2E9C-101B-9397-08002B2CF9AE}" pid="6" name="MSIP_Label_658a8773-bcd3-476c-8adc-f986a36f2c00_Name">
    <vt:lpwstr>NON-CLASSIFIÉ NON VISIBLE - UNCLASSIFIED NOT VISIBLE</vt:lpwstr>
  </property>
  <property fmtid="{D5CDD505-2E9C-101B-9397-08002B2CF9AE}" pid="7" name="MSIP_Label_658a8773-bcd3-476c-8adc-f986a36f2c00_SetDate">
    <vt:lpwstr>2025-03-21T19:47:03Z</vt:lpwstr>
  </property>
  <property fmtid="{D5CDD505-2E9C-101B-9397-08002B2CF9AE}" pid="8" name="MSIP_Label_658a8773-bcd3-476c-8adc-f986a36f2c00_SiteId">
    <vt:lpwstr>ea59922f-ea3d-4e45-ba97-caf826fb9335</vt:lpwstr>
  </property>
</Properties>
</file>