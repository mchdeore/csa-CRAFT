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vaibhav\Downloads\"/>
    </mc:Choice>
  </mc:AlternateContent>
  <xr:revisionPtr revIDLastSave="0" documentId="13_ncr:1_{7929A989-9A00-428F-A578-4A047C3DD813}" xr6:coauthVersionLast="47" xr6:coauthVersionMax="47" xr10:uidLastSave="{00000000-0000-0000-0000-000000000000}"/>
  <bookViews>
    <workbookView xWindow="-120" yWindow="-120" windowWidth="29040" windowHeight="15720" tabRatio="766" xr2:uid="{00000000-000D-0000-FFFF-FFFF00000000}"/>
  </bookViews>
  <sheets>
    <sheet name="Cover Page" sheetId="1" r:id="rId1"/>
    <sheet name="Table of contents" sheetId="2" r:id="rId2"/>
    <sheet name="1 - Change history" sheetId="3" r:id="rId3"/>
    <sheet name="2 - CM " sheetId="4" r:id="rId4"/>
    <sheet name="3 - Taxon" sheetId="5" r:id="rId5"/>
    <sheet name="4- WBS Mapping" sheetId="6" r:id="rId6"/>
    <sheet name="4d - CBS in JS format" sheetId="7" state="hidden" r:id="rId7"/>
    <sheet name="5- OBS" sheetId="8" r:id="rId8"/>
    <sheet name="6 - Phase Name" sheetId="9" r:id="rId9"/>
    <sheet name="7 - Phase Durations" sheetId="10" r:id="rId10"/>
    <sheet name="8 -  Milestones " sheetId="11" r:id="rId11"/>
    <sheet name="9 - Sched Dependencies" sheetId="12" r:id="rId12"/>
    <sheet name="GR&amp;A" sheetId="13" state="hidden" r:id="rId13"/>
    <sheet name="10 - Strategies" sheetId="14" r:id="rId14"/>
    <sheet name="11 - DDDD" sheetId="15" r:id="rId15"/>
    <sheet name="12 - Procurement Plan " sheetId="16" r:id="rId16"/>
    <sheet name="13 - Govt Overhead" sheetId="17" r:id="rId17"/>
    <sheet name="14 - Constants " sheetId="18" r:id="rId18"/>
    <sheet name="15 - Inflation" sheetId="19" r:id="rId19"/>
    <sheet name="16 - Math Models" sheetId="20" r:id="rId20"/>
    <sheet name="17 - Neighbors" sheetId="21" r:id="rId21"/>
    <sheet name="18 - Cost Density Curve" sheetId="22" r:id="rId22"/>
    <sheet name="19 - Jobs" sheetId="23" r:id="rId23"/>
    <sheet name="20 - Lessons Learned" sheetId="24" r:id="rId24"/>
  </sheets>
  <definedNames>
    <definedName name="_Fill" localSheetId="18" hidden="1">#REF!</definedName>
    <definedName name="_Fill" hidden="1">#REF!</definedName>
    <definedName name="_xlnm._FilterDatabase" localSheetId="13" hidden="1">'10 - Strategies'!$B$17:$M$100</definedName>
    <definedName name="_xlnm._FilterDatabase" localSheetId="10" hidden="1">'8 -  Milestones '!$B$9:$J$77</definedName>
    <definedName name="_xlnm._FilterDatabase" localSheetId="12" hidden="1">'GR&amp;A'!$A$5:$R$350</definedName>
    <definedName name="_Table1_In1" localSheetId="18" hidden="1">#REF!</definedName>
    <definedName name="_Table1_In1" hidden="1">#REF!</definedName>
    <definedName name="_Table2_In1" localSheetId="18" hidden="1">#REF!</definedName>
    <definedName name="_Table2_In1" hidden="1">#REF!</definedName>
    <definedName name="_Table2_In2" localSheetId="18" hidden="1">#REF!</definedName>
    <definedName name="_Table2_In2" hidden="1">#REF!</definedName>
    <definedName name="_Table2_In3" localSheetId="18" hidden="1">#REF!</definedName>
    <definedName name="_Table2_In3" hidden="1">#REF!</definedName>
    <definedName name="_Table2_In4" localSheetId="18" hidden="1">#REF!</definedName>
    <definedName name="_Table2_In4" hidden="1">#REF!</definedName>
    <definedName name="aa" localSheetId="13" hidden="1">{#N/A,#N/A,TRUE,"Report"}</definedName>
    <definedName name="aa" localSheetId="14" hidden="1">{#N/A,#N/A,TRUE,"Report"}</definedName>
    <definedName name="aa" localSheetId="15" hidden="1">{#N/A,#N/A,TRUE,"Report"}</definedName>
    <definedName name="aa" localSheetId="17" hidden="1">{#N/A,#N/A,TRUE,"Report"}</definedName>
    <definedName name="aa" localSheetId="18" hidden="1">{#N/A,#N/A,TRUE,"Report"}</definedName>
    <definedName name="aa" localSheetId="21" hidden="1">{#N/A,#N/A,TRUE,"Report"}</definedName>
    <definedName name="aa" localSheetId="22" hidden="1">{#N/A,#N/A,TRUE,"Report"}</definedName>
    <definedName name="aa" localSheetId="3" hidden="1">{#N/A,#N/A,TRUE,"Report"}</definedName>
    <definedName name="aa" localSheetId="23" hidden="1">{#N/A,#N/A,TRUE,"Report"}</definedName>
    <definedName name="aa" localSheetId="7" hidden="1">{#N/A,#N/A,TRUE,"Report"}</definedName>
    <definedName name="aa" localSheetId="8" hidden="1">{#N/A,#N/A,TRUE,"Report"}</definedName>
    <definedName name="aa" localSheetId="9" hidden="1">{#N/A,#N/A,TRUE,"Report"}</definedName>
    <definedName name="aa" localSheetId="10" hidden="1">{#N/A,#N/A,TRUE,"Report"}</definedName>
    <definedName name="aa" localSheetId="11" hidden="1">{#N/A,#N/A,TRUE,"Report"}</definedName>
    <definedName name="aa" hidden="1">{#N/A,#N/A,TRUE,"Report"}</definedName>
    <definedName name="ad" localSheetId="13" hidden="1">{#N/A,#N/A,TRUE,"Report"}</definedName>
    <definedName name="ad" localSheetId="14" hidden="1">{#N/A,#N/A,TRUE,"Report"}</definedName>
    <definedName name="ad" localSheetId="15" hidden="1">{#N/A,#N/A,TRUE,"Report"}</definedName>
    <definedName name="ad" localSheetId="17" hidden="1">{#N/A,#N/A,TRUE,"Report"}</definedName>
    <definedName name="ad" localSheetId="18" hidden="1">{#N/A,#N/A,TRUE,"Report"}</definedName>
    <definedName name="ad" localSheetId="21" hidden="1">{#N/A,#N/A,TRUE,"Report"}</definedName>
    <definedName name="ad" localSheetId="22" hidden="1">{#N/A,#N/A,TRUE,"Report"}</definedName>
    <definedName name="ad" localSheetId="3" hidden="1">{#N/A,#N/A,TRUE,"Report"}</definedName>
    <definedName name="ad" localSheetId="23" hidden="1">{#N/A,#N/A,TRUE,"Report"}</definedName>
    <definedName name="ad" localSheetId="7" hidden="1">{#N/A,#N/A,TRUE,"Report"}</definedName>
    <definedName name="ad" localSheetId="8" hidden="1">{#N/A,#N/A,TRUE,"Report"}</definedName>
    <definedName name="ad" localSheetId="9" hidden="1">{#N/A,#N/A,TRUE,"Report"}</definedName>
    <definedName name="ad" localSheetId="10" hidden="1">{#N/A,#N/A,TRUE,"Report"}</definedName>
    <definedName name="ad" localSheetId="11" hidden="1">{#N/A,#N/A,TRUE,"Report"}</definedName>
    <definedName name="ad" hidden="1">{#N/A,#N/A,TRUE,"Report"}</definedName>
    <definedName name="AuthorityFY1819">#REF!</definedName>
    <definedName name="AuthorityFY1920">#REF!</definedName>
    <definedName name="AuthorityFY2021">#REF!</definedName>
    <definedName name="AuthorityFY2122">#REF!</definedName>
    <definedName name="AuthorityFY2324">#REF!</definedName>
    <definedName name="AuthorityPhase0">#REF!</definedName>
    <definedName name="AuthorityPhaseA">#REF!</definedName>
    <definedName name="AuthorityPhaseBC">#REF!</definedName>
    <definedName name="AuthorityPhaseD">#REF!</definedName>
    <definedName name="AuthorityPhaseE">#REF!</definedName>
    <definedName name="Autorités2">#REF!</definedName>
    <definedName name="basis">#REF!</definedName>
    <definedName name="bbbbbbbbbbbbbbbbbbbb">#REF!</definedName>
    <definedName name="BI_4">#REF!</definedName>
    <definedName name="BudgetPhaseA">#REF!</definedName>
    <definedName name="BudgetPhaseBC">#REF!</definedName>
    <definedName name="BudgetPhaseD">#REF!</definedName>
    <definedName name="BudgetPhaseE">#REF!</definedName>
    <definedName name="bushmen_admin">#REF!</definedName>
    <definedName name="bushmen_easy">#REF!</definedName>
    <definedName name="bushmen_far">#REF!</definedName>
    <definedName name="bushmen_rate">#REF!</definedName>
    <definedName name="bushmen_travelrate">#REF!</definedName>
    <definedName name="CATEGORIES">#REF!</definedName>
    <definedName name="CCG">#REF!</definedName>
    <definedName name="CEGNAME">#REF!</definedName>
    <definedName name="CENAME">#REF!</definedName>
    <definedName name="CI_GL_Description">#REF!</definedName>
    <definedName name="Classifications">#REF!</definedName>
    <definedName name="CONT">#REF!</definedName>
    <definedName name="ContRates">#REF!</definedName>
    <definedName name="Conversion">#REF!</definedName>
    <definedName name="Cost_per_Pass_CCMEO">#REF!</definedName>
    <definedName name="Cost_per_Pass_MDA">#REF!</definedName>
    <definedName name="Cost_per_Pass_NGT">#REF!</definedName>
    <definedName name="Costing_Phases" localSheetId="8">'6 - Phase Name'!$F$13:$F$25</definedName>
    <definedName name="Costing_Phases">#REF!</definedName>
    <definedName name="Costing_Phases_PM" localSheetId="8">'6 - Phase Name'!$I$13:$I$25</definedName>
    <definedName name="Costing_Phases_PM">#REF!</definedName>
    <definedName name="CoT_admin">#REF!</definedName>
    <definedName name="CR">#REF!</definedName>
    <definedName name="dad">#REF!</definedName>
    <definedName name="_xlnm.Database">#REF!</definedName>
    <definedName name="Delay_list">#REF!</definedName>
    <definedName name="Department">#REF!</definedName>
    <definedName name="Depth">#REF!</definedName>
    <definedName name="Depth2">#REF!</definedName>
    <definedName name="Description_SST_Eng_Dev">#REF!</definedName>
    <definedName name="Destinations">#REF!</definedName>
    <definedName name="dfdsf">#REF!</definedName>
    <definedName name="DFED">#REF!</definedName>
    <definedName name="dfg">#REF!</definedName>
    <definedName name="DFGED">#REF!</definedName>
    <definedName name="dfgsd">#REF!</definedName>
    <definedName name="dfsd">#REF!</definedName>
    <definedName name="dfsdf">#REF!</definedName>
    <definedName name="dfsgdf">#REF!</definedName>
    <definedName name="DIR">#REF!</definedName>
    <definedName name="direction">#REF!</definedName>
    <definedName name="duree_campagne">#REF!</definedName>
    <definedName name="EBP">#REF!</definedName>
    <definedName name="EBP17_18">#REF!</definedName>
    <definedName name="EmployeeBenefitPlan">#REF!</definedName>
    <definedName name="End_FY">#REF!</definedName>
    <definedName name="Eng_3">#REF!</definedName>
    <definedName name="Eng_4">#REF!</definedName>
    <definedName name="Eng_5">#REF!</definedName>
    <definedName name="Eng_6">#REF!</definedName>
    <definedName name="ESM">#REF!</definedName>
    <definedName name="ESTIMATES_9495">#REF!</definedName>
    <definedName name="ESTIMATES_9596">#REF!</definedName>
    <definedName name="EURCAD">#REF!</definedName>
    <definedName name="EURO">#REF!</definedName>
    <definedName name="ExCoreManagement">#REF!</definedName>
    <definedName name="f">#REF!</definedName>
    <definedName name="FA">#REF!</definedName>
    <definedName name="fdgdf">#REF!</definedName>
    <definedName name="fdgsdgsdfgdf">#REF!</definedName>
    <definedName name="FEDD">#REF!</definedName>
    <definedName name="Ferie">#REF!</definedName>
    <definedName name="ff">#REF!</definedName>
    <definedName name="FFF">#REF!</definedName>
    <definedName name="FFFF">#REF!</definedName>
    <definedName name="fffff">#REF!</definedName>
    <definedName name="fffffffffffffffffffff">#REF!</definedName>
    <definedName name="FFSDS">#REF!</definedName>
    <definedName name="fgfg">#REF!</definedName>
    <definedName name="FGG">#REF!</definedName>
    <definedName name="FGMBG">#REF!</definedName>
    <definedName name="fgsdf">#REF!</definedName>
    <definedName name="fgsf">#REF!</definedName>
    <definedName name="Fond">#REF!</definedName>
    <definedName name="FORECAST">#REF!</definedName>
    <definedName name="Format">#REF!</definedName>
    <definedName name="FromArray_1">_xlfn.ANCHORARRAY(#REF!)</definedName>
    <definedName name="FUND">#REF!</definedName>
    <definedName name="FYs">#REF!</definedName>
    <definedName name="ga">#REF!</definedName>
    <definedName name="GBPCAD">#REF!</definedName>
    <definedName name="gdfgd">#REF!</definedName>
    <definedName name="gdfgfd">#REF!</definedName>
    <definedName name="GFED">#REF!</definedName>
    <definedName name="gfhd">#REF!</definedName>
    <definedName name="ggggggggggggggggggggggggggggggggg">#REF!</definedName>
    <definedName name="gikn">#REF!</definedName>
    <definedName name="GR">#REF!</definedName>
    <definedName name="GR_LVL">#REF!</definedName>
    <definedName name="Group">#REF!</definedName>
    <definedName name="GS_SUSENG">#REF!</definedName>
    <definedName name="h">#REF!</definedName>
    <definedName name="Header">#REF!</definedName>
    <definedName name="help">#REF!</definedName>
    <definedName name="HOLIDAYS">#REF!</definedName>
    <definedName name="Horizon">#REF!</definedName>
    <definedName name="IF">#REF!</definedName>
    <definedName name="IFR">#REF!</definedName>
    <definedName name="IIRB">#REF!</definedName>
    <definedName name="in_flt">#REF!</definedName>
    <definedName name="INDICATORS">#REF!</definedName>
    <definedName name="infl">#REF!</definedName>
    <definedName name="INFLATION">#REF!</definedName>
    <definedName name="Infra">#REF!</definedName>
    <definedName name="Intermediate_car">#REF!</definedName>
    <definedName name="IS">#REF!</definedName>
    <definedName name="IT">#REF!</definedName>
    <definedName name="iweayfgfjk">#REF!</definedName>
    <definedName name="JJJJJ">#REF!</definedName>
    <definedName name="k">#REF!</definedName>
    <definedName name="kfkdkjd">#REF!</definedName>
    <definedName name="L_ACTIVITY">#REF!</definedName>
    <definedName name="L_Antenna">#REF!</definedName>
    <definedName name="L_AUC">#REF!</definedName>
    <definedName name="L_CLASSIFICATION">#REF!</definedName>
    <definedName name="L_COST_CENTER">#REF!</definedName>
    <definedName name="L_COST_CENTERS">#REF!</definedName>
    <definedName name="L_costcenter">#REF!</definedName>
    <definedName name="L_FUN_GROUP">#REF!</definedName>
    <definedName name="L_fund">#REF!</definedName>
    <definedName name="L_FY">#REF!</definedName>
    <definedName name="L_GS_SUSTENG">#REF!</definedName>
    <definedName name="L_INCLUSIONS">#REF!</definedName>
    <definedName name="L_LABEL">#REF!</definedName>
    <definedName name="L_MISSION">#REF!</definedName>
    <definedName name="L_MOU">#REF!</definedName>
    <definedName name="L_PROJECT">#REF!</definedName>
    <definedName name="L_responsible">#REF!</definedName>
    <definedName name="L_RO">#REF!</definedName>
    <definedName name="L_SAP_Contract_MOU">#REF!</definedName>
    <definedName name="L_SCENARIOS">#REF!</definedName>
    <definedName name="L_VPSC_Labels">#REF!</definedName>
    <definedName name="L_YESNO">#REF!</definedName>
    <definedName name="Large_pick_up">#REF!</definedName>
    <definedName name="LEGISLATIF">#REF!</definedName>
    <definedName name="Level">#REF!</definedName>
    <definedName name="LevelAndSalary">#REF!</definedName>
    <definedName name="ll" localSheetId="13" hidden="1">{#N/A,#N/A,TRUE,"Report"}</definedName>
    <definedName name="ll" localSheetId="14" hidden="1">{#N/A,#N/A,TRUE,"Report"}</definedName>
    <definedName name="ll" localSheetId="15" hidden="1">{#N/A,#N/A,TRUE,"Report"}</definedName>
    <definedName name="ll" localSheetId="17" hidden="1">{#N/A,#N/A,TRUE,"Report"}</definedName>
    <definedName name="ll" localSheetId="21" hidden="1">{#N/A,#N/A,TRUE,"Report"}</definedName>
    <definedName name="ll" localSheetId="22" hidden="1">{#N/A,#N/A,TRUE,"Report"}</definedName>
    <definedName name="ll" localSheetId="3" hidden="1">{#N/A,#N/A,TRUE,"Report"}</definedName>
    <definedName name="ll" localSheetId="23" hidden="1">{#N/A,#N/A,TRUE,"Report"}</definedName>
    <definedName name="ll" localSheetId="7" hidden="1">{#N/A,#N/A,TRUE,"Report"}</definedName>
    <definedName name="ll" localSheetId="8" hidden="1">{#N/A,#N/A,TRUE,"Report"}</definedName>
    <definedName name="ll" localSheetId="9" hidden="1">{#N/A,#N/A,TRUE,"Report"}</definedName>
    <definedName name="ll" localSheetId="10" hidden="1">{#N/A,#N/A,TRUE,"Report"}</definedName>
    <definedName name="ll" localSheetId="11" hidden="1">{#N/A,#N/A,TRUE,"Report"}</definedName>
    <definedName name="ll" hidden="1">{#N/A,#N/A,TRUE,"Report"}</definedName>
    <definedName name="LV">#REF!</definedName>
    <definedName name="LVL">#REF!</definedName>
    <definedName name="M">#REF!</definedName>
    <definedName name="MA">#REF!</definedName>
    <definedName name="MAPPING">#REF!</definedName>
    <definedName name="MATCH">#REF!</definedName>
    <definedName name="MATCHES">#REF!</definedName>
    <definedName name="MATCHS">#REF!</definedName>
    <definedName name="matrice">#REF!</definedName>
    <definedName name="matriceinverse">#REF!</definedName>
    <definedName name="MM">#REF!</definedName>
    <definedName name="MM_Label">#REF!</definedName>
    <definedName name="MMMMM">#REF!</definedName>
    <definedName name="NewBM">#REF!</definedName>
    <definedName name="NewCL">#REF!</definedName>
    <definedName name="NGC">#REF!</definedName>
    <definedName name="Note_1___The_name_of_the_project.">#REF!</definedName>
    <definedName name="Note_2___The_description_must_justify_the_vote_requested__i.e._the_color_of_the_money___the_objectifs_of_the_project_and_what_is_the_value_added_for_the_CSA.">#REF!</definedName>
    <definedName name="Note_3___If_the_project_requests_a_milti_year_funding__explains_the_details_of_funding_in_the_column__comments">#REF!</definedName>
    <definedName name="Note_3___Specify_the_latest_date_approval_that_the_project_could_be_realized_by_using_the_funds_available_in_2008_2009._After_that_date__the_project_could_not_be_realized_in_2008_2009_or_it_will_required_funds_after_2008_09.">#REF!</definedName>
    <definedName name="OLD_DFO">#REF!</definedName>
    <definedName name="OOOOOO">#REF!</definedName>
    <definedName name="Op_Salary">0.1</definedName>
    <definedName name="ORG">#REF!</definedName>
    <definedName name="OUTPUTS">#REF!</definedName>
    <definedName name="p">#REF!</definedName>
    <definedName name="PAGE1">#REF!</definedName>
    <definedName name="PeopleName">#REF!</definedName>
    <definedName name="Per_diem_Canada">#REF!</definedName>
    <definedName name="Per_diem_France">#REF!</definedName>
    <definedName name="PH">#REF!</definedName>
    <definedName name="Phases">#REF!</definedName>
    <definedName name="plage1">#REF!</definedName>
    <definedName name="plage2">#REF!</definedName>
    <definedName name="PN">#REF!</definedName>
    <definedName name="PPPPP">#REF!</definedName>
    <definedName name="pre_flt">#REF!</definedName>
    <definedName name="_xlnm.Print_Area" localSheetId="5">'4- WBS Mapping'!$A$1:$J$39</definedName>
    <definedName name="_xlnm.Print_Area" localSheetId="9">'7 - Phase Durations'!$A$1:$CB$68</definedName>
    <definedName name="PRJ">#REF!</definedName>
    <definedName name="ProtoDev">#REF!</definedName>
    <definedName name="qwefqw">#REF!</definedName>
    <definedName name="RAMDATA">#REF!</definedName>
    <definedName name="RAMSET">#REF!</definedName>
    <definedName name="Rate">#REF!</definedName>
    <definedName name="rates">#REF!</definedName>
    <definedName name="ratios">#REF!</definedName>
    <definedName name="RawData">#REF!</definedName>
    <definedName name="RawHeader">#REF!</definedName>
    <definedName name="RCM_Label">#REF!</definedName>
    <definedName name="REASSESSMENT_DATE" localSheetId="18">#REF!</definedName>
    <definedName name="REASSESSMENT_DATE">#REF!</definedName>
    <definedName name="REASSESSMENT_DATE2" localSheetId="18">#REF!</definedName>
    <definedName name="REASSESSMENT_DATE2">#REF!</definedName>
    <definedName name="ref">#REF!</definedName>
    <definedName name="regression">#REF!</definedName>
    <definedName name="ReqDev">#REF!</definedName>
    <definedName name="RESUME">#REF!</definedName>
    <definedName name="Risk10">#REF!</definedName>
    <definedName name="Risk11">#REF!</definedName>
    <definedName name="Risk12">#REF!</definedName>
    <definedName name="Risk13">#REF!</definedName>
    <definedName name="Risk141">#REF!</definedName>
    <definedName name="Risk9">#REF!</definedName>
    <definedName name="RiskFY1617">#REF!</definedName>
    <definedName name="RiskFY1718">#REF!</definedName>
    <definedName name="RiskFY2324">#REF!</definedName>
    <definedName name="RiskPhaseA">#REF!</definedName>
    <definedName name="RiskPhaseBC">#REF!</definedName>
    <definedName name="RiskPhaseD">#REF!</definedName>
    <definedName name="RiskPhaseE">#REF!</definedName>
    <definedName name="risque_projet">#REF!</definedName>
    <definedName name="risque_recup">#REF!</definedName>
    <definedName name="risque_salaire">#REF!</definedName>
    <definedName name="Risque10">#REF!</definedName>
    <definedName name="Risque2">#REF!</definedName>
    <definedName name="Risque6">#REF!</definedName>
    <definedName name="Risque8">#REF!</definedName>
    <definedName name="ro">#REF!</definedName>
    <definedName name="SAL">#REF!</definedName>
    <definedName name="SALARIES">#REF!</definedName>
    <definedName name="Salary">#REF!</definedName>
    <definedName name="Salary_Ratio">0.05</definedName>
    <definedName name="sas">#REF!</definedName>
    <definedName name="sc">#REF!</definedName>
    <definedName name="SCENARIO">#REF!</definedName>
    <definedName name="ScheduleB">#REF!</definedName>
    <definedName name="sddf">#REF!</definedName>
    <definedName name="secteur">#REF!</definedName>
    <definedName name="secteurs">#REF!</definedName>
    <definedName name="SEKCAD">#REF!</definedName>
    <definedName name="Selection">#REF!</definedName>
    <definedName name="sfg">#REF!</definedName>
    <definedName name="skillset">#REF!</definedName>
    <definedName name="SN">#REF!</definedName>
    <definedName name="SOF">#REF!</definedName>
    <definedName name="source">#REF!</definedName>
    <definedName name="SPACE_SCIENCE_TABLE">#REF!</definedName>
    <definedName name="Speciality">#REF!</definedName>
    <definedName name="SSS">#REF!</definedName>
    <definedName name="Start_FY">#REF!</definedName>
    <definedName name="STAT">#REF!</definedName>
    <definedName name="Status">#REF!</definedName>
    <definedName name="StdCL">#REF!</definedName>
    <definedName name="STDWBS">#REF!</definedName>
    <definedName name="SUDEV">#REF!</definedName>
    <definedName name="SUDEVM">#REF!</definedName>
    <definedName name="SustBM">#REF!</definedName>
    <definedName name="T_CCMEO">#REF!</definedName>
    <definedName name="T_INVESTMENTS">#REF!</definedName>
    <definedName name="T_M3MSAT">#REF!</definedName>
    <definedName name="T_MDA">#REF!</definedName>
    <definedName name="T_NEOSSAT">#REF!</definedName>
    <definedName name="T_NGT">#REF!</definedName>
    <definedName name="T_RCM">#REF!</definedName>
    <definedName name="T_SCISAT">#REF!</definedName>
    <definedName name="T1E">#REF!</definedName>
    <definedName name="T1F">#REF!</definedName>
    <definedName name="T1Vals">#REF!</definedName>
    <definedName name="T2E">#REF!</definedName>
    <definedName name="T2F">#REF!</definedName>
    <definedName name="Tab1E">#REF!</definedName>
    <definedName name="Tab1F">#REF!</definedName>
    <definedName name="Tab2E">#REF!</definedName>
    <definedName name="Tab2F">#REF!</definedName>
    <definedName name="TandL">#REF!</definedName>
    <definedName name="TANDLSET">#REF!</definedName>
    <definedName name="TAX">#REF!</definedName>
    <definedName name="TaxRate">#REF!</definedName>
    <definedName name="TBSub_SUSENG">#REF!</definedName>
    <definedName name="TBSub_TA">#REF!</definedName>
    <definedName name="Test">#REF!</definedName>
    <definedName name="TEST2">#REF!</definedName>
    <definedName name="Timmins_hotel">#REF!</definedName>
    <definedName name="TITRE">#REF!</definedName>
    <definedName name="TnLFY1617">#REF!</definedName>
    <definedName name="TnLFY1718">#REF!</definedName>
    <definedName name="TnLFY1819">#REF!</definedName>
    <definedName name="TnLFY1920">#REF!</definedName>
    <definedName name="TnLFY2021">#REF!</definedName>
    <definedName name="TnLFY2122">#REF!</definedName>
    <definedName name="TnLFY2324">#REF!</definedName>
    <definedName name="TnLPhaseA">#REF!</definedName>
    <definedName name="TnLPhaseBC">#REF!</definedName>
    <definedName name="TnLPhaseD">#REF!</definedName>
    <definedName name="TnLPhaseE">#REF!</definedName>
    <definedName name="Transfer_Depts">#REF!</definedName>
    <definedName name="Translate">#REF!</definedName>
    <definedName name="travel_contingency">#REF!</definedName>
    <definedName name="type">#REF!</definedName>
    <definedName name="Type2" localSheetId="18">#REF!</definedName>
    <definedName name="Type2">#REF!</definedName>
    <definedName name="USD">#REF!</definedName>
    <definedName name="USDCAD">#REF!</definedName>
    <definedName name="ValidStatus">#REF!</definedName>
    <definedName name="VOTE">#REF!</definedName>
    <definedName name="Voyage">#REF!</definedName>
    <definedName name="VVVVV">#REF!</definedName>
    <definedName name="WBS">#REF!</definedName>
    <definedName name="WBS_Name">#REF!</definedName>
    <definedName name="WBSE">#REF!</definedName>
    <definedName name="WBSEdesc">#REF!</definedName>
    <definedName name="WCC" localSheetId="13" hidden="1">{#N/A,#N/A,TRUE,"Report"}</definedName>
    <definedName name="WCC" localSheetId="14" hidden="1">{#N/A,#N/A,TRUE,"Report"}</definedName>
    <definedName name="WCC" localSheetId="15" hidden="1">{#N/A,#N/A,TRUE,"Report"}</definedName>
    <definedName name="WCC" localSheetId="17" hidden="1">{#N/A,#N/A,TRUE,"Report"}</definedName>
    <definedName name="WCC" localSheetId="18" hidden="1">{#N/A,#N/A,TRUE,"Report"}</definedName>
    <definedName name="WCC" localSheetId="21" hidden="1">{#N/A,#N/A,TRUE,"Report"}</definedName>
    <definedName name="WCC" localSheetId="22" hidden="1">{#N/A,#N/A,TRUE,"Report"}</definedName>
    <definedName name="WCC" localSheetId="3" hidden="1">{#N/A,#N/A,TRUE,"Report"}</definedName>
    <definedName name="WCC" localSheetId="23" hidden="1">{#N/A,#N/A,TRUE,"Report"}</definedName>
    <definedName name="WCC" localSheetId="7" hidden="1">{#N/A,#N/A,TRUE,"Report"}</definedName>
    <definedName name="WCC" localSheetId="8" hidden="1">{#N/A,#N/A,TRUE,"Report"}</definedName>
    <definedName name="WCC" localSheetId="9" hidden="1">{#N/A,#N/A,TRUE,"Report"}</definedName>
    <definedName name="WCC" localSheetId="10" hidden="1">{#N/A,#N/A,TRUE,"Report"}</definedName>
    <definedName name="WCC" localSheetId="11" hidden="1">{#N/A,#N/A,TRUE,"Report"}</definedName>
    <definedName name="WCC" hidden="1">{#N/A,#N/A,TRUE,"Report"}</definedName>
    <definedName name="WP3.2.4">#REF!</definedName>
    <definedName name="WP3.2.4.3">#REF!</definedName>
    <definedName name="WP3.2.4.4">#REF!</definedName>
    <definedName name="WP3.2.4.5">#REF!</definedName>
    <definedName name="WP3.2.4.6">#REF!</definedName>
    <definedName name="WP3.2.4.7">#REF!</definedName>
    <definedName name="wrn.Capacity._.Calculations._.for._.FM3." localSheetId="13" hidden="1">{#N/A,#N/A,TRUE,"Report"}</definedName>
    <definedName name="wrn.Capacity._.Calculations._.for._.FM3." localSheetId="14" hidden="1">{#N/A,#N/A,TRUE,"Report"}</definedName>
    <definedName name="wrn.Capacity._.Calculations._.for._.FM3." localSheetId="15" hidden="1">{#N/A,#N/A,TRUE,"Report"}</definedName>
    <definedName name="wrn.Capacity._.Calculations._.for._.FM3." localSheetId="17" hidden="1">{#N/A,#N/A,TRUE,"Report"}</definedName>
    <definedName name="wrn.Capacity._.Calculations._.for._.FM3." localSheetId="18" hidden="1">{#N/A,#N/A,TRUE,"Report"}</definedName>
    <definedName name="wrn.Capacity._.Calculations._.for._.FM3." localSheetId="21" hidden="1">{#N/A,#N/A,TRUE,"Report"}</definedName>
    <definedName name="wrn.Capacity._.Calculations._.for._.FM3." localSheetId="22" hidden="1">{#N/A,#N/A,TRUE,"Report"}</definedName>
    <definedName name="wrn.Capacity._.Calculations._.for._.FM3." localSheetId="3" hidden="1">{#N/A,#N/A,TRUE,"Report"}</definedName>
    <definedName name="wrn.Capacity._.Calculations._.for._.FM3." localSheetId="23" hidden="1">{#N/A,#N/A,TRUE,"Report"}</definedName>
    <definedName name="wrn.Capacity._.Calculations._.for._.FM3." localSheetId="7"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10" hidden="1">{#N/A,#N/A,TRUE,"Report"}</definedName>
    <definedName name="wrn.Capacity._.Calculations._.for._.FM3." localSheetId="11" hidden="1">{#N/A,#N/A,TRUE,"Report"}</definedName>
    <definedName name="wrn.Capacity._.Calculations._.for._.FM3." hidden="1">{#N/A,#N/A,TRUE,"Report"}</definedName>
    <definedName name="X">#REF!</definedName>
    <definedName name="XXX">#REF!</definedName>
    <definedName name="YES_NO">#REF!</definedName>
    <definedName name="zzzzzzzzzzzzzzzzzzzzzzzzzzz">#REF!</definedName>
    <definedName name="zzzzzzzzzzzzzzzzzzzzzzzzzzzz">#REF!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41" i="23" l="1"/>
  <c r="W40" i="23"/>
  <c r="W39" i="23"/>
  <c r="V38" i="23"/>
  <c r="W38" i="23" s="1"/>
  <c r="V37" i="23"/>
  <c r="W37" i="23" s="1"/>
  <c r="V36" i="23"/>
  <c r="W36" i="23" s="1"/>
  <c r="V35" i="23"/>
  <c r="W35" i="23" s="1"/>
  <c r="W34" i="23"/>
  <c r="V34" i="23"/>
  <c r="V33" i="23"/>
  <c r="W33" i="23" s="1"/>
  <c r="W32" i="23"/>
  <c r="V32" i="23"/>
  <c r="V31" i="23"/>
  <c r="W31" i="23" s="1"/>
  <c r="W30" i="23"/>
  <c r="V30" i="23"/>
  <c r="W29" i="23"/>
  <c r="V29" i="23"/>
  <c r="D29" i="23"/>
  <c r="F29" i="23" s="1"/>
  <c r="W28" i="23"/>
  <c r="V28" i="23"/>
  <c r="D28" i="23"/>
  <c r="F28" i="23" s="1"/>
  <c r="V27" i="23"/>
  <c r="W27" i="23" s="1"/>
  <c r="D27" i="23"/>
  <c r="F27" i="23" s="1"/>
  <c r="W26" i="23"/>
  <c r="V26" i="23"/>
  <c r="D26" i="23"/>
  <c r="F26" i="23" s="1"/>
  <c r="D25" i="23"/>
  <c r="F25" i="23" s="1"/>
  <c r="D24" i="23"/>
  <c r="F24" i="23" s="1"/>
  <c r="D23" i="23"/>
  <c r="F23" i="23" s="1"/>
  <c r="D22" i="23"/>
  <c r="F22" i="23" s="1"/>
  <c r="B103" i="22"/>
  <c r="B102" i="22"/>
  <c r="B101" i="22"/>
  <c r="B100" i="22"/>
  <c r="B99" i="22"/>
  <c r="B98" i="22"/>
  <c r="B97" i="22"/>
  <c r="B96" i="22"/>
  <c r="B95" i="22"/>
  <c r="B94" i="22"/>
  <c r="B93" i="22"/>
  <c r="B92" i="22"/>
  <c r="B91" i="22"/>
  <c r="B90" i="22"/>
  <c r="B89" i="22"/>
  <c r="B88" i="22"/>
  <c r="B87" i="22"/>
  <c r="B86" i="22"/>
  <c r="B85" i="22"/>
  <c r="B84" i="22"/>
  <c r="B83" i="22"/>
  <c r="B82" i="22"/>
  <c r="B81" i="22"/>
  <c r="B80" i="22"/>
  <c r="B79" i="22"/>
  <c r="B78" i="22"/>
  <c r="B77" i="22"/>
  <c r="B76" i="22"/>
  <c r="B75" i="22"/>
  <c r="B74" i="22"/>
  <c r="B73" i="22"/>
  <c r="B72" i="22"/>
  <c r="B71" i="22"/>
  <c r="B70" i="22"/>
  <c r="B69" i="22"/>
  <c r="B68" i="22"/>
  <c r="B67" i="22"/>
  <c r="B66" i="22"/>
  <c r="B65" i="22"/>
  <c r="B64" i="22"/>
  <c r="B63" i="22"/>
  <c r="B62" i="22"/>
  <c r="B61" i="22"/>
  <c r="B60" i="22"/>
  <c r="B59" i="22"/>
  <c r="B58"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AZ243" i="19"/>
  <c r="AY243" i="19"/>
  <c r="AX243" i="19"/>
  <c r="AW243" i="19"/>
  <c r="AV243" i="19"/>
  <c r="AU243" i="19"/>
  <c r="AT243" i="19"/>
  <c r="AS243" i="19"/>
  <c r="AR243" i="19"/>
  <c r="AQ243" i="19"/>
  <c r="AP243" i="19"/>
  <c r="AO243" i="19"/>
  <c r="AN243" i="19"/>
  <c r="AM243" i="19"/>
  <c r="AL243" i="19"/>
  <c r="AK243" i="19"/>
  <c r="AJ243" i="19"/>
  <c r="AI243" i="19"/>
  <c r="AH243" i="19"/>
  <c r="AG243" i="19"/>
  <c r="AF243" i="19"/>
  <c r="AI226" i="19"/>
  <c r="AH226" i="19"/>
  <c r="AG226" i="19" s="1"/>
  <c r="AF226" i="19" s="1"/>
  <c r="AH225" i="19"/>
  <c r="AG225" i="19" s="1"/>
  <c r="AF225" i="19" s="1"/>
  <c r="AI224" i="19"/>
  <c r="AG224" i="19"/>
  <c r="AF224" i="19"/>
  <c r="AI223" i="19"/>
  <c r="AH223" i="19"/>
  <c r="AF223" i="19"/>
  <c r="AG222" i="19"/>
  <c r="AH222" i="19" s="1"/>
  <c r="AI222" i="19" s="1"/>
  <c r="AY221" i="19"/>
  <c r="AX221" i="19" s="1"/>
  <c r="AW221" i="19" s="1"/>
  <c r="AV221" i="19"/>
  <c r="AU221" i="19" s="1"/>
  <c r="AT221" i="19" s="1"/>
  <c r="AS221" i="19" s="1"/>
  <c r="AR221" i="19" s="1"/>
  <c r="AQ221" i="19" s="1"/>
  <c r="AP221" i="19" s="1"/>
  <c r="AO221" i="19" s="1"/>
  <c r="AN221" i="19" s="1"/>
  <c r="AM221" i="19" s="1"/>
  <c r="AL221" i="19" s="1"/>
  <c r="AK221" i="19" s="1"/>
  <c r="AJ221" i="19" s="1"/>
  <c r="AI221" i="19" s="1"/>
  <c r="AH221" i="19" s="1"/>
  <c r="AG221" i="19" s="1"/>
  <c r="AF221" i="19" s="1"/>
  <c r="AZ220" i="19"/>
  <c r="AX220" i="19"/>
  <c r="AW220" i="19"/>
  <c r="AV220" i="19" s="1"/>
  <c r="AU220" i="19" s="1"/>
  <c r="AT220" i="19" s="1"/>
  <c r="AS220" i="19" s="1"/>
  <c r="AR220" i="19" s="1"/>
  <c r="AQ220" i="19" s="1"/>
  <c r="AP220" i="19" s="1"/>
  <c r="AO220" i="19" s="1"/>
  <c r="AN220" i="19" s="1"/>
  <c r="AM220" i="19" s="1"/>
  <c r="AL220" i="19" s="1"/>
  <c r="AK220" i="19" s="1"/>
  <c r="AJ220" i="19" s="1"/>
  <c r="AI220" i="19" s="1"/>
  <c r="AH220" i="19" s="1"/>
  <c r="AG220" i="19" s="1"/>
  <c r="AF220" i="19" s="1"/>
  <c r="AY219" i="19"/>
  <c r="AZ219" i="19" s="1"/>
  <c r="AW219" i="19"/>
  <c r="AV219" i="19"/>
  <c r="AU219" i="19"/>
  <c r="AT219" i="19"/>
  <c r="AS219" i="19" s="1"/>
  <c r="AR219" i="19" s="1"/>
  <c r="AQ219" i="19" s="1"/>
  <c r="AP219" i="19" s="1"/>
  <c r="AO219" i="19" s="1"/>
  <c r="AN219" i="19" s="1"/>
  <c r="AM219" i="19" s="1"/>
  <c r="AL219" i="19" s="1"/>
  <c r="AK219" i="19" s="1"/>
  <c r="AJ219" i="19" s="1"/>
  <c r="AI219" i="19" s="1"/>
  <c r="AH219" i="19" s="1"/>
  <c r="AG219" i="19" s="1"/>
  <c r="AF219" i="19" s="1"/>
  <c r="AY218" i="19"/>
  <c r="AZ218" i="19" s="1"/>
  <c r="AX218" i="19"/>
  <c r="AV218" i="19"/>
  <c r="AU218" i="19" s="1"/>
  <c r="AT218" i="19" s="1"/>
  <c r="AS218" i="19" s="1"/>
  <c r="AR218" i="19"/>
  <c r="AQ218" i="19" s="1"/>
  <c r="AP218" i="19" s="1"/>
  <c r="AO218" i="19" s="1"/>
  <c r="AN218" i="19" s="1"/>
  <c r="AM218" i="19" s="1"/>
  <c r="AL218" i="19" s="1"/>
  <c r="AK218" i="19" s="1"/>
  <c r="AJ218" i="19" s="1"/>
  <c r="AI218" i="19" s="1"/>
  <c r="AH218" i="19" s="1"/>
  <c r="AG218" i="19" s="1"/>
  <c r="AF218" i="19" s="1"/>
  <c r="AW217" i="19"/>
  <c r="AX217" i="19" s="1"/>
  <c r="AY217" i="19" s="1"/>
  <c r="AZ217" i="19" s="1"/>
  <c r="AU217" i="19"/>
  <c r="AT217" i="19"/>
  <c r="AS217" i="19" s="1"/>
  <c r="AR217" i="19" s="1"/>
  <c r="AQ217" i="19" s="1"/>
  <c r="AP217" i="19" s="1"/>
  <c r="AO217" i="19" s="1"/>
  <c r="AN217" i="19"/>
  <c r="AM217" i="19" s="1"/>
  <c r="AL217" i="19" s="1"/>
  <c r="AK217" i="19" s="1"/>
  <c r="AJ217" i="19" s="1"/>
  <c r="AI217" i="19" s="1"/>
  <c r="AH217" i="19" s="1"/>
  <c r="AG217" i="19" s="1"/>
  <c r="AF217" i="19" s="1"/>
  <c r="AW216" i="19"/>
  <c r="AX216" i="19" s="1"/>
  <c r="AY216" i="19" s="1"/>
  <c r="AZ216" i="19" s="1"/>
  <c r="AV216" i="19"/>
  <c r="AT216" i="19"/>
  <c r="AS216" i="19"/>
  <c r="AR216" i="19" s="1"/>
  <c r="AQ216" i="19" s="1"/>
  <c r="AP216" i="19" s="1"/>
  <c r="AO216" i="19" s="1"/>
  <c r="AN216" i="19" s="1"/>
  <c r="AM216" i="19" s="1"/>
  <c r="AL216" i="19" s="1"/>
  <c r="AK216" i="19" s="1"/>
  <c r="AJ216" i="19" s="1"/>
  <c r="AI216" i="19" s="1"/>
  <c r="AH216" i="19" s="1"/>
  <c r="AG216" i="19" s="1"/>
  <c r="AF216" i="19" s="1"/>
  <c r="AY215" i="19"/>
  <c r="AZ215" i="19" s="1"/>
  <c r="AW215" i="19"/>
  <c r="AX215" i="19" s="1"/>
  <c r="AV215" i="19"/>
  <c r="AU215" i="19"/>
  <c r="AS215" i="19"/>
  <c r="AR215" i="19"/>
  <c r="AQ215" i="19" s="1"/>
  <c r="AP215" i="19"/>
  <c r="AO215" i="19" s="1"/>
  <c r="AN215" i="19" s="1"/>
  <c r="AM215" i="19"/>
  <c r="AL215" i="19" s="1"/>
  <c r="AK215" i="19" s="1"/>
  <c r="AJ215" i="19" s="1"/>
  <c r="AI215" i="19" s="1"/>
  <c r="AH215" i="19" s="1"/>
  <c r="AG215" i="19" s="1"/>
  <c r="AF215" i="19" s="1"/>
  <c r="AV214" i="19"/>
  <c r="AW214" i="19" s="1"/>
  <c r="AX214" i="19" s="1"/>
  <c r="AY214" i="19" s="1"/>
  <c r="AZ214" i="19" s="1"/>
  <c r="AU214" i="19"/>
  <c r="AT214" i="19"/>
  <c r="AR214" i="19"/>
  <c r="AQ214" i="19" s="1"/>
  <c r="AP214" i="19" s="1"/>
  <c r="AO214" i="19" s="1"/>
  <c r="AN214" i="19" s="1"/>
  <c r="AM214" i="19" s="1"/>
  <c r="AL214" i="19" s="1"/>
  <c r="AK214" i="19"/>
  <c r="AJ214" i="19"/>
  <c r="AI214" i="19" s="1"/>
  <c r="AH214" i="19" s="1"/>
  <c r="AG214" i="19" s="1"/>
  <c r="AF214" i="19" s="1"/>
  <c r="AS213" i="19"/>
  <c r="AT213" i="19" s="1"/>
  <c r="AU213" i="19" s="1"/>
  <c r="AV213" i="19" s="1"/>
  <c r="AW213" i="19" s="1"/>
  <c r="AX213" i="19" s="1"/>
  <c r="AY213" i="19" s="1"/>
  <c r="AZ213" i="19" s="1"/>
  <c r="AQ213" i="19"/>
  <c r="AP213" i="19" s="1"/>
  <c r="AO213" i="19" s="1"/>
  <c r="AN213" i="19" s="1"/>
  <c r="AM213" i="19" s="1"/>
  <c r="AL213" i="19" s="1"/>
  <c r="AK213" i="19" s="1"/>
  <c r="AJ213" i="19"/>
  <c r="AI213" i="19" s="1"/>
  <c r="AH213" i="19" s="1"/>
  <c r="AG213" i="19" s="1"/>
  <c r="AF213" i="19" s="1"/>
  <c r="AW212" i="19"/>
  <c r="AX212" i="19" s="1"/>
  <c r="AY212" i="19" s="1"/>
  <c r="AZ212" i="19" s="1"/>
  <c r="AS212" i="19"/>
  <c r="AT212" i="19" s="1"/>
  <c r="AU212" i="19" s="1"/>
  <c r="AV212" i="19" s="1"/>
  <c r="AR212" i="19"/>
  <c r="AP212" i="19"/>
  <c r="AO212" i="19" s="1"/>
  <c r="AN212" i="19" s="1"/>
  <c r="AM212" i="19" s="1"/>
  <c r="AL212" i="19" s="1"/>
  <c r="AK212" i="19" s="1"/>
  <c r="AJ212" i="19" s="1"/>
  <c r="AI212" i="19" s="1"/>
  <c r="AH212" i="19" s="1"/>
  <c r="AG212" i="19" s="1"/>
  <c r="AF212" i="19" s="1"/>
  <c r="AS211" i="19"/>
  <c r="AT211" i="19" s="1"/>
  <c r="AU211" i="19" s="1"/>
  <c r="AV211" i="19" s="1"/>
  <c r="AW211" i="19" s="1"/>
  <c r="AX211" i="19" s="1"/>
  <c r="AY211" i="19" s="1"/>
  <c r="AZ211" i="19" s="1"/>
  <c r="AR211" i="19"/>
  <c r="AQ211" i="19"/>
  <c r="AO211" i="19"/>
  <c r="AN211" i="19"/>
  <c r="AM211" i="19" s="1"/>
  <c r="AL211" i="19" s="1"/>
  <c r="AK211" i="19" s="1"/>
  <c r="AJ211" i="19" s="1"/>
  <c r="AI211" i="19" s="1"/>
  <c r="AH211" i="19" s="1"/>
  <c r="AG211" i="19" s="1"/>
  <c r="AF211" i="19" s="1"/>
  <c r="AR210" i="19"/>
  <c r="AS210" i="19" s="1"/>
  <c r="AT210" i="19" s="1"/>
  <c r="AU210" i="19" s="1"/>
  <c r="AV210" i="19" s="1"/>
  <c r="AW210" i="19" s="1"/>
  <c r="AX210" i="19" s="1"/>
  <c r="AY210" i="19" s="1"/>
  <c r="AZ210" i="19" s="1"/>
  <c r="AQ210" i="19"/>
  <c r="AP210" i="19"/>
  <c r="AN210" i="19"/>
  <c r="AM210" i="19" s="1"/>
  <c r="AL210" i="19" s="1"/>
  <c r="AK210" i="19" s="1"/>
  <c r="AJ210" i="19" s="1"/>
  <c r="AI210" i="19" s="1"/>
  <c r="AH210" i="19" s="1"/>
  <c r="AG210" i="19" s="1"/>
  <c r="AF210" i="19" s="1"/>
  <c r="AP209" i="19"/>
  <c r="AQ209" i="19" s="1"/>
  <c r="AR209" i="19" s="1"/>
  <c r="AS209" i="19" s="1"/>
  <c r="AT209" i="19" s="1"/>
  <c r="AU209" i="19" s="1"/>
  <c r="AV209" i="19" s="1"/>
  <c r="AW209" i="19" s="1"/>
  <c r="AX209" i="19" s="1"/>
  <c r="AY209" i="19" s="1"/>
  <c r="AZ209" i="19" s="1"/>
  <c r="AO209" i="19"/>
  <c r="AM209" i="19"/>
  <c r="AL209" i="19" s="1"/>
  <c r="AK209" i="19" s="1"/>
  <c r="AJ209" i="19" s="1"/>
  <c r="AI209" i="19" s="1"/>
  <c r="AH209" i="19" s="1"/>
  <c r="AG209" i="19" s="1"/>
  <c r="AF209" i="19" s="1"/>
  <c r="AS208" i="19"/>
  <c r="AT208" i="19" s="1"/>
  <c r="AU208" i="19" s="1"/>
  <c r="AV208" i="19" s="1"/>
  <c r="AW208" i="19" s="1"/>
  <c r="AX208" i="19" s="1"/>
  <c r="AY208" i="19" s="1"/>
  <c r="AZ208" i="19" s="1"/>
  <c r="AO208" i="19"/>
  <c r="AP208" i="19" s="1"/>
  <c r="AQ208" i="19" s="1"/>
  <c r="AR208" i="19" s="1"/>
  <c r="AN208" i="19"/>
  <c r="AL208" i="19"/>
  <c r="AK208" i="19" s="1"/>
  <c r="AJ208" i="19" s="1"/>
  <c r="AI208" i="19" s="1"/>
  <c r="AH208" i="19" s="1"/>
  <c r="AG208" i="19" s="1"/>
  <c r="AF208" i="19" s="1"/>
  <c r="AO207" i="19"/>
  <c r="AP207" i="19" s="1"/>
  <c r="AQ207" i="19" s="1"/>
  <c r="AR207" i="19" s="1"/>
  <c r="AS207" i="19" s="1"/>
  <c r="AT207" i="19" s="1"/>
  <c r="AU207" i="19" s="1"/>
  <c r="AV207" i="19" s="1"/>
  <c r="AW207" i="19" s="1"/>
  <c r="AX207" i="19" s="1"/>
  <c r="AY207" i="19" s="1"/>
  <c r="AZ207" i="19" s="1"/>
  <c r="AN207" i="19"/>
  <c r="AM207" i="19"/>
  <c r="AK207" i="19"/>
  <c r="AJ207" i="19"/>
  <c r="AI207" i="19" s="1"/>
  <c r="AH207" i="19"/>
  <c r="AG207" i="19"/>
  <c r="AF207" i="19" s="1"/>
  <c r="AW206" i="19"/>
  <c r="AX206" i="19" s="1"/>
  <c r="AY206" i="19" s="1"/>
  <c r="AZ206" i="19" s="1"/>
  <c r="AN206" i="19"/>
  <c r="AO206" i="19" s="1"/>
  <c r="AP206" i="19" s="1"/>
  <c r="AQ206" i="19" s="1"/>
  <c r="AR206" i="19" s="1"/>
  <c r="AS206" i="19" s="1"/>
  <c r="AT206" i="19" s="1"/>
  <c r="AU206" i="19" s="1"/>
  <c r="AV206" i="19" s="1"/>
  <c r="AM206" i="19"/>
  <c r="AL206" i="19"/>
  <c r="AJ206" i="19"/>
  <c r="AI206" i="19" s="1"/>
  <c r="AH206" i="19" s="1"/>
  <c r="AG206" i="19" s="1"/>
  <c r="AF206" i="19" s="1"/>
  <c r="AW205" i="19"/>
  <c r="AX205" i="19" s="1"/>
  <c r="AY205" i="19" s="1"/>
  <c r="AZ205" i="19" s="1"/>
  <c r="AK205" i="19"/>
  <c r="AL205" i="19" s="1"/>
  <c r="AM205" i="19" s="1"/>
  <c r="AN205" i="19" s="1"/>
  <c r="AO205" i="19" s="1"/>
  <c r="AP205" i="19" s="1"/>
  <c r="AQ205" i="19" s="1"/>
  <c r="AR205" i="19" s="1"/>
  <c r="AS205" i="19" s="1"/>
  <c r="AT205" i="19" s="1"/>
  <c r="AU205" i="19" s="1"/>
  <c r="AV205" i="19" s="1"/>
  <c r="AI205" i="19"/>
  <c r="AH205" i="19" s="1"/>
  <c r="AG205" i="19" s="1"/>
  <c r="AF205" i="19" s="1"/>
  <c r="AK204" i="19"/>
  <c r="AL204" i="19" s="1"/>
  <c r="AM204" i="19" s="1"/>
  <c r="AN204" i="19" s="1"/>
  <c r="AO204" i="19" s="1"/>
  <c r="AP204" i="19" s="1"/>
  <c r="AQ204" i="19" s="1"/>
  <c r="AR204" i="19" s="1"/>
  <c r="AS204" i="19" s="1"/>
  <c r="AT204" i="19" s="1"/>
  <c r="AU204" i="19" s="1"/>
  <c r="AV204" i="19" s="1"/>
  <c r="AW204" i="19" s="1"/>
  <c r="AX204" i="19" s="1"/>
  <c r="AY204" i="19" s="1"/>
  <c r="AZ204" i="19" s="1"/>
  <c r="AJ204" i="19"/>
  <c r="AH204" i="19"/>
  <c r="AG204" i="19" s="1"/>
  <c r="AF204" i="19" s="1"/>
  <c r="AK203" i="19"/>
  <c r="AL203" i="19" s="1"/>
  <c r="AM203" i="19" s="1"/>
  <c r="AN203" i="19" s="1"/>
  <c r="AO203" i="19" s="1"/>
  <c r="AP203" i="19" s="1"/>
  <c r="AQ203" i="19" s="1"/>
  <c r="AR203" i="19" s="1"/>
  <c r="AS203" i="19" s="1"/>
  <c r="AT203" i="19" s="1"/>
  <c r="AU203" i="19" s="1"/>
  <c r="AV203" i="19" s="1"/>
  <c r="AW203" i="19" s="1"/>
  <c r="AX203" i="19" s="1"/>
  <c r="AY203" i="19" s="1"/>
  <c r="AZ203" i="19" s="1"/>
  <c r="AJ203" i="19"/>
  <c r="AI203" i="19"/>
  <c r="AG203" i="19"/>
  <c r="AF203" i="19"/>
  <c r="AM202" i="19"/>
  <c r="AN202" i="19" s="1"/>
  <c r="AO202" i="19" s="1"/>
  <c r="AP202" i="19" s="1"/>
  <c r="AQ202" i="19" s="1"/>
  <c r="AR202" i="19" s="1"/>
  <c r="AS202" i="19" s="1"/>
  <c r="AT202" i="19" s="1"/>
  <c r="AU202" i="19" s="1"/>
  <c r="AV202" i="19" s="1"/>
  <c r="AW202" i="19" s="1"/>
  <c r="AX202" i="19" s="1"/>
  <c r="AY202" i="19" s="1"/>
  <c r="AZ202" i="19" s="1"/>
  <c r="AJ202" i="19"/>
  <c r="AK202" i="19" s="1"/>
  <c r="AL202" i="19" s="1"/>
  <c r="AI202" i="19"/>
  <c r="AH202" i="19"/>
  <c r="AF202" i="19"/>
  <c r="AG201" i="19"/>
  <c r="AH201" i="19" s="1"/>
  <c r="AI201" i="19" s="1"/>
  <c r="AJ201" i="19" s="1"/>
  <c r="AK201" i="19" s="1"/>
  <c r="AL201" i="19" s="1"/>
  <c r="AM201" i="19" s="1"/>
  <c r="AN201" i="19" s="1"/>
  <c r="AO201" i="19" s="1"/>
  <c r="AP201" i="19" s="1"/>
  <c r="AQ201" i="19" s="1"/>
  <c r="AR201" i="19" s="1"/>
  <c r="AS201" i="19" s="1"/>
  <c r="AT201" i="19" s="1"/>
  <c r="AU201" i="19" s="1"/>
  <c r="AV201" i="19" s="1"/>
  <c r="AW201" i="19" s="1"/>
  <c r="AX201" i="19" s="1"/>
  <c r="AY201" i="19" s="1"/>
  <c r="AZ201" i="19" s="1"/>
  <c r="BA201" i="19" s="1"/>
  <c r="BB201" i="19" s="1"/>
  <c r="BC201" i="19" s="1"/>
  <c r="BD201" i="19" s="1"/>
  <c r="AY200" i="19"/>
  <c r="AX200" i="19" s="1"/>
  <c r="AW200" i="19" s="1"/>
  <c r="AV200" i="19"/>
  <c r="AU200" i="19"/>
  <c r="AT200" i="19" s="1"/>
  <c r="AS200" i="19" s="1"/>
  <c r="AR200" i="19" s="1"/>
  <c r="AQ200" i="19" s="1"/>
  <c r="AP200" i="19" s="1"/>
  <c r="AO200" i="19" s="1"/>
  <c r="AN200" i="19" s="1"/>
  <c r="AM200" i="19" s="1"/>
  <c r="AL200" i="19" s="1"/>
  <c r="AK200" i="19" s="1"/>
  <c r="AJ200" i="19" s="1"/>
  <c r="AI200" i="19" s="1"/>
  <c r="AH200" i="19" s="1"/>
  <c r="AG200" i="19" s="1"/>
  <c r="AF200" i="19" s="1"/>
  <c r="AZ199" i="19"/>
  <c r="AX199" i="19"/>
  <c r="AW199" i="19" s="1"/>
  <c r="AV199" i="19"/>
  <c r="AU199" i="19" s="1"/>
  <c r="AT199" i="19" s="1"/>
  <c r="AS199" i="19" s="1"/>
  <c r="AR199" i="19"/>
  <c r="AQ199" i="19"/>
  <c r="AP199" i="19" s="1"/>
  <c r="AO199" i="19" s="1"/>
  <c r="AN199" i="19" s="1"/>
  <c r="AM199" i="19" s="1"/>
  <c r="AL199" i="19" s="1"/>
  <c r="AK199" i="19" s="1"/>
  <c r="AJ199" i="19" s="1"/>
  <c r="AI199" i="19" s="1"/>
  <c r="AH199" i="19" s="1"/>
  <c r="AG199" i="19" s="1"/>
  <c r="AF199" i="19" s="1"/>
  <c r="AZ198" i="19"/>
  <c r="AY198" i="19"/>
  <c r="AW198" i="19"/>
  <c r="AV198" i="19"/>
  <c r="AU198" i="19"/>
  <c r="AT198" i="19" s="1"/>
  <c r="AS198" i="19" s="1"/>
  <c r="AR198" i="19" s="1"/>
  <c r="AQ198" i="19" s="1"/>
  <c r="AP198" i="19" s="1"/>
  <c r="AO198" i="19" s="1"/>
  <c r="AN198" i="19" s="1"/>
  <c r="AM198" i="19" s="1"/>
  <c r="AL198" i="19" s="1"/>
  <c r="AK198" i="19" s="1"/>
  <c r="AJ198" i="19" s="1"/>
  <c r="AI198" i="19" s="1"/>
  <c r="AH198" i="19" s="1"/>
  <c r="AG198" i="19" s="1"/>
  <c r="AF198" i="19" s="1"/>
  <c r="AX197" i="19"/>
  <c r="AY197" i="19" s="1"/>
  <c r="AZ197" i="19" s="1"/>
  <c r="AV197" i="19"/>
  <c r="AU197" i="19" s="1"/>
  <c r="AT197" i="19" s="1"/>
  <c r="AS197" i="19" s="1"/>
  <c r="AR197" i="19" s="1"/>
  <c r="AQ197" i="19" s="1"/>
  <c r="AP197" i="19" s="1"/>
  <c r="AO197" i="19" s="1"/>
  <c r="AN197" i="19" s="1"/>
  <c r="AM197" i="19"/>
  <c r="AL197" i="19" s="1"/>
  <c r="AK197" i="19" s="1"/>
  <c r="AJ197" i="19" s="1"/>
  <c r="AI197" i="19" s="1"/>
  <c r="AH197" i="19" s="1"/>
  <c r="AG197" i="19" s="1"/>
  <c r="AF197" i="19" s="1"/>
  <c r="AW196" i="19"/>
  <c r="AX196" i="19" s="1"/>
  <c r="AY196" i="19" s="1"/>
  <c r="AZ196" i="19" s="1"/>
  <c r="AU196" i="19"/>
  <c r="AT196" i="19" s="1"/>
  <c r="AS196" i="19"/>
  <c r="AR196" i="19" s="1"/>
  <c r="AQ196" i="19" s="1"/>
  <c r="AP196" i="19" s="1"/>
  <c r="AO196" i="19" s="1"/>
  <c r="AN196" i="19" s="1"/>
  <c r="AM196" i="19" s="1"/>
  <c r="AL196" i="19" s="1"/>
  <c r="AK196" i="19" s="1"/>
  <c r="AJ196" i="19" s="1"/>
  <c r="AI196" i="19" s="1"/>
  <c r="AH196" i="19" s="1"/>
  <c r="AG196" i="19" s="1"/>
  <c r="AF196" i="19" s="1"/>
  <c r="AY195" i="19"/>
  <c r="AZ195" i="19" s="1"/>
  <c r="AV195" i="19"/>
  <c r="AW195" i="19" s="1"/>
  <c r="AX195" i="19" s="1"/>
  <c r="AT195" i="19"/>
  <c r="AS195" i="19" s="1"/>
  <c r="AR195" i="19" s="1"/>
  <c r="AQ195" i="19" s="1"/>
  <c r="AP195" i="19" s="1"/>
  <c r="AO195" i="19" s="1"/>
  <c r="AN195" i="19" s="1"/>
  <c r="AM195" i="19" s="1"/>
  <c r="AL195" i="19" s="1"/>
  <c r="AK195" i="19" s="1"/>
  <c r="AJ195" i="19" s="1"/>
  <c r="AI195" i="19" s="1"/>
  <c r="AH195" i="19" s="1"/>
  <c r="AG195" i="19" s="1"/>
  <c r="AF195" i="19" s="1"/>
  <c r="AU194" i="19"/>
  <c r="AV194" i="19" s="1"/>
  <c r="AW194" i="19" s="1"/>
  <c r="AX194" i="19" s="1"/>
  <c r="AY194" i="19" s="1"/>
  <c r="AZ194" i="19" s="1"/>
  <c r="AS194" i="19"/>
  <c r="AR194" i="19"/>
  <c r="AQ194" i="19"/>
  <c r="AP194" i="19" s="1"/>
  <c r="AO194" i="19" s="1"/>
  <c r="AN194" i="19" s="1"/>
  <c r="AM194" i="19" s="1"/>
  <c r="AL194" i="19" s="1"/>
  <c r="AK194" i="19" s="1"/>
  <c r="AJ194" i="19" s="1"/>
  <c r="AI194" i="19" s="1"/>
  <c r="AH194" i="19" s="1"/>
  <c r="AG194" i="19" s="1"/>
  <c r="AF194" i="19" s="1"/>
  <c r="AV193" i="19"/>
  <c r="AW193" i="19" s="1"/>
  <c r="AX193" i="19" s="1"/>
  <c r="AY193" i="19" s="1"/>
  <c r="AZ193" i="19" s="1"/>
  <c r="AT193" i="19"/>
  <c r="AU193" i="19" s="1"/>
  <c r="AR193" i="19"/>
  <c r="AQ193" i="19"/>
  <c r="AP193" i="19" s="1"/>
  <c r="AO193" i="19" s="1"/>
  <c r="AN193" i="19" s="1"/>
  <c r="AM193" i="19" s="1"/>
  <c r="AL193" i="19" s="1"/>
  <c r="AK193" i="19" s="1"/>
  <c r="AJ193" i="19" s="1"/>
  <c r="AI193" i="19" s="1"/>
  <c r="AH193" i="19" s="1"/>
  <c r="AG193" i="19" s="1"/>
  <c r="AF193" i="19" s="1"/>
  <c r="AU192" i="19"/>
  <c r="AV192" i="19" s="1"/>
  <c r="AW192" i="19" s="1"/>
  <c r="AX192" i="19" s="1"/>
  <c r="AY192" i="19" s="1"/>
  <c r="AZ192" i="19" s="1"/>
  <c r="AS192" i="19"/>
  <c r="AT192" i="19" s="1"/>
  <c r="AQ192" i="19"/>
  <c r="AP192" i="19" s="1"/>
  <c r="AO192" i="19"/>
  <c r="AN192" i="19"/>
  <c r="AM192" i="19"/>
  <c r="AL192" i="19" s="1"/>
  <c r="AK192" i="19" s="1"/>
  <c r="AJ192" i="19" s="1"/>
  <c r="AI192" i="19"/>
  <c r="AH192" i="19"/>
  <c r="AG192" i="19" s="1"/>
  <c r="AF192" i="19" s="1"/>
  <c r="AT191" i="19"/>
  <c r="AU191" i="19" s="1"/>
  <c r="AV191" i="19" s="1"/>
  <c r="AW191" i="19" s="1"/>
  <c r="AX191" i="19" s="1"/>
  <c r="AY191" i="19" s="1"/>
  <c r="AZ191" i="19" s="1"/>
  <c r="AS191" i="19"/>
  <c r="AR191" i="19"/>
  <c r="AP191" i="19"/>
  <c r="AO191" i="19"/>
  <c r="AN191" i="19" s="1"/>
  <c r="AM191" i="19" s="1"/>
  <c r="AL191" i="19" s="1"/>
  <c r="AK191" i="19" s="1"/>
  <c r="AJ191" i="19" s="1"/>
  <c r="AI191" i="19" s="1"/>
  <c r="AH191" i="19" s="1"/>
  <c r="AG191" i="19" s="1"/>
  <c r="AF191" i="19" s="1"/>
  <c r="AQ190" i="19"/>
  <c r="AR190" i="19" s="1"/>
  <c r="AS190" i="19" s="1"/>
  <c r="AT190" i="19" s="1"/>
  <c r="AU190" i="19" s="1"/>
  <c r="AV190" i="19" s="1"/>
  <c r="AW190" i="19" s="1"/>
  <c r="AX190" i="19" s="1"/>
  <c r="AY190" i="19" s="1"/>
  <c r="AZ190" i="19" s="1"/>
  <c r="AO190" i="19"/>
  <c r="AN190" i="19"/>
  <c r="AM190" i="19"/>
  <c r="AL190" i="19"/>
  <c r="AK190" i="19" s="1"/>
  <c r="AJ190" i="19" s="1"/>
  <c r="AI190" i="19" s="1"/>
  <c r="AH190" i="19" s="1"/>
  <c r="AG190" i="19" s="1"/>
  <c r="AF190" i="19" s="1"/>
  <c r="AT189" i="19"/>
  <c r="AU189" i="19" s="1"/>
  <c r="AV189" i="19" s="1"/>
  <c r="AW189" i="19" s="1"/>
  <c r="AX189" i="19" s="1"/>
  <c r="AY189" i="19" s="1"/>
  <c r="AZ189" i="19" s="1"/>
  <c r="AQ189" i="19"/>
  <c r="AR189" i="19" s="1"/>
  <c r="AS189" i="19" s="1"/>
  <c r="AP189" i="19"/>
  <c r="AN189" i="19"/>
  <c r="AM189" i="19"/>
  <c r="AL189" i="19" s="1"/>
  <c r="AK189" i="19" s="1"/>
  <c r="AJ189" i="19" s="1"/>
  <c r="AI189" i="19" s="1"/>
  <c r="AH189" i="19"/>
  <c r="AG189" i="19" s="1"/>
  <c r="AF189" i="19" s="1"/>
  <c r="AQ188" i="19"/>
  <c r="AR188" i="19" s="1"/>
  <c r="AS188" i="19" s="1"/>
  <c r="AT188" i="19" s="1"/>
  <c r="AU188" i="19" s="1"/>
  <c r="AV188" i="19" s="1"/>
  <c r="AW188" i="19" s="1"/>
  <c r="AX188" i="19" s="1"/>
  <c r="AY188" i="19" s="1"/>
  <c r="AZ188" i="19" s="1"/>
  <c r="AP188" i="19"/>
  <c r="AO188" i="19"/>
  <c r="AM188" i="19"/>
  <c r="AL188" i="19"/>
  <c r="AK188" i="19" s="1"/>
  <c r="AJ188" i="19" s="1"/>
  <c r="AI188" i="19" s="1"/>
  <c r="AH188" i="19" s="1"/>
  <c r="AG188" i="19" s="1"/>
  <c r="AF188" i="19" s="1"/>
  <c r="AR187" i="19"/>
  <c r="AS187" i="19" s="1"/>
  <c r="AT187" i="19" s="1"/>
  <c r="AU187" i="19" s="1"/>
  <c r="AV187" i="19" s="1"/>
  <c r="AW187" i="19" s="1"/>
  <c r="AX187" i="19" s="1"/>
  <c r="AY187" i="19" s="1"/>
  <c r="AZ187" i="19" s="1"/>
  <c r="AN187" i="19"/>
  <c r="AO187" i="19" s="1"/>
  <c r="AP187" i="19" s="1"/>
  <c r="AQ187" i="19" s="1"/>
  <c r="AL187" i="19"/>
  <c r="AK187" i="19" s="1"/>
  <c r="AJ187" i="19" s="1"/>
  <c r="AI187" i="19" s="1"/>
  <c r="AH187" i="19" s="1"/>
  <c r="AG187" i="19" s="1"/>
  <c r="AF187" i="19" s="1"/>
  <c r="AN186" i="19"/>
  <c r="AO186" i="19" s="1"/>
  <c r="AP186" i="19" s="1"/>
  <c r="AQ186" i="19" s="1"/>
  <c r="AR186" i="19" s="1"/>
  <c r="AS186" i="19" s="1"/>
  <c r="AT186" i="19" s="1"/>
  <c r="AU186" i="19" s="1"/>
  <c r="AV186" i="19" s="1"/>
  <c r="AW186" i="19" s="1"/>
  <c r="AX186" i="19" s="1"/>
  <c r="AY186" i="19" s="1"/>
  <c r="AZ186" i="19" s="1"/>
  <c r="AM186" i="19"/>
  <c r="AK186" i="19"/>
  <c r="AJ186" i="19"/>
  <c r="AI186" i="19" s="1"/>
  <c r="AH186" i="19" s="1"/>
  <c r="AG186" i="19" s="1"/>
  <c r="AF186" i="19" s="1"/>
  <c r="AL185" i="19"/>
  <c r="AM185" i="19" s="1"/>
  <c r="AN185" i="19" s="1"/>
  <c r="AO185" i="19" s="1"/>
  <c r="AP185" i="19" s="1"/>
  <c r="AQ185" i="19" s="1"/>
  <c r="AR185" i="19" s="1"/>
  <c r="AS185" i="19" s="1"/>
  <c r="AT185" i="19" s="1"/>
  <c r="AU185" i="19" s="1"/>
  <c r="AV185" i="19" s="1"/>
  <c r="AW185" i="19" s="1"/>
  <c r="AX185" i="19" s="1"/>
  <c r="AY185" i="19" s="1"/>
  <c r="AZ185" i="19" s="1"/>
  <c r="AJ185" i="19"/>
  <c r="AI185" i="19" s="1"/>
  <c r="AH185" i="19" s="1"/>
  <c r="AG185" i="19" s="1"/>
  <c r="AF185" i="19" s="1"/>
  <c r="AS184" i="19"/>
  <c r="AT184" i="19" s="1"/>
  <c r="AU184" i="19" s="1"/>
  <c r="AV184" i="19" s="1"/>
  <c r="AW184" i="19" s="1"/>
  <c r="AX184" i="19" s="1"/>
  <c r="AY184" i="19" s="1"/>
  <c r="AZ184" i="19" s="1"/>
  <c r="AO184" i="19"/>
  <c r="AP184" i="19" s="1"/>
  <c r="AQ184" i="19" s="1"/>
  <c r="AR184" i="19" s="1"/>
  <c r="AN184" i="19"/>
  <c r="AL184" i="19"/>
  <c r="AM184" i="19" s="1"/>
  <c r="AK184" i="19"/>
  <c r="AI184" i="19"/>
  <c r="AH184" i="19"/>
  <c r="AG184" i="19"/>
  <c r="AF184" i="19" s="1"/>
  <c r="AJ183" i="19"/>
  <c r="AK183" i="19" s="1"/>
  <c r="AL183" i="19" s="1"/>
  <c r="AM183" i="19" s="1"/>
  <c r="AN183" i="19" s="1"/>
  <c r="AO183" i="19" s="1"/>
  <c r="AP183" i="19" s="1"/>
  <c r="AQ183" i="19" s="1"/>
  <c r="AR183" i="19" s="1"/>
  <c r="AS183" i="19" s="1"/>
  <c r="AT183" i="19" s="1"/>
  <c r="AU183" i="19" s="1"/>
  <c r="AV183" i="19" s="1"/>
  <c r="AW183" i="19" s="1"/>
  <c r="AX183" i="19" s="1"/>
  <c r="AY183" i="19" s="1"/>
  <c r="AZ183" i="19" s="1"/>
  <c r="AH183" i="19"/>
  <c r="AG183" i="19"/>
  <c r="AF183" i="19" s="1"/>
  <c r="AJ182" i="19"/>
  <c r="AK182" i="19" s="1"/>
  <c r="AL182" i="19" s="1"/>
  <c r="AM182" i="19" s="1"/>
  <c r="AN182" i="19" s="1"/>
  <c r="AO182" i="19" s="1"/>
  <c r="AP182" i="19" s="1"/>
  <c r="AQ182" i="19" s="1"/>
  <c r="AR182" i="19" s="1"/>
  <c r="AS182" i="19" s="1"/>
  <c r="AT182" i="19" s="1"/>
  <c r="AU182" i="19" s="1"/>
  <c r="AV182" i="19" s="1"/>
  <c r="AW182" i="19" s="1"/>
  <c r="AX182" i="19" s="1"/>
  <c r="AY182" i="19" s="1"/>
  <c r="AZ182" i="19" s="1"/>
  <c r="AI182" i="19"/>
  <c r="AG182" i="19"/>
  <c r="AF182" i="19"/>
  <c r="AH181" i="19"/>
  <c r="AI181" i="19" s="1"/>
  <c r="AJ181" i="19" s="1"/>
  <c r="AK181" i="19" s="1"/>
  <c r="AL181" i="19" s="1"/>
  <c r="AM181" i="19" s="1"/>
  <c r="AN181" i="19" s="1"/>
  <c r="AO181" i="19" s="1"/>
  <c r="AP181" i="19" s="1"/>
  <c r="AQ181" i="19" s="1"/>
  <c r="AR181" i="19" s="1"/>
  <c r="AS181" i="19" s="1"/>
  <c r="AT181" i="19" s="1"/>
  <c r="AU181" i="19" s="1"/>
  <c r="AV181" i="19" s="1"/>
  <c r="AW181" i="19" s="1"/>
  <c r="AX181" i="19" s="1"/>
  <c r="AY181" i="19" s="1"/>
  <c r="AZ181" i="19" s="1"/>
  <c r="AF181" i="19"/>
  <c r="AJ180" i="19"/>
  <c r="AK180" i="19" s="1"/>
  <c r="AL180" i="19" s="1"/>
  <c r="AM180" i="19" s="1"/>
  <c r="AN180" i="19" s="1"/>
  <c r="AO180" i="19" s="1"/>
  <c r="AP180" i="19" s="1"/>
  <c r="AQ180" i="19" s="1"/>
  <c r="AR180" i="19" s="1"/>
  <c r="AS180" i="19" s="1"/>
  <c r="AT180" i="19" s="1"/>
  <c r="AU180" i="19" s="1"/>
  <c r="AV180" i="19" s="1"/>
  <c r="AW180" i="19" s="1"/>
  <c r="AX180" i="19" s="1"/>
  <c r="AY180" i="19" s="1"/>
  <c r="AZ180" i="19" s="1"/>
  <c r="AH180" i="19"/>
  <c r="AI180" i="19" s="1"/>
  <c r="AG180" i="19"/>
  <c r="AY158" i="19"/>
  <c r="AX158" i="19" s="1"/>
  <c r="AW158" i="19" s="1"/>
  <c r="AV158" i="19" s="1"/>
  <c r="AU158" i="19" s="1"/>
  <c r="AT158" i="19" s="1"/>
  <c r="AS158" i="19" s="1"/>
  <c r="AR158" i="19" s="1"/>
  <c r="AQ158" i="19" s="1"/>
  <c r="AP158" i="19" s="1"/>
  <c r="AO158" i="19" s="1"/>
  <c r="AN158" i="19" s="1"/>
  <c r="AM158" i="19" s="1"/>
  <c r="AL158" i="19" s="1"/>
  <c r="AK158" i="19" s="1"/>
  <c r="AJ158" i="19" s="1"/>
  <c r="AI158" i="19" s="1"/>
  <c r="AH158" i="19" s="1"/>
  <c r="AG158" i="19" s="1"/>
  <c r="AF158" i="19" s="1"/>
  <c r="AZ157" i="19"/>
  <c r="AX157" i="19"/>
  <c r="AW157" i="19" s="1"/>
  <c r="AV157" i="19" s="1"/>
  <c r="AU157" i="19" s="1"/>
  <c r="AT157" i="19" s="1"/>
  <c r="AS157" i="19" s="1"/>
  <c r="AR157" i="19" s="1"/>
  <c r="AQ157" i="19" s="1"/>
  <c r="AP157" i="19" s="1"/>
  <c r="AO157" i="19" s="1"/>
  <c r="AN157" i="19" s="1"/>
  <c r="AM157" i="19" s="1"/>
  <c r="AL157" i="19" s="1"/>
  <c r="AK157" i="19" s="1"/>
  <c r="AJ157" i="19" s="1"/>
  <c r="AI157" i="19" s="1"/>
  <c r="AH157" i="19" s="1"/>
  <c r="AG157" i="19" s="1"/>
  <c r="AF157" i="19" s="1"/>
  <c r="AY156" i="19"/>
  <c r="AZ156" i="19" s="1"/>
  <c r="AW156" i="19"/>
  <c r="AV156" i="19"/>
  <c r="AU156" i="19" s="1"/>
  <c r="AT156" i="19" s="1"/>
  <c r="AS156" i="19" s="1"/>
  <c r="AR156" i="19" s="1"/>
  <c r="AQ156" i="19" s="1"/>
  <c r="AP156" i="19" s="1"/>
  <c r="AO156" i="19" s="1"/>
  <c r="AN156" i="19" s="1"/>
  <c r="AM156" i="19" s="1"/>
  <c r="AL156" i="19" s="1"/>
  <c r="AK156" i="19" s="1"/>
  <c r="AJ156" i="19" s="1"/>
  <c r="AI156" i="19" s="1"/>
  <c r="AH156" i="19" s="1"/>
  <c r="AG156" i="19" s="1"/>
  <c r="AF156" i="19" s="1"/>
  <c r="AY155" i="19"/>
  <c r="AZ155" i="19" s="1"/>
  <c r="AX155" i="19"/>
  <c r="AV155" i="19"/>
  <c r="AU155" i="19" s="1"/>
  <c r="AT155" i="19" s="1"/>
  <c r="AS155" i="19" s="1"/>
  <c r="AR155" i="19" s="1"/>
  <c r="AQ155" i="19" s="1"/>
  <c r="AP155" i="19" s="1"/>
  <c r="AO155" i="19" s="1"/>
  <c r="AN155" i="19" s="1"/>
  <c r="AM155" i="19" s="1"/>
  <c r="AL155" i="19" s="1"/>
  <c r="AK155" i="19" s="1"/>
  <c r="AJ155" i="19" s="1"/>
  <c r="AI155" i="19" s="1"/>
  <c r="AH155" i="19" s="1"/>
  <c r="AG155" i="19" s="1"/>
  <c r="AF155" i="19" s="1"/>
  <c r="AY154" i="19"/>
  <c r="AZ154" i="19" s="1"/>
  <c r="AX154" i="19"/>
  <c r="AW154" i="19"/>
  <c r="AU154" i="19"/>
  <c r="AT154" i="19" s="1"/>
  <c r="AS154" i="19" s="1"/>
  <c r="AR154" i="19" s="1"/>
  <c r="AQ154" i="19" s="1"/>
  <c r="AP154" i="19" s="1"/>
  <c r="AO154" i="19" s="1"/>
  <c r="AN154" i="19" s="1"/>
  <c r="AM154" i="19" s="1"/>
  <c r="AL154" i="19" s="1"/>
  <c r="AK154" i="19" s="1"/>
  <c r="AJ154" i="19" s="1"/>
  <c r="AI154" i="19" s="1"/>
  <c r="AH154" i="19" s="1"/>
  <c r="AG154" i="19" s="1"/>
  <c r="AF154" i="19" s="1"/>
  <c r="AV153" i="19"/>
  <c r="AW153" i="19" s="1"/>
  <c r="AX153" i="19" s="1"/>
  <c r="AY153" i="19" s="1"/>
  <c r="AZ153" i="19" s="1"/>
  <c r="AT153" i="19"/>
  <c r="AS153" i="19" s="1"/>
  <c r="AR153" i="19" s="1"/>
  <c r="AQ153" i="19" s="1"/>
  <c r="AP153" i="19" s="1"/>
  <c r="AO153" i="19" s="1"/>
  <c r="AN153" i="19" s="1"/>
  <c r="AM153" i="19" s="1"/>
  <c r="AL153" i="19" s="1"/>
  <c r="AK153" i="19" s="1"/>
  <c r="AJ153" i="19" s="1"/>
  <c r="AI153" i="19" s="1"/>
  <c r="AH153" i="19" s="1"/>
  <c r="AG153" i="19" s="1"/>
  <c r="AF153" i="19" s="1"/>
  <c r="AZ152" i="19"/>
  <c r="AY152" i="19"/>
  <c r="AU152" i="19"/>
  <c r="AV152" i="19" s="1"/>
  <c r="AW152" i="19" s="1"/>
  <c r="AX152" i="19" s="1"/>
  <c r="AS152" i="19"/>
  <c r="AR152" i="19"/>
  <c r="AQ152" i="19"/>
  <c r="AP152" i="19"/>
  <c r="AO152" i="19" s="1"/>
  <c r="AN152" i="19" s="1"/>
  <c r="AM152" i="19" s="1"/>
  <c r="AL152" i="19" s="1"/>
  <c r="AK152" i="19" s="1"/>
  <c r="AJ152" i="19" s="1"/>
  <c r="AI152" i="19" s="1"/>
  <c r="AH152" i="19" s="1"/>
  <c r="AG152" i="19" s="1"/>
  <c r="AF152" i="19" s="1"/>
  <c r="AU151" i="19"/>
  <c r="AV151" i="19" s="1"/>
  <c r="AW151" i="19" s="1"/>
  <c r="AX151" i="19" s="1"/>
  <c r="AY151" i="19" s="1"/>
  <c r="AZ151" i="19" s="1"/>
  <c r="AT151" i="19"/>
  <c r="AR151" i="19"/>
  <c r="AQ151" i="19" s="1"/>
  <c r="AP151" i="19"/>
  <c r="AO151" i="19" s="1"/>
  <c r="AN151" i="19" s="1"/>
  <c r="AM151" i="19" s="1"/>
  <c r="AL151" i="19" s="1"/>
  <c r="AK151" i="19" s="1"/>
  <c r="AJ151" i="19" s="1"/>
  <c r="AI151" i="19" s="1"/>
  <c r="AH151" i="19" s="1"/>
  <c r="AG151" i="19" s="1"/>
  <c r="AF151" i="19" s="1"/>
  <c r="AT150" i="19"/>
  <c r="AU150" i="19" s="1"/>
  <c r="AV150" i="19" s="1"/>
  <c r="AW150" i="19" s="1"/>
  <c r="AX150" i="19" s="1"/>
  <c r="AY150" i="19" s="1"/>
  <c r="AZ150" i="19" s="1"/>
  <c r="AS150" i="19"/>
  <c r="AQ150" i="19"/>
  <c r="AP150" i="19" s="1"/>
  <c r="AO150" i="19" s="1"/>
  <c r="AN150" i="19" s="1"/>
  <c r="AM150" i="19" s="1"/>
  <c r="AL150" i="19" s="1"/>
  <c r="AK150" i="19" s="1"/>
  <c r="AJ150" i="19" s="1"/>
  <c r="AI150" i="19" s="1"/>
  <c r="AH150" i="19" s="1"/>
  <c r="AG150" i="19" s="1"/>
  <c r="AF150" i="19" s="1"/>
  <c r="AU149" i="19"/>
  <c r="AV149" i="19" s="1"/>
  <c r="AW149" i="19" s="1"/>
  <c r="AX149" i="19" s="1"/>
  <c r="AY149" i="19" s="1"/>
  <c r="AZ149" i="19" s="1"/>
  <c r="AS149" i="19"/>
  <c r="AT149" i="19" s="1"/>
  <c r="AR149" i="19"/>
  <c r="AP149" i="19"/>
  <c r="AO149" i="19"/>
  <c r="AN149" i="19" s="1"/>
  <c r="AM149" i="19" s="1"/>
  <c r="AL149" i="19" s="1"/>
  <c r="AK149" i="19" s="1"/>
  <c r="AJ149" i="19" s="1"/>
  <c r="AI149" i="19" s="1"/>
  <c r="AH149" i="19" s="1"/>
  <c r="AG149" i="19" s="1"/>
  <c r="AF149" i="19" s="1"/>
  <c r="AQ148" i="19"/>
  <c r="AR148" i="19" s="1"/>
  <c r="AS148" i="19" s="1"/>
  <c r="AT148" i="19" s="1"/>
  <c r="AU148" i="19" s="1"/>
  <c r="AV148" i="19" s="1"/>
  <c r="AW148" i="19" s="1"/>
  <c r="AX148" i="19" s="1"/>
  <c r="AY148" i="19" s="1"/>
  <c r="AZ148" i="19" s="1"/>
  <c r="AO148" i="19"/>
  <c r="AN148" i="19" s="1"/>
  <c r="AM148" i="19" s="1"/>
  <c r="AL148" i="19" s="1"/>
  <c r="AK148" i="19" s="1"/>
  <c r="AJ148" i="19" s="1"/>
  <c r="AI148" i="19" s="1"/>
  <c r="AH148" i="19" s="1"/>
  <c r="AG148" i="19" s="1"/>
  <c r="AF148" i="19" s="1"/>
  <c r="AR147" i="19"/>
  <c r="AS147" i="19" s="1"/>
  <c r="AT147" i="19" s="1"/>
  <c r="AU147" i="19" s="1"/>
  <c r="AV147" i="19" s="1"/>
  <c r="AW147" i="19" s="1"/>
  <c r="AX147" i="19" s="1"/>
  <c r="AY147" i="19" s="1"/>
  <c r="AZ147" i="19" s="1"/>
  <c r="AQ147" i="19"/>
  <c r="AP147" i="19"/>
  <c r="AN147" i="19"/>
  <c r="AM147" i="19" s="1"/>
  <c r="AL147" i="19" s="1"/>
  <c r="AK147" i="19" s="1"/>
  <c r="AJ147" i="19" s="1"/>
  <c r="AI147" i="19" s="1"/>
  <c r="AH147" i="19" s="1"/>
  <c r="AG147" i="19" s="1"/>
  <c r="AF147" i="19" s="1"/>
  <c r="AP146" i="19"/>
  <c r="AQ146" i="19" s="1"/>
  <c r="AR146" i="19" s="1"/>
  <c r="AS146" i="19" s="1"/>
  <c r="AT146" i="19" s="1"/>
  <c r="AU146" i="19" s="1"/>
  <c r="AV146" i="19" s="1"/>
  <c r="AW146" i="19" s="1"/>
  <c r="AX146" i="19" s="1"/>
  <c r="AY146" i="19" s="1"/>
  <c r="AZ146" i="19" s="1"/>
  <c r="AO146" i="19"/>
  <c r="AM146" i="19"/>
  <c r="AL146" i="19" s="1"/>
  <c r="AK146" i="19" s="1"/>
  <c r="AJ146" i="19" s="1"/>
  <c r="AI146" i="19" s="1"/>
  <c r="AH146" i="19" s="1"/>
  <c r="AG146" i="19" s="1"/>
  <c r="AF146" i="19" s="1"/>
  <c r="AO145" i="19"/>
  <c r="AP145" i="19" s="1"/>
  <c r="AQ145" i="19" s="1"/>
  <c r="AR145" i="19" s="1"/>
  <c r="AS145" i="19" s="1"/>
  <c r="AT145" i="19" s="1"/>
  <c r="AU145" i="19" s="1"/>
  <c r="AV145" i="19" s="1"/>
  <c r="AW145" i="19" s="1"/>
  <c r="AX145" i="19" s="1"/>
  <c r="AY145" i="19" s="1"/>
  <c r="AZ145" i="19" s="1"/>
  <c r="AN145" i="19"/>
  <c r="AL145" i="19"/>
  <c r="AK145" i="19" s="1"/>
  <c r="AJ145" i="19"/>
  <c r="AI145" i="19"/>
  <c r="AH145" i="19" s="1"/>
  <c r="AG145" i="19" s="1"/>
  <c r="AF145" i="19" s="1"/>
  <c r="AM144" i="19"/>
  <c r="AN144" i="19" s="1"/>
  <c r="AO144" i="19" s="1"/>
  <c r="AP144" i="19" s="1"/>
  <c r="AQ144" i="19" s="1"/>
  <c r="AR144" i="19" s="1"/>
  <c r="AS144" i="19" s="1"/>
  <c r="AT144" i="19" s="1"/>
  <c r="AU144" i="19" s="1"/>
  <c r="AV144" i="19" s="1"/>
  <c r="AW144" i="19" s="1"/>
  <c r="AX144" i="19" s="1"/>
  <c r="AY144" i="19" s="1"/>
  <c r="AZ144" i="19" s="1"/>
  <c r="AK144" i="19"/>
  <c r="AJ144" i="19"/>
  <c r="AI144" i="19" s="1"/>
  <c r="AH144" i="19" s="1"/>
  <c r="AG144" i="19" s="1"/>
  <c r="AF144" i="19" s="1"/>
  <c r="AL143" i="19"/>
  <c r="AM143" i="19" s="1"/>
  <c r="AN143" i="19" s="1"/>
  <c r="AO143" i="19" s="1"/>
  <c r="AP143" i="19" s="1"/>
  <c r="AQ143" i="19" s="1"/>
  <c r="AR143" i="19" s="1"/>
  <c r="AS143" i="19" s="1"/>
  <c r="AT143" i="19" s="1"/>
  <c r="AU143" i="19" s="1"/>
  <c r="AV143" i="19" s="1"/>
  <c r="AW143" i="19" s="1"/>
  <c r="AX143" i="19" s="1"/>
  <c r="AY143" i="19" s="1"/>
  <c r="AZ143" i="19" s="1"/>
  <c r="AJ143" i="19"/>
  <c r="AI143" i="19" s="1"/>
  <c r="AH143" i="19" s="1"/>
  <c r="AG143" i="19" s="1"/>
  <c r="AF143" i="19" s="1"/>
  <c r="AQ142" i="19"/>
  <c r="AR142" i="19" s="1"/>
  <c r="AS142" i="19" s="1"/>
  <c r="AT142" i="19" s="1"/>
  <c r="AU142" i="19" s="1"/>
  <c r="AV142" i="19" s="1"/>
  <c r="AW142" i="19" s="1"/>
  <c r="AX142" i="19" s="1"/>
  <c r="AY142" i="19" s="1"/>
  <c r="AZ142" i="19" s="1"/>
  <c r="AL142" i="19"/>
  <c r="AM142" i="19" s="1"/>
  <c r="AN142" i="19" s="1"/>
  <c r="AO142" i="19" s="1"/>
  <c r="AP142" i="19" s="1"/>
  <c r="AK142" i="19"/>
  <c r="AI142" i="19"/>
  <c r="AH142" i="19" s="1"/>
  <c r="AG142" i="19" s="1"/>
  <c r="AF142" i="19" s="1"/>
  <c r="AL141" i="19"/>
  <c r="AM141" i="19" s="1"/>
  <c r="AN141" i="19" s="1"/>
  <c r="AO141" i="19" s="1"/>
  <c r="AP141" i="19" s="1"/>
  <c r="AQ141" i="19" s="1"/>
  <c r="AR141" i="19" s="1"/>
  <c r="AS141" i="19" s="1"/>
  <c r="AT141" i="19" s="1"/>
  <c r="AU141" i="19" s="1"/>
  <c r="AV141" i="19" s="1"/>
  <c r="AW141" i="19" s="1"/>
  <c r="AX141" i="19" s="1"/>
  <c r="AY141" i="19" s="1"/>
  <c r="AZ141" i="19" s="1"/>
  <c r="AK141" i="19"/>
  <c r="AJ141" i="19"/>
  <c r="AH141" i="19"/>
  <c r="AG141" i="19" s="1"/>
  <c r="AF141" i="19" s="1"/>
  <c r="AK140" i="19"/>
  <c r="AL140" i="19" s="1"/>
  <c r="AM140" i="19" s="1"/>
  <c r="AN140" i="19" s="1"/>
  <c r="AO140" i="19" s="1"/>
  <c r="AP140" i="19" s="1"/>
  <c r="AQ140" i="19" s="1"/>
  <c r="AR140" i="19" s="1"/>
  <c r="AS140" i="19" s="1"/>
  <c r="AT140" i="19" s="1"/>
  <c r="AU140" i="19" s="1"/>
  <c r="AV140" i="19" s="1"/>
  <c r="AW140" i="19" s="1"/>
  <c r="AX140" i="19" s="1"/>
  <c r="AY140" i="19" s="1"/>
  <c r="AZ140" i="19" s="1"/>
  <c r="AI140" i="19"/>
  <c r="AJ140" i="19" s="1"/>
  <c r="AG140" i="19"/>
  <c r="AF140" i="19" s="1"/>
  <c r="AL139" i="19"/>
  <c r="AM139" i="19" s="1"/>
  <c r="AN139" i="19" s="1"/>
  <c r="AO139" i="19" s="1"/>
  <c r="AP139" i="19" s="1"/>
  <c r="AQ139" i="19" s="1"/>
  <c r="AR139" i="19" s="1"/>
  <c r="AS139" i="19" s="1"/>
  <c r="AT139" i="19" s="1"/>
  <c r="AU139" i="19" s="1"/>
  <c r="AV139" i="19" s="1"/>
  <c r="AW139" i="19" s="1"/>
  <c r="AX139" i="19" s="1"/>
  <c r="AY139" i="19" s="1"/>
  <c r="AZ139" i="19" s="1"/>
  <c r="AH139" i="19"/>
  <c r="AI139" i="19" s="1"/>
  <c r="AJ139" i="19" s="1"/>
  <c r="AK139" i="19" s="1"/>
  <c r="AF139" i="19"/>
  <c r="AG138" i="19"/>
  <c r="AH138" i="19" s="1"/>
  <c r="AI138" i="19" s="1"/>
  <c r="AJ138" i="19" s="1"/>
  <c r="AK138" i="19" s="1"/>
  <c r="AL138" i="19" s="1"/>
  <c r="AM138" i="19" s="1"/>
  <c r="AN138" i="19" s="1"/>
  <c r="AO138" i="19" s="1"/>
  <c r="AP138" i="19" s="1"/>
  <c r="AQ138" i="19" s="1"/>
  <c r="AR138" i="19" s="1"/>
  <c r="AS138" i="19" s="1"/>
  <c r="AT138" i="19" s="1"/>
  <c r="AU138" i="19" s="1"/>
  <c r="AV138" i="19" s="1"/>
  <c r="AW138" i="19" s="1"/>
  <c r="AX138" i="19" s="1"/>
  <c r="AY138" i="19" s="1"/>
  <c r="AZ138" i="19" s="1"/>
  <c r="AY137" i="19"/>
  <c r="AX137" i="19" s="1"/>
  <c r="AW137" i="19" s="1"/>
  <c r="AV137" i="19" s="1"/>
  <c r="AU137" i="19" s="1"/>
  <c r="AT137" i="19" s="1"/>
  <c r="AS137" i="19" s="1"/>
  <c r="AR137" i="19" s="1"/>
  <c r="AQ137" i="19" s="1"/>
  <c r="AP137" i="19" s="1"/>
  <c r="AO137" i="19" s="1"/>
  <c r="AN137" i="19" s="1"/>
  <c r="AM137" i="19" s="1"/>
  <c r="AL137" i="19" s="1"/>
  <c r="AK137" i="19" s="1"/>
  <c r="AJ137" i="19" s="1"/>
  <c r="AI137" i="19" s="1"/>
  <c r="AH137" i="19" s="1"/>
  <c r="AG137" i="19" s="1"/>
  <c r="AF137" i="19" s="1"/>
  <c r="AZ136" i="19"/>
  <c r="AX136" i="19"/>
  <c r="AW136" i="19"/>
  <c r="AV136" i="19" s="1"/>
  <c r="AU136" i="19" s="1"/>
  <c r="AT136" i="19" s="1"/>
  <c r="AS136" i="19" s="1"/>
  <c r="AR136" i="19" s="1"/>
  <c r="AQ136" i="19" s="1"/>
  <c r="AP136" i="19" s="1"/>
  <c r="AO136" i="19" s="1"/>
  <c r="AN136" i="19" s="1"/>
  <c r="AM136" i="19" s="1"/>
  <c r="AL136" i="19" s="1"/>
  <c r="AK136" i="19" s="1"/>
  <c r="AJ136" i="19" s="1"/>
  <c r="AI136" i="19" s="1"/>
  <c r="AH136" i="19" s="1"/>
  <c r="AG136" i="19" s="1"/>
  <c r="AF136" i="19" s="1"/>
  <c r="AZ135" i="19"/>
  <c r="AY135" i="19"/>
  <c r="AW135" i="19"/>
  <c r="AV135" i="19" s="1"/>
  <c r="AU135" i="19" s="1"/>
  <c r="AT135" i="19" s="1"/>
  <c r="AS135" i="19" s="1"/>
  <c r="AR135" i="19" s="1"/>
  <c r="AQ135" i="19" s="1"/>
  <c r="AP135" i="19" s="1"/>
  <c r="AO135" i="19" s="1"/>
  <c r="AN135" i="19" s="1"/>
  <c r="AM135" i="19" s="1"/>
  <c r="AL135" i="19" s="1"/>
  <c r="AK135" i="19" s="1"/>
  <c r="AJ135" i="19" s="1"/>
  <c r="AI135" i="19" s="1"/>
  <c r="AH135" i="19" s="1"/>
  <c r="AG135" i="19" s="1"/>
  <c r="AF135" i="19" s="1"/>
  <c r="AZ134" i="19"/>
  <c r="AY134" i="19"/>
  <c r="AX134" i="19"/>
  <c r="AV134" i="19"/>
  <c r="AU134" i="19"/>
  <c r="AT134" i="19" s="1"/>
  <c r="AS134" i="19"/>
  <c r="AR134" i="19" s="1"/>
  <c r="AQ134" i="19" s="1"/>
  <c r="AP134" i="19" s="1"/>
  <c r="AO134" i="19" s="1"/>
  <c r="AN134" i="19" s="1"/>
  <c r="AM134" i="19" s="1"/>
  <c r="AL134" i="19" s="1"/>
  <c r="AK134" i="19" s="1"/>
  <c r="AJ134" i="19" s="1"/>
  <c r="AI134" i="19" s="1"/>
  <c r="AH134" i="19" s="1"/>
  <c r="AG134" i="19" s="1"/>
  <c r="AF134" i="19" s="1"/>
  <c r="AX133" i="19"/>
  <c r="AY133" i="19" s="1"/>
  <c r="AZ133" i="19" s="1"/>
  <c r="AW133" i="19"/>
  <c r="AU133" i="19"/>
  <c r="AT133" i="19" s="1"/>
  <c r="AS133" i="19" s="1"/>
  <c r="AR133" i="19" s="1"/>
  <c r="AQ133" i="19"/>
  <c r="AP133" i="19" s="1"/>
  <c r="AO133" i="19" s="1"/>
  <c r="AN133" i="19" s="1"/>
  <c r="AM133" i="19" s="1"/>
  <c r="AL133" i="19" s="1"/>
  <c r="AK133" i="19" s="1"/>
  <c r="AJ133" i="19"/>
  <c r="AI133" i="19" s="1"/>
  <c r="AH133" i="19" s="1"/>
  <c r="AG133" i="19" s="1"/>
  <c r="AF133" i="19" s="1"/>
  <c r="AZ132" i="19"/>
  <c r="AX132" i="19"/>
  <c r="AY132" i="19" s="1"/>
  <c r="AW132" i="19"/>
  <c r="AV132" i="19"/>
  <c r="AT132" i="19"/>
  <c r="AS132" i="19"/>
  <c r="AR132" i="19" s="1"/>
  <c r="AQ132" i="19" s="1"/>
  <c r="AP132" i="19" s="1"/>
  <c r="AO132" i="19" s="1"/>
  <c r="AN132" i="19" s="1"/>
  <c r="AM132" i="19" s="1"/>
  <c r="AL132" i="19" s="1"/>
  <c r="AK132" i="19" s="1"/>
  <c r="AJ132" i="19" s="1"/>
  <c r="AI132" i="19" s="1"/>
  <c r="AH132" i="19" s="1"/>
  <c r="AG132" i="19" s="1"/>
  <c r="AF132" i="19"/>
  <c r="AV131" i="19"/>
  <c r="AW131" i="19" s="1"/>
  <c r="AX131" i="19" s="1"/>
  <c r="AY131" i="19" s="1"/>
  <c r="AZ131" i="19" s="1"/>
  <c r="AU131" i="19"/>
  <c r="AS131" i="19"/>
  <c r="AR131" i="19" s="1"/>
  <c r="AQ131" i="19" s="1"/>
  <c r="AP131" i="19" s="1"/>
  <c r="AO131" i="19" s="1"/>
  <c r="AN131" i="19" s="1"/>
  <c r="AM131" i="19" s="1"/>
  <c r="AL131" i="19" s="1"/>
  <c r="AK131" i="19" s="1"/>
  <c r="AJ131" i="19" s="1"/>
  <c r="AI131" i="19" s="1"/>
  <c r="AH131" i="19" s="1"/>
  <c r="AG131" i="19" s="1"/>
  <c r="AF131" i="19" s="1"/>
  <c r="AW130" i="19"/>
  <c r="AX130" i="19" s="1"/>
  <c r="AY130" i="19" s="1"/>
  <c r="AZ130" i="19" s="1"/>
  <c r="AV130" i="19"/>
  <c r="AU130" i="19"/>
  <c r="AT130" i="19"/>
  <c r="AR130" i="19"/>
  <c r="AQ130" i="19"/>
  <c r="AP130" i="19" s="1"/>
  <c r="AO130" i="19"/>
  <c r="AN130" i="19"/>
  <c r="AM130" i="19" s="1"/>
  <c r="AL130" i="19" s="1"/>
  <c r="AK130" i="19" s="1"/>
  <c r="AJ130" i="19" s="1"/>
  <c r="AI130" i="19" s="1"/>
  <c r="AH130" i="19" s="1"/>
  <c r="AG130" i="19" s="1"/>
  <c r="AF130" i="19" s="1"/>
  <c r="AT129" i="19"/>
  <c r="AU129" i="19" s="1"/>
  <c r="AV129" i="19" s="1"/>
  <c r="AW129" i="19" s="1"/>
  <c r="AX129" i="19" s="1"/>
  <c r="AY129" i="19" s="1"/>
  <c r="AZ129" i="19" s="1"/>
  <c r="AS129" i="19"/>
  <c r="AQ129" i="19"/>
  <c r="AP129" i="19" s="1"/>
  <c r="AO129" i="19" s="1"/>
  <c r="AN129" i="19" s="1"/>
  <c r="AM129" i="19" s="1"/>
  <c r="AL129" i="19" s="1"/>
  <c r="AK129" i="19" s="1"/>
  <c r="AJ129" i="19" s="1"/>
  <c r="AI129" i="19" s="1"/>
  <c r="AH129" i="19" s="1"/>
  <c r="AG129" i="19" s="1"/>
  <c r="AF129" i="19" s="1"/>
  <c r="AT128" i="19"/>
  <c r="AU128" i="19" s="1"/>
  <c r="AV128" i="19" s="1"/>
  <c r="AW128" i="19" s="1"/>
  <c r="AX128" i="19" s="1"/>
  <c r="AY128" i="19" s="1"/>
  <c r="AZ128" i="19" s="1"/>
  <c r="AS128" i="19"/>
  <c r="AR128" i="19"/>
  <c r="AP128" i="19"/>
  <c r="AO128" i="19"/>
  <c r="AN128" i="19" s="1"/>
  <c r="AM128" i="19" s="1"/>
  <c r="AL128" i="19" s="1"/>
  <c r="AK128" i="19" s="1"/>
  <c r="AJ128" i="19" s="1"/>
  <c r="AI128" i="19" s="1"/>
  <c r="AH128" i="19" s="1"/>
  <c r="AG128" i="19" s="1"/>
  <c r="AF128" i="19" s="1"/>
  <c r="AX127" i="19"/>
  <c r="AY127" i="19" s="1"/>
  <c r="AZ127" i="19" s="1"/>
  <c r="AW127" i="19"/>
  <c r="AR127" i="19"/>
  <c r="AS127" i="19" s="1"/>
  <c r="AT127" i="19" s="1"/>
  <c r="AU127" i="19" s="1"/>
  <c r="AV127" i="19" s="1"/>
  <c r="AQ127" i="19"/>
  <c r="AO127" i="19"/>
  <c r="AN127" i="19"/>
  <c r="AM127" i="19" s="1"/>
  <c r="AL127" i="19" s="1"/>
  <c r="AK127" i="19"/>
  <c r="AJ127" i="19"/>
  <c r="AI127" i="19" s="1"/>
  <c r="AH127" i="19" s="1"/>
  <c r="AG127" i="19" s="1"/>
  <c r="AF127" i="19" s="1"/>
  <c r="AS126" i="19"/>
  <c r="AT126" i="19" s="1"/>
  <c r="AU126" i="19" s="1"/>
  <c r="AV126" i="19" s="1"/>
  <c r="AW126" i="19" s="1"/>
  <c r="AX126" i="19" s="1"/>
  <c r="AY126" i="19" s="1"/>
  <c r="AZ126" i="19" s="1"/>
  <c r="AR126" i="19"/>
  <c r="AQ126" i="19"/>
  <c r="AP126" i="19"/>
  <c r="AN126" i="19"/>
  <c r="AM126" i="19"/>
  <c r="AL126" i="19" s="1"/>
  <c r="AK126" i="19"/>
  <c r="AJ126" i="19" s="1"/>
  <c r="AI126" i="19" s="1"/>
  <c r="AH126" i="19" s="1"/>
  <c r="AG126" i="19" s="1"/>
  <c r="AF126" i="19" s="1"/>
  <c r="AS125" i="19"/>
  <c r="AT125" i="19" s="1"/>
  <c r="AU125" i="19" s="1"/>
  <c r="AV125" i="19" s="1"/>
  <c r="AW125" i="19" s="1"/>
  <c r="AX125" i="19" s="1"/>
  <c r="AY125" i="19" s="1"/>
  <c r="AZ125" i="19" s="1"/>
  <c r="AP125" i="19"/>
  <c r="AQ125" i="19" s="1"/>
  <c r="AR125" i="19" s="1"/>
  <c r="AO125" i="19"/>
  <c r="AM125" i="19"/>
  <c r="AL125" i="19" s="1"/>
  <c r="AK125" i="19" s="1"/>
  <c r="AJ125" i="19" s="1"/>
  <c r="AI125" i="19" s="1"/>
  <c r="AH125" i="19" s="1"/>
  <c r="AG125" i="19" s="1"/>
  <c r="AF125" i="19" s="1"/>
  <c r="AO124" i="19"/>
  <c r="AP124" i="19" s="1"/>
  <c r="AQ124" i="19" s="1"/>
  <c r="AR124" i="19" s="1"/>
  <c r="AS124" i="19" s="1"/>
  <c r="AT124" i="19" s="1"/>
  <c r="AU124" i="19" s="1"/>
  <c r="AV124" i="19" s="1"/>
  <c r="AW124" i="19" s="1"/>
  <c r="AX124" i="19" s="1"/>
  <c r="AY124" i="19" s="1"/>
  <c r="AZ124" i="19" s="1"/>
  <c r="AN124" i="19"/>
  <c r="AL124" i="19"/>
  <c r="AK124" i="19"/>
  <c r="AJ124" i="19" s="1"/>
  <c r="AI124" i="19" s="1"/>
  <c r="AH124" i="19" s="1"/>
  <c r="AG124" i="19" s="1"/>
  <c r="AF124" i="19" s="1"/>
  <c r="AN123" i="19"/>
  <c r="AO123" i="19" s="1"/>
  <c r="AP123" i="19" s="1"/>
  <c r="AQ123" i="19" s="1"/>
  <c r="AR123" i="19" s="1"/>
  <c r="AS123" i="19" s="1"/>
  <c r="AT123" i="19" s="1"/>
  <c r="AU123" i="19" s="1"/>
  <c r="AV123" i="19" s="1"/>
  <c r="AW123" i="19" s="1"/>
  <c r="AX123" i="19" s="1"/>
  <c r="AY123" i="19" s="1"/>
  <c r="AZ123" i="19" s="1"/>
  <c r="AM123" i="19"/>
  <c r="AK123" i="19"/>
  <c r="AJ123" i="19"/>
  <c r="AI123" i="19" s="1"/>
  <c r="AH123" i="19" s="1"/>
  <c r="AG123" i="19" s="1"/>
  <c r="AF123" i="19" s="1"/>
  <c r="AP122" i="19"/>
  <c r="AQ122" i="19" s="1"/>
  <c r="AR122" i="19" s="1"/>
  <c r="AS122" i="19" s="1"/>
  <c r="AT122" i="19" s="1"/>
  <c r="AU122" i="19" s="1"/>
  <c r="AV122" i="19" s="1"/>
  <c r="AW122" i="19" s="1"/>
  <c r="AX122" i="19" s="1"/>
  <c r="AY122" i="19" s="1"/>
  <c r="AZ122" i="19" s="1"/>
  <c r="AO122" i="19"/>
  <c r="AN122" i="19"/>
  <c r="AM122" i="19"/>
  <c r="AL122" i="19"/>
  <c r="AJ122" i="19"/>
  <c r="AI122" i="19"/>
  <c r="AH122" i="19" s="1"/>
  <c r="AG122" i="19" s="1"/>
  <c r="AF122" i="19" s="1"/>
  <c r="AK121" i="19"/>
  <c r="AL121" i="19" s="1"/>
  <c r="AM121" i="19" s="1"/>
  <c r="AN121" i="19" s="1"/>
  <c r="AO121" i="19" s="1"/>
  <c r="AP121" i="19" s="1"/>
  <c r="AQ121" i="19" s="1"/>
  <c r="AR121" i="19" s="1"/>
  <c r="AS121" i="19" s="1"/>
  <c r="AT121" i="19" s="1"/>
  <c r="AU121" i="19" s="1"/>
  <c r="AV121" i="19" s="1"/>
  <c r="AW121" i="19" s="1"/>
  <c r="AX121" i="19" s="1"/>
  <c r="AY121" i="19" s="1"/>
  <c r="AZ121" i="19" s="1"/>
  <c r="AI121" i="19"/>
  <c r="AH121" i="19" s="1"/>
  <c r="AG121" i="19" s="1"/>
  <c r="AF121" i="19" s="1"/>
  <c r="AM120" i="19"/>
  <c r="AN120" i="19" s="1"/>
  <c r="AO120" i="19" s="1"/>
  <c r="AP120" i="19" s="1"/>
  <c r="AQ120" i="19" s="1"/>
  <c r="AR120" i="19" s="1"/>
  <c r="AS120" i="19" s="1"/>
  <c r="AT120" i="19" s="1"/>
  <c r="AU120" i="19" s="1"/>
  <c r="AV120" i="19" s="1"/>
  <c r="AW120" i="19" s="1"/>
  <c r="AX120" i="19" s="1"/>
  <c r="AY120" i="19" s="1"/>
  <c r="AZ120" i="19" s="1"/>
  <c r="AL120" i="19"/>
  <c r="AK120" i="19"/>
  <c r="AJ120" i="19"/>
  <c r="AH120" i="19"/>
  <c r="AG120" i="19"/>
  <c r="AF120" i="19" s="1"/>
  <c r="AJ119" i="19"/>
  <c r="AK119" i="19" s="1"/>
  <c r="AL119" i="19" s="1"/>
  <c r="AM119" i="19" s="1"/>
  <c r="AN119" i="19" s="1"/>
  <c r="AO119" i="19" s="1"/>
  <c r="AP119" i="19" s="1"/>
  <c r="AQ119" i="19" s="1"/>
  <c r="AR119" i="19" s="1"/>
  <c r="AS119" i="19" s="1"/>
  <c r="AT119" i="19" s="1"/>
  <c r="AU119" i="19" s="1"/>
  <c r="AV119" i="19" s="1"/>
  <c r="AW119" i="19" s="1"/>
  <c r="AX119" i="19" s="1"/>
  <c r="AY119" i="19" s="1"/>
  <c r="AZ119" i="19" s="1"/>
  <c r="AI119" i="19"/>
  <c r="AG119" i="19"/>
  <c r="AF119" i="19"/>
  <c r="AL118" i="19"/>
  <c r="AM118" i="19" s="1"/>
  <c r="AN118" i="19" s="1"/>
  <c r="AO118" i="19" s="1"/>
  <c r="AP118" i="19" s="1"/>
  <c r="AQ118" i="19" s="1"/>
  <c r="AR118" i="19" s="1"/>
  <c r="AS118" i="19" s="1"/>
  <c r="AT118" i="19" s="1"/>
  <c r="AU118" i="19" s="1"/>
  <c r="AV118" i="19" s="1"/>
  <c r="AW118" i="19" s="1"/>
  <c r="AX118" i="19" s="1"/>
  <c r="AY118" i="19" s="1"/>
  <c r="AZ118" i="19" s="1"/>
  <c r="AK118" i="19"/>
  <c r="AJ118" i="19"/>
  <c r="AI118" i="19"/>
  <c r="AH118" i="19"/>
  <c r="AF118" i="19"/>
  <c r="AH117" i="19"/>
  <c r="AI117" i="19" s="1"/>
  <c r="AJ117" i="19" s="1"/>
  <c r="AK117" i="19" s="1"/>
  <c r="AL117" i="19" s="1"/>
  <c r="AM117" i="19" s="1"/>
  <c r="AN117" i="19" s="1"/>
  <c r="AO117" i="19" s="1"/>
  <c r="AP117" i="19" s="1"/>
  <c r="AQ117" i="19" s="1"/>
  <c r="AR117" i="19" s="1"/>
  <c r="AS117" i="19" s="1"/>
  <c r="AT117" i="19" s="1"/>
  <c r="AU117" i="19" s="1"/>
  <c r="AV117" i="19" s="1"/>
  <c r="AW117" i="19" s="1"/>
  <c r="AX117" i="19" s="1"/>
  <c r="AY117" i="19" s="1"/>
  <c r="AZ117" i="19" s="1"/>
  <c r="AG117" i="19"/>
  <c r="BD116" i="19"/>
  <c r="BA116" i="19"/>
  <c r="BB116" i="19" s="1"/>
  <c r="BC116" i="19" s="1"/>
  <c r="BB115" i="19"/>
  <c r="BC115" i="19" s="1"/>
  <c r="BD115" i="19" s="1"/>
  <c r="BA115" i="19"/>
  <c r="BA114" i="19"/>
  <c r="BB114" i="19" s="1"/>
  <c r="BC114" i="19" s="1"/>
  <c r="BD114" i="19" s="1"/>
  <c r="BA113" i="19"/>
  <c r="BB113" i="19" s="1"/>
  <c r="BC113" i="19" s="1"/>
  <c r="BD113" i="19" s="1"/>
  <c r="BD112" i="19"/>
  <c r="BC112" i="19"/>
  <c r="BB112" i="19"/>
  <c r="BA112" i="19"/>
  <c r="BA111" i="19"/>
  <c r="BB111" i="19" s="1"/>
  <c r="BC111" i="19" s="1"/>
  <c r="BD111" i="19" s="1"/>
  <c r="BD110" i="19"/>
  <c r="BA110" i="19"/>
  <c r="BB110" i="19" s="1"/>
  <c r="BC110" i="19" s="1"/>
  <c r="BA109" i="19"/>
  <c r="BB109" i="19" s="1"/>
  <c r="BC109" i="19" s="1"/>
  <c r="BD109" i="19" s="1"/>
  <c r="BA108" i="19"/>
  <c r="BB108" i="19" s="1"/>
  <c r="BC108" i="19" s="1"/>
  <c r="BD108" i="19" s="1"/>
  <c r="BD107" i="19"/>
  <c r="BA107" i="19"/>
  <c r="BB107" i="19" s="1"/>
  <c r="BC107" i="19" s="1"/>
  <c r="BB106" i="19"/>
  <c r="BC106" i="19" s="1"/>
  <c r="BD106" i="19" s="1"/>
  <c r="BA106" i="19"/>
  <c r="BA105" i="19"/>
  <c r="BB105" i="19" s="1"/>
  <c r="BC105" i="19" s="1"/>
  <c r="BD105" i="19" s="1"/>
  <c r="BA104" i="19"/>
  <c r="BB104" i="19" s="1"/>
  <c r="BC104" i="19" s="1"/>
  <c r="BD104" i="19" s="1"/>
  <c r="BD103" i="19"/>
  <c r="BC103" i="19"/>
  <c r="BB103" i="19"/>
  <c r="BA103" i="19"/>
  <c r="BA102" i="19"/>
  <c r="BB102" i="19" s="1"/>
  <c r="BC102" i="19" s="1"/>
  <c r="BD102" i="19" s="1"/>
  <c r="BA101" i="19"/>
  <c r="BB101" i="19" s="1"/>
  <c r="BC101" i="19" s="1"/>
  <c r="BD101" i="19" s="1"/>
  <c r="BB100" i="19"/>
  <c r="BC100" i="19" s="1"/>
  <c r="BD100" i="19" s="1"/>
  <c r="BA100" i="19"/>
  <c r="BB99" i="19"/>
  <c r="BC99" i="19" s="1"/>
  <c r="BD99" i="19" s="1"/>
  <c r="BA99" i="19"/>
  <c r="BB98" i="19"/>
  <c r="BC98" i="19" s="1"/>
  <c r="BD98" i="19" s="1"/>
  <c r="BA98" i="19"/>
  <c r="AY96" i="19"/>
  <c r="AX96" i="19"/>
  <c r="AW96" i="19" s="1"/>
  <c r="AV96" i="19" s="1"/>
  <c r="AU96" i="19" s="1"/>
  <c r="AT96" i="19" s="1"/>
  <c r="AS96" i="19"/>
  <c r="AR96" i="19" s="1"/>
  <c r="AQ96" i="19" s="1"/>
  <c r="AP96" i="19" s="1"/>
  <c r="AO96" i="19" s="1"/>
  <c r="AN96" i="19" s="1"/>
  <c r="AM96" i="19" s="1"/>
  <c r="AL96" i="19" s="1"/>
  <c r="AK96" i="19" s="1"/>
  <c r="AJ96" i="19" s="1"/>
  <c r="AI96" i="19" s="1"/>
  <c r="AH96" i="19" s="1"/>
  <c r="AG96" i="19" s="1"/>
  <c r="AZ95" i="19"/>
  <c r="AX95" i="19"/>
  <c r="AW95" i="19" s="1"/>
  <c r="AV95" i="19" s="1"/>
  <c r="AU95" i="19" s="1"/>
  <c r="AT95" i="19" s="1"/>
  <c r="AS95" i="19" s="1"/>
  <c r="AR95" i="19" s="1"/>
  <c r="AQ95" i="19" s="1"/>
  <c r="AP95" i="19" s="1"/>
  <c r="AO95" i="19" s="1"/>
  <c r="AN95" i="19" s="1"/>
  <c r="AM95" i="19" s="1"/>
  <c r="AL95" i="19" s="1"/>
  <c r="AK95" i="19" s="1"/>
  <c r="AJ95" i="19" s="1"/>
  <c r="AI95" i="19" s="1"/>
  <c r="AH95" i="19" s="1"/>
  <c r="AG95" i="19" s="1"/>
  <c r="AY94" i="19"/>
  <c r="AZ94" i="19" s="1"/>
  <c r="AW94" i="19"/>
  <c r="AV94" i="19" s="1"/>
  <c r="AU94" i="19" s="1"/>
  <c r="AT94" i="19" s="1"/>
  <c r="AS94" i="19" s="1"/>
  <c r="AR94" i="19" s="1"/>
  <c r="AQ94" i="19" s="1"/>
  <c r="AP94" i="19" s="1"/>
  <c r="AO94" i="19" s="1"/>
  <c r="AN94" i="19" s="1"/>
  <c r="AM94" i="19" s="1"/>
  <c r="AL94" i="19" s="1"/>
  <c r="AK94" i="19" s="1"/>
  <c r="AJ94" i="19" s="1"/>
  <c r="AI94" i="19" s="1"/>
  <c r="AH94" i="19" s="1"/>
  <c r="AG94" i="19" s="1"/>
  <c r="AX93" i="19"/>
  <c r="AY93" i="19" s="1"/>
  <c r="AZ93" i="19" s="1"/>
  <c r="AV93" i="19"/>
  <c r="AU93" i="19" s="1"/>
  <c r="AT93" i="19" s="1"/>
  <c r="AS93" i="19" s="1"/>
  <c r="AR93" i="19" s="1"/>
  <c r="AQ93" i="19"/>
  <c r="AP93" i="19" s="1"/>
  <c r="AO93" i="19" s="1"/>
  <c r="AN93" i="19" s="1"/>
  <c r="AM93" i="19" s="1"/>
  <c r="AL93" i="19" s="1"/>
  <c r="AK93" i="19" s="1"/>
  <c r="AJ93" i="19" s="1"/>
  <c r="AI93" i="19" s="1"/>
  <c r="AH93" i="19" s="1"/>
  <c r="AG93" i="19" s="1"/>
  <c r="AY92" i="19"/>
  <c r="AZ92" i="19" s="1"/>
  <c r="AX92" i="19"/>
  <c r="AW92" i="19"/>
  <c r="AU92" i="19"/>
  <c r="AT92" i="19" s="1"/>
  <c r="AS92" i="19" s="1"/>
  <c r="AR92" i="19" s="1"/>
  <c r="AQ92" i="19" s="1"/>
  <c r="AP92" i="19" s="1"/>
  <c r="AO92" i="19" s="1"/>
  <c r="AN92" i="19" s="1"/>
  <c r="AM92" i="19" s="1"/>
  <c r="AL92" i="19" s="1"/>
  <c r="AK92" i="19" s="1"/>
  <c r="AJ92" i="19" s="1"/>
  <c r="AI92" i="19" s="1"/>
  <c r="AH92" i="19" s="1"/>
  <c r="AG92" i="19" s="1"/>
  <c r="AY91" i="19"/>
  <c r="AZ91" i="19" s="1"/>
  <c r="AX91" i="19"/>
  <c r="AW91" i="19"/>
  <c r="AV91" i="19"/>
  <c r="AT91" i="19"/>
  <c r="AS91" i="19"/>
  <c r="AR91" i="19" s="1"/>
  <c r="AQ91" i="19" s="1"/>
  <c r="AP91" i="19" s="1"/>
  <c r="AO91" i="19" s="1"/>
  <c r="AN91" i="19" s="1"/>
  <c r="AM91" i="19"/>
  <c r="AL91" i="19"/>
  <c r="AK91" i="19" s="1"/>
  <c r="AJ91" i="19" s="1"/>
  <c r="AI91" i="19" s="1"/>
  <c r="AH91" i="19" s="1"/>
  <c r="AG91" i="19" s="1"/>
  <c r="AU90" i="19"/>
  <c r="AV90" i="19" s="1"/>
  <c r="AW90" i="19" s="1"/>
  <c r="AX90" i="19" s="1"/>
  <c r="AY90" i="19" s="1"/>
  <c r="AZ90" i="19" s="1"/>
  <c r="AS90" i="19"/>
  <c r="AR90" i="19" s="1"/>
  <c r="AQ90" i="19" s="1"/>
  <c r="AP90" i="19" s="1"/>
  <c r="AO90" i="19" s="1"/>
  <c r="AN90" i="19"/>
  <c r="AM90" i="19" s="1"/>
  <c r="AL90" i="19" s="1"/>
  <c r="AK90" i="19" s="1"/>
  <c r="AJ90" i="19" s="1"/>
  <c r="AI90" i="19" s="1"/>
  <c r="AH90" i="19"/>
  <c r="AG90" i="19"/>
  <c r="AV89" i="19"/>
  <c r="AW89" i="19" s="1"/>
  <c r="AX89" i="19" s="1"/>
  <c r="AY89" i="19" s="1"/>
  <c r="AZ89" i="19" s="1"/>
  <c r="AU89" i="19"/>
  <c r="AT89" i="19"/>
  <c r="AR89" i="19"/>
  <c r="AQ89" i="19" s="1"/>
  <c r="AP89" i="19" s="1"/>
  <c r="AO89" i="19"/>
  <c r="AN89" i="19"/>
  <c r="AM89" i="19" s="1"/>
  <c r="AL89" i="19" s="1"/>
  <c r="AK89" i="19" s="1"/>
  <c r="AJ89" i="19" s="1"/>
  <c r="AI89" i="19" s="1"/>
  <c r="AH89" i="19" s="1"/>
  <c r="AG89" i="19" s="1"/>
  <c r="AW88" i="19"/>
  <c r="AX88" i="19" s="1"/>
  <c r="AY88" i="19" s="1"/>
  <c r="AZ88" i="19" s="1"/>
  <c r="AV88" i="19"/>
  <c r="AU88" i="19"/>
  <c r="AT88" i="19"/>
  <c r="AS88" i="19"/>
  <c r="AQ88" i="19"/>
  <c r="AP88" i="19"/>
  <c r="AO88" i="19" s="1"/>
  <c r="AN88" i="19" s="1"/>
  <c r="AM88" i="19" s="1"/>
  <c r="AL88" i="19" s="1"/>
  <c r="AK88" i="19" s="1"/>
  <c r="AJ88" i="19" s="1"/>
  <c r="AI88" i="19" s="1"/>
  <c r="AH88" i="19" s="1"/>
  <c r="AG88" i="19" s="1"/>
  <c r="AR87" i="19"/>
  <c r="AS87" i="19" s="1"/>
  <c r="AT87" i="19" s="1"/>
  <c r="AU87" i="19" s="1"/>
  <c r="AV87" i="19" s="1"/>
  <c r="AW87" i="19" s="1"/>
  <c r="AX87" i="19" s="1"/>
  <c r="AY87" i="19" s="1"/>
  <c r="AZ87" i="19" s="1"/>
  <c r="AP87" i="19"/>
  <c r="AO87" i="19" s="1"/>
  <c r="AN87" i="19" s="1"/>
  <c r="AM87" i="19" s="1"/>
  <c r="AL87" i="19" s="1"/>
  <c r="AK87" i="19"/>
  <c r="AJ87" i="19" s="1"/>
  <c r="AI87" i="19" s="1"/>
  <c r="AH87" i="19" s="1"/>
  <c r="AG87" i="19" s="1"/>
  <c r="AS86" i="19"/>
  <c r="AT86" i="19" s="1"/>
  <c r="AU86" i="19" s="1"/>
  <c r="AV86" i="19" s="1"/>
  <c r="AW86" i="19" s="1"/>
  <c r="AX86" i="19" s="1"/>
  <c r="AY86" i="19" s="1"/>
  <c r="AZ86" i="19" s="1"/>
  <c r="AR86" i="19"/>
  <c r="AQ86" i="19"/>
  <c r="AO86" i="19"/>
  <c r="AN86" i="19" s="1"/>
  <c r="AM86" i="19" s="1"/>
  <c r="AL86" i="19" s="1"/>
  <c r="AK86" i="19" s="1"/>
  <c r="AJ86" i="19" s="1"/>
  <c r="AI86" i="19" s="1"/>
  <c r="AH86" i="19" s="1"/>
  <c r="AG86" i="19" s="1"/>
  <c r="AT85" i="19"/>
  <c r="AU85" i="19" s="1"/>
  <c r="AV85" i="19" s="1"/>
  <c r="AW85" i="19" s="1"/>
  <c r="AX85" i="19" s="1"/>
  <c r="AY85" i="19" s="1"/>
  <c r="AZ85" i="19" s="1"/>
  <c r="AS85" i="19"/>
  <c r="AR85" i="19"/>
  <c r="AQ85" i="19"/>
  <c r="AP85" i="19"/>
  <c r="AN85" i="19"/>
  <c r="AM85" i="19"/>
  <c r="AL85" i="19" s="1"/>
  <c r="AK85" i="19" s="1"/>
  <c r="AJ85" i="19" s="1"/>
  <c r="AI85" i="19" s="1"/>
  <c r="AH85" i="19" s="1"/>
  <c r="AG85" i="19" s="1"/>
  <c r="AO84" i="19"/>
  <c r="AP84" i="19" s="1"/>
  <c r="AQ84" i="19" s="1"/>
  <c r="AR84" i="19" s="1"/>
  <c r="AS84" i="19" s="1"/>
  <c r="AT84" i="19" s="1"/>
  <c r="AU84" i="19" s="1"/>
  <c r="AV84" i="19" s="1"/>
  <c r="AW84" i="19" s="1"/>
  <c r="AX84" i="19" s="1"/>
  <c r="AY84" i="19" s="1"/>
  <c r="AZ84" i="19" s="1"/>
  <c r="AM84" i="19"/>
  <c r="AL84" i="19" s="1"/>
  <c r="AK84" i="19" s="1"/>
  <c r="AJ84" i="19" s="1"/>
  <c r="AI84" i="19" s="1"/>
  <c r="AH84" i="19"/>
  <c r="AG84" i="19" s="1"/>
  <c r="AP83" i="19"/>
  <c r="AQ83" i="19" s="1"/>
  <c r="AR83" i="19" s="1"/>
  <c r="AS83" i="19" s="1"/>
  <c r="AT83" i="19" s="1"/>
  <c r="AU83" i="19" s="1"/>
  <c r="AV83" i="19" s="1"/>
  <c r="AW83" i="19" s="1"/>
  <c r="AX83" i="19" s="1"/>
  <c r="AY83" i="19" s="1"/>
  <c r="AZ83" i="19" s="1"/>
  <c r="AO83" i="19"/>
  <c r="AN83" i="19"/>
  <c r="AL83" i="19"/>
  <c r="AK83" i="19" s="1"/>
  <c r="AJ83" i="19" s="1"/>
  <c r="AI83" i="19"/>
  <c r="AH83" i="19" s="1"/>
  <c r="AG83" i="19" s="1"/>
  <c r="AO82" i="19"/>
  <c r="AP82" i="19" s="1"/>
  <c r="AQ82" i="19" s="1"/>
  <c r="AR82" i="19" s="1"/>
  <c r="AS82" i="19" s="1"/>
  <c r="AT82" i="19" s="1"/>
  <c r="AU82" i="19" s="1"/>
  <c r="AV82" i="19" s="1"/>
  <c r="AW82" i="19" s="1"/>
  <c r="AX82" i="19" s="1"/>
  <c r="AY82" i="19" s="1"/>
  <c r="AZ82" i="19" s="1"/>
  <c r="AN82" i="19"/>
  <c r="AM82" i="19"/>
  <c r="AK82" i="19"/>
  <c r="AJ82" i="19"/>
  <c r="AI82" i="19" s="1"/>
  <c r="AH82" i="19" s="1"/>
  <c r="AG82" i="19" s="1"/>
  <c r="AL81" i="19"/>
  <c r="AM81" i="19" s="1"/>
  <c r="AN81" i="19" s="1"/>
  <c r="AO81" i="19" s="1"/>
  <c r="AP81" i="19" s="1"/>
  <c r="AQ81" i="19" s="1"/>
  <c r="AR81" i="19" s="1"/>
  <c r="AS81" i="19" s="1"/>
  <c r="AT81" i="19" s="1"/>
  <c r="AU81" i="19" s="1"/>
  <c r="AV81" i="19" s="1"/>
  <c r="AW81" i="19" s="1"/>
  <c r="AX81" i="19" s="1"/>
  <c r="AY81" i="19" s="1"/>
  <c r="AZ81" i="19" s="1"/>
  <c r="AJ81" i="19"/>
  <c r="AI81" i="19" s="1"/>
  <c r="AH81" i="19" s="1"/>
  <c r="AG81" i="19" s="1"/>
  <c r="AQ80" i="19"/>
  <c r="AR80" i="19" s="1"/>
  <c r="AS80" i="19" s="1"/>
  <c r="AT80" i="19" s="1"/>
  <c r="AU80" i="19" s="1"/>
  <c r="AV80" i="19" s="1"/>
  <c r="AW80" i="19" s="1"/>
  <c r="AX80" i="19" s="1"/>
  <c r="AY80" i="19" s="1"/>
  <c r="AZ80" i="19" s="1"/>
  <c r="AM80" i="19"/>
  <c r="AN80" i="19" s="1"/>
  <c r="AO80" i="19" s="1"/>
  <c r="AP80" i="19" s="1"/>
  <c r="AL80" i="19"/>
  <c r="AK80" i="19"/>
  <c r="AI80" i="19"/>
  <c r="AH80" i="19" s="1"/>
  <c r="AG80" i="19" s="1"/>
  <c r="AL79" i="19"/>
  <c r="AM79" i="19" s="1"/>
  <c r="AN79" i="19" s="1"/>
  <c r="AO79" i="19" s="1"/>
  <c r="AP79" i="19" s="1"/>
  <c r="AQ79" i="19" s="1"/>
  <c r="AR79" i="19" s="1"/>
  <c r="AS79" i="19" s="1"/>
  <c r="AT79" i="19" s="1"/>
  <c r="AU79" i="19" s="1"/>
  <c r="AV79" i="19" s="1"/>
  <c r="AW79" i="19" s="1"/>
  <c r="AX79" i="19" s="1"/>
  <c r="AY79" i="19" s="1"/>
  <c r="AZ79" i="19" s="1"/>
  <c r="AK79" i="19"/>
  <c r="AJ79" i="19"/>
  <c r="AH79" i="19"/>
  <c r="AG79" i="19"/>
  <c r="AL78" i="19"/>
  <c r="AM78" i="19" s="1"/>
  <c r="AN78" i="19" s="1"/>
  <c r="AO78" i="19" s="1"/>
  <c r="AP78" i="19" s="1"/>
  <c r="AQ78" i="19" s="1"/>
  <c r="AR78" i="19" s="1"/>
  <c r="AS78" i="19" s="1"/>
  <c r="AT78" i="19" s="1"/>
  <c r="AU78" i="19" s="1"/>
  <c r="AV78" i="19" s="1"/>
  <c r="AW78" i="19" s="1"/>
  <c r="AX78" i="19" s="1"/>
  <c r="AY78" i="19" s="1"/>
  <c r="AZ78" i="19" s="1"/>
  <c r="BA78" i="19" s="1"/>
  <c r="BB78" i="19" s="1"/>
  <c r="BC78" i="19" s="1"/>
  <c r="BD78" i="19" s="1"/>
  <c r="AK78" i="19"/>
  <c r="AJ78" i="19"/>
  <c r="AI78" i="19"/>
  <c r="AG78" i="19"/>
  <c r="AH77" i="19"/>
  <c r="AI77" i="19" s="1"/>
  <c r="AJ77" i="19" s="1"/>
  <c r="AK77" i="19" s="1"/>
  <c r="AL77" i="19" s="1"/>
  <c r="AM77" i="19" s="1"/>
  <c r="AN77" i="19" s="1"/>
  <c r="AO77" i="19" s="1"/>
  <c r="AP77" i="19" s="1"/>
  <c r="AQ77" i="19" s="1"/>
  <c r="AR77" i="19" s="1"/>
  <c r="AS77" i="19" s="1"/>
  <c r="AT77" i="19" s="1"/>
  <c r="AU77" i="19" s="1"/>
  <c r="AV77" i="19" s="1"/>
  <c r="AW77" i="19" s="1"/>
  <c r="AX77" i="19" s="1"/>
  <c r="AY77" i="19" s="1"/>
  <c r="AZ77" i="19" s="1"/>
  <c r="AY76" i="19"/>
  <c r="AX76" i="19"/>
  <c r="AW76" i="19" s="1"/>
  <c r="AV76" i="19" s="1"/>
  <c r="AU76" i="19" s="1"/>
  <c r="AT76" i="19" s="1"/>
  <c r="AS76" i="19" s="1"/>
  <c r="AR76" i="19" s="1"/>
  <c r="AQ76" i="19" s="1"/>
  <c r="AP76" i="19" s="1"/>
  <c r="AO76" i="19" s="1"/>
  <c r="AN76" i="19" s="1"/>
  <c r="AM76" i="19"/>
  <c r="AL76" i="19" s="1"/>
  <c r="AK76" i="19" s="1"/>
  <c r="AJ76" i="19" s="1"/>
  <c r="AI76" i="19" s="1"/>
  <c r="AH76" i="19" s="1"/>
  <c r="AG76" i="19" s="1"/>
  <c r="AF76" i="19" s="1"/>
  <c r="AZ75" i="19"/>
  <c r="AX75" i="19"/>
  <c r="AW75" i="19"/>
  <c r="AV75" i="19"/>
  <c r="AU75" i="19"/>
  <c r="AT75" i="19" s="1"/>
  <c r="AS75" i="19" s="1"/>
  <c r="AR75" i="19" s="1"/>
  <c r="AQ75" i="19" s="1"/>
  <c r="AP75" i="19" s="1"/>
  <c r="AO75" i="19" s="1"/>
  <c r="AN75" i="19" s="1"/>
  <c r="AM75" i="19" s="1"/>
  <c r="AL75" i="19" s="1"/>
  <c r="AK75" i="19" s="1"/>
  <c r="AJ75" i="19" s="1"/>
  <c r="AI75" i="19" s="1"/>
  <c r="AH75" i="19" s="1"/>
  <c r="AG75" i="19" s="1"/>
  <c r="AF75" i="19" s="1"/>
  <c r="AY74" i="19"/>
  <c r="AZ74" i="19" s="1"/>
  <c r="AW74" i="19"/>
  <c r="AV74" i="19" s="1"/>
  <c r="AU74" i="19" s="1"/>
  <c r="AT74" i="19" s="1"/>
  <c r="AS74" i="19" s="1"/>
  <c r="AR74" i="19"/>
  <c r="AQ74" i="19" s="1"/>
  <c r="AP74" i="19" s="1"/>
  <c r="AO74" i="19" s="1"/>
  <c r="AN74" i="19" s="1"/>
  <c r="AM74" i="19" s="1"/>
  <c r="AL74" i="19" s="1"/>
  <c r="AK74" i="19" s="1"/>
  <c r="AJ74" i="19" s="1"/>
  <c r="AI74" i="19" s="1"/>
  <c r="AH74" i="19" s="1"/>
  <c r="AG74" i="19" s="1"/>
  <c r="AF74" i="19" s="1"/>
  <c r="AY73" i="19"/>
  <c r="AZ73" i="19" s="1"/>
  <c r="AX73" i="19"/>
  <c r="AV73" i="19"/>
  <c r="AU73" i="19"/>
  <c r="AT73" i="19"/>
  <c r="AS73" i="19" s="1"/>
  <c r="AR73" i="19" s="1"/>
  <c r="AQ73" i="19" s="1"/>
  <c r="AP73" i="19" s="1"/>
  <c r="AO73" i="19" s="1"/>
  <c r="AN73" i="19" s="1"/>
  <c r="AM73" i="19" s="1"/>
  <c r="AL73" i="19" s="1"/>
  <c r="AK73" i="19" s="1"/>
  <c r="AJ73" i="19" s="1"/>
  <c r="AI73" i="19" s="1"/>
  <c r="AH73" i="19" s="1"/>
  <c r="AG73" i="19" s="1"/>
  <c r="AF73" i="19" s="1"/>
  <c r="AW72" i="19"/>
  <c r="AX72" i="19" s="1"/>
  <c r="AY72" i="19" s="1"/>
  <c r="AZ72" i="19" s="1"/>
  <c r="AU72" i="19"/>
  <c r="AT72" i="19" s="1"/>
  <c r="AS72" i="19" s="1"/>
  <c r="AR72" i="19" s="1"/>
  <c r="AQ72" i="19" s="1"/>
  <c r="AP72" i="19" s="1"/>
  <c r="AO72" i="19" s="1"/>
  <c r="AN72" i="19" s="1"/>
  <c r="AM72" i="19" s="1"/>
  <c r="AL72" i="19" s="1"/>
  <c r="AK72" i="19" s="1"/>
  <c r="AJ72" i="19" s="1"/>
  <c r="AI72" i="19" s="1"/>
  <c r="AH72" i="19"/>
  <c r="AG72" i="19" s="1"/>
  <c r="AF72" i="19" s="1"/>
  <c r="AY71" i="19"/>
  <c r="AZ71" i="19" s="1"/>
  <c r="AV71" i="19"/>
  <c r="AW71" i="19" s="1"/>
  <c r="AX71" i="19" s="1"/>
  <c r="AT71" i="19"/>
  <c r="AS71" i="19"/>
  <c r="AR71" i="19"/>
  <c r="AQ71" i="19"/>
  <c r="AP71" i="19"/>
  <c r="AO71" i="19" s="1"/>
  <c r="AN71" i="19" s="1"/>
  <c r="AM71" i="19" s="1"/>
  <c r="AL71" i="19" s="1"/>
  <c r="AK71" i="19" s="1"/>
  <c r="AJ71" i="19" s="1"/>
  <c r="AI71" i="19" s="1"/>
  <c r="AH71" i="19" s="1"/>
  <c r="AG71" i="19" s="1"/>
  <c r="AF71" i="19" s="1"/>
  <c r="AU70" i="19"/>
  <c r="AV70" i="19" s="1"/>
  <c r="AW70" i="19" s="1"/>
  <c r="AX70" i="19" s="1"/>
  <c r="AY70" i="19" s="1"/>
  <c r="AZ70" i="19" s="1"/>
  <c r="AS70" i="19"/>
  <c r="AR70" i="19" s="1"/>
  <c r="AQ70" i="19"/>
  <c r="AP70" i="19" s="1"/>
  <c r="AO70" i="19" s="1"/>
  <c r="AN70" i="19" s="1"/>
  <c r="AM70" i="19" s="1"/>
  <c r="AL70" i="19" s="1"/>
  <c r="AK70" i="19" s="1"/>
  <c r="AJ70" i="19" s="1"/>
  <c r="AI70" i="19" s="1"/>
  <c r="AH70" i="19" s="1"/>
  <c r="AG70" i="19" s="1"/>
  <c r="AF70" i="19" s="1"/>
  <c r="AU69" i="19"/>
  <c r="AV69" i="19" s="1"/>
  <c r="AW69" i="19" s="1"/>
  <c r="AX69" i="19" s="1"/>
  <c r="AY69" i="19" s="1"/>
  <c r="AZ69" i="19" s="1"/>
  <c r="AT69" i="19"/>
  <c r="AR69" i="19"/>
  <c r="AQ69" i="19"/>
  <c r="AP69" i="19"/>
  <c r="AO69" i="19" s="1"/>
  <c r="AN69" i="19" s="1"/>
  <c r="AM69" i="19" s="1"/>
  <c r="AL69" i="19" s="1"/>
  <c r="AK69" i="19" s="1"/>
  <c r="AJ69" i="19" s="1"/>
  <c r="AI69" i="19" s="1"/>
  <c r="AH69" i="19" s="1"/>
  <c r="AG69" i="19" s="1"/>
  <c r="AF69" i="19" s="1"/>
  <c r="AV68" i="19"/>
  <c r="AW68" i="19" s="1"/>
  <c r="AX68" i="19" s="1"/>
  <c r="AY68" i="19" s="1"/>
  <c r="AZ68" i="19" s="1"/>
  <c r="AS68" i="19"/>
  <c r="AT68" i="19" s="1"/>
  <c r="AU68" i="19" s="1"/>
  <c r="AQ68" i="19"/>
  <c r="AP68" i="19"/>
  <c r="AO68" i="19" s="1"/>
  <c r="AN68" i="19" s="1"/>
  <c r="AM68" i="19" s="1"/>
  <c r="AL68" i="19"/>
  <c r="AK68" i="19" s="1"/>
  <c r="AJ68" i="19" s="1"/>
  <c r="AI68" i="19" s="1"/>
  <c r="AH68" i="19" s="1"/>
  <c r="AG68" i="19" s="1"/>
  <c r="AF68" i="19" s="1"/>
  <c r="AR67" i="19"/>
  <c r="AS67" i="19" s="1"/>
  <c r="AT67" i="19" s="1"/>
  <c r="AU67" i="19" s="1"/>
  <c r="AV67" i="19" s="1"/>
  <c r="AW67" i="19" s="1"/>
  <c r="AX67" i="19" s="1"/>
  <c r="AY67" i="19" s="1"/>
  <c r="AZ67" i="19" s="1"/>
  <c r="AP67" i="19"/>
  <c r="AO67" i="19"/>
  <c r="AN67" i="19"/>
  <c r="AM67" i="19"/>
  <c r="AL67" i="19"/>
  <c r="AK67" i="19" s="1"/>
  <c r="AJ67" i="19" s="1"/>
  <c r="AI67" i="19" s="1"/>
  <c r="AH67" i="19"/>
  <c r="AG67" i="19" s="1"/>
  <c r="AF67" i="19" s="1"/>
  <c r="AQ66" i="19"/>
  <c r="AR66" i="19" s="1"/>
  <c r="AS66" i="19" s="1"/>
  <c r="AT66" i="19" s="1"/>
  <c r="AU66" i="19" s="1"/>
  <c r="AV66" i="19" s="1"/>
  <c r="AW66" i="19" s="1"/>
  <c r="AX66" i="19" s="1"/>
  <c r="AY66" i="19" s="1"/>
  <c r="AZ66" i="19" s="1"/>
  <c r="AO66" i="19"/>
  <c r="AN66" i="19" s="1"/>
  <c r="AM66" i="19" s="1"/>
  <c r="AL66" i="19" s="1"/>
  <c r="AK66" i="19" s="1"/>
  <c r="AJ66" i="19" s="1"/>
  <c r="AI66" i="19" s="1"/>
  <c r="AH66" i="19" s="1"/>
  <c r="AG66" i="19" s="1"/>
  <c r="AF66" i="19" s="1"/>
  <c r="AR65" i="19"/>
  <c r="AS65" i="19" s="1"/>
  <c r="AT65" i="19" s="1"/>
  <c r="AU65" i="19" s="1"/>
  <c r="AV65" i="19" s="1"/>
  <c r="AW65" i="19" s="1"/>
  <c r="AX65" i="19" s="1"/>
  <c r="AY65" i="19" s="1"/>
  <c r="AZ65" i="19" s="1"/>
  <c r="AQ65" i="19"/>
  <c r="AP65" i="19"/>
  <c r="AN65" i="19"/>
  <c r="AM65" i="19"/>
  <c r="AL65" i="19"/>
  <c r="AK65" i="19" s="1"/>
  <c r="AJ65" i="19" s="1"/>
  <c r="AI65" i="19"/>
  <c r="AH65" i="19" s="1"/>
  <c r="AG65" i="19" s="1"/>
  <c r="AF65" i="19" s="1"/>
  <c r="AO64" i="19"/>
  <c r="AP64" i="19" s="1"/>
  <c r="AQ64" i="19" s="1"/>
  <c r="AR64" i="19" s="1"/>
  <c r="AS64" i="19" s="1"/>
  <c r="AT64" i="19" s="1"/>
  <c r="AU64" i="19" s="1"/>
  <c r="AV64" i="19" s="1"/>
  <c r="AW64" i="19" s="1"/>
  <c r="AX64" i="19" s="1"/>
  <c r="AY64" i="19" s="1"/>
  <c r="AZ64" i="19" s="1"/>
  <c r="AM64" i="19"/>
  <c r="AL64" i="19"/>
  <c r="AK64" i="19" s="1"/>
  <c r="AJ64" i="19" s="1"/>
  <c r="AI64" i="19" s="1"/>
  <c r="AH64" i="19"/>
  <c r="AG64" i="19" s="1"/>
  <c r="AF64" i="19" s="1"/>
  <c r="AN63" i="19"/>
  <c r="AO63" i="19" s="1"/>
  <c r="AP63" i="19" s="1"/>
  <c r="AQ63" i="19" s="1"/>
  <c r="AR63" i="19" s="1"/>
  <c r="AS63" i="19" s="1"/>
  <c r="AT63" i="19" s="1"/>
  <c r="AU63" i="19" s="1"/>
  <c r="AV63" i="19" s="1"/>
  <c r="AW63" i="19" s="1"/>
  <c r="AX63" i="19" s="1"/>
  <c r="AY63" i="19" s="1"/>
  <c r="AZ63" i="19" s="1"/>
  <c r="AL63" i="19"/>
  <c r="AK63" i="19"/>
  <c r="AJ63" i="19"/>
  <c r="AI63" i="19" s="1"/>
  <c r="AH63" i="19" s="1"/>
  <c r="AG63" i="19" s="1"/>
  <c r="AF63" i="19" s="1"/>
  <c r="AM62" i="19"/>
  <c r="AN62" i="19" s="1"/>
  <c r="AO62" i="19" s="1"/>
  <c r="AP62" i="19" s="1"/>
  <c r="AQ62" i="19" s="1"/>
  <c r="AR62" i="19" s="1"/>
  <c r="AS62" i="19" s="1"/>
  <c r="AT62" i="19" s="1"/>
  <c r="AU62" i="19" s="1"/>
  <c r="AV62" i="19" s="1"/>
  <c r="AW62" i="19" s="1"/>
  <c r="AX62" i="19" s="1"/>
  <c r="AY62" i="19" s="1"/>
  <c r="AZ62" i="19" s="1"/>
  <c r="AK62" i="19"/>
  <c r="AJ62" i="19" s="1"/>
  <c r="AI62" i="19" s="1"/>
  <c r="AH62" i="19" s="1"/>
  <c r="AG62" i="19" s="1"/>
  <c r="AF62" i="19" s="1"/>
  <c r="AM61" i="19"/>
  <c r="AN61" i="19" s="1"/>
  <c r="AO61" i="19" s="1"/>
  <c r="AP61" i="19" s="1"/>
  <c r="AQ61" i="19" s="1"/>
  <c r="AR61" i="19" s="1"/>
  <c r="AS61" i="19" s="1"/>
  <c r="AT61" i="19" s="1"/>
  <c r="AU61" i="19" s="1"/>
  <c r="AV61" i="19" s="1"/>
  <c r="AW61" i="19" s="1"/>
  <c r="AX61" i="19" s="1"/>
  <c r="AY61" i="19" s="1"/>
  <c r="AZ61" i="19" s="1"/>
  <c r="AL61" i="19"/>
  <c r="AJ61" i="19"/>
  <c r="AI61" i="19"/>
  <c r="AH61" i="19"/>
  <c r="AG61" i="19" s="1"/>
  <c r="AF61" i="19" s="1"/>
  <c r="AK60" i="19"/>
  <c r="AL60" i="19" s="1"/>
  <c r="AM60" i="19" s="1"/>
  <c r="AN60" i="19" s="1"/>
  <c r="AO60" i="19" s="1"/>
  <c r="AP60" i="19" s="1"/>
  <c r="AQ60" i="19" s="1"/>
  <c r="AR60" i="19" s="1"/>
  <c r="AS60" i="19" s="1"/>
  <c r="AT60" i="19" s="1"/>
  <c r="AU60" i="19" s="1"/>
  <c r="AV60" i="19" s="1"/>
  <c r="AW60" i="19" s="1"/>
  <c r="AX60" i="19" s="1"/>
  <c r="AY60" i="19" s="1"/>
  <c r="AZ60" i="19" s="1"/>
  <c r="AI60" i="19"/>
  <c r="AH60" i="19" s="1"/>
  <c r="AG60" i="19" s="1"/>
  <c r="AF60" i="19" s="1"/>
  <c r="AJ59" i="19"/>
  <c r="AK59" i="19" s="1"/>
  <c r="AL59" i="19" s="1"/>
  <c r="AM59" i="19" s="1"/>
  <c r="AN59" i="19" s="1"/>
  <c r="AO59" i="19" s="1"/>
  <c r="AP59" i="19" s="1"/>
  <c r="AQ59" i="19" s="1"/>
  <c r="AR59" i="19" s="1"/>
  <c r="AS59" i="19" s="1"/>
  <c r="AT59" i="19" s="1"/>
  <c r="AU59" i="19" s="1"/>
  <c r="AV59" i="19" s="1"/>
  <c r="AW59" i="19" s="1"/>
  <c r="AX59" i="19" s="1"/>
  <c r="AY59" i="19" s="1"/>
  <c r="AZ59" i="19" s="1"/>
  <c r="AH59" i="19"/>
  <c r="AG59" i="19"/>
  <c r="AF59" i="19"/>
  <c r="AI58" i="19"/>
  <c r="AJ58" i="19" s="1"/>
  <c r="AK58" i="19" s="1"/>
  <c r="AL58" i="19" s="1"/>
  <c r="AM58" i="19" s="1"/>
  <c r="AN58" i="19" s="1"/>
  <c r="AO58" i="19" s="1"/>
  <c r="AP58" i="19" s="1"/>
  <c r="AQ58" i="19" s="1"/>
  <c r="AR58" i="19" s="1"/>
  <c r="AS58" i="19" s="1"/>
  <c r="AT58" i="19" s="1"/>
  <c r="AU58" i="19" s="1"/>
  <c r="AV58" i="19" s="1"/>
  <c r="AW58" i="19" s="1"/>
  <c r="AX58" i="19" s="1"/>
  <c r="AY58" i="19" s="1"/>
  <c r="AZ58" i="19" s="1"/>
  <c r="AG58" i="19"/>
  <c r="AF58" i="19" s="1"/>
  <c r="AJ57" i="19"/>
  <c r="AK57" i="19" s="1"/>
  <c r="AL57" i="19" s="1"/>
  <c r="AM57" i="19" s="1"/>
  <c r="AN57" i="19" s="1"/>
  <c r="AO57" i="19" s="1"/>
  <c r="AP57" i="19" s="1"/>
  <c r="AQ57" i="19" s="1"/>
  <c r="AR57" i="19" s="1"/>
  <c r="AS57" i="19" s="1"/>
  <c r="AT57" i="19" s="1"/>
  <c r="AU57" i="19" s="1"/>
  <c r="AV57" i="19" s="1"/>
  <c r="AW57" i="19" s="1"/>
  <c r="AX57" i="19" s="1"/>
  <c r="AY57" i="19" s="1"/>
  <c r="AZ57" i="19" s="1"/>
  <c r="AI57" i="19"/>
  <c r="AH57" i="19"/>
  <c r="AF57" i="19"/>
  <c r="AY56" i="19"/>
  <c r="AZ56" i="19" s="1"/>
  <c r="AJ56" i="19"/>
  <c r="AK56" i="19" s="1"/>
  <c r="AL56" i="19" s="1"/>
  <c r="AM56" i="19" s="1"/>
  <c r="AN56" i="19" s="1"/>
  <c r="AO56" i="19" s="1"/>
  <c r="AP56" i="19" s="1"/>
  <c r="AQ56" i="19" s="1"/>
  <c r="AR56" i="19" s="1"/>
  <c r="AS56" i="19" s="1"/>
  <c r="AT56" i="19" s="1"/>
  <c r="AU56" i="19" s="1"/>
  <c r="AV56" i="19" s="1"/>
  <c r="AW56" i="19" s="1"/>
  <c r="AX56" i="19" s="1"/>
  <c r="AG56" i="19"/>
  <c r="AH56" i="19" s="1"/>
  <c r="AI56" i="19" s="1"/>
  <c r="AX55" i="19"/>
  <c r="AW55" i="19"/>
  <c r="AV55" i="19" s="1"/>
  <c r="AU55" i="19" s="1"/>
  <c r="AT55" i="19" s="1"/>
  <c r="AS55" i="19"/>
  <c r="AR55" i="19" s="1"/>
  <c r="AQ55" i="19" s="1"/>
  <c r="AP55" i="19" s="1"/>
  <c r="AO55" i="19" s="1"/>
  <c r="AN55" i="19" s="1"/>
  <c r="AM55" i="19" s="1"/>
  <c r="AL55" i="19" s="1"/>
  <c r="AK55" i="19" s="1"/>
  <c r="AJ55" i="19" s="1"/>
  <c r="AI55" i="19" s="1"/>
  <c r="AH55" i="19" s="1"/>
  <c r="AG55" i="19" s="1"/>
  <c r="AZ54" i="19"/>
  <c r="AX54" i="19"/>
  <c r="AW54" i="19"/>
  <c r="AV54" i="19" s="1"/>
  <c r="AU54" i="19" s="1"/>
  <c r="AT54" i="19"/>
  <c r="AS54" i="19"/>
  <c r="AR54" i="19"/>
  <c r="AQ54" i="19" s="1"/>
  <c r="AP54" i="19" s="1"/>
  <c r="AO54" i="19" s="1"/>
  <c r="AN54" i="19" s="1"/>
  <c r="AM54" i="19" s="1"/>
  <c r="AL54" i="19" s="1"/>
  <c r="AK54" i="19" s="1"/>
  <c r="AJ54" i="19" s="1"/>
  <c r="AI54" i="19" s="1"/>
  <c r="AH54" i="19" s="1"/>
  <c r="AG54" i="19" s="1"/>
  <c r="AZ53" i="19"/>
  <c r="AY53" i="19"/>
  <c r="AW53" i="19"/>
  <c r="AV53" i="19"/>
  <c r="AU53" i="19"/>
  <c r="AT53" i="19"/>
  <c r="AS53" i="19" s="1"/>
  <c r="AR53" i="19" s="1"/>
  <c r="AQ53" i="19" s="1"/>
  <c r="AP53" i="19" s="1"/>
  <c r="AO53" i="19" s="1"/>
  <c r="AN53" i="19" s="1"/>
  <c r="AM53" i="19" s="1"/>
  <c r="AL53" i="19" s="1"/>
  <c r="AK53" i="19" s="1"/>
  <c r="AJ53" i="19" s="1"/>
  <c r="AI53" i="19"/>
  <c r="AH53" i="19" s="1"/>
  <c r="AG53" i="19" s="1"/>
  <c r="AX52" i="19"/>
  <c r="AY52" i="19" s="1"/>
  <c r="AZ52" i="19" s="1"/>
  <c r="AV52" i="19"/>
  <c r="AU52" i="19"/>
  <c r="AT52" i="19" s="1"/>
  <c r="AS52" i="19" s="1"/>
  <c r="AR52" i="19" s="1"/>
  <c r="AQ52" i="19" s="1"/>
  <c r="AP52" i="19" s="1"/>
  <c r="AO52" i="19" s="1"/>
  <c r="AN52" i="19" s="1"/>
  <c r="AM52" i="19" s="1"/>
  <c r="AL52" i="19" s="1"/>
  <c r="AK52" i="19" s="1"/>
  <c r="AJ52" i="19"/>
  <c r="AI52" i="19" s="1"/>
  <c r="AH52" i="19" s="1"/>
  <c r="AG52" i="19" s="1"/>
  <c r="AW51" i="19"/>
  <c r="AX51" i="19" s="1"/>
  <c r="AY51" i="19" s="1"/>
  <c r="AZ51" i="19" s="1"/>
  <c r="AU51" i="19"/>
  <c r="AT51" i="19"/>
  <c r="AS51" i="19" s="1"/>
  <c r="AR51" i="19" s="1"/>
  <c r="AQ51" i="19" s="1"/>
  <c r="AP51" i="19" s="1"/>
  <c r="AO51" i="19" s="1"/>
  <c r="AN51" i="19" s="1"/>
  <c r="AM51" i="19" s="1"/>
  <c r="AL51" i="19" s="1"/>
  <c r="AK51" i="19" s="1"/>
  <c r="AJ51" i="19" s="1"/>
  <c r="AI51" i="19" s="1"/>
  <c r="AH51" i="19" s="1"/>
  <c r="AG51" i="19" s="1"/>
  <c r="AV50" i="19"/>
  <c r="AW50" i="19" s="1"/>
  <c r="AX50" i="19" s="1"/>
  <c r="AY50" i="19" s="1"/>
  <c r="AZ50" i="19" s="1"/>
  <c r="AT50" i="19"/>
  <c r="AS50" i="19"/>
  <c r="AR50" i="19" s="1"/>
  <c r="AQ50" i="19" s="1"/>
  <c r="AP50" i="19" s="1"/>
  <c r="AO50" i="19"/>
  <c r="AN50" i="19" s="1"/>
  <c r="AM50" i="19" s="1"/>
  <c r="AL50" i="19" s="1"/>
  <c r="AK50" i="19" s="1"/>
  <c r="AJ50" i="19" s="1"/>
  <c r="AI50" i="19" s="1"/>
  <c r="AH50" i="19" s="1"/>
  <c r="AG50" i="19" s="1"/>
  <c r="AU49" i="19"/>
  <c r="AV49" i="19" s="1"/>
  <c r="AW49" i="19" s="1"/>
  <c r="AX49" i="19" s="1"/>
  <c r="AY49" i="19" s="1"/>
  <c r="AZ49" i="19" s="1"/>
  <c r="AS49" i="19"/>
  <c r="AR49" i="19"/>
  <c r="AQ49" i="19" s="1"/>
  <c r="AP49" i="19" s="1"/>
  <c r="AO49" i="19" s="1"/>
  <c r="AN49" i="19" s="1"/>
  <c r="AM49" i="19" s="1"/>
  <c r="AL49" i="19"/>
  <c r="AK49" i="19" s="1"/>
  <c r="AJ49" i="19" s="1"/>
  <c r="AI49" i="19" s="1"/>
  <c r="AH49" i="19" s="1"/>
  <c r="AG49" i="19" s="1"/>
  <c r="AT48" i="19"/>
  <c r="AU48" i="19" s="1"/>
  <c r="AV48" i="19" s="1"/>
  <c r="AW48" i="19" s="1"/>
  <c r="AX48" i="19" s="1"/>
  <c r="AY48" i="19" s="1"/>
  <c r="AZ48" i="19" s="1"/>
  <c r="AR48" i="19"/>
  <c r="AQ48" i="19"/>
  <c r="AP48" i="19" s="1"/>
  <c r="AO48" i="19" s="1"/>
  <c r="AN48" i="19"/>
  <c r="AM48" i="19" s="1"/>
  <c r="AL48" i="19" s="1"/>
  <c r="AK48" i="19" s="1"/>
  <c r="AJ48" i="19" s="1"/>
  <c r="AI48" i="19" s="1"/>
  <c r="AH48" i="19" s="1"/>
  <c r="AG48" i="19" s="1"/>
  <c r="AS47" i="19"/>
  <c r="AT47" i="19" s="1"/>
  <c r="AU47" i="19" s="1"/>
  <c r="AV47" i="19" s="1"/>
  <c r="AW47" i="19" s="1"/>
  <c r="AX47" i="19" s="1"/>
  <c r="AY47" i="19" s="1"/>
  <c r="AZ47" i="19" s="1"/>
  <c r="AQ47" i="19"/>
  <c r="AP47" i="19"/>
  <c r="AO47" i="19"/>
  <c r="AN47" i="19" s="1"/>
  <c r="AM47" i="19" s="1"/>
  <c r="AL47" i="19" s="1"/>
  <c r="AK47" i="19" s="1"/>
  <c r="AJ47" i="19" s="1"/>
  <c r="AI47" i="19" s="1"/>
  <c r="AH47" i="19" s="1"/>
  <c r="AG47" i="19" s="1"/>
  <c r="AT46" i="19"/>
  <c r="AU46" i="19" s="1"/>
  <c r="AV46" i="19" s="1"/>
  <c r="AW46" i="19" s="1"/>
  <c r="AX46" i="19" s="1"/>
  <c r="AY46" i="19" s="1"/>
  <c r="AZ46" i="19" s="1"/>
  <c r="AR46" i="19"/>
  <c r="AS46" i="19" s="1"/>
  <c r="AP46" i="19"/>
  <c r="AO46" i="19"/>
  <c r="AN46" i="19"/>
  <c r="AM46" i="19" s="1"/>
  <c r="AL46" i="19" s="1"/>
  <c r="AK46" i="19" s="1"/>
  <c r="AJ46" i="19" s="1"/>
  <c r="AI46" i="19" s="1"/>
  <c r="AH46" i="19"/>
  <c r="AG46" i="19" s="1"/>
  <c r="AR45" i="19"/>
  <c r="AS45" i="19" s="1"/>
  <c r="AT45" i="19" s="1"/>
  <c r="AU45" i="19" s="1"/>
  <c r="AV45" i="19" s="1"/>
  <c r="AW45" i="19" s="1"/>
  <c r="AX45" i="19" s="1"/>
  <c r="AY45" i="19" s="1"/>
  <c r="AZ45" i="19" s="1"/>
  <c r="AQ45" i="19"/>
  <c r="AO45" i="19"/>
  <c r="AN45" i="19" s="1"/>
  <c r="AM45" i="19" s="1"/>
  <c r="AL45" i="19" s="1"/>
  <c r="AK45" i="19" s="1"/>
  <c r="AJ45" i="19"/>
  <c r="AI45" i="19"/>
  <c r="AH45" i="19" s="1"/>
  <c r="AG45" i="19" s="1"/>
  <c r="AP44" i="19"/>
  <c r="AQ44" i="19" s="1"/>
  <c r="AR44" i="19" s="1"/>
  <c r="AS44" i="19" s="1"/>
  <c r="AT44" i="19" s="1"/>
  <c r="AU44" i="19" s="1"/>
  <c r="AV44" i="19" s="1"/>
  <c r="AW44" i="19" s="1"/>
  <c r="AX44" i="19" s="1"/>
  <c r="AY44" i="19" s="1"/>
  <c r="AZ44" i="19" s="1"/>
  <c r="AN44" i="19"/>
  <c r="AM44" i="19" s="1"/>
  <c r="AL44" i="19" s="1"/>
  <c r="AK44" i="19" s="1"/>
  <c r="AJ44" i="19" s="1"/>
  <c r="AI44" i="19" s="1"/>
  <c r="AH44" i="19" s="1"/>
  <c r="AG44" i="19" s="1"/>
  <c r="AT43" i="19"/>
  <c r="AU43" i="19" s="1"/>
  <c r="AV43" i="19" s="1"/>
  <c r="AW43" i="19" s="1"/>
  <c r="AX43" i="19" s="1"/>
  <c r="AY43" i="19" s="1"/>
  <c r="AZ43" i="19" s="1"/>
  <c r="AO43" i="19"/>
  <c r="AP43" i="19" s="1"/>
  <c r="AQ43" i="19" s="1"/>
  <c r="AR43" i="19" s="1"/>
  <c r="AS43" i="19" s="1"/>
  <c r="AM43" i="19"/>
  <c r="AL43" i="19"/>
  <c r="AK43" i="19" s="1"/>
  <c r="AJ43" i="19" s="1"/>
  <c r="AI43" i="19" s="1"/>
  <c r="AH43" i="19" s="1"/>
  <c r="AG43" i="19" s="1"/>
  <c r="AN42" i="19"/>
  <c r="AO42" i="19" s="1"/>
  <c r="AP42" i="19" s="1"/>
  <c r="AQ42" i="19" s="1"/>
  <c r="AR42" i="19" s="1"/>
  <c r="AS42" i="19" s="1"/>
  <c r="AT42" i="19" s="1"/>
  <c r="AU42" i="19" s="1"/>
  <c r="AV42" i="19" s="1"/>
  <c r="AW42" i="19" s="1"/>
  <c r="AX42" i="19" s="1"/>
  <c r="AY42" i="19" s="1"/>
  <c r="AZ42" i="19" s="1"/>
  <c r="AL42" i="19"/>
  <c r="AK42" i="19"/>
  <c r="AJ42" i="19" s="1"/>
  <c r="AI42" i="19" s="1"/>
  <c r="AH42" i="19" s="1"/>
  <c r="AG42" i="19" s="1"/>
  <c r="AO41" i="19"/>
  <c r="AP41" i="19" s="1"/>
  <c r="AQ41" i="19" s="1"/>
  <c r="AR41" i="19" s="1"/>
  <c r="AS41" i="19" s="1"/>
  <c r="AT41" i="19" s="1"/>
  <c r="AU41" i="19" s="1"/>
  <c r="AV41" i="19" s="1"/>
  <c r="AW41" i="19" s="1"/>
  <c r="AX41" i="19" s="1"/>
  <c r="AY41" i="19" s="1"/>
  <c r="AZ41" i="19" s="1"/>
  <c r="AM41" i="19"/>
  <c r="AN41" i="19" s="1"/>
  <c r="AK41" i="19"/>
  <c r="AJ41" i="19"/>
  <c r="AI41" i="19"/>
  <c r="AH41" i="19"/>
  <c r="AG41" i="19" s="1"/>
  <c r="AN40" i="19"/>
  <c r="AO40" i="19" s="1"/>
  <c r="AP40" i="19" s="1"/>
  <c r="AQ40" i="19" s="1"/>
  <c r="AR40" i="19" s="1"/>
  <c r="AS40" i="19" s="1"/>
  <c r="AT40" i="19" s="1"/>
  <c r="AU40" i="19" s="1"/>
  <c r="AV40" i="19" s="1"/>
  <c r="AW40" i="19" s="1"/>
  <c r="AX40" i="19" s="1"/>
  <c r="AY40" i="19" s="1"/>
  <c r="AZ40" i="19" s="1"/>
  <c r="AL40" i="19"/>
  <c r="AM40" i="19" s="1"/>
  <c r="AJ40" i="19"/>
  <c r="AI40" i="19" s="1"/>
  <c r="AH40" i="19" s="1"/>
  <c r="AG40" i="19"/>
  <c r="AL39" i="19"/>
  <c r="AM39" i="19" s="1"/>
  <c r="AN39" i="19" s="1"/>
  <c r="AO39" i="19" s="1"/>
  <c r="AP39" i="19" s="1"/>
  <c r="AQ39" i="19" s="1"/>
  <c r="AR39" i="19" s="1"/>
  <c r="AS39" i="19" s="1"/>
  <c r="AT39" i="19" s="1"/>
  <c r="AU39" i="19" s="1"/>
  <c r="AV39" i="19" s="1"/>
  <c r="AW39" i="19" s="1"/>
  <c r="AX39" i="19" s="1"/>
  <c r="AY39" i="19" s="1"/>
  <c r="AZ39" i="19" s="1"/>
  <c r="AK39" i="19"/>
  <c r="AI39" i="19"/>
  <c r="AH39" i="19" s="1"/>
  <c r="AG39" i="19" s="1"/>
  <c r="AJ38" i="19"/>
  <c r="AK38" i="19" s="1"/>
  <c r="AL38" i="19" s="1"/>
  <c r="AM38" i="19" s="1"/>
  <c r="AN38" i="19" s="1"/>
  <c r="AO38" i="19" s="1"/>
  <c r="AP38" i="19" s="1"/>
  <c r="AQ38" i="19" s="1"/>
  <c r="AR38" i="19" s="1"/>
  <c r="AS38" i="19" s="1"/>
  <c r="AT38" i="19" s="1"/>
  <c r="AU38" i="19" s="1"/>
  <c r="AV38" i="19" s="1"/>
  <c r="AW38" i="19" s="1"/>
  <c r="AX38" i="19" s="1"/>
  <c r="AY38" i="19" s="1"/>
  <c r="AZ38" i="19" s="1"/>
  <c r="AH38" i="19"/>
  <c r="AG38" i="19" s="1"/>
  <c r="AL37" i="19"/>
  <c r="AM37" i="19" s="1"/>
  <c r="AN37" i="19" s="1"/>
  <c r="AO37" i="19" s="1"/>
  <c r="AP37" i="19" s="1"/>
  <c r="AQ37" i="19" s="1"/>
  <c r="AR37" i="19" s="1"/>
  <c r="AS37" i="19" s="1"/>
  <c r="AT37" i="19" s="1"/>
  <c r="AU37" i="19" s="1"/>
  <c r="AV37" i="19" s="1"/>
  <c r="AW37" i="19" s="1"/>
  <c r="AX37" i="19" s="1"/>
  <c r="AY37" i="19" s="1"/>
  <c r="AZ37" i="19" s="1"/>
  <c r="BA37" i="19" s="1"/>
  <c r="BB37" i="19" s="1"/>
  <c r="BC37" i="19" s="1"/>
  <c r="BD37" i="19" s="1"/>
  <c r="AJ37" i="19"/>
  <c r="AK37" i="19" s="1"/>
  <c r="AI37" i="19"/>
  <c r="AG37" i="19"/>
  <c r="AJ36" i="19"/>
  <c r="AK36" i="19" s="1"/>
  <c r="AL36" i="19" s="1"/>
  <c r="AM36" i="19" s="1"/>
  <c r="AN36" i="19" s="1"/>
  <c r="AO36" i="19" s="1"/>
  <c r="AP36" i="19" s="1"/>
  <c r="AQ36" i="19" s="1"/>
  <c r="AR36" i="19" s="1"/>
  <c r="AS36" i="19" s="1"/>
  <c r="AT36" i="19" s="1"/>
  <c r="AU36" i="19" s="1"/>
  <c r="AV36" i="19" s="1"/>
  <c r="AW36" i="19" s="1"/>
  <c r="AX36" i="19" s="1"/>
  <c r="AY36" i="19" s="1"/>
  <c r="AZ36" i="19" s="1"/>
  <c r="AH36" i="19"/>
  <c r="AI36" i="19" s="1"/>
  <c r="BB35" i="19"/>
  <c r="BC35" i="19" s="1"/>
  <c r="BA35" i="19"/>
  <c r="AY35" i="19"/>
  <c r="AX35" i="19"/>
  <c r="AW35" i="19" s="1"/>
  <c r="AV35" i="19" s="1"/>
  <c r="AU35" i="19" s="1"/>
  <c r="AT35" i="19"/>
  <c r="AS35" i="19" s="1"/>
  <c r="AR35" i="19" s="1"/>
  <c r="AQ35" i="19" s="1"/>
  <c r="AP35" i="19" s="1"/>
  <c r="AO35" i="19" s="1"/>
  <c r="AN35" i="19"/>
  <c r="AM35" i="19"/>
  <c r="AL35" i="19" s="1"/>
  <c r="AK35" i="19" s="1"/>
  <c r="AJ35" i="19" s="1"/>
  <c r="AI35" i="19" s="1"/>
  <c r="AH35" i="19" s="1"/>
  <c r="AG35" i="19"/>
  <c r="BA34" i="19"/>
  <c r="BB34" i="19" s="1"/>
  <c r="BC34" i="19" s="1"/>
  <c r="AZ34" i="19"/>
  <c r="AX34" i="19"/>
  <c r="AW34" i="19"/>
  <c r="AV34" i="19" s="1"/>
  <c r="AU34" i="19" s="1"/>
  <c r="AT34" i="19" s="1"/>
  <c r="AS34" i="19" s="1"/>
  <c r="AR34" i="19" s="1"/>
  <c r="AQ34" i="19" s="1"/>
  <c r="AP34" i="19" s="1"/>
  <c r="AO34" i="19" s="1"/>
  <c r="AN34" i="19" s="1"/>
  <c r="AM34" i="19" s="1"/>
  <c r="AL34" i="19" s="1"/>
  <c r="AK34" i="19" s="1"/>
  <c r="AJ34" i="19" s="1"/>
  <c r="AI34" i="19" s="1"/>
  <c r="AH34" i="19" s="1"/>
  <c r="AG34" i="19" s="1"/>
  <c r="AY33" i="19"/>
  <c r="AZ33" i="19" s="1"/>
  <c r="BA33" i="19" s="1"/>
  <c r="BB33" i="19" s="1"/>
  <c r="BC33" i="19" s="1"/>
  <c r="AW33" i="19"/>
  <c r="AV33" i="19"/>
  <c r="AU33" i="19" s="1"/>
  <c r="AT33" i="19" s="1"/>
  <c r="AS33" i="19"/>
  <c r="AR33" i="19"/>
  <c r="AQ33" i="19" s="1"/>
  <c r="AP33" i="19" s="1"/>
  <c r="AO33" i="19" s="1"/>
  <c r="AN33" i="19" s="1"/>
  <c r="AM33" i="19" s="1"/>
  <c r="AL33" i="19" s="1"/>
  <c r="AK33" i="19" s="1"/>
  <c r="AJ33" i="19" s="1"/>
  <c r="AI33" i="19" s="1"/>
  <c r="AH33" i="19" s="1"/>
  <c r="AG33" i="19" s="1"/>
  <c r="BB32" i="19"/>
  <c r="BC32" i="19" s="1"/>
  <c r="AZ32" i="19"/>
  <c r="BA32" i="19" s="1"/>
  <c r="AX32" i="19"/>
  <c r="AY32" i="19" s="1"/>
  <c r="AV32" i="19"/>
  <c r="AU32" i="19"/>
  <c r="AT32" i="19"/>
  <c r="AS32" i="19" s="1"/>
  <c r="AR32" i="19" s="1"/>
  <c r="AQ32" i="19" s="1"/>
  <c r="AP32" i="19" s="1"/>
  <c r="AO32" i="19"/>
  <c r="AN32" i="19"/>
  <c r="AM32" i="19" s="1"/>
  <c r="AL32" i="19" s="1"/>
  <c r="AK32" i="19"/>
  <c r="AJ32" i="19" s="1"/>
  <c r="AI32" i="19" s="1"/>
  <c r="AH32" i="19" s="1"/>
  <c r="AG32" i="19" s="1"/>
  <c r="AX31" i="19"/>
  <c r="AY31" i="19" s="1"/>
  <c r="AZ31" i="19" s="1"/>
  <c r="BA31" i="19" s="1"/>
  <c r="BB31" i="19" s="1"/>
  <c r="BC31" i="19" s="1"/>
  <c r="AW31" i="19"/>
  <c r="AU31" i="19"/>
  <c r="AT31" i="19" s="1"/>
  <c r="AS31" i="19" s="1"/>
  <c r="AR31" i="19" s="1"/>
  <c r="AQ31" i="19" s="1"/>
  <c r="AP31" i="19" s="1"/>
  <c r="AO31" i="19" s="1"/>
  <c r="AN31" i="19" s="1"/>
  <c r="AM31" i="19" s="1"/>
  <c r="AL31" i="19" s="1"/>
  <c r="AK31" i="19" s="1"/>
  <c r="AJ31" i="19" s="1"/>
  <c r="AI31" i="19" s="1"/>
  <c r="AH31" i="19" s="1"/>
  <c r="AG31" i="19" s="1"/>
  <c r="AV30" i="19"/>
  <c r="AW30" i="19" s="1"/>
  <c r="AX30" i="19" s="1"/>
  <c r="AY30" i="19" s="1"/>
  <c r="AZ30" i="19" s="1"/>
  <c r="BA30" i="19" s="1"/>
  <c r="BB30" i="19" s="1"/>
  <c r="BC30" i="19" s="1"/>
  <c r="AT30" i="19"/>
  <c r="AS30" i="19"/>
  <c r="AR30" i="19"/>
  <c r="AQ30" i="19" s="1"/>
  <c r="AP30" i="19" s="1"/>
  <c r="AO30" i="19"/>
  <c r="AN30" i="19" s="1"/>
  <c r="AM30" i="19" s="1"/>
  <c r="AL30" i="19" s="1"/>
  <c r="AK30" i="19" s="1"/>
  <c r="AJ30" i="19" s="1"/>
  <c r="AI30" i="19" s="1"/>
  <c r="AH30" i="19" s="1"/>
  <c r="AG30" i="19" s="1"/>
  <c r="AV29" i="19"/>
  <c r="AW29" i="19" s="1"/>
  <c r="AX29" i="19" s="1"/>
  <c r="AY29" i="19" s="1"/>
  <c r="AZ29" i="19" s="1"/>
  <c r="BA29" i="19" s="1"/>
  <c r="BB29" i="19" s="1"/>
  <c r="BC29" i="19" s="1"/>
  <c r="AU29" i="19"/>
  <c r="AS29" i="19"/>
  <c r="AR29" i="19" s="1"/>
  <c r="AQ29" i="19"/>
  <c r="AP29" i="19"/>
  <c r="AO29" i="19" s="1"/>
  <c r="AN29" i="19"/>
  <c r="AM29" i="19" s="1"/>
  <c r="AL29" i="19" s="1"/>
  <c r="AK29" i="19" s="1"/>
  <c r="AJ29" i="19" s="1"/>
  <c r="AI29" i="19" s="1"/>
  <c r="AH29" i="19" s="1"/>
  <c r="AG29" i="19" s="1"/>
  <c r="AT28" i="19"/>
  <c r="AU28" i="19" s="1"/>
  <c r="AV28" i="19" s="1"/>
  <c r="AW28" i="19" s="1"/>
  <c r="AX28" i="19" s="1"/>
  <c r="AY28" i="19" s="1"/>
  <c r="AZ28" i="19" s="1"/>
  <c r="BA28" i="19" s="1"/>
  <c r="BB28" i="19" s="1"/>
  <c r="BC28" i="19" s="1"/>
  <c r="AR28" i="19"/>
  <c r="AQ28" i="19"/>
  <c r="AP28" i="19" s="1"/>
  <c r="AO28" i="19" s="1"/>
  <c r="AN28" i="19" s="1"/>
  <c r="AM28" i="19" s="1"/>
  <c r="AL28" i="19" s="1"/>
  <c r="AK28" i="19" s="1"/>
  <c r="AJ28" i="19" s="1"/>
  <c r="AI28" i="19" s="1"/>
  <c r="AH28" i="19" s="1"/>
  <c r="AG28" i="19" s="1"/>
  <c r="AT27" i="19"/>
  <c r="AU27" i="19" s="1"/>
  <c r="AV27" i="19" s="1"/>
  <c r="AW27" i="19" s="1"/>
  <c r="AX27" i="19" s="1"/>
  <c r="AY27" i="19" s="1"/>
  <c r="AZ27" i="19" s="1"/>
  <c r="BA27" i="19" s="1"/>
  <c r="BB27" i="19" s="1"/>
  <c r="BC27" i="19" s="1"/>
  <c r="AS27" i="19"/>
  <c r="AQ27" i="19"/>
  <c r="AP27" i="19"/>
  <c r="AO27" i="19" s="1"/>
  <c r="AN27" i="19" s="1"/>
  <c r="AM27" i="19" s="1"/>
  <c r="AL27" i="19" s="1"/>
  <c r="AK27" i="19" s="1"/>
  <c r="AJ27" i="19" s="1"/>
  <c r="AI27" i="19"/>
  <c r="AH27" i="19" s="1"/>
  <c r="AG27" i="19" s="1"/>
  <c r="AR26" i="19"/>
  <c r="AS26" i="19" s="1"/>
  <c r="AT26" i="19" s="1"/>
  <c r="AU26" i="19" s="1"/>
  <c r="AV26" i="19" s="1"/>
  <c r="AW26" i="19" s="1"/>
  <c r="AX26" i="19" s="1"/>
  <c r="AY26" i="19" s="1"/>
  <c r="AZ26" i="19" s="1"/>
  <c r="BA26" i="19" s="1"/>
  <c r="BB26" i="19" s="1"/>
  <c r="BC26" i="19" s="1"/>
  <c r="AP26" i="19"/>
  <c r="AO26" i="19"/>
  <c r="AN26" i="19" s="1"/>
  <c r="AM26" i="19" s="1"/>
  <c r="AL26" i="19" s="1"/>
  <c r="AK26" i="19" s="1"/>
  <c r="AJ26" i="19" s="1"/>
  <c r="AI26" i="19" s="1"/>
  <c r="AH26" i="19" s="1"/>
  <c r="AG26" i="19" s="1"/>
  <c r="AR25" i="19"/>
  <c r="AS25" i="19" s="1"/>
  <c r="AT25" i="19" s="1"/>
  <c r="AU25" i="19" s="1"/>
  <c r="AV25" i="19" s="1"/>
  <c r="AW25" i="19" s="1"/>
  <c r="AX25" i="19" s="1"/>
  <c r="AY25" i="19" s="1"/>
  <c r="AZ25" i="19" s="1"/>
  <c r="BA25" i="19" s="1"/>
  <c r="BB25" i="19" s="1"/>
  <c r="BC25" i="19" s="1"/>
  <c r="AQ25" i="19"/>
  <c r="AO25" i="19"/>
  <c r="AN25" i="19"/>
  <c r="AM25" i="19" s="1"/>
  <c r="AL25" i="19" s="1"/>
  <c r="AK25" i="19" s="1"/>
  <c r="AJ25" i="19" s="1"/>
  <c r="AI25" i="19" s="1"/>
  <c r="AH25" i="19" s="1"/>
  <c r="AG25" i="19" s="1"/>
  <c r="AP24" i="19"/>
  <c r="AQ24" i="19" s="1"/>
  <c r="AR24" i="19" s="1"/>
  <c r="AS24" i="19" s="1"/>
  <c r="AT24" i="19" s="1"/>
  <c r="AU24" i="19" s="1"/>
  <c r="AV24" i="19" s="1"/>
  <c r="AW24" i="19" s="1"/>
  <c r="AX24" i="19" s="1"/>
  <c r="AY24" i="19" s="1"/>
  <c r="AZ24" i="19" s="1"/>
  <c r="BA24" i="19" s="1"/>
  <c r="BB24" i="19" s="1"/>
  <c r="BC24" i="19" s="1"/>
  <c r="AN24" i="19"/>
  <c r="AM24" i="19"/>
  <c r="AL24" i="19" s="1"/>
  <c r="AK24" i="19" s="1"/>
  <c r="AJ24" i="19" s="1"/>
  <c r="AI24" i="19" s="1"/>
  <c r="AH24" i="19" s="1"/>
  <c r="AG24" i="19" s="1"/>
  <c r="AP23" i="19"/>
  <c r="AQ23" i="19" s="1"/>
  <c r="AR23" i="19" s="1"/>
  <c r="AS23" i="19" s="1"/>
  <c r="AT23" i="19" s="1"/>
  <c r="AU23" i="19" s="1"/>
  <c r="AV23" i="19" s="1"/>
  <c r="AW23" i="19" s="1"/>
  <c r="AX23" i="19" s="1"/>
  <c r="AY23" i="19" s="1"/>
  <c r="AZ23" i="19" s="1"/>
  <c r="BA23" i="19" s="1"/>
  <c r="BB23" i="19" s="1"/>
  <c r="BC23" i="19" s="1"/>
  <c r="AO23" i="19"/>
  <c r="AM23" i="19"/>
  <c r="AL23" i="19"/>
  <c r="AK23" i="19" s="1"/>
  <c r="AJ23" i="19" s="1"/>
  <c r="AI23" i="19" s="1"/>
  <c r="AH23" i="19" s="1"/>
  <c r="AG23" i="19" s="1"/>
  <c r="AN22" i="19"/>
  <c r="AO22" i="19" s="1"/>
  <c r="AP22" i="19" s="1"/>
  <c r="AQ22" i="19" s="1"/>
  <c r="AR22" i="19" s="1"/>
  <c r="AS22" i="19" s="1"/>
  <c r="AT22" i="19" s="1"/>
  <c r="AU22" i="19" s="1"/>
  <c r="AV22" i="19" s="1"/>
  <c r="AW22" i="19" s="1"/>
  <c r="AX22" i="19" s="1"/>
  <c r="AY22" i="19" s="1"/>
  <c r="AZ22" i="19" s="1"/>
  <c r="BA22" i="19" s="1"/>
  <c r="BB22" i="19" s="1"/>
  <c r="BC22" i="19" s="1"/>
  <c r="AL22" i="19"/>
  <c r="AK22" i="19"/>
  <c r="AJ22" i="19" s="1"/>
  <c r="AI22" i="19" s="1"/>
  <c r="AH22" i="19" s="1"/>
  <c r="AG22" i="19" s="1"/>
  <c r="BB21" i="19"/>
  <c r="BC21" i="19" s="1"/>
  <c r="AM21" i="19"/>
  <c r="AN21" i="19" s="1"/>
  <c r="AO21" i="19" s="1"/>
  <c r="AP21" i="19" s="1"/>
  <c r="AQ21" i="19" s="1"/>
  <c r="AR21" i="19" s="1"/>
  <c r="AS21" i="19" s="1"/>
  <c r="AT21" i="19" s="1"/>
  <c r="AU21" i="19" s="1"/>
  <c r="AV21" i="19" s="1"/>
  <c r="AW21" i="19" s="1"/>
  <c r="AX21" i="19" s="1"/>
  <c r="AY21" i="19" s="1"/>
  <c r="AZ21" i="19" s="1"/>
  <c r="BA21" i="19" s="1"/>
  <c r="AK21" i="19"/>
  <c r="AJ21" i="19" s="1"/>
  <c r="AI21" i="19" s="1"/>
  <c r="AH21" i="19" s="1"/>
  <c r="AG21" i="19" s="1"/>
  <c r="AL20" i="19"/>
  <c r="AM20" i="19" s="1"/>
  <c r="AN20" i="19" s="1"/>
  <c r="AO20" i="19" s="1"/>
  <c r="AP20" i="19" s="1"/>
  <c r="AQ20" i="19" s="1"/>
  <c r="AR20" i="19" s="1"/>
  <c r="AS20" i="19" s="1"/>
  <c r="AT20" i="19" s="1"/>
  <c r="AU20" i="19" s="1"/>
  <c r="AV20" i="19" s="1"/>
  <c r="AW20" i="19" s="1"/>
  <c r="AX20" i="19" s="1"/>
  <c r="AY20" i="19" s="1"/>
  <c r="AZ20" i="19" s="1"/>
  <c r="BA20" i="19" s="1"/>
  <c r="BB20" i="19" s="1"/>
  <c r="BC20" i="19" s="1"/>
  <c r="AJ20" i="19"/>
  <c r="AI20" i="19" s="1"/>
  <c r="AH20" i="19" s="1"/>
  <c r="AG20" i="19" s="1"/>
  <c r="F20" i="19"/>
  <c r="AL19" i="19"/>
  <c r="AM19" i="19" s="1"/>
  <c r="AN19" i="19" s="1"/>
  <c r="AO19" i="19" s="1"/>
  <c r="AP19" i="19" s="1"/>
  <c r="AQ19" i="19" s="1"/>
  <c r="AR19" i="19" s="1"/>
  <c r="AS19" i="19" s="1"/>
  <c r="AT19" i="19" s="1"/>
  <c r="AU19" i="19" s="1"/>
  <c r="AV19" i="19" s="1"/>
  <c r="AW19" i="19" s="1"/>
  <c r="AX19" i="19" s="1"/>
  <c r="AY19" i="19" s="1"/>
  <c r="AZ19" i="19" s="1"/>
  <c r="BA19" i="19" s="1"/>
  <c r="BB19" i="19" s="1"/>
  <c r="BC19" i="19" s="1"/>
  <c r="AK19" i="19"/>
  <c r="AI19" i="19"/>
  <c r="AH19" i="19" s="1"/>
  <c r="AG19" i="19"/>
  <c r="AJ18" i="19"/>
  <c r="AK18" i="19" s="1"/>
  <c r="AL18" i="19" s="1"/>
  <c r="AM18" i="19" s="1"/>
  <c r="AN18" i="19" s="1"/>
  <c r="AO18" i="19" s="1"/>
  <c r="AP18" i="19" s="1"/>
  <c r="AQ18" i="19" s="1"/>
  <c r="AR18" i="19" s="1"/>
  <c r="AS18" i="19" s="1"/>
  <c r="AT18" i="19" s="1"/>
  <c r="AU18" i="19" s="1"/>
  <c r="AV18" i="19" s="1"/>
  <c r="AW18" i="19" s="1"/>
  <c r="AX18" i="19" s="1"/>
  <c r="AY18" i="19" s="1"/>
  <c r="AZ18" i="19" s="1"/>
  <c r="BA18" i="19" s="1"/>
  <c r="BB18" i="19" s="1"/>
  <c r="BC18" i="19" s="1"/>
  <c r="AH18" i="19"/>
  <c r="AG18" i="19" s="1"/>
  <c r="Y18" i="19"/>
  <c r="X18" i="19"/>
  <c r="W18" i="19"/>
  <c r="V18" i="19"/>
  <c r="AZ178" i="19" s="1"/>
  <c r="U18" i="19"/>
  <c r="T18" i="19"/>
  <c r="S18" i="19"/>
  <c r="R18" i="19"/>
  <c r="Q18" i="19"/>
  <c r="P18" i="19"/>
  <c r="O18" i="19"/>
  <c r="N18" i="19"/>
  <c r="M18" i="19"/>
  <c r="L18" i="19"/>
  <c r="K18" i="19"/>
  <c r="J18" i="19"/>
  <c r="I18" i="19"/>
  <c r="H18" i="19"/>
  <c r="G18" i="19"/>
  <c r="F18" i="19"/>
  <c r="E18" i="19"/>
  <c r="D18" i="19"/>
  <c r="C18" i="19"/>
  <c r="B18" i="19"/>
  <c r="AF160" i="19" s="1"/>
  <c r="AK17" i="19"/>
  <c r="AL17" i="19" s="1"/>
  <c r="AM17" i="19" s="1"/>
  <c r="AN17" i="19" s="1"/>
  <c r="AO17" i="19" s="1"/>
  <c r="AP17" i="19" s="1"/>
  <c r="AQ17" i="19" s="1"/>
  <c r="AR17" i="19" s="1"/>
  <c r="AS17" i="19" s="1"/>
  <c r="AT17" i="19" s="1"/>
  <c r="AU17" i="19" s="1"/>
  <c r="AV17" i="19" s="1"/>
  <c r="AW17" i="19" s="1"/>
  <c r="AX17" i="19" s="1"/>
  <c r="AY17" i="19" s="1"/>
  <c r="AZ17" i="19" s="1"/>
  <c r="BA17" i="19" s="1"/>
  <c r="BB17" i="19" s="1"/>
  <c r="BC17" i="19" s="1"/>
  <c r="AJ17" i="19"/>
  <c r="AI17" i="19"/>
  <c r="AG17" i="19"/>
  <c r="AL16" i="19"/>
  <c r="AM16" i="19" s="1"/>
  <c r="AN16" i="19" s="1"/>
  <c r="AO16" i="19" s="1"/>
  <c r="AP16" i="19" s="1"/>
  <c r="AQ16" i="19" s="1"/>
  <c r="AR16" i="19" s="1"/>
  <c r="AS16" i="19" s="1"/>
  <c r="AT16" i="19" s="1"/>
  <c r="AU16" i="19" s="1"/>
  <c r="AV16" i="19" s="1"/>
  <c r="AW16" i="19" s="1"/>
  <c r="AX16" i="19" s="1"/>
  <c r="AY16" i="19" s="1"/>
  <c r="AZ16" i="19" s="1"/>
  <c r="BA16" i="19" s="1"/>
  <c r="BB16" i="19" s="1"/>
  <c r="BC16" i="19" s="1"/>
  <c r="AJ16" i="19"/>
  <c r="AK16" i="19" s="1"/>
  <c r="AH16" i="19"/>
  <c r="AI16" i="19" s="1"/>
  <c r="G71" i="12"/>
  <c r="G70" i="12"/>
  <c r="G69" i="12"/>
  <c r="G68" i="12"/>
  <c r="G67" i="12"/>
  <c r="B22" i="7"/>
  <c r="B21" i="7"/>
  <c r="B20" i="7"/>
  <c r="B19" i="7"/>
  <c r="B18" i="7"/>
  <c r="B17" i="7"/>
  <c r="B16" i="7"/>
  <c r="B15" i="7"/>
  <c r="B14" i="7"/>
  <c r="B13" i="7"/>
  <c r="B12" i="7"/>
  <c r="A12" i="7"/>
  <c r="A13" i="7" s="1"/>
  <c r="J13" i="7" s="1"/>
  <c r="B11" i="7"/>
  <c r="A11" i="7"/>
  <c r="B10" i="7"/>
  <c r="J10" i="7" s="1"/>
  <c r="J9" i="7"/>
  <c r="J12" i="7" l="1"/>
  <c r="A14" i="7"/>
  <c r="J11" i="7"/>
  <c r="AH160" i="19"/>
  <c r="AI160" i="19" s="1"/>
  <c r="AJ160" i="19" s="1"/>
  <c r="AK160" i="19" s="1"/>
  <c r="AL160" i="19" s="1"/>
  <c r="AM160" i="19" s="1"/>
  <c r="AN160" i="19" s="1"/>
  <c r="AO160" i="19" s="1"/>
  <c r="AP160" i="19" s="1"/>
  <c r="AQ160" i="19" s="1"/>
  <c r="AR160" i="19" s="1"/>
  <c r="AS160" i="19" s="1"/>
  <c r="AT160" i="19" s="1"/>
  <c r="AU160" i="19" s="1"/>
  <c r="AV160" i="19" s="1"/>
  <c r="AW160" i="19" s="1"/>
  <c r="AX160" i="19" s="1"/>
  <c r="AY160" i="19" s="1"/>
  <c r="AZ160" i="19" s="1"/>
  <c r="AH162" i="19"/>
  <c r="AG162" i="19" s="1"/>
  <c r="AF162" i="19" s="1"/>
  <c r="AT172" i="19"/>
  <c r="AU172" i="19" s="1"/>
  <c r="AV172" i="19" s="1"/>
  <c r="AW172" i="19" s="1"/>
  <c r="AX172" i="19" s="1"/>
  <c r="AY172" i="19" s="1"/>
  <c r="AZ172" i="19" s="1"/>
  <c r="AT174" i="19"/>
  <c r="AS174" i="19" s="1"/>
  <c r="AR174" i="19" s="1"/>
  <c r="AQ174" i="19" s="1"/>
  <c r="AP174" i="19" s="1"/>
  <c r="AO174" i="19" s="1"/>
  <c r="AN174" i="19" s="1"/>
  <c r="AM174" i="19" s="1"/>
  <c r="AL174" i="19" s="1"/>
  <c r="AK174" i="19" s="1"/>
  <c r="AJ174" i="19" s="1"/>
  <c r="AI174" i="19" s="1"/>
  <c r="AH174" i="19" s="1"/>
  <c r="AG174" i="19" s="1"/>
  <c r="AF174" i="19" s="1"/>
  <c r="AL166" i="19"/>
  <c r="AK166" i="19" s="1"/>
  <c r="AJ166" i="19" s="1"/>
  <c r="AI166" i="19" s="1"/>
  <c r="AH166" i="19" s="1"/>
  <c r="AG166" i="19" s="1"/>
  <c r="AF166" i="19" s="1"/>
  <c r="AL164" i="19"/>
  <c r="AM164" i="19" s="1"/>
  <c r="AN164" i="19" s="1"/>
  <c r="AO164" i="19" s="1"/>
  <c r="AP164" i="19" s="1"/>
  <c r="AQ164" i="19" s="1"/>
  <c r="AR164" i="19" s="1"/>
  <c r="AS164" i="19" s="1"/>
  <c r="AT164" i="19" s="1"/>
  <c r="AU164" i="19" s="1"/>
  <c r="AV164" i="19" s="1"/>
  <c r="AW164" i="19" s="1"/>
  <c r="AX164" i="19" s="1"/>
  <c r="AY164" i="19" s="1"/>
  <c r="AZ164" i="19" s="1"/>
  <c r="AX176" i="19"/>
  <c r="AY176" i="19" s="1"/>
  <c r="AZ176" i="19" s="1"/>
  <c r="AX178" i="19"/>
  <c r="AW178" i="19" s="1"/>
  <c r="AV178" i="19" s="1"/>
  <c r="AU178" i="19" s="1"/>
  <c r="AT178" i="19" s="1"/>
  <c r="AS178" i="19" s="1"/>
  <c r="AR178" i="19" s="1"/>
  <c r="AQ178" i="19" s="1"/>
  <c r="AP178" i="19" s="1"/>
  <c r="AO178" i="19" s="1"/>
  <c r="AN178" i="19" s="1"/>
  <c r="AM178" i="19" s="1"/>
  <c r="AL178" i="19" s="1"/>
  <c r="AK178" i="19" s="1"/>
  <c r="AJ178" i="19" s="1"/>
  <c r="AI178" i="19" s="1"/>
  <c r="AH178" i="19" s="1"/>
  <c r="AG178" i="19" s="1"/>
  <c r="AF178" i="19" s="1"/>
  <c r="AM167" i="19"/>
  <c r="AL167" i="19" s="1"/>
  <c r="AK167" i="19" s="1"/>
  <c r="AJ167" i="19" s="1"/>
  <c r="AI167" i="19" s="1"/>
  <c r="AH167" i="19" s="1"/>
  <c r="AG167" i="19" s="1"/>
  <c r="AF167" i="19" s="1"/>
  <c r="AM165" i="19"/>
  <c r="AN165" i="19" s="1"/>
  <c r="AO165" i="19" s="1"/>
  <c r="AP165" i="19" s="1"/>
  <c r="AQ165" i="19" s="1"/>
  <c r="AR165" i="19" s="1"/>
  <c r="AS165" i="19" s="1"/>
  <c r="AT165" i="19" s="1"/>
  <c r="AU165" i="19" s="1"/>
  <c r="AV165" i="19" s="1"/>
  <c r="AW165" i="19" s="1"/>
  <c r="AX165" i="19" s="1"/>
  <c r="AY165" i="19" s="1"/>
  <c r="AZ165" i="19" s="1"/>
  <c r="AY177" i="19"/>
  <c r="AZ177" i="19" s="1"/>
  <c r="AY179" i="19"/>
  <c r="AX179" i="19" s="1"/>
  <c r="AW179" i="19" s="1"/>
  <c r="AV179" i="19" s="1"/>
  <c r="AU179" i="19" s="1"/>
  <c r="AT179" i="19" s="1"/>
  <c r="AS179" i="19" s="1"/>
  <c r="AR179" i="19" s="1"/>
  <c r="AQ179" i="19" s="1"/>
  <c r="AP179" i="19" s="1"/>
  <c r="AO179" i="19" s="1"/>
  <c r="AN179" i="19" s="1"/>
  <c r="AM179" i="19" s="1"/>
  <c r="AL179" i="19" s="1"/>
  <c r="AK179" i="19" s="1"/>
  <c r="AJ179" i="19" s="1"/>
  <c r="AI179" i="19" s="1"/>
  <c r="AH179" i="19" s="1"/>
  <c r="AG179" i="19" s="1"/>
  <c r="AF179" i="19" s="1"/>
  <c r="AN166" i="19"/>
  <c r="AO166" i="19" s="1"/>
  <c r="AP166" i="19" s="1"/>
  <c r="AQ166" i="19" s="1"/>
  <c r="AR166" i="19" s="1"/>
  <c r="AS166" i="19" s="1"/>
  <c r="AT166" i="19" s="1"/>
  <c r="AU166" i="19" s="1"/>
  <c r="AV166" i="19" s="1"/>
  <c r="AW166" i="19" s="1"/>
  <c r="AX166" i="19" s="1"/>
  <c r="AY166" i="19" s="1"/>
  <c r="AZ166" i="19" s="1"/>
  <c r="AN168" i="19"/>
  <c r="AM168" i="19" s="1"/>
  <c r="AL168" i="19" s="1"/>
  <c r="AK168" i="19" s="1"/>
  <c r="AJ168" i="19" s="1"/>
  <c r="AI168" i="19" s="1"/>
  <c r="AH168" i="19" s="1"/>
  <c r="AG168" i="19" s="1"/>
  <c r="AF168" i="19" s="1"/>
  <c r="AP170" i="19"/>
  <c r="AO170" i="19" s="1"/>
  <c r="AN170" i="19" s="1"/>
  <c r="AM170" i="19" s="1"/>
  <c r="AL170" i="19" s="1"/>
  <c r="AK170" i="19" s="1"/>
  <c r="AJ170" i="19" s="1"/>
  <c r="AI170" i="19" s="1"/>
  <c r="AH170" i="19" s="1"/>
  <c r="AG170" i="19" s="1"/>
  <c r="AF170" i="19" s="1"/>
  <c r="AP168" i="19"/>
  <c r="AQ168" i="19" s="1"/>
  <c r="AR168" i="19" s="1"/>
  <c r="AS168" i="19" s="1"/>
  <c r="AT168" i="19" s="1"/>
  <c r="AU168" i="19" s="1"/>
  <c r="AV168" i="19" s="1"/>
  <c r="AW168" i="19" s="1"/>
  <c r="AX168" i="19" s="1"/>
  <c r="AY168" i="19" s="1"/>
  <c r="AZ168" i="19" s="1"/>
  <c r="AR170" i="19"/>
  <c r="AS170" i="19" s="1"/>
  <c r="AT170" i="19" s="1"/>
  <c r="AU170" i="19" s="1"/>
  <c r="AV170" i="19" s="1"/>
  <c r="AW170" i="19" s="1"/>
  <c r="AX170" i="19" s="1"/>
  <c r="AY170" i="19" s="1"/>
  <c r="AZ170" i="19" s="1"/>
  <c r="AR172" i="19"/>
  <c r="AQ172" i="19" s="1"/>
  <c r="AP172" i="19" s="1"/>
  <c r="AO172" i="19" s="1"/>
  <c r="AN172" i="19" s="1"/>
  <c r="AM172" i="19" s="1"/>
  <c r="AL172" i="19" s="1"/>
  <c r="AK172" i="19" s="1"/>
  <c r="AJ172" i="19" s="1"/>
  <c r="AI172" i="19" s="1"/>
  <c r="AH172" i="19" s="1"/>
  <c r="AG172" i="19" s="1"/>
  <c r="AF172" i="19" s="1"/>
  <c r="AG161" i="19"/>
  <c r="AF161" i="19" s="1"/>
  <c r="AG159" i="19"/>
  <c r="AH159" i="19" s="1"/>
  <c r="AI159" i="19" s="1"/>
  <c r="AJ159" i="19" s="1"/>
  <c r="AK159" i="19" s="1"/>
  <c r="AL159" i="19" s="1"/>
  <c r="AM159" i="19" s="1"/>
  <c r="AN159" i="19" s="1"/>
  <c r="AO159" i="19" s="1"/>
  <c r="AP159" i="19" s="1"/>
  <c r="AQ159" i="19" s="1"/>
  <c r="AR159" i="19" s="1"/>
  <c r="AS159" i="19" s="1"/>
  <c r="AT159" i="19" s="1"/>
  <c r="AU159" i="19" s="1"/>
  <c r="AV159" i="19" s="1"/>
  <c r="AW159" i="19" s="1"/>
  <c r="AX159" i="19" s="1"/>
  <c r="AY159" i="19" s="1"/>
  <c r="AZ159" i="19" s="1"/>
  <c r="AS171" i="19"/>
  <c r="AT171" i="19" s="1"/>
  <c r="AU171" i="19" s="1"/>
  <c r="AV171" i="19" s="1"/>
  <c r="AW171" i="19" s="1"/>
  <c r="AX171" i="19" s="1"/>
  <c r="AY171" i="19" s="1"/>
  <c r="AZ171" i="19" s="1"/>
  <c r="AS173" i="19"/>
  <c r="AR173" i="19" s="1"/>
  <c r="AQ173" i="19" s="1"/>
  <c r="AP173" i="19" s="1"/>
  <c r="AO173" i="19" s="1"/>
  <c r="AN173" i="19" s="1"/>
  <c r="AM173" i="19" s="1"/>
  <c r="AL173" i="19" s="1"/>
  <c r="AK173" i="19" s="1"/>
  <c r="AJ173" i="19" s="1"/>
  <c r="AI173" i="19" s="1"/>
  <c r="AH173" i="19" s="1"/>
  <c r="AG173" i="19" s="1"/>
  <c r="AF173" i="19" s="1"/>
  <c r="AJ164" i="19"/>
  <c r="AI164" i="19" s="1"/>
  <c r="AH164" i="19" s="1"/>
  <c r="AG164" i="19" s="1"/>
  <c r="AF164" i="19" s="1"/>
  <c r="AJ162" i="19"/>
  <c r="AK162" i="19" s="1"/>
  <c r="AL162" i="19" s="1"/>
  <c r="AM162" i="19" s="1"/>
  <c r="AN162" i="19" s="1"/>
  <c r="AO162" i="19" s="1"/>
  <c r="AP162" i="19" s="1"/>
  <c r="AQ162" i="19" s="1"/>
  <c r="AR162" i="19" s="1"/>
  <c r="AS162" i="19" s="1"/>
  <c r="AT162" i="19" s="1"/>
  <c r="AU162" i="19" s="1"/>
  <c r="AV162" i="19" s="1"/>
  <c r="AW162" i="19" s="1"/>
  <c r="AX162" i="19" s="1"/>
  <c r="AY162" i="19" s="1"/>
  <c r="AZ162" i="19" s="1"/>
  <c r="AV174" i="19"/>
  <c r="AW174" i="19" s="1"/>
  <c r="AX174" i="19" s="1"/>
  <c r="AY174" i="19" s="1"/>
  <c r="AZ174" i="19" s="1"/>
  <c r="AV176" i="19"/>
  <c r="AU176" i="19" s="1"/>
  <c r="AT176" i="19" s="1"/>
  <c r="AS176" i="19" s="1"/>
  <c r="AR176" i="19" s="1"/>
  <c r="AQ176" i="19" s="1"/>
  <c r="AP176" i="19" s="1"/>
  <c r="AO176" i="19" s="1"/>
  <c r="AN176" i="19" s="1"/>
  <c r="AM176" i="19" s="1"/>
  <c r="AL176" i="19" s="1"/>
  <c r="AK176" i="19" s="1"/>
  <c r="AJ176" i="19" s="1"/>
  <c r="AI176" i="19" s="1"/>
  <c r="AH176" i="19" s="1"/>
  <c r="AG176" i="19" s="1"/>
  <c r="AF176" i="19" s="1"/>
  <c r="AJ225" i="19"/>
  <c r="AJ227" i="19"/>
  <c r="AI227" i="19" s="1"/>
  <c r="AH227" i="19" s="1"/>
  <c r="AG227" i="19" s="1"/>
  <c r="AF227" i="19" s="1"/>
  <c r="AO167" i="19"/>
  <c r="AP167" i="19" s="1"/>
  <c r="AQ167" i="19" s="1"/>
  <c r="AR167" i="19" s="1"/>
  <c r="AS167" i="19" s="1"/>
  <c r="AT167" i="19" s="1"/>
  <c r="AU167" i="19" s="1"/>
  <c r="AV167" i="19" s="1"/>
  <c r="AW167" i="19" s="1"/>
  <c r="AX167" i="19" s="1"/>
  <c r="AY167" i="19" s="1"/>
  <c r="AZ167" i="19" s="1"/>
  <c r="AO169" i="19"/>
  <c r="AN169" i="19" s="1"/>
  <c r="AM169" i="19" s="1"/>
  <c r="AL169" i="19" s="1"/>
  <c r="AK169" i="19" s="1"/>
  <c r="AJ169" i="19" s="1"/>
  <c r="AI169" i="19" s="1"/>
  <c r="AH169" i="19" s="1"/>
  <c r="AG169" i="19" s="1"/>
  <c r="AF169" i="19" s="1"/>
  <c r="G20" i="19"/>
  <c r="AQ171" i="19"/>
  <c r="AP171" i="19" s="1"/>
  <c r="AO171" i="19" s="1"/>
  <c r="AN171" i="19" s="1"/>
  <c r="AM171" i="19" s="1"/>
  <c r="AL171" i="19" s="1"/>
  <c r="AK171" i="19" s="1"/>
  <c r="AJ171" i="19" s="1"/>
  <c r="AI171" i="19" s="1"/>
  <c r="AH171" i="19" s="1"/>
  <c r="AG171" i="19" s="1"/>
  <c r="AF171" i="19" s="1"/>
  <c r="AQ169" i="19"/>
  <c r="AR169" i="19" s="1"/>
  <c r="AS169" i="19" s="1"/>
  <c r="AT169" i="19" s="1"/>
  <c r="AU169" i="19" s="1"/>
  <c r="AV169" i="19" s="1"/>
  <c r="AW169" i="19" s="1"/>
  <c r="AX169" i="19" s="1"/>
  <c r="AY169" i="19" s="1"/>
  <c r="AZ169" i="19" s="1"/>
  <c r="AI161" i="19"/>
  <c r="AJ161" i="19" s="1"/>
  <c r="AK161" i="19" s="1"/>
  <c r="AL161" i="19" s="1"/>
  <c r="AM161" i="19" s="1"/>
  <c r="AN161" i="19" s="1"/>
  <c r="AO161" i="19" s="1"/>
  <c r="AP161" i="19" s="1"/>
  <c r="AQ161" i="19" s="1"/>
  <c r="AR161" i="19" s="1"/>
  <c r="AS161" i="19" s="1"/>
  <c r="AT161" i="19" s="1"/>
  <c r="AU161" i="19" s="1"/>
  <c r="AV161" i="19" s="1"/>
  <c r="AW161" i="19" s="1"/>
  <c r="AX161" i="19" s="1"/>
  <c r="AY161" i="19" s="1"/>
  <c r="AZ161" i="19" s="1"/>
  <c r="AI163" i="19"/>
  <c r="AH163" i="19" s="1"/>
  <c r="AG163" i="19" s="1"/>
  <c r="AF163" i="19" s="1"/>
  <c r="AU173" i="19"/>
  <c r="AV173" i="19" s="1"/>
  <c r="AW173" i="19" s="1"/>
  <c r="AX173" i="19" s="1"/>
  <c r="AY173" i="19" s="1"/>
  <c r="AZ173" i="19" s="1"/>
  <c r="AU175" i="19"/>
  <c r="AT175" i="19" s="1"/>
  <c r="AS175" i="19" s="1"/>
  <c r="AR175" i="19" s="1"/>
  <c r="AQ175" i="19" s="1"/>
  <c r="AP175" i="19" s="1"/>
  <c r="AO175" i="19" s="1"/>
  <c r="AN175" i="19" s="1"/>
  <c r="AM175" i="19" s="1"/>
  <c r="AL175" i="19" s="1"/>
  <c r="AK175" i="19" s="1"/>
  <c r="AJ175" i="19" s="1"/>
  <c r="AI175" i="19" s="1"/>
  <c r="AH175" i="19" s="1"/>
  <c r="AG175" i="19" s="1"/>
  <c r="AF175" i="19" s="1"/>
  <c r="AK163" i="19"/>
  <c r="AL163" i="19" s="1"/>
  <c r="AM163" i="19" s="1"/>
  <c r="AN163" i="19" s="1"/>
  <c r="AO163" i="19" s="1"/>
  <c r="AP163" i="19" s="1"/>
  <c r="AQ163" i="19" s="1"/>
  <c r="AR163" i="19" s="1"/>
  <c r="AS163" i="19" s="1"/>
  <c r="AT163" i="19" s="1"/>
  <c r="AU163" i="19" s="1"/>
  <c r="AV163" i="19" s="1"/>
  <c r="AW163" i="19" s="1"/>
  <c r="AX163" i="19" s="1"/>
  <c r="AY163" i="19" s="1"/>
  <c r="AZ163" i="19" s="1"/>
  <c r="AK165" i="19"/>
  <c r="AJ165" i="19" s="1"/>
  <c r="AI165" i="19" s="1"/>
  <c r="AH165" i="19" s="1"/>
  <c r="AG165" i="19" s="1"/>
  <c r="AF165" i="19" s="1"/>
  <c r="AW175" i="19"/>
  <c r="AX175" i="19" s="1"/>
  <c r="AY175" i="19" s="1"/>
  <c r="AZ175" i="19" s="1"/>
  <c r="AW177" i="19"/>
  <c r="AV177" i="19" s="1"/>
  <c r="AU177" i="19" s="1"/>
  <c r="AT177" i="19" s="1"/>
  <c r="AS177" i="19" s="1"/>
  <c r="AR177" i="19" s="1"/>
  <c r="AQ177" i="19" s="1"/>
  <c r="AP177" i="19" s="1"/>
  <c r="AO177" i="19" s="1"/>
  <c r="AN177" i="19" s="1"/>
  <c r="AM177" i="19" s="1"/>
  <c r="AL177" i="19" s="1"/>
  <c r="AK177" i="19" s="1"/>
  <c r="AJ177" i="19" s="1"/>
  <c r="AI177" i="19" s="1"/>
  <c r="AH177" i="19" s="1"/>
  <c r="AG177" i="19" s="1"/>
  <c r="AF177" i="19" s="1"/>
  <c r="AJ222" i="19"/>
  <c r="AK222" i="19" s="1"/>
  <c r="AJ224" i="19"/>
  <c r="AK224" i="19" s="1"/>
  <c r="AJ223" i="19"/>
  <c r="AK223" i="19" s="1"/>
  <c r="AZ48" i="22"/>
  <c r="AZ53" i="22"/>
  <c r="F30" i="23"/>
  <c r="F32" i="23" s="1"/>
  <c r="AZ50" i="22"/>
  <c r="AZ51" i="22"/>
  <c r="AZ49" i="22"/>
  <c r="AZ47" i="22"/>
  <c r="AZ54" i="22"/>
  <c r="AZ52" i="22"/>
  <c r="AK228" i="19" l="1"/>
  <c r="AJ228" i="19" s="1"/>
  <c r="AI228" i="19" s="1"/>
  <c r="AH228" i="19" s="1"/>
  <c r="AG228" i="19" s="1"/>
  <c r="AF228" i="19" s="1"/>
  <c r="AK226" i="19"/>
  <c r="H20" i="19"/>
  <c r="AX48" i="22"/>
  <c r="AL48" i="22"/>
  <c r="Z48" i="22"/>
  <c r="N48" i="22"/>
  <c r="AW48" i="22"/>
  <c r="AK48" i="22"/>
  <c r="Y48" i="22"/>
  <c r="M48" i="22"/>
  <c r="AV48" i="22"/>
  <c r="AJ48" i="22"/>
  <c r="X48" i="22"/>
  <c r="L48" i="22"/>
  <c r="AU48" i="22"/>
  <c r="AI48" i="22"/>
  <c r="W48" i="22"/>
  <c r="K48" i="22"/>
  <c r="AT48" i="22"/>
  <c r="AH48" i="22"/>
  <c r="V48" i="22"/>
  <c r="J48" i="22"/>
  <c r="AS48" i="22"/>
  <c r="AG48" i="22"/>
  <c r="U48" i="22"/>
  <c r="I48" i="22"/>
  <c r="AR48" i="22"/>
  <c r="AF48" i="22"/>
  <c r="T48" i="22"/>
  <c r="H48" i="22"/>
  <c r="AQ48" i="22"/>
  <c r="AE48" i="22"/>
  <c r="S48" i="22"/>
  <c r="G48" i="22"/>
  <c r="AO48" i="22"/>
  <c r="AC48" i="22"/>
  <c r="Q48" i="22"/>
  <c r="E48" i="22"/>
  <c r="AN48" i="22"/>
  <c r="AB48" i="22"/>
  <c r="P48" i="22"/>
  <c r="AP48" i="22"/>
  <c r="AM48" i="22"/>
  <c r="AD48" i="22"/>
  <c r="AA48" i="22"/>
  <c r="R48" i="22"/>
  <c r="O48" i="22"/>
  <c r="F48" i="22"/>
  <c r="AL222" i="19"/>
  <c r="AR54" i="22"/>
  <c r="AF54" i="22"/>
  <c r="T54" i="22"/>
  <c r="H54" i="22"/>
  <c r="AQ54" i="22"/>
  <c r="AE54" i="22"/>
  <c r="S54" i="22"/>
  <c r="G54" i="22"/>
  <c r="AP54" i="22"/>
  <c r="AD54" i="22"/>
  <c r="R54" i="22"/>
  <c r="F54" i="22"/>
  <c r="AO54" i="22"/>
  <c r="AC54" i="22"/>
  <c r="Q54" i="22"/>
  <c r="E54" i="22"/>
  <c r="AN54" i="22"/>
  <c r="AB54" i="22"/>
  <c r="P54" i="22"/>
  <c r="AM54" i="22"/>
  <c r="AA54" i="22"/>
  <c r="O54" i="22"/>
  <c r="AX54" i="22"/>
  <c r="AL54" i="22"/>
  <c r="Z54" i="22"/>
  <c r="N54" i="22"/>
  <c r="AW54" i="22"/>
  <c r="AK54" i="22"/>
  <c r="Y54" i="22"/>
  <c r="M54" i="22"/>
  <c r="AU54" i="22"/>
  <c r="AI54" i="22"/>
  <c r="W54" i="22"/>
  <c r="K54" i="22"/>
  <c r="AT54" i="22"/>
  <c r="AH54" i="22"/>
  <c r="V54" i="22"/>
  <c r="J54" i="22"/>
  <c r="AV54" i="22"/>
  <c r="AS54" i="22"/>
  <c r="AJ54" i="22"/>
  <c r="AG54" i="22"/>
  <c r="X54" i="22"/>
  <c r="U54" i="22"/>
  <c r="L54" i="22"/>
  <c r="I54" i="22"/>
  <c r="AO51" i="22"/>
  <c r="AC51" i="22"/>
  <c r="Q51" i="22"/>
  <c r="E51" i="22"/>
  <c r="AN51" i="22"/>
  <c r="AB51" i="22"/>
  <c r="P51" i="22"/>
  <c r="AM51" i="22"/>
  <c r="AA51" i="22"/>
  <c r="O51" i="22"/>
  <c r="AX51" i="22"/>
  <c r="AL51" i="22"/>
  <c r="Z51" i="22"/>
  <c r="N51" i="22"/>
  <c r="AW51" i="22"/>
  <c r="AK51" i="22"/>
  <c r="Y51" i="22"/>
  <c r="M51" i="22"/>
  <c r="AV51" i="22"/>
  <c r="AJ51" i="22"/>
  <c r="X51" i="22"/>
  <c r="L51" i="22"/>
  <c r="AU51" i="22"/>
  <c r="AI51" i="22"/>
  <c r="W51" i="22"/>
  <c r="K51" i="22"/>
  <c r="AT51" i="22"/>
  <c r="AH51" i="22"/>
  <c r="V51" i="22"/>
  <c r="J51" i="22"/>
  <c r="AR51" i="22"/>
  <c r="AF51" i="22"/>
  <c r="T51" i="22"/>
  <c r="H51" i="22"/>
  <c r="AQ51" i="22"/>
  <c r="AE51" i="22"/>
  <c r="S51" i="22"/>
  <c r="G51" i="22"/>
  <c r="AS51" i="22"/>
  <c r="AP51" i="22"/>
  <c r="AG51" i="22"/>
  <c r="AD51" i="22"/>
  <c r="U51" i="22"/>
  <c r="R51" i="22"/>
  <c r="I51" i="22"/>
  <c r="F51" i="22"/>
  <c r="AK225" i="19"/>
  <c r="AL225" i="19" s="1"/>
  <c r="A15" i="7"/>
  <c r="J14" i="7"/>
  <c r="AL224" i="19"/>
  <c r="AP52" i="22"/>
  <c r="AD52" i="22"/>
  <c r="R52" i="22"/>
  <c r="F52" i="22"/>
  <c r="AO52" i="22"/>
  <c r="AC52" i="22"/>
  <c r="Q52" i="22"/>
  <c r="E52" i="22"/>
  <c r="AN52" i="22"/>
  <c r="AB52" i="22"/>
  <c r="P52" i="22"/>
  <c r="AM52" i="22"/>
  <c r="AA52" i="22"/>
  <c r="O52" i="22"/>
  <c r="AX52" i="22"/>
  <c r="AL52" i="22"/>
  <c r="Z52" i="22"/>
  <c r="N52" i="22"/>
  <c r="AW52" i="22"/>
  <c r="AK52" i="22"/>
  <c r="Y52" i="22"/>
  <c r="M52" i="22"/>
  <c r="AV52" i="22"/>
  <c r="AJ52" i="22"/>
  <c r="X52" i="22"/>
  <c r="L52" i="22"/>
  <c r="AU52" i="22"/>
  <c r="AI52" i="22"/>
  <c r="W52" i="22"/>
  <c r="K52" i="22"/>
  <c r="AS52" i="22"/>
  <c r="AG52" i="22"/>
  <c r="U52" i="22"/>
  <c r="I52" i="22"/>
  <c r="AR52" i="22"/>
  <c r="AF52" i="22"/>
  <c r="T52" i="22"/>
  <c r="H52" i="22"/>
  <c r="S52" i="22"/>
  <c r="J52" i="22"/>
  <c r="G52" i="22"/>
  <c r="AT52" i="22"/>
  <c r="AQ52" i="22"/>
  <c r="AH52" i="22"/>
  <c r="AE52" i="22"/>
  <c r="V52" i="22"/>
  <c r="AW47" i="22"/>
  <c r="AK47" i="22"/>
  <c r="Y47" i="22"/>
  <c r="M47" i="22"/>
  <c r="AV47" i="22"/>
  <c r="AJ47" i="22"/>
  <c r="X47" i="22"/>
  <c r="L47" i="22"/>
  <c r="AU47" i="22"/>
  <c r="AI47" i="22"/>
  <c r="W47" i="22"/>
  <c r="C76" i="22" s="1"/>
  <c r="K47" i="22"/>
  <c r="AT47" i="22"/>
  <c r="AH47" i="22"/>
  <c r="V47" i="22"/>
  <c r="J47" i="22"/>
  <c r="AS47" i="22"/>
  <c r="AG47" i="22"/>
  <c r="U47" i="22"/>
  <c r="I47" i="22"/>
  <c r="AR47" i="22"/>
  <c r="AF47" i="22"/>
  <c r="T47" i="22"/>
  <c r="C73" i="22" s="1"/>
  <c r="H47" i="22"/>
  <c r="AQ47" i="22"/>
  <c r="AE47" i="22"/>
  <c r="S47" i="22"/>
  <c r="G47" i="22"/>
  <c r="AP47" i="22"/>
  <c r="AD47" i="22"/>
  <c r="R47" i="22"/>
  <c r="F47" i="22"/>
  <c r="AN47" i="22"/>
  <c r="AB47" i="22"/>
  <c r="P47" i="22"/>
  <c r="AM47" i="22"/>
  <c r="AA47" i="22"/>
  <c r="O47" i="22"/>
  <c r="AL47" i="22"/>
  <c r="AC47" i="22"/>
  <c r="Z47" i="22"/>
  <c r="Q47" i="22"/>
  <c r="C70" i="22" s="1"/>
  <c r="N47" i="22"/>
  <c r="E47" i="22"/>
  <c r="AX47" i="22"/>
  <c r="AO47" i="22"/>
  <c r="AM49" i="22"/>
  <c r="AA49" i="22"/>
  <c r="O49" i="22"/>
  <c r="AX49" i="22"/>
  <c r="AL49" i="22"/>
  <c r="Z49" i="22"/>
  <c r="N49" i="22"/>
  <c r="AW49" i="22"/>
  <c r="AK49" i="22"/>
  <c r="Y49" i="22"/>
  <c r="M49" i="22"/>
  <c r="AV49" i="22"/>
  <c r="AJ49" i="22"/>
  <c r="X49" i="22"/>
  <c r="L49" i="22"/>
  <c r="AU49" i="22"/>
  <c r="AI49" i="22"/>
  <c r="W49" i="22"/>
  <c r="K49" i="22"/>
  <c r="AT49" i="22"/>
  <c r="AH49" i="22"/>
  <c r="V49" i="22"/>
  <c r="J49" i="22"/>
  <c r="AS49" i="22"/>
  <c r="AG49" i="22"/>
  <c r="U49" i="22"/>
  <c r="I49" i="22"/>
  <c r="AR49" i="22"/>
  <c r="AF49" i="22"/>
  <c r="T49" i="22"/>
  <c r="H49" i="22"/>
  <c r="AP49" i="22"/>
  <c r="AD49" i="22"/>
  <c r="R49" i="22"/>
  <c r="F49" i="22"/>
  <c r="AO49" i="22"/>
  <c r="AC49" i="22"/>
  <c r="Q49" i="22"/>
  <c r="E49" i="22"/>
  <c r="P49" i="22"/>
  <c r="G49" i="22"/>
  <c r="AQ49" i="22"/>
  <c r="AN49" i="22"/>
  <c r="AE49" i="22"/>
  <c r="AB49" i="22"/>
  <c r="S49" i="22"/>
  <c r="AN50" i="22"/>
  <c r="AB50" i="22"/>
  <c r="P50" i="22"/>
  <c r="AM50" i="22"/>
  <c r="AA50" i="22"/>
  <c r="O50" i="22"/>
  <c r="AX50" i="22"/>
  <c r="AL50" i="22"/>
  <c r="Z50" i="22"/>
  <c r="N50" i="22"/>
  <c r="AW50" i="22"/>
  <c r="AK50" i="22"/>
  <c r="Y50" i="22"/>
  <c r="M50" i="22"/>
  <c r="AV50" i="22"/>
  <c r="AJ50" i="22"/>
  <c r="X50" i="22"/>
  <c r="L50" i="22"/>
  <c r="AU50" i="22"/>
  <c r="AI50" i="22"/>
  <c r="W50" i="22"/>
  <c r="K50" i="22"/>
  <c r="AT50" i="22"/>
  <c r="AH50" i="22"/>
  <c r="V50" i="22"/>
  <c r="J50" i="22"/>
  <c r="AS50" i="22"/>
  <c r="AG50" i="22"/>
  <c r="U50" i="22"/>
  <c r="I50" i="22"/>
  <c r="AQ50" i="22"/>
  <c r="AE50" i="22"/>
  <c r="S50" i="22"/>
  <c r="G50" i="22"/>
  <c r="AP50" i="22"/>
  <c r="AD50" i="22"/>
  <c r="R50" i="22"/>
  <c r="F50" i="22"/>
  <c r="AO50" i="22"/>
  <c r="AF50" i="22"/>
  <c r="AC50" i="22"/>
  <c r="T50" i="22"/>
  <c r="Q50" i="22"/>
  <c r="H50" i="22"/>
  <c r="E50" i="22"/>
  <c r="AR50" i="22"/>
  <c r="AQ53" i="22"/>
  <c r="AE53" i="22"/>
  <c r="S53" i="22"/>
  <c r="G53" i="22"/>
  <c r="AP53" i="22"/>
  <c r="AD53" i="22"/>
  <c r="R53" i="22"/>
  <c r="F53" i="22"/>
  <c r="AO53" i="22"/>
  <c r="AC53" i="22"/>
  <c r="Q53" i="22"/>
  <c r="E53" i="22"/>
  <c r="AN53" i="22"/>
  <c r="AB53" i="22"/>
  <c r="P53" i="22"/>
  <c r="AM53" i="22"/>
  <c r="AA53" i="22"/>
  <c r="O53" i="22"/>
  <c r="AX53" i="22"/>
  <c r="AL53" i="22"/>
  <c r="Z53" i="22"/>
  <c r="N53" i="22"/>
  <c r="AW53" i="22"/>
  <c r="AK53" i="22"/>
  <c r="Y53" i="22"/>
  <c r="M53" i="22"/>
  <c r="AV53" i="22"/>
  <c r="AJ53" i="22"/>
  <c r="X53" i="22"/>
  <c r="L53" i="22"/>
  <c r="AT53" i="22"/>
  <c r="AH53" i="22"/>
  <c r="V53" i="22"/>
  <c r="J53" i="22"/>
  <c r="AS53" i="22"/>
  <c r="AG53" i="22"/>
  <c r="U53" i="22"/>
  <c r="I53" i="22"/>
  <c r="AR53" i="22"/>
  <c r="AI53" i="22"/>
  <c r="AF53" i="22"/>
  <c r="W53" i="22"/>
  <c r="T53" i="22"/>
  <c r="K53" i="22"/>
  <c r="H53" i="22"/>
  <c r="AU53" i="22"/>
  <c r="C69" i="22" l="1"/>
  <c r="C94" i="22"/>
  <c r="C81" i="22"/>
  <c r="C85" i="22"/>
  <c r="C88" i="22"/>
  <c r="C103" i="22"/>
  <c r="C93" i="22"/>
  <c r="C97" i="22"/>
  <c r="C100" i="22"/>
  <c r="C58" i="22"/>
  <c r="D58" i="22" s="1"/>
  <c r="C59" i="22"/>
  <c r="C62" i="22"/>
  <c r="C65" i="22"/>
  <c r="C67" i="22"/>
  <c r="C71" i="22"/>
  <c r="C74" i="22"/>
  <c r="C77" i="22"/>
  <c r="C83" i="22"/>
  <c r="C86" i="22"/>
  <c r="C89" i="22"/>
  <c r="C79" i="22"/>
  <c r="C95" i="22"/>
  <c r="C98" i="22"/>
  <c r="C101" i="22"/>
  <c r="C82" i="22"/>
  <c r="C60" i="22"/>
  <c r="C63" i="22"/>
  <c r="C66" i="22"/>
  <c r="C91" i="22"/>
  <c r="C72" i="22"/>
  <c r="C75" i="22"/>
  <c r="C78" i="22"/>
  <c r="AL227" i="19"/>
  <c r="AL229" i="19"/>
  <c r="AK229" i="19" s="1"/>
  <c r="AJ229" i="19" s="1"/>
  <c r="AI229" i="19" s="1"/>
  <c r="AH229" i="19" s="1"/>
  <c r="AG229" i="19" s="1"/>
  <c r="AF229" i="19" s="1"/>
  <c r="I20" i="19"/>
  <c r="C68" i="22"/>
  <c r="C84" i="22"/>
  <c r="C87" i="22"/>
  <c r="C90" i="22"/>
  <c r="AL226" i="19"/>
  <c r="C80" i="22"/>
  <c r="C96" i="22"/>
  <c r="C99" i="22"/>
  <c r="C102" i="22"/>
  <c r="C92" i="22"/>
  <c r="C61" i="22"/>
  <c r="C64" i="22"/>
  <c r="J15" i="7"/>
  <c r="A16" i="7"/>
  <c r="AL223" i="19"/>
  <c r="D59" i="22" l="1"/>
  <c r="D60" i="22" s="1"/>
  <c r="D61" i="22" s="1"/>
  <c r="D62" i="22" s="1"/>
  <c r="D63" i="22" s="1"/>
  <c r="D64" i="22" s="1"/>
  <c r="D65" i="22" s="1"/>
  <c r="D66" i="22" s="1"/>
  <c r="D67" i="22" s="1"/>
  <c r="D68" i="22" s="1"/>
  <c r="D69" i="22" s="1"/>
  <c r="D70" i="22" s="1"/>
  <c r="D71" i="22" s="1"/>
  <c r="D72" i="22" s="1"/>
  <c r="D73" i="22" s="1"/>
  <c r="D74" i="22" s="1"/>
  <c r="D75" i="22" s="1"/>
  <c r="D76" i="22" s="1"/>
  <c r="D77" i="22" s="1"/>
  <c r="D78" i="22" s="1"/>
  <c r="D79" i="22" s="1"/>
  <c r="D80" i="22" s="1"/>
  <c r="D81" i="22" s="1"/>
  <c r="D82" i="22" s="1"/>
  <c r="D83" i="22" s="1"/>
  <c r="D84" i="22" s="1"/>
  <c r="D85" i="22" s="1"/>
  <c r="D86" i="22" s="1"/>
  <c r="D87" i="22" s="1"/>
  <c r="D88" i="22" s="1"/>
  <c r="D89" i="22" s="1"/>
  <c r="D90" i="22" s="1"/>
  <c r="D91" i="22" s="1"/>
  <c r="D92" i="22" s="1"/>
  <c r="D93" i="22" s="1"/>
  <c r="D94" i="22" s="1"/>
  <c r="D95" i="22" s="1"/>
  <c r="D96" i="22" s="1"/>
  <c r="D97" i="22" s="1"/>
  <c r="D98" i="22" s="1"/>
  <c r="D99" i="22" s="1"/>
  <c r="D100" i="22" s="1"/>
  <c r="D101" i="22" s="1"/>
  <c r="D102" i="22" s="1"/>
  <c r="D103" i="22" s="1"/>
  <c r="AM228" i="19"/>
  <c r="AM230" i="19"/>
  <c r="AL230" i="19" s="1"/>
  <c r="AK230" i="19" s="1"/>
  <c r="AJ230" i="19" s="1"/>
  <c r="AI230" i="19" s="1"/>
  <c r="AH230" i="19" s="1"/>
  <c r="AG230" i="19" s="1"/>
  <c r="AF230" i="19" s="1"/>
  <c r="J20" i="19"/>
  <c r="AM227" i="19"/>
  <c r="AN227" i="19" s="1"/>
  <c r="AM226" i="19"/>
  <c r="AN226" i="19" s="1"/>
  <c r="AM222" i="19"/>
  <c r="AN222" i="19" s="1"/>
  <c r="AM223" i="19"/>
  <c r="AN223" i="19" s="1"/>
  <c r="AM224" i="19"/>
  <c r="AN224" i="19" s="1"/>
  <c r="B25" i="7"/>
  <c r="A17" i="7"/>
  <c r="B28" i="7"/>
  <c r="B27" i="7"/>
  <c r="B26" i="7"/>
  <c r="B24" i="7"/>
  <c r="J16" i="7"/>
  <c r="B23" i="7"/>
  <c r="AM225" i="19"/>
  <c r="AN225" i="19" s="1"/>
  <c r="AN229" i="19" l="1"/>
  <c r="AO229" i="19" s="1"/>
  <c r="AN231" i="19"/>
  <c r="AM231" i="19" s="1"/>
  <c r="AL231" i="19" s="1"/>
  <c r="AK231" i="19" s="1"/>
  <c r="AJ231" i="19" s="1"/>
  <c r="AI231" i="19" s="1"/>
  <c r="AH231" i="19" s="1"/>
  <c r="AG231" i="19" s="1"/>
  <c r="AF231" i="19" s="1"/>
  <c r="K20" i="19"/>
  <c r="AO222" i="19" s="1"/>
  <c r="A18" i="7"/>
  <c r="J17" i="7"/>
  <c r="AO225" i="19"/>
  <c r="AO223" i="19"/>
  <c r="AO226" i="19"/>
  <c r="AO227" i="19"/>
  <c r="AN228" i="19"/>
  <c r="AO228" i="19" s="1"/>
  <c r="AP223" i="19" l="1"/>
  <c r="AP228" i="19"/>
  <c r="AP229" i="19"/>
  <c r="AP226" i="19"/>
  <c r="AP225" i="19"/>
  <c r="B29" i="7"/>
  <c r="A19" i="7"/>
  <c r="J18" i="7"/>
  <c r="B30" i="7"/>
  <c r="AO232" i="19"/>
  <c r="AN232" i="19" s="1"/>
  <c r="AM232" i="19" s="1"/>
  <c r="AL232" i="19" s="1"/>
  <c r="AK232" i="19" s="1"/>
  <c r="AJ232" i="19" s="1"/>
  <c r="AI232" i="19" s="1"/>
  <c r="AH232" i="19" s="1"/>
  <c r="AG232" i="19" s="1"/>
  <c r="AF232" i="19" s="1"/>
  <c r="AO230" i="19"/>
  <c r="L20" i="19"/>
  <c r="AO224" i="19"/>
  <c r="AP224" i="19" s="1"/>
  <c r="J19" i="7" l="1"/>
  <c r="A20" i="7"/>
  <c r="AP233" i="19"/>
  <c r="AO233" i="19" s="1"/>
  <c r="AN233" i="19" s="1"/>
  <c r="AM233" i="19" s="1"/>
  <c r="AL233" i="19" s="1"/>
  <c r="AK233" i="19" s="1"/>
  <c r="AJ233" i="19" s="1"/>
  <c r="AI233" i="19" s="1"/>
  <c r="AH233" i="19" s="1"/>
  <c r="AG233" i="19" s="1"/>
  <c r="AF233" i="19" s="1"/>
  <c r="AP231" i="19"/>
  <c r="M20" i="19"/>
  <c r="AQ228" i="19" s="1"/>
  <c r="AP227" i="19"/>
  <c r="AQ227" i="19" s="1"/>
  <c r="AP230" i="19"/>
  <c r="AP222" i="19"/>
  <c r="AQ232" i="19" l="1"/>
  <c r="AQ234" i="19"/>
  <c r="AP234" i="19" s="1"/>
  <c r="AO234" i="19" s="1"/>
  <c r="AN234" i="19" s="1"/>
  <c r="AM234" i="19" s="1"/>
  <c r="AL234" i="19" s="1"/>
  <c r="AK234" i="19" s="1"/>
  <c r="AJ234" i="19" s="1"/>
  <c r="AI234" i="19" s="1"/>
  <c r="AH234" i="19" s="1"/>
  <c r="AG234" i="19" s="1"/>
  <c r="AF234" i="19" s="1"/>
  <c r="N20" i="19"/>
  <c r="AQ223" i="19"/>
  <c r="AR223" i="19" s="1"/>
  <c r="AQ229" i="19"/>
  <c r="AR229" i="19" s="1"/>
  <c r="AQ224" i="19"/>
  <c r="AR224" i="19" s="1"/>
  <c r="AQ226" i="19"/>
  <c r="AR226" i="19" s="1"/>
  <c r="AR227" i="19"/>
  <c r="AQ225" i="19"/>
  <c r="AR225" i="19" s="1"/>
  <c r="AQ231" i="19"/>
  <c r="AR231" i="19" s="1"/>
  <c r="AQ222" i="19"/>
  <c r="AR222" i="19" s="1"/>
  <c r="B440" i="7"/>
  <c r="B438" i="7"/>
  <c r="B441" i="7"/>
  <c r="A21" i="7"/>
  <c r="B437" i="7"/>
  <c r="J20" i="7"/>
  <c r="B439" i="7"/>
  <c r="AQ230" i="19"/>
  <c r="AR230" i="19" s="1"/>
  <c r="AR235" i="19" l="1"/>
  <c r="AQ235" i="19" s="1"/>
  <c r="AP235" i="19" s="1"/>
  <c r="AO235" i="19" s="1"/>
  <c r="AN235" i="19" s="1"/>
  <c r="AM235" i="19" s="1"/>
  <c r="AL235" i="19" s="1"/>
  <c r="AK235" i="19" s="1"/>
  <c r="AJ235" i="19" s="1"/>
  <c r="AI235" i="19" s="1"/>
  <c r="AH235" i="19" s="1"/>
  <c r="AG235" i="19" s="1"/>
  <c r="AF235" i="19" s="1"/>
  <c r="AR233" i="19"/>
  <c r="AS233" i="19" s="1"/>
  <c r="O20" i="19"/>
  <c r="AS229" i="19" s="1"/>
  <c r="AS225" i="19"/>
  <c r="AS224" i="19"/>
  <c r="AR232" i="19"/>
  <c r="B452" i="7"/>
  <c r="B448" i="7"/>
  <c r="B449" i="7"/>
  <c r="B451" i="7"/>
  <c r="B442" i="7"/>
  <c r="A22" i="7"/>
  <c r="J21" i="7"/>
  <c r="B450" i="7"/>
  <c r="AR228" i="19"/>
  <c r="AS228" i="19" s="1"/>
  <c r="AS236" i="19" l="1"/>
  <c r="AR236" i="19" s="1"/>
  <c r="AQ236" i="19" s="1"/>
  <c r="AP236" i="19" s="1"/>
  <c r="AO236" i="19" s="1"/>
  <c r="AN236" i="19" s="1"/>
  <c r="AM236" i="19" s="1"/>
  <c r="AL236" i="19" s="1"/>
  <c r="AK236" i="19" s="1"/>
  <c r="AJ236" i="19" s="1"/>
  <c r="AI236" i="19" s="1"/>
  <c r="AH236" i="19" s="1"/>
  <c r="AG236" i="19" s="1"/>
  <c r="AF236" i="19" s="1"/>
  <c r="AS234" i="19"/>
  <c r="P20" i="19"/>
  <c r="B500" i="7"/>
  <c r="B499" i="7"/>
  <c r="B495" i="7"/>
  <c r="J22" i="7"/>
  <c r="A23" i="7"/>
  <c r="AS226" i="19"/>
  <c r="AS231" i="19"/>
  <c r="AS223" i="19"/>
  <c r="AS227" i="19"/>
  <c r="AS230" i="19"/>
  <c r="AS232" i="19"/>
  <c r="AS222" i="19"/>
  <c r="AT222" i="19" s="1"/>
  <c r="AT237" i="19" l="1"/>
  <c r="AS237" i="19" s="1"/>
  <c r="AR237" i="19" s="1"/>
  <c r="AQ237" i="19" s="1"/>
  <c r="AP237" i="19" s="1"/>
  <c r="AO237" i="19" s="1"/>
  <c r="AN237" i="19" s="1"/>
  <c r="AM237" i="19" s="1"/>
  <c r="AL237" i="19" s="1"/>
  <c r="AK237" i="19" s="1"/>
  <c r="AJ237" i="19" s="1"/>
  <c r="AI237" i="19" s="1"/>
  <c r="AH237" i="19" s="1"/>
  <c r="AG237" i="19" s="1"/>
  <c r="AF237" i="19" s="1"/>
  <c r="AT235" i="19"/>
  <c r="Q20" i="19"/>
  <c r="AT228" i="19"/>
  <c r="AU228" i="19" s="1"/>
  <c r="AT232" i="19"/>
  <c r="AT225" i="19"/>
  <c r="AU225" i="19" s="1"/>
  <c r="AT234" i="19"/>
  <c r="AU234" i="19" s="1"/>
  <c r="AT227" i="19"/>
  <c r="AU227" i="19" s="1"/>
  <c r="AT231" i="19"/>
  <c r="AU231" i="19" s="1"/>
  <c r="AT224" i="19"/>
  <c r="AU224" i="19" s="1"/>
  <c r="AT226" i="19"/>
  <c r="AU226" i="19" s="1"/>
  <c r="AT233" i="19"/>
  <c r="AU233" i="19" s="1"/>
  <c r="AT230" i="19"/>
  <c r="AT223" i="19"/>
  <c r="B506" i="7"/>
  <c r="B501" i="7"/>
  <c r="J23" i="7"/>
  <c r="A24" i="7"/>
  <c r="AT229" i="19"/>
  <c r="AU229" i="19" s="1"/>
  <c r="A25" i="7" l="1"/>
  <c r="B67" i="7"/>
  <c r="J24" i="7"/>
  <c r="AU238" i="19"/>
  <c r="AT238" i="19" s="1"/>
  <c r="AS238" i="19" s="1"/>
  <c r="AR238" i="19" s="1"/>
  <c r="AQ238" i="19" s="1"/>
  <c r="AP238" i="19" s="1"/>
  <c r="AO238" i="19" s="1"/>
  <c r="AN238" i="19" s="1"/>
  <c r="AM238" i="19" s="1"/>
  <c r="AL238" i="19" s="1"/>
  <c r="AK238" i="19" s="1"/>
  <c r="AJ238" i="19" s="1"/>
  <c r="AI238" i="19" s="1"/>
  <c r="AH238" i="19" s="1"/>
  <c r="AG238" i="19" s="1"/>
  <c r="AF238" i="19" s="1"/>
  <c r="AU236" i="19"/>
  <c r="R20" i="19"/>
  <c r="AU232" i="19"/>
  <c r="AU223" i="19"/>
  <c r="AU230" i="19"/>
  <c r="AU235" i="19"/>
  <c r="AU222" i="19"/>
  <c r="AV239" i="19" l="1"/>
  <c r="AU239" i="19" s="1"/>
  <c r="AT239" i="19" s="1"/>
  <c r="AS239" i="19" s="1"/>
  <c r="AR239" i="19" s="1"/>
  <c r="AQ239" i="19" s="1"/>
  <c r="AP239" i="19" s="1"/>
  <c r="AO239" i="19" s="1"/>
  <c r="AN239" i="19" s="1"/>
  <c r="AM239" i="19" s="1"/>
  <c r="AL239" i="19" s="1"/>
  <c r="AK239" i="19" s="1"/>
  <c r="AJ239" i="19" s="1"/>
  <c r="AI239" i="19" s="1"/>
  <c r="AH239" i="19" s="1"/>
  <c r="AG239" i="19" s="1"/>
  <c r="AF239" i="19" s="1"/>
  <c r="AV237" i="19"/>
  <c r="S20" i="19"/>
  <c r="AV236" i="19"/>
  <c r="AW236" i="19" s="1"/>
  <c r="AV222" i="19"/>
  <c r="AW222" i="19" s="1"/>
  <c r="AV227" i="19"/>
  <c r="AW227" i="19" s="1"/>
  <c r="A26" i="7"/>
  <c r="J25" i="7"/>
  <c r="AV233" i="19"/>
  <c r="AW233" i="19" s="1"/>
  <c r="AV224" i="19"/>
  <c r="AW224" i="19" s="1"/>
  <c r="AV235" i="19"/>
  <c r="AW235" i="19" s="1"/>
  <c r="AV228" i="19"/>
  <c r="AW228" i="19" s="1"/>
  <c r="AV230" i="19"/>
  <c r="AW230" i="19" s="1"/>
  <c r="AV226" i="19"/>
  <c r="AW226" i="19" s="1"/>
  <c r="AV223" i="19"/>
  <c r="AW223" i="19" s="1"/>
  <c r="AV234" i="19"/>
  <c r="AW234" i="19" s="1"/>
  <c r="AV232" i="19"/>
  <c r="AW232" i="19" s="1"/>
  <c r="AV229" i="19"/>
  <c r="AW229" i="19" s="1"/>
  <c r="AV225" i="19"/>
  <c r="AW225" i="19" s="1"/>
  <c r="AV231" i="19"/>
  <c r="AW231" i="19" s="1"/>
  <c r="AX222" i="19" l="1"/>
  <c r="AX235" i="19"/>
  <c r="AX231" i="19"/>
  <c r="AX236" i="19"/>
  <c r="A27" i="7"/>
  <c r="J26" i="7"/>
  <c r="AX232" i="19"/>
  <c r="AX223" i="19"/>
  <c r="AW240" i="19"/>
  <c r="AV240" i="19" s="1"/>
  <c r="AU240" i="19" s="1"/>
  <c r="AT240" i="19" s="1"/>
  <c r="AS240" i="19" s="1"/>
  <c r="AR240" i="19" s="1"/>
  <c r="AQ240" i="19" s="1"/>
  <c r="AP240" i="19" s="1"/>
  <c r="AO240" i="19" s="1"/>
  <c r="AN240" i="19" s="1"/>
  <c r="AM240" i="19" s="1"/>
  <c r="AL240" i="19" s="1"/>
  <c r="AK240" i="19" s="1"/>
  <c r="AJ240" i="19" s="1"/>
  <c r="AI240" i="19" s="1"/>
  <c r="AH240" i="19" s="1"/>
  <c r="AG240" i="19" s="1"/>
  <c r="AF240" i="19" s="1"/>
  <c r="AW238" i="19"/>
  <c r="AX238" i="19" s="1"/>
  <c r="T20" i="19"/>
  <c r="AX224" i="19" s="1"/>
  <c r="AX227" i="19"/>
  <c r="AX234" i="19"/>
  <c r="AX226" i="19"/>
  <c r="AW237" i="19"/>
  <c r="AX237" i="19" s="1"/>
  <c r="AX229" i="19"/>
  <c r="AX230" i="19"/>
  <c r="J27" i="7" l="1"/>
  <c r="A28" i="7"/>
  <c r="AY238" i="19"/>
  <c r="AY230" i="19"/>
  <c r="AY229" i="19"/>
  <c r="AY236" i="19"/>
  <c r="AX225" i="19"/>
  <c r="AX228" i="19"/>
  <c r="AY226" i="19"/>
  <c r="AX239" i="19"/>
  <c r="AX241" i="19"/>
  <c r="AW241" i="19" s="1"/>
  <c r="AV241" i="19" s="1"/>
  <c r="AU241" i="19" s="1"/>
  <c r="AT241" i="19" s="1"/>
  <c r="AS241" i="19" s="1"/>
  <c r="AR241" i="19" s="1"/>
  <c r="AQ241" i="19" s="1"/>
  <c r="AP241" i="19" s="1"/>
  <c r="AO241" i="19" s="1"/>
  <c r="AN241" i="19" s="1"/>
  <c r="AM241" i="19" s="1"/>
  <c r="AL241" i="19" s="1"/>
  <c r="AK241" i="19" s="1"/>
  <c r="AJ241" i="19" s="1"/>
  <c r="AI241" i="19" s="1"/>
  <c r="AH241" i="19" s="1"/>
  <c r="AG241" i="19" s="1"/>
  <c r="AF241" i="19" s="1"/>
  <c r="U20" i="19"/>
  <c r="AY237" i="19" s="1"/>
  <c r="AX233" i="19"/>
  <c r="AY233" i="19" s="1"/>
  <c r="AZ229" i="19" l="1"/>
  <c r="AZ238" i="19"/>
  <c r="AY239" i="19"/>
  <c r="AZ239" i="19" s="1"/>
  <c r="AY228" i="19"/>
  <c r="AZ228" i="19" s="1"/>
  <c r="AY232" i="19"/>
  <c r="AZ232" i="19" s="1"/>
  <c r="AY231" i="19"/>
  <c r="AZ231" i="19" s="1"/>
  <c r="AY227" i="19"/>
  <c r="AZ227" i="19" s="1"/>
  <c r="AY225" i="19"/>
  <c r="AZ225" i="19" s="1"/>
  <c r="AY240" i="19"/>
  <c r="AY242" i="19"/>
  <c r="AX242" i="19" s="1"/>
  <c r="AW242" i="19" s="1"/>
  <c r="AV242" i="19" s="1"/>
  <c r="AU242" i="19" s="1"/>
  <c r="AT242" i="19" s="1"/>
  <c r="AS242" i="19" s="1"/>
  <c r="AR242" i="19" s="1"/>
  <c r="AQ242" i="19" s="1"/>
  <c r="AP242" i="19" s="1"/>
  <c r="AO242" i="19" s="1"/>
  <c r="AN242" i="19" s="1"/>
  <c r="AM242" i="19" s="1"/>
  <c r="AL242" i="19" s="1"/>
  <c r="AK242" i="19" s="1"/>
  <c r="AJ242" i="19" s="1"/>
  <c r="AI242" i="19" s="1"/>
  <c r="AH242" i="19" s="1"/>
  <c r="AG242" i="19" s="1"/>
  <c r="AF242" i="19" s="1"/>
  <c r="V20" i="19"/>
  <c r="AY222" i="19"/>
  <c r="AZ222" i="19" s="1"/>
  <c r="A29" i="7"/>
  <c r="J28" i="7"/>
  <c r="AY223" i="19"/>
  <c r="AZ223" i="19" s="1"/>
  <c r="AY235" i="19"/>
  <c r="AZ235" i="19" s="1"/>
  <c r="AY234" i="19"/>
  <c r="AZ234" i="19" s="1"/>
  <c r="AY224" i="19"/>
  <c r="AZ224" i="19" s="1"/>
  <c r="A30" i="7" l="1"/>
  <c r="J29" i="7"/>
  <c r="B37" i="7"/>
  <c r="B38" i="7"/>
  <c r="B32" i="7"/>
  <c r="B39" i="7"/>
  <c r="B31" i="7"/>
  <c r="AZ241" i="19"/>
  <c r="W20" i="19"/>
  <c r="X20" i="19" s="1"/>
  <c r="Y20" i="19" s="1"/>
  <c r="AZ230" i="19"/>
  <c r="AZ226" i="19"/>
  <c r="AZ240" i="19"/>
  <c r="AZ236" i="19"/>
  <c r="AZ233" i="19"/>
  <c r="AZ237" i="19"/>
  <c r="B47" i="7" l="1"/>
  <c r="J30" i="7"/>
  <c r="A31" i="7"/>
  <c r="J31" i="7" l="1"/>
  <c r="B42" i="7"/>
  <c r="B41" i="7"/>
  <c r="B33" i="7"/>
  <c r="B34" i="7"/>
  <c r="B40" i="7"/>
  <c r="A32" i="7"/>
  <c r="A33" i="7" l="1"/>
  <c r="B36" i="7"/>
  <c r="B35" i="7"/>
  <c r="J32" i="7"/>
  <c r="A34" i="7" l="1"/>
  <c r="J33" i="7"/>
  <c r="B45" i="7"/>
  <c r="B44" i="7"/>
  <c r="B43" i="7"/>
  <c r="J34" i="7" l="1"/>
  <c r="A35" i="7"/>
  <c r="J35" i="7" l="1"/>
  <c r="A36" i="7"/>
  <c r="A37" i="7" l="1"/>
  <c r="J36" i="7"/>
  <c r="A38" i="7" l="1"/>
  <c r="J37" i="7"/>
  <c r="J38" i="7" l="1"/>
  <c r="A39" i="7"/>
  <c r="J39" i="7" l="1"/>
  <c r="B46" i="7"/>
  <c r="A40" i="7"/>
  <c r="A41" i="7" l="1"/>
  <c r="J40" i="7"/>
  <c r="J41" i="7" l="1"/>
  <c r="A42" i="7"/>
  <c r="B48" i="7" l="1"/>
  <c r="B56" i="7"/>
  <c r="A43" i="7"/>
  <c r="B55" i="7"/>
  <c r="B50" i="7"/>
  <c r="B54" i="7"/>
  <c r="B53" i="7"/>
  <c r="B52" i="7"/>
  <c r="J42" i="7"/>
  <c r="B51" i="7"/>
  <c r="B49" i="7"/>
  <c r="B57" i="7"/>
  <c r="A44" i="7" l="1"/>
  <c r="J43" i="7"/>
  <c r="B60" i="7" l="1"/>
  <c r="B59" i="7"/>
  <c r="A45" i="7"/>
  <c r="J44" i="7"/>
  <c r="B58" i="7"/>
  <c r="J45" i="7" l="1"/>
  <c r="A46" i="7"/>
  <c r="J46" i="7" l="1"/>
  <c r="A47" i="7"/>
  <c r="J47" i="7" l="1"/>
  <c r="A48" i="7"/>
  <c r="A49" i="7" l="1"/>
  <c r="J48" i="7"/>
  <c r="J49" i="7" l="1"/>
  <c r="A50" i="7"/>
  <c r="A51" i="7" l="1"/>
  <c r="J50" i="7"/>
  <c r="A52" i="7" l="1"/>
  <c r="J51" i="7"/>
  <c r="J52" i="7" l="1"/>
  <c r="A53" i="7"/>
  <c r="J53" i="7" l="1"/>
  <c r="A54" i="7"/>
  <c r="A55" i="7" l="1"/>
  <c r="J54" i="7"/>
  <c r="A56" i="7" l="1"/>
  <c r="J55" i="7"/>
  <c r="B66" i="7" l="1"/>
  <c r="A57" i="7"/>
  <c r="B65" i="7"/>
  <c r="B64" i="7"/>
  <c r="B63" i="7"/>
  <c r="J56" i="7"/>
  <c r="B62" i="7"/>
  <c r="J57" i="7" l="1"/>
  <c r="A58" i="7"/>
  <c r="A59" i="7" l="1"/>
  <c r="J58" i="7"/>
  <c r="J59" i="7" l="1"/>
  <c r="A60" i="7"/>
  <c r="J60" i="7" l="1"/>
  <c r="A61" i="7"/>
  <c r="A62" i="7" l="1"/>
  <c r="J61" i="7"/>
  <c r="A63" i="7" l="1"/>
  <c r="J62" i="7"/>
  <c r="B70" i="7" l="1"/>
  <c r="B69" i="7"/>
  <c r="A64" i="7"/>
  <c r="B72" i="7"/>
  <c r="J63" i="7"/>
  <c r="B73" i="7"/>
  <c r="B71" i="7"/>
  <c r="A65" i="7" l="1"/>
  <c r="J64" i="7"/>
  <c r="A66" i="7" l="1"/>
  <c r="J65" i="7"/>
  <c r="A67" i="7" l="1"/>
  <c r="J66" i="7"/>
  <c r="B301" i="7" l="1"/>
  <c r="B74" i="7"/>
  <c r="B68" i="7"/>
  <c r="A68" i="7"/>
  <c r="B295" i="7"/>
  <c r="J67" i="7"/>
  <c r="J68" i="7" l="1"/>
  <c r="A69" i="7"/>
  <c r="A70" i="7" l="1"/>
  <c r="B105" i="7"/>
  <c r="J69" i="7"/>
  <c r="B130" i="7"/>
  <c r="B283" i="7"/>
  <c r="B225" i="7"/>
  <c r="B81" i="7"/>
  <c r="B158" i="7"/>
  <c r="B189" i="7"/>
  <c r="B79" i="7" l="1"/>
  <c r="J70" i="7"/>
  <c r="B78" i="7"/>
  <c r="B77" i="7"/>
  <c r="B76" i="7"/>
  <c r="B80" i="7"/>
  <c r="A71" i="7"/>
  <c r="A72" i="7" l="1"/>
  <c r="J71" i="7"/>
  <c r="A73" i="7" l="1"/>
  <c r="J72" i="7"/>
  <c r="A74" i="7" l="1"/>
  <c r="J73" i="7"/>
  <c r="A75" i="7" l="1"/>
  <c r="J74" i="7"/>
  <c r="B75" i="7"/>
  <c r="A76" i="7" l="1"/>
  <c r="J75" i="7"/>
  <c r="B104" i="7" l="1"/>
  <c r="A77" i="7"/>
  <c r="B94" i="7"/>
  <c r="J76" i="7"/>
  <c r="B98" i="7"/>
  <c r="B88" i="7"/>
  <c r="B82" i="7"/>
  <c r="A78" i="7" l="1"/>
  <c r="B83" i="7"/>
  <c r="B87" i="7"/>
  <c r="B86" i="7"/>
  <c r="B85" i="7"/>
  <c r="J77" i="7"/>
  <c r="B84" i="7"/>
  <c r="A79" i="7" l="1"/>
  <c r="J78" i="7"/>
  <c r="A80" i="7" l="1"/>
  <c r="J79" i="7"/>
  <c r="A81" i="7" l="1"/>
  <c r="J80" i="7"/>
  <c r="A82" i="7" l="1"/>
  <c r="J81" i="7"/>
  <c r="A83" i="7" l="1"/>
  <c r="J82" i="7"/>
  <c r="B92" i="7" l="1"/>
  <c r="J83" i="7"/>
  <c r="B91" i="7"/>
  <c r="B90" i="7"/>
  <c r="B89" i="7"/>
  <c r="B93" i="7"/>
  <c r="A84" i="7"/>
  <c r="A85" i="7" l="1"/>
  <c r="J84" i="7"/>
  <c r="A86" i="7" l="1"/>
  <c r="J85" i="7"/>
  <c r="A87" i="7" l="1"/>
  <c r="J86" i="7"/>
  <c r="A88" i="7" l="1"/>
  <c r="J87" i="7"/>
  <c r="A89" i="7" l="1"/>
  <c r="J88" i="7"/>
  <c r="A90" i="7" l="1"/>
  <c r="B96" i="7"/>
  <c r="J89" i="7"/>
  <c r="B95" i="7"/>
  <c r="B97" i="7"/>
  <c r="J90" i="7" l="1"/>
  <c r="A91" i="7"/>
  <c r="A92" i="7" l="1"/>
  <c r="J91" i="7"/>
  <c r="A93" i="7" l="1"/>
  <c r="J92" i="7"/>
  <c r="A94" i="7" l="1"/>
  <c r="B100" i="7"/>
  <c r="B99" i="7"/>
  <c r="B103" i="7"/>
  <c r="J93" i="7"/>
  <c r="B102" i="7"/>
  <c r="B101" i="7"/>
  <c r="A95" i="7" l="1"/>
  <c r="J94" i="7"/>
  <c r="A96" i="7" l="1"/>
  <c r="J95" i="7"/>
  <c r="J96" i="7" l="1"/>
  <c r="A97" i="7"/>
  <c r="A98" i="7" l="1"/>
  <c r="J97" i="7"/>
  <c r="A99" i="7" l="1"/>
  <c r="J98" i="7"/>
  <c r="A100" i="7" l="1"/>
  <c r="J99" i="7"/>
  <c r="A101" i="7" l="1"/>
  <c r="B118" i="7"/>
  <c r="J100" i="7"/>
  <c r="B112" i="7"/>
  <c r="B129" i="7"/>
  <c r="B106" i="7"/>
  <c r="A102" i="7" l="1"/>
  <c r="B109" i="7"/>
  <c r="B107" i="7"/>
  <c r="B111" i="7"/>
  <c r="B108" i="7"/>
  <c r="J101" i="7"/>
  <c r="B110" i="7"/>
  <c r="A103" i="7" l="1"/>
  <c r="J102" i="7"/>
  <c r="J103" i="7" l="1"/>
  <c r="A104" i="7"/>
  <c r="A105" i="7" l="1"/>
  <c r="J104" i="7"/>
  <c r="A106" i="7" l="1"/>
  <c r="J105" i="7"/>
  <c r="A107" i="7" l="1"/>
  <c r="J106" i="7"/>
  <c r="B114" i="7" l="1"/>
  <c r="B113" i="7"/>
  <c r="B117" i="7"/>
  <c r="A108" i="7"/>
  <c r="B116" i="7"/>
  <c r="J107" i="7"/>
  <c r="B115" i="7"/>
  <c r="A109" i="7" l="1"/>
  <c r="J108" i="7"/>
  <c r="A110" i="7" l="1"/>
  <c r="J109" i="7"/>
  <c r="A111" i="7" l="1"/>
  <c r="J110" i="7"/>
  <c r="A112" i="7" l="1"/>
  <c r="J111" i="7"/>
  <c r="A113" i="7" l="1"/>
  <c r="J112" i="7"/>
  <c r="A114" i="7" l="1"/>
  <c r="B127" i="7"/>
  <c r="J113" i="7"/>
  <c r="B122" i="7"/>
  <c r="B126" i="7"/>
  <c r="B121" i="7"/>
  <c r="B125" i="7"/>
  <c r="B120" i="7"/>
  <c r="B124" i="7"/>
  <c r="B123" i="7"/>
  <c r="B119" i="7"/>
  <c r="B128" i="7"/>
  <c r="A115" i="7" l="1"/>
  <c r="J114" i="7"/>
  <c r="A116" i="7" l="1"/>
  <c r="J115" i="7"/>
  <c r="A117" i="7" l="1"/>
  <c r="J116" i="7"/>
  <c r="A118" i="7" l="1"/>
  <c r="J117" i="7"/>
  <c r="J118" i="7" l="1"/>
  <c r="A119" i="7"/>
  <c r="A120" i="7" l="1"/>
  <c r="J119" i="7"/>
  <c r="A121" i="7" l="1"/>
  <c r="J120" i="7"/>
  <c r="A122" i="7" l="1"/>
  <c r="J121" i="7"/>
  <c r="A123" i="7" l="1"/>
  <c r="J122" i="7"/>
  <c r="J123" i="7" l="1"/>
  <c r="A124" i="7"/>
  <c r="A125" i="7" l="1"/>
  <c r="J124" i="7"/>
  <c r="A126" i="7" l="1"/>
  <c r="B157" i="7"/>
  <c r="B144" i="7"/>
  <c r="B131" i="7"/>
  <c r="B152" i="7"/>
  <c r="B156" i="7"/>
  <c r="J125" i="7"/>
  <c r="B137" i="7"/>
  <c r="A127" i="7" l="1"/>
  <c r="B135" i="7"/>
  <c r="J126" i="7"/>
  <c r="B134" i="7"/>
  <c r="B133" i="7"/>
  <c r="B136" i="7"/>
  <c r="B132" i="7"/>
  <c r="A128" i="7" l="1"/>
  <c r="J127" i="7"/>
  <c r="A129" i="7" l="1"/>
  <c r="J128" i="7"/>
  <c r="A130" i="7" l="1"/>
  <c r="J129" i="7"/>
  <c r="A131" i="7" l="1"/>
  <c r="J130" i="7"/>
  <c r="J131" i="7" l="1"/>
  <c r="A132" i="7"/>
  <c r="B140" i="7" l="1"/>
  <c r="B139" i="7"/>
  <c r="B143" i="7"/>
  <c r="B138" i="7"/>
  <c r="B142" i="7"/>
  <c r="A133" i="7"/>
  <c r="J132" i="7"/>
  <c r="B141" i="7"/>
  <c r="A134" i="7" l="1"/>
  <c r="J133" i="7"/>
  <c r="A135" i="7" l="1"/>
  <c r="J134" i="7"/>
  <c r="A136" i="7" l="1"/>
  <c r="J135" i="7"/>
  <c r="A137" i="7" l="1"/>
  <c r="J136" i="7"/>
  <c r="A138" i="7" l="1"/>
  <c r="J137" i="7"/>
  <c r="A139" i="7" l="1"/>
  <c r="J138" i="7"/>
  <c r="A140" i="7" l="1"/>
  <c r="B148" i="7"/>
  <c r="J139" i="7"/>
  <c r="B147" i="7"/>
  <c r="B151" i="7"/>
  <c r="B146" i="7"/>
  <c r="B150" i="7"/>
  <c r="B149" i="7"/>
  <c r="B145" i="7"/>
  <c r="J140" i="7" l="1"/>
  <c r="A141" i="7"/>
  <c r="A142" i="7" l="1"/>
  <c r="J141" i="7"/>
  <c r="A143" i="7" l="1"/>
  <c r="J142" i="7"/>
  <c r="A144" i="7" l="1"/>
  <c r="J143" i="7"/>
  <c r="J144" i="7" l="1"/>
  <c r="A145" i="7"/>
  <c r="A146" i="7" l="1"/>
  <c r="J145" i="7"/>
  <c r="A147" i="7" l="1"/>
  <c r="J146" i="7"/>
  <c r="B153" i="7" l="1"/>
  <c r="A148" i="7"/>
  <c r="J147" i="7"/>
  <c r="B155" i="7"/>
  <c r="B154" i="7"/>
  <c r="A149" i="7" l="1"/>
  <c r="J148" i="7"/>
  <c r="A150" i="7" l="1"/>
  <c r="J149" i="7"/>
  <c r="A151" i="7" l="1"/>
  <c r="J150" i="7"/>
  <c r="A152" i="7" l="1"/>
  <c r="J151" i="7"/>
  <c r="A153" i="7" l="1"/>
  <c r="J152" i="7"/>
  <c r="A154" i="7" l="1"/>
  <c r="B179" i="7"/>
  <c r="B188" i="7"/>
  <c r="B165" i="7"/>
  <c r="B159" i="7"/>
  <c r="J153" i="7"/>
  <c r="B162" i="7" l="1"/>
  <c r="B161" i="7"/>
  <c r="B160" i="7"/>
  <c r="B164" i="7"/>
  <c r="A155" i="7"/>
  <c r="J154" i="7"/>
  <c r="B163" i="7"/>
  <c r="A156" i="7" l="1"/>
  <c r="J155" i="7"/>
  <c r="A157" i="7" l="1"/>
  <c r="J156" i="7"/>
  <c r="A158" i="7" l="1"/>
  <c r="J157" i="7"/>
  <c r="J158" i="7" l="1"/>
  <c r="A159" i="7"/>
  <c r="A160" i="7" l="1"/>
  <c r="J159" i="7"/>
  <c r="B175" i="7" l="1"/>
  <c r="B166" i="7"/>
  <c r="B170" i="7"/>
  <c r="B174" i="7"/>
  <c r="A161" i="7"/>
  <c r="B178" i="7"/>
  <c r="B169" i="7"/>
  <c r="J160" i="7"/>
  <c r="B173" i="7"/>
  <c r="B177" i="7"/>
  <c r="B168" i="7"/>
  <c r="B172" i="7"/>
  <c r="B171" i="7"/>
  <c r="B167" i="7"/>
  <c r="B176" i="7"/>
  <c r="A162" i="7" l="1"/>
  <c r="J161" i="7"/>
  <c r="A163" i="7" l="1"/>
  <c r="J162" i="7"/>
  <c r="A164" i="7" l="1"/>
  <c r="J163" i="7"/>
  <c r="A165" i="7" l="1"/>
  <c r="J164" i="7"/>
  <c r="A166" i="7" l="1"/>
  <c r="J165" i="7"/>
  <c r="J166" i="7" l="1"/>
  <c r="A167" i="7"/>
  <c r="A168" i="7" l="1"/>
  <c r="J167" i="7"/>
  <c r="A169" i="7" l="1"/>
  <c r="J168" i="7"/>
  <c r="A170" i="7" l="1"/>
  <c r="J169" i="7"/>
  <c r="A171" i="7" l="1"/>
  <c r="J170" i="7"/>
  <c r="A172" i="7" l="1"/>
  <c r="J171" i="7"/>
  <c r="A173" i="7" l="1"/>
  <c r="J172" i="7"/>
  <c r="A174" i="7" l="1"/>
  <c r="J173" i="7"/>
  <c r="B184" i="7" l="1"/>
  <c r="A175" i="7"/>
  <c r="B183" i="7"/>
  <c r="J174" i="7"/>
  <c r="B187" i="7"/>
  <c r="B182" i="7"/>
  <c r="B186" i="7"/>
  <c r="B181" i="7"/>
  <c r="B185" i="7"/>
  <c r="B180" i="7"/>
  <c r="J175" i="7" l="1"/>
  <c r="A176" i="7"/>
  <c r="A177" i="7" l="1"/>
  <c r="J176" i="7"/>
  <c r="A178" i="7" l="1"/>
  <c r="J177" i="7"/>
  <c r="A179" i="7" l="1"/>
  <c r="J178" i="7"/>
  <c r="J179" i="7" l="1"/>
  <c r="A180" i="7"/>
  <c r="A181" i="7" l="1"/>
  <c r="J180" i="7"/>
  <c r="A182" i="7" l="1"/>
  <c r="J181" i="7"/>
  <c r="A183" i="7" l="1"/>
  <c r="J182" i="7"/>
  <c r="A184" i="7" l="1"/>
  <c r="J183" i="7"/>
  <c r="B203" i="7" l="1"/>
  <c r="B222" i="7"/>
  <c r="B217" i="7"/>
  <c r="B196" i="7"/>
  <c r="B210" i="7"/>
  <c r="B224" i="7"/>
  <c r="B190" i="7"/>
  <c r="B223" i="7"/>
  <c r="A185" i="7"/>
  <c r="J184" i="7"/>
  <c r="A186" i="7" l="1"/>
  <c r="B193" i="7"/>
  <c r="B192" i="7"/>
  <c r="B191" i="7"/>
  <c r="B195" i="7"/>
  <c r="J185" i="7"/>
  <c r="B194" i="7"/>
  <c r="A187" i="7" l="1"/>
  <c r="J186" i="7"/>
  <c r="A188" i="7" l="1"/>
  <c r="J187" i="7"/>
  <c r="A189" i="7" l="1"/>
  <c r="J188" i="7"/>
  <c r="A190" i="7" l="1"/>
  <c r="J189" i="7"/>
  <c r="A191" i="7" l="1"/>
  <c r="J190" i="7"/>
  <c r="A192" i="7" l="1"/>
  <c r="B198" i="7"/>
  <c r="B202" i="7"/>
  <c r="B197" i="7"/>
  <c r="B201" i="7"/>
  <c r="J191" i="7"/>
  <c r="B200" i="7"/>
  <c r="B199" i="7"/>
  <c r="A193" i="7" l="1"/>
  <c r="J192" i="7"/>
  <c r="A194" i="7" l="1"/>
  <c r="J193" i="7"/>
  <c r="J194" i="7" l="1"/>
  <c r="A195" i="7"/>
  <c r="A196" i="7" l="1"/>
  <c r="J195" i="7"/>
  <c r="A197" i="7" l="1"/>
  <c r="J196" i="7"/>
  <c r="A198" i="7" l="1"/>
  <c r="J197" i="7"/>
  <c r="B208" i="7" l="1"/>
  <c r="J198" i="7"/>
  <c r="B207" i="7"/>
  <c r="B206" i="7"/>
  <c r="B205" i="7"/>
  <c r="B209" i="7"/>
  <c r="B204" i="7"/>
  <c r="A199" i="7"/>
  <c r="A200" i="7" l="1"/>
  <c r="J199" i="7"/>
  <c r="A201" i="7" l="1"/>
  <c r="J200" i="7"/>
  <c r="A202" i="7" l="1"/>
  <c r="J201" i="7"/>
  <c r="A203" i="7" l="1"/>
  <c r="J202" i="7"/>
  <c r="A204" i="7" l="1"/>
  <c r="J203" i="7"/>
  <c r="A205" i="7" l="1"/>
  <c r="J204" i="7"/>
  <c r="A206" i="7" l="1"/>
  <c r="B212" i="7"/>
  <c r="B216" i="7"/>
  <c r="B211" i="7"/>
  <c r="B215" i="7"/>
  <c r="J205" i="7"/>
  <c r="B213" i="7"/>
  <c r="B214" i="7"/>
  <c r="A207" i="7" l="1"/>
  <c r="J206" i="7"/>
  <c r="A208" i="7" l="1"/>
  <c r="J207" i="7"/>
  <c r="A209" i="7" l="1"/>
  <c r="J208" i="7"/>
  <c r="A210" i="7" l="1"/>
  <c r="J209" i="7"/>
  <c r="A211" i="7" l="1"/>
  <c r="J210" i="7"/>
  <c r="A212" i="7" l="1"/>
  <c r="J211" i="7"/>
  <c r="A213" i="7" l="1"/>
  <c r="J212" i="7"/>
  <c r="B221" i="7"/>
  <c r="B220" i="7"/>
  <c r="B219" i="7"/>
  <c r="B218" i="7"/>
  <c r="A214" i="7" l="1"/>
  <c r="J213" i="7"/>
  <c r="A215" i="7" l="1"/>
  <c r="J214" i="7"/>
  <c r="A216" i="7" l="1"/>
  <c r="J215" i="7"/>
  <c r="A217" i="7" l="1"/>
  <c r="J216" i="7"/>
  <c r="A218" i="7" l="1"/>
  <c r="J217" i="7"/>
  <c r="A219" i="7" l="1"/>
  <c r="J218" i="7"/>
  <c r="A220" i="7" l="1"/>
  <c r="J219" i="7"/>
  <c r="B265" i="7" l="1"/>
  <c r="B232" i="7"/>
  <c r="B226" i="7"/>
  <c r="B240" i="7"/>
  <c r="A221" i="7"/>
  <c r="J220" i="7"/>
  <c r="B250" i="7"/>
  <c r="B282" i="7"/>
  <c r="A222" i="7" l="1"/>
  <c r="B227" i="7"/>
  <c r="B231" i="7"/>
  <c r="J221" i="7"/>
  <c r="B230" i="7"/>
  <c r="B229" i="7"/>
  <c r="B228" i="7"/>
  <c r="J222" i="7" l="1"/>
  <c r="A223" i="7"/>
  <c r="A224" i="7" l="1"/>
  <c r="J223" i="7"/>
  <c r="A225" i="7" l="1"/>
  <c r="J224" i="7"/>
  <c r="A226" i="7" l="1"/>
  <c r="J225" i="7"/>
  <c r="A227" i="7" l="1"/>
  <c r="J226" i="7"/>
  <c r="A228" i="7" l="1"/>
  <c r="B236" i="7"/>
  <c r="B235" i="7"/>
  <c r="B239" i="7"/>
  <c r="B234" i="7"/>
  <c r="J227" i="7"/>
  <c r="B238" i="7"/>
  <c r="B237" i="7"/>
  <c r="B233" i="7"/>
  <c r="A229" i="7" l="1"/>
  <c r="J228" i="7"/>
  <c r="A230" i="7" l="1"/>
  <c r="J229" i="7"/>
  <c r="A231" i="7" l="1"/>
  <c r="J230" i="7"/>
  <c r="A232" i="7" l="1"/>
  <c r="J231" i="7"/>
  <c r="J232" i="7" l="1"/>
  <c r="A233" i="7"/>
  <c r="A234" i="7" l="1"/>
  <c r="J233" i="7"/>
  <c r="A235" i="7" l="1"/>
  <c r="J234" i="7"/>
  <c r="A236" i="7" l="1"/>
  <c r="B247" i="7"/>
  <c r="B242" i="7"/>
  <c r="B241" i="7"/>
  <c r="B246" i="7"/>
  <c r="J235" i="7"/>
  <c r="B245" i="7"/>
  <c r="B249" i="7"/>
  <c r="B244" i="7"/>
  <c r="B248" i="7"/>
  <c r="B243" i="7"/>
  <c r="A237" i="7" l="1"/>
  <c r="J236" i="7"/>
  <c r="A238" i="7" l="1"/>
  <c r="J237" i="7"/>
  <c r="A239" i="7" l="1"/>
  <c r="J238" i="7"/>
  <c r="A240" i="7" l="1"/>
  <c r="J239" i="7"/>
  <c r="A241" i="7" l="1"/>
  <c r="J240" i="7"/>
  <c r="A242" i="7" l="1"/>
  <c r="J241" i="7"/>
  <c r="A243" i="7" l="1"/>
  <c r="J242" i="7"/>
  <c r="A244" i="7" l="1"/>
  <c r="J243" i="7"/>
  <c r="A245" i="7" l="1"/>
  <c r="J244" i="7"/>
  <c r="A246" i="7" l="1"/>
  <c r="J245" i="7"/>
  <c r="B261" i="7"/>
  <c r="B257" i="7"/>
  <c r="B253" i="7"/>
  <c r="B252" i="7"/>
  <c r="B258" i="7"/>
  <c r="B264" i="7"/>
  <c r="B251" i="7"/>
  <c r="B263" i="7"/>
  <c r="B256" i="7"/>
  <c r="B262" i="7"/>
  <c r="B255" i="7"/>
  <c r="B254" i="7"/>
  <c r="B260" i="7"/>
  <c r="B259" i="7"/>
  <c r="A247" i="7" l="1"/>
  <c r="J246" i="7"/>
  <c r="A248" i="7" l="1"/>
  <c r="J247" i="7"/>
  <c r="A249" i="7" l="1"/>
  <c r="J248" i="7"/>
  <c r="A250" i="7" l="1"/>
  <c r="J249" i="7"/>
  <c r="A251" i="7" l="1"/>
  <c r="J250" i="7"/>
  <c r="A252" i="7" l="1"/>
  <c r="J251" i="7"/>
  <c r="J252" i="7" l="1"/>
  <c r="A253" i="7"/>
  <c r="A254" i="7" l="1"/>
  <c r="J253" i="7"/>
  <c r="A255" i="7" l="1"/>
  <c r="J254" i="7"/>
  <c r="A256" i="7" l="1"/>
  <c r="J255" i="7"/>
  <c r="A257" i="7" l="1"/>
  <c r="J256" i="7"/>
  <c r="A258" i="7" l="1"/>
  <c r="J257" i="7"/>
  <c r="A259" i="7" l="1"/>
  <c r="J258" i="7"/>
  <c r="A260" i="7" l="1"/>
  <c r="J259" i="7"/>
  <c r="B281" i="7" l="1"/>
  <c r="B277" i="7"/>
  <c r="B273" i="7"/>
  <c r="B269" i="7"/>
  <c r="B279" i="7"/>
  <c r="B266" i="7"/>
  <c r="B272" i="7"/>
  <c r="B271" i="7"/>
  <c r="B278" i="7"/>
  <c r="B270" i="7"/>
  <c r="B276" i="7"/>
  <c r="B275" i="7"/>
  <c r="B268" i="7"/>
  <c r="A261" i="7"/>
  <c r="B280" i="7"/>
  <c r="B274" i="7"/>
  <c r="B267" i="7"/>
  <c r="J260" i="7"/>
  <c r="A262" i="7" l="1"/>
  <c r="J261" i="7"/>
  <c r="A263" i="7" l="1"/>
  <c r="J262" i="7"/>
  <c r="A264" i="7" l="1"/>
  <c r="J263" i="7"/>
  <c r="A265" i="7" l="1"/>
  <c r="J264" i="7"/>
  <c r="A266" i="7" l="1"/>
  <c r="J265" i="7"/>
  <c r="A267" i="7" l="1"/>
  <c r="J266" i="7"/>
  <c r="A268" i="7" l="1"/>
  <c r="J267" i="7"/>
  <c r="A269" i="7" l="1"/>
  <c r="J268" i="7"/>
  <c r="A270" i="7" l="1"/>
  <c r="J269" i="7"/>
  <c r="A271" i="7" l="1"/>
  <c r="J270" i="7"/>
  <c r="A272" i="7" l="1"/>
  <c r="J271" i="7"/>
  <c r="J272" i="7" l="1"/>
  <c r="A273" i="7"/>
  <c r="A274" i="7" l="1"/>
  <c r="J273" i="7"/>
  <c r="A275" i="7" l="1"/>
  <c r="J274" i="7"/>
  <c r="A276" i="7" l="1"/>
  <c r="J275" i="7"/>
  <c r="A277" i="7" l="1"/>
  <c r="J276" i="7"/>
  <c r="A278" i="7" l="1"/>
  <c r="J277" i="7"/>
  <c r="B293" i="7" l="1"/>
  <c r="A279" i="7"/>
  <c r="B292" i="7"/>
  <c r="J278" i="7"/>
  <c r="B291" i="7"/>
  <c r="B290" i="7"/>
  <c r="B294" i="7"/>
  <c r="A280" i="7" l="1"/>
  <c r="J279" i="7"/>
  <c r="B289" i="7"/>
  <c r="B285" i="7"/>
  <c r="B286" i="7"/>
  <c r="B288" i="7"/>
  <c r="B287" i="7"/>
  <c r="J280" i="7" l="1"/>
  <c r="A281" i="7"/>
  <c r="A282" i="7" l="1"/>
  <c r="J281" i="7"/>
  <c r="A283" i="7" l="1"/>
  <c r="J282" i="7"/>
  <c r="A284" i="7" l="1"/>
  <c r="J283" i="7"/>
  <c r="B284" i="7"/>
  <c r="A285" i="7" l="1"/>
  <c r="J284" i="7"/>
  <c r="A286" i="7" l="1"/>
  <c r="J285" i="7"/>
  <c r="J286" i="7" l="1"/>
  <c r="A287" i="7"/>
  <c r="A288" i="7" l="1"/>
  <c r="J287" i="7"/>
  <c r="A289" i="7" l="1"/>
  <c r="J288" i="7"/>
  <c r="A290" i="7" l="1"/>
  <c r="J289" i="7"/>
  <c r="B297" i="7" l="1"/>
  <c r="B300" i="7"/>
  <c r="B299" i="7"/>
  <c r="B298" i="7"/>
  <c r="A291" i="7"/>
  <c r="J290" i="7"/>
  <c r="B296" i="7"/>
  <c r="A292" i="7" l="1"/>
  <c r="J291" i="7"/>
  <c r="A293" i="7" l="1"/>
  <c r="J292" i="7"/>
  <c r="A294" i="7" l="1"/>
  <c r="J293" i="7"/>
  <c r="A295" i="7" l="1"/>
  <c r="J294" i="7"/>
  <c r="A296" i="7" l="1"/>
  <c r="J295" i="7"/>
  <c r="B433" i="7" l="1"/>
  <c r="B377" i="7"/>
  <c r="B360" i="7"/>
  <c r="B332" i="7"/>
  <c r="B318" i="7"/>
  <c r="A297" i="7"/>
  <c r="J296" i="7"/>
  <c r="B344" i="7"/>
  <c r="B411" i="7"/>
  <c r="B391" i="7"/>
  <c r="B419" i="7"/>
  <c r="B308" i="7"/>
  <c r="A298" i="7" l="1"/>
  <c r="J297" i="7"/>
  <c r="B305" i="7"/>
  <c r="B306" i="7"/>
  <c r="B304" i="7"/>
  <c r="B303" i="7"/>
  <c r="B307" i="7"/>
  <c r="A299" i="7" l="1"/>
  <c r="J298" i="7"/>
  <c r="A300" i="7" l="1"/>
  <c r="J299" i="7"/>
  <c r="A301" i="7" l="1"/>
  <c r="J300" i="7"/>
  <c r="A302" i="7" l="1"/>
  <c r="J301" i="7"/>
  <c r="B302" i="7"/>
  <c r="A303" i="7" l="1"/>
  <c r="J302" i="7"/>
  <c r="A304" i="7" l="1"/>
  <c r="J303" i="7"/>
  <c r="B317" i="7"/>
  <c r="B309" i="7"/>
  <c r="B316" i="7"/>
  <c r="B315" i="7"/>
  <c r="B313" i="7" l="1"/>
  <c r="B314" i="7"/>
  <c r="B312" i="7"/>
  <c r="A305" i="7"/>
  <c r="B311" i="7"/>
  <c r="J304" i="7"/>
  <c r="B310" i="7"/>
  <c r="A306" i="7" l="1"/>
  <c r="J305" i="7"/>
  <c r="A307" i="7" l="1"/>
  <c r="J306" i="7"/>
  <c r="A308" i="7" l="1"/>
  <c r="J307" i="7"/>
  <c r="A309" i="7" l="1"/>
  <c r="J308" i="7"/>
  <c r="A310" i="7" l="1"/>
  <c r="J309" i="7"/>
  <c r="A311" i="7" l="1"/>
  <c r="J310" i="7"/>
  <c r="A312" i="7" l="1"/>
  <c r="J311" i="7"/>
  <c r="A313" i="7" l="1"/>
  <c r="J312" i="7"/>
  <c r="A314" i="7" l="1"/>
  <c r="J313" i="7"/>
  <c r="B321" i="7" l="1"/>
  <c r="B320" i="7"/>
  <c r="B324" i="7"/>
  <c r="B323" i="7"/>
  <c r="B322" i="7"/>
  <c r="A315" i="7"/>
  <c r="J314" i="7"/>
  <c r="A316" i="7" l="1"/>
  <c r="J315" i="7"/>
  <c r="A317" i="7" l="1"/>
  <c r="J316" i="7"/>
  <c r="A318" i="7" l="1"/>
  <c r="J317" i="7"/>
  <c r="B319" i="7" l="1"/>
  <c r="A319" i="7"/>
  <c r="J318" i="7"/>
  <c r="A320" i="7" l="1"/>
  <c r="J319" i="7"/>
  <c r="J320" i="7" l="1"/>
  <c r="A321" i="7"/>
  <c r="A322" i="7" l="1"/>
  <c r="J321" i="7"/>
  <c r="A323" i="7" l="1"/>
  <c r="J322" i="7"/>
  <c r="A324" i="7" l="1"/>
  <c r="J323" i="7"/>
  <c r="B325" i="7" l="1"/>
  <c r="A325" i="7"/>
  <c r="J324" i="7"/>
  <c r="A326" i="7" l="1"/>
  <c r="J325" i="7"/>
  <c r="B326" i="7"/>
  <c r="B327" i="7" l="1"/>
  <c r="A327" i="7"/>
  <c r="J326" i="7"/>
  <c r="A328" i="7" l="1"/>
  <c r="J327" i="7"/>
  <c r="B341" i="7"/>
  <c r="B333" i="7"/>
  <c r="B340" i="7"/>
  <c r="B339" i="7"/>
  <c r="B343" i="7"/>
  <c r="B328" i="7"/>
  <c r="B342" i="7"/>
  <c r="B337" i="7" l="1"/>
  <c r="B329" i="7"/>
  <c r="B334" i="7"/>
  <c r="B338" i="7"/>
  <c r="A329" i="7"/>
  <c r="J328" i="7"/>
  <c r="B335" i="7"/>
  <c r="B336" i="7"/>
  <c r="A330" i="7" l="1"/>
  <c r="J329" i="7"/>
  <c r="B330" i="7"/>
  <c r="B331" i="7" l="1"/>
  <c r="A331" i="7"/>
  <c r="J330" i="7"/>
  <c r="A332" i="7" l="1"/>
  <c r="J331" i="7"/>
  <c r="A333" i="7" l="1"/>
  <c r="J332" i="7"/>
  <c r="A334" i="7" l="1"/>
  <c r="J333" i="7"/>
  <c r="J334" i="7" l="1"/>
  <c r="A335" i="7"/>
  <c r="A336" i="7" l="1"/>
  <c r="J335" i="7"/>
  <c r="A337" i="7" l="1"/>
  <c r="J336" i="7"/>
  <c r="A338" i="7" l="1"/>
  <c r="J337" i="7"/>
  <c r="A339" i="7" l="1"/>
  <c r="J338" i="7"/>
  <c r="A340" i="7" l="1"/>
  <c r="J339" i="7"/>
  <c r="B357" i="7"/>
  <c r="B353" i="7"/>
  <c r="B354" i="7"/>
  <c r="B359" i="7"/>
  <c r="B352" i="7"/>
  <c r="B351" i="7"/>
  <c r="B358" i="7"/>
  <c r="B356" i="7"/>
  <c r="B355" i="7"/>
  <c r="B349" i="7" l="1"/>
  <c r="B348" i="7"/>
  <c r="A341" i="7"/>
  <c r="B347" i="7"/>
  <c r="J340" i="7"/>
  <c r="B346" i="7"/>
  <c r="B350" i="7"/>
  <c r="A342" i="7" l="1"/>
  <c r="J341" i="7"/>
  <c r="A343" i="7" l="1"/>
  <c r="J342" i="7"/>
  <c r="A344" i="7" l="1"/>
  <c r="J343" i="7"/>
  <c r="B345" i="7" l="1"/>
  <c r="A345" i="7"/>
  <c r="J344" i="7"/>
  <c r="A346" i="7" l="1"/>
  <c r="J345" i="7"/>
  <c r="A347" i="7" l="1"/>
  <c r="J346" i="7"/>
  <c r="A348" i="7" l="1"/>
  <c r="J347" i="7"/>
  <c r="A349" i="7" l="1"/>
  <c r="J348" i="7"/>
  <c r="A350" i="7" l="1"/>
  <c r="J349" i="7"/>
  <c r="A351" i="7" l="1"/>
  <c r="J350" i="7"/>
  <c r="A352" i="7" l="1"/>
  <c r="J351" i="7"/>
  <c r="A353" i="7" l="1"/>
  <c r="J352" i="7"/>
  <c r="A354" i="7" l="1"/>
  <c r="J353" i="7"/>
  <c r="A355" i="7" l="1"/>
  <c r="J354" i="7"/>
  <c r="A356" i="7" l="1"/>
  <c r="J355" i="7"/>
  <c r="B374" i="7"/>
  <c r="B370" i="7"/>
  <c r="B373" i="7"/>
  <c r="B369" i="7"/>
  <c r="B361" i="7"/>
  <c r="B368" i="7"/>
  <c r="B367" i="7"/>
  <c r="B376" i="7"/>
  <c r="B375" i="7"/>
  <c r="B372" i="7"/>
  <c r="B371" i="7"/>
  <c r="B365" i="7" l="1"/>
  <c r="B362" i="7"/>
  <c r="B366" i="7"/>
  <c r="B364" i="7"/>
  <c r="A357" i="7"/>
  <c r="J356" i="7"/>
  <c r="B363" i="7"/>
  <c r="A358" i="7" l="1"/>
  <c r="J357" i="7"/>
  <c r="A359" i="7" l="1"/>
  <c r="J358" i="7"/>
  <c r="A360" i="7" l="1"/>
  <c r="J359" i="7"/>
  <c r="A361" i="7" l="1"/>
  <c r="J360" i="7"/>
  <c r="A362" i="7" l="1"/>
  <c r="J361" i="7"/>
  <c r="J362" i="7" l="1"/>
  <c r="A363" i="7"/>
  <c r="A364" i="7" l="1"/>
  <c r="J363" i="7"/>
  <c r="A365" i="7" l="1"/>
  <c r="J364" i="7"/>
  <c r="A366" i="7" l="1"/>
  <c r="J365" i="7"/>
  <c r="J366" i="7" l="1"/>
  <c r="A367" i="7"/>
  <c r="A368" i="7" l="1"/>
  <c r="J367" i="7"/>
  <c r="A369" i="7" l="1"/>
  <c r="J368" i="7"/>
  <c r="A370" i="7" l="1"/>
  <c r="J369" i="7"/>
  <c r="J370" i="7" l="1"/>
  <c r="A371" i="7"/>
  <c r="A372" i="7" l="1"/>
  <c r="J371" i="7"/>
  <c r="B390" i="7" l="1"/>
  <c r="B386" i="7"/>
  <c r="B378" i="7"/>
  <c r="B389" i="7"/>
  <c r="B385" i="7"/>
  <c r="B388" i="7"/>
  <c r="B387" i="7"/>
  <c r="B384" i="7"/>
  <c r="A373" i="7"/>
  <c r="J372" i="7"/>
  <c r="B382" i="7" l="1"/>
  <c r="A374" i="7"/>
  <c r="J373" i="7"/>
  <c r="B381" i="7"/>
  <c r="B379" i="7"/>
  <c r="B383" i="7"/>
  <c r="B380" i="7"/>
  <c r="J374" i="7" l="1"/>
  <c r="A375" i="7"/>
  <c r="A376" i="7" l="1"/>
  <c r="J375" i="7"/>
  <c r="A377" i="7" l="1"/>
  <c r="J376" i="7"/>
  <c r="A378" i="7" l="1"/>
  <c r="J377" i="7"/>
  <c r="J378" i="7" l="1"/>
  <c r="A379" i="7"/>
  <c r="A380" i="7" l="1"/>
  <c r="J379" i="7"/>
  <c r="A381" i="7" l="1"/>
  <c r="J380" i="7"/>
  <c r="A382" i="7" l="1"/>
  <c r="J381" i="7"/>
  <c r="A389" i="7"/>
  <c r="A390" i="7" l="1"/>
  <c r="J389" i="7"/>
  <c r="J382" i="7"/>
  <c r="A383" i="7"/>
  <c r="A384" i="7" l="1"/>
  <c r="J383" i="7"/>
  <c r="J390" i="7"/>
  <c r="A391" i="7"/>
  <c r="A392" i="7" l="1"/>
  <c r="J391" i="7"/>
  <c r="A385" i="7"/>
  <c r="J384" i="7"/>
  <c r="A386" i="7" l="1"/>
  <c r="J385" i="7"/>
  <c r="A393" i="7"/>
  <c r="A394" i="7" l="1"/>
  <c r="J386" i="7"/>
  <c r="B410" i="7"/>
  <c r="B406" i="7"/>
  <c r="B402" i="7"/>
  <c r="B398" i="7"/>
  <c r="B409" i="7"/>
  <c r="B405" i="7"/>
  <c r="B401" i="7"/>
  <c r="B408" i="7"/>
  <c r="B407" i="7"/>
  <c r="A387" i="7"/>
  <c r="B404" i="7"/>
  <c r="B403" i="7"/>
  <c r="B392" i="7"/>
  <c r="J392" i="7" s="1"/>
  <c r="B399" i="7"/>
  <c r="B400" i="7"/>
  <c r="A388" i="7" l="1"/>
  <c r="J388" i="7" s="1"/>
  <c r="J387" i="7"/>
  <c r="B394" i="7"/>
  <c r="B397" i="7"/>
  <c r="B393" i="7"/>
  <c r="J393" i="7" s="1"/>
  <c r="B396" i="7"/>
  <c r="B395" i="7"/>
  <c r="J394" i="7"/>
  <c r="A395" i="7"/>
  <c r="A396" i="7" l="1"/>
  <c r="J395" i="7"/>
  <c r="A397" i="7" l="1"/>
  <c r="J396" i="7"/>
  <c r="A398" i="7" l="1"/>
  <c r="J397" i="7"/>
  <c r="J398" i="7" l="1"/>
  <c r="A399" i="7"/>
  <c r="A400" i="7" l="1"/>
  <c r="J399" i="7"/>
  <c r="A401" i="7" l="1"/>
  <c r="J400" i="7"/>
  <c r="A402" i="7" l="1"/>
  <c r="J401" i="7"/>
  <c r="J402" i="7" l="1"/>
  <c r="A403" i="7"/>
  <c r="A404" i="7" l="1"/>
  <c r="J403" i="7"/>
  <c r="A405" i="7" l="1"/>
  <c r="J404" i="7"/>
  <c r="A406" i="7" l="1"/>
  <c r="J405" i="7"/>
  <c r="J406" i="7" l="1"/>
  <c r="A407" i="7"/>
  <c r="A408" i="7" l="1"/>
  <c r="J407" i="7"/>
  <c r="B414" i="7"/>
  <c r="B417" i="7"/>
  <c r="B413" i="7"/>
  <c r="B416" i="7"/>
  <c r="B415" i="7"/>
  <c r="A409" i="7" l="1"/>
  <c r="J408" i="7"/>
  <c r="A410" i="7" l="1"/>
  <c r="J409" i="7"/>
  <c r="J410" i="7" l="1"/>
  <c r="A411" i="7"/>
  <c r="A412" i="7" l="1"/>
  <c r="J411" i="7"/>
  <c r="B418" i="7"/>
  <c r="B412" i="7"/>
  <c r="A413" i="7" l="1"/>
  <c r="J412" i="7"/>
  <c r="A414" i="7" l="1"/>
  <c r="J413" i="7"/>
  <c r="J414" i="7" l="1"/>
  <c r="B430" i="7"/>
  <c r="B426" i="7"/>
  <c r="B429" i="7"/>
  <c r="B427" i="7"/>
  <c r="A415" i="7"/>
  <c r="B432" i="7"/>
  <c r="B431" i="7"/>
  <c r="B428" i="7"/>
  <c r="B420" i="7"/>
  <c r="A416" i="7" l="1"/>
  <c r="J415" i="7"/>
  <c r="B422" i="7"/>
  <c r="B425" i="7"/>
  <c r="B421" i="7"/>
  <c r="B424" i="7"/>
  <c r="B423" i="7"/>
  <c r="A417" i="7" l="1"/>
  <c r="J416" i="7"/>
  <c r="A418" i="7" l="1"/>
  <c r="J417" i="7"/>
  <c r="J418" i="7" l="1"/>
  <c r="A419" i="7"/>
  <c r="A420" i="7" l="1"/>
  <c r="J419" i="7"/>
  <c r="A421" i="7" l="1"/>
  <c r="J420" i="7"/>
  <c r="A422" i="7" l="1"/>
  <c r="J421" i="7"/>
  <c r="J422" i="7" l="1"/>
  <c r="A423" i="7"/>
  <c r="A424" i="7" l="1"/>
  <c r="J423" i="7"/>
  <c r="A425" i="7" l="1"/>
  <c r="J424" i="7"/>
  <c r="A426" i="7" l="1"/>
  <c r="J425" i="7"/>
  <c r="J426" i="7" l="1"/>
  <c r="A427" i="7"/>
  <c r="A428" i="7" l="1"/>
  <c r="J427" i="7"/>
  <c r="A429" i="7" l="1"/>
  <c r="J428" i="7"/>
  <c r="A430" i="7" l="1"/>
  <c r="J429" i="7"/>
  <c r="J430" i="7" l="1"/>
  <c r="A431" i="7"/>
  <c r="A432" i="7" l="1"/>
  <c r="J431" i="7"/>
  <c r="A433" i="7" l="1"/>
  <c r="J432" i="7"/>
  <c r="B436" i="7" l="1"/>
  <c r="B434" i="7"/>
  <c r="A434" i="7"/>
  <c r="J433" i="7"/>
  <c r="B435" i="7"/>
  <c r="J434" i="7" l="1"/>
  <c r="A435" i="7"/>
  <c r="A436" i="7" l="1"/>
  <c r="J435" i="7"/>
  <c r="A437" i="7" l="1"/>
  <c r="J436" i="7"/>
  <c r="B444" i="7" l="1"/>
  <c r="B443" i="7"/>
  <c r="B447" i="7"/>
  <c r="A438" i="7"/>
  <c r="B446" i="7"/>
  <c r="J437" i="7"/>
  <c r="B445" i="7"/>
  <c r="A439" i="7" l="1"/>
  <c r="J438" i="7"/>
  <c r="A440" i="7" l="1"/>
  <c r="J439" i="7"/>
  <c r="J440" i="7" l="1"/>
  <c r="A441" i="7"/>
  <c r="A442" i="7" l="1"/>
  <c r="J441" i="7"/>
  <c r="A443" i="7" l="1"/>
  <c r="J442" i="7"/>
  <c r="A444" i="7" l="1"/>
  <c r="J443" i="7"/>
  <c r="B480" i="7" l="1"/>
  <c r="A445" i="7"/>
  <c r="B479" i="7"/>
  <c r="J444" i="7"/>
  <c r="B482" i="7"/>
  <c r="B481" i="7"/>
  <c r="A446" i="7" l="1"/>
  <c r="J445" i="7"/>
  <c r="B492" i="7" l="1"/>
  <c r="B488" i="7"/>
  <c r="B490" i="7"/>
  <c r="B491" i="7"/>
  <c r="A447" i="7"/>
  <c r="J446" i="7"/>
  <c r="B489" i="7"/>
  <c r="J447" i="7" l="1"/>
  <c r="A448" i="7"/>
  <c r="B456" i="7" l="1"/>
  <c r="B453" i="7"/>
  <c r="A449" i="7"/>
  <c r="J448" i="7"/>
  <c r="B466" i="7" l="1"/>
  <c r="B477" i="7"/>
  <c r="A450" i="7"/>
  <c r="J449" i="7"/>
  <c r="A451" i="7" l="1"/>
  <c r="B459" i="7"/>
  <c r="J450" i="7"/>
  <c r="B458" i="7"/>
  <c r="B457" i="7"/>
  <c r="B483" i="7"/>
  <c r="A452" i="7" l="1"/>
  <c r="J451" i="7"/>
  <c r="B494" i="7" l="1"/>
  <c r="B493" i="7"/>
  <c r="A453" i="7"/>
  <c r="J452" i="7"/>
  <c r="J453" i="7" l="1"/>
  <c r="B455" i="7"/>
  <c r="B454" i="7"/>
  <c r="A454" i="7"/>
  <c r="B460" i="7" l="1"/>
  <c r="A455" i="7"/>
  <c r="J454" i="7"/>
  <c r="B464" i="7" l="1"/>
  <c r="B462" i="7"/>
  <c r="B465" i="7"/>
  <c r="A456" i="7"/>
  <c r="J455" i="7"/>
  <c r="B463" i="7"/>
  <c r="B461" i="7"/>
  <c r="J456" i="7" l="1"/>
  <c r="A457" i="7"/>
  <c r="A458" i="7" l="1"/>
  <c r="J457" i="7"/>
  <c r="A459" i="7" l="1"/>
  <c r="J458" i="7"/>
  <c r="A460" i="7" l="1"/>
  <c r="J459" i="7"/>
  <c r="A461" i="7" l="1"/>
  <c r="J460" i="7"/>
  <c r="B476" i="7" l="1"/>
  <c r="B472" i="7"/>
  <c r="B468" i="7"/>
  <c r="B475" i="7"/>
  <c r="A462" i="7"/>
  <c r="B469" i="7"/>
  <c r="B473" i="7"/>
  <c r="B467" i="7"/>
  <c r="B474" i="7"/>
  <c r="J461" i="7"/>
  <c r="B471" i="7"/>
  <c r="B470" i="7"/>
  <c r="A463" i="7" l="1"/>
  <c r="J462" i="7"/>
  <c r="A464" i="7" l="1"/>
  <c r="J463" i="7"/>
  <c r="A465" i="7" l="1"/>
  <c r="J464" i="7"/>
  <c r="A466" i="7" l="1"/>
  <c r="J465" i="7"/>
  <c r="J466" i="7" l="1"/>
  <c r="A467" i="7"/>
  <c r="A468" i="7" l="1"/>
  <c r="J467" i="7"/>
  <c r="A469" i="7" l="1"/>
  <c r="J468" i="7"/>
  <c r="J469" i="7" l="1"/>
  <c r="A470" i="7"/>
  <c r="A471" i="7" l="1"/>
  <c r="J470" i="7"/>
  <c r="A472" i="7" l="1"/>
  <c r="J471" i="7"/>
  <c r="A473" i="7" l="1"/>
  <c r="J472" i="7"/>
  <c r="A474" i="7" l="1"/>
  <c r="J473" i="7"/>
  <c r="A475" i="7" l="1"/>
  <c r="J474" i="7"/>
  <c r="A476" i="7" l="1"/>
  <c r="J475" i="7"/>
  <c r="A477" i="7" l="1"/>
  <c r="J476" i="7"/>
  <c r="B478" i="7" l="1"/>
  <c r="A478" i="7"/>
  <c r="J477" i="7"/>
  <c r="B484" i="7" l="1"/>
  <c r="B486" i="7"/>
  <c r="A479" i="7"/>
  <c r="J478" i="7"/>
  <c r="B487" i="7"/>
  <c r="B485" i="7"/>
  <c r="J479" i="7" l="1"/>
  <c r="A480" i="7"/>
  <c r="J480" i="7" l="1"/>
  <c r="A481" i="7"/>
  <c r="A482" i="7" l="1"/>
  <c r="J481" i="7"/>
  <c r="J482" i="7" l="1"/>
  <c r="A483" i="7"/>
  <c r="A484" i="7" l="1"/>
  <c r="J483" i="7"/>
  <c r="A485" i="7" l="1"/>
  <c r="J484" i="7"/>
  <c r="A486" i="7" l="1"/>
  <c r="J485" i="7"/>
  <c r="A487" i="7" l="1"/>
  <c r="J486" i="7"/>
  <c r="A488" i="7" l="1"/>
  <c r="J487" i="7"/>
  <c r="J488" i="7" l="1"/>
  <c r="A489" i="7"/>
  <c r="A490" i="7" l="1"/>
  <c r="J489" i="7"/>
  <c r="B496" i="7" l="1"/>
  <c r="A491" i="7"/>
  <c r="B498" i="7"/>
  <c r="B497" i="7"/>
  <c r="J490" i="7"/>
  <c r="A492" i="7" l="1"/>
  <c r="J491" i="7"/>
  <c r="A493" i="7" l="1"/>
  <c r="J492" i="7"/>
  <c r="J493" i="7" l="1"/>
  <c r="A494" i="7"/>
  <c r="A495" i="7" l="1"/>
  <c r="J494" i="7"/>
  <c r="A496" i="7" l="1"/>
  <c r="J495" i="7"/>
  <c r="B504" i="7" l="1"/>
  <c r="B502" i="7"/>
  <c r="A497" i="7"/>
  <c r="J496" i="7"/>
  <c r="B503" i="7"/>
  <c r="B505" i="7"/>
  <c r="A498" i="7" l="1"/>
  <c r="J497" i="7"/>
  <c r="A499" i="7" l="1"/>
  <c r="J498" i="7"/>
  <c r="A500" i="7" l="1"/>
  <c r="J499" i="7"/>
  <c r="A501" i="7" l="1"/>
  <c r="J500" i="7"/>
  <c r="A502" i="7" l="1"/>
  <c r="J501" i="7"/>
  <c r="A503" i="7" l="1"/>
  <c r="J502" i="7"/>
  <c r="A504" i="7" l="1"/>
  <c r="J503" i="7"/>
  <c r="J504" i="7" l="1"/>
  <c r="A505" i="7"/>
  <c r="A506" i="7" l="1"/>
  <c r="J506" i="7" s="1"/>
  <c r="J505" i="7"/>
</calcChain>
</file>

<file path=xl/sharedStrings.xml><?xml version="1.0" encoding="utf-8"?>
<sst xmlns="http://schemas.openxmlformats.org/spreadsheetml/2006/main" count="6367" uniqueCount="2696">
  <si>
    <t>CSA-FIN-RD-0591</t>
  </si>
  <si>
    <t>Version Draft 1.0</t>
  </si>
  <si>
    <t>Cost Analysis Data Requirement (CADRe)</t>
  </si>
  <si>
    <t>CADRe Part D - Additional Programmatic Inputs</t>
  </si>
  <si>
    <t>ORCA at SIR</t>
  </si>
  <si>
    <t>Prepared by ORCA Project Team</t>
  </si>
  <si>
    <t>Reviewed by [TBD]</t>
  </si>
  <si>
    <t>Table of Contents</t>
  </si>
  <si>
    <t>Version control</t>
  </si>
  <si>
    <t>Change History</t>
  </si>
  <si>
    <t>Used to track the evolution of the baseline overtime</t>
  </si>
  <si>
    <t>CM List</t>
  </si>
  <si>
    <t>List of documents (title, version, date, number) used in the costing exercise</t>
  </si>
  <si>
    <t>✔️</t>
  </si>
  <si>
    <t>Decompositions</t>
  </si>
  <si>
    <t>Context : Taxon, Phylum and Design Reference Missions</t>
  </si>
  <si>
    <t>Provides context of this CADRe in relation to other associated CADRe. A given mission has alternate analysis scenarios (DRMs) and nearest neighbors in the same Taxon</t>
  </si>
  <si>
    <t>🕒</t>
  </si>
  <si>
    <t>CBS x WBS = mapping to alternate taxonomy</t>
  </si>
  <si>
    <t>The CBS is a decomposition used by the costing team. The WBS is a decomposition used by the project team. this tab is used to ma the two for reporting purposes</t>
  </si>
  <si>
    <t>Organizational Breakdown Structure (OBS)</t>
  </si>
  <si>
    <t>The organizational breakdown structure identifies vendors, scientific teams, international partners, OGD clients and suppliers. It help specify their roles and hierarchy</t>
  </si>
  <si>
    <t>Phasing and Scheduling</t>
  </si>
  <si>
    <t>Phasing Nomenclature</t>
  </si>
  <si>
    <t>The costing team has prescribed names for engineering phases, and these may differ from the nameing convention of the project team. this tab help us identify what the project team uses as their naming convention</t>
  </si>
  <si>
    <t>Phasing durations</t>
  </si>
  <si>
    <t>This specifies the phase durations for each segment of time, accordnig to the costing definitions</t>
  </si>
  <si>
    <t>Milestone Register</t>
  </si>
  <si>
    <t>List of milestones (governance gates, technical reviews, contract start and end dates, and some interim dates)</t>
  </si>
  <si>
    <t>Gantt chart</t>
  </si>
  <si>
    <t>utility function that draws a gantt chart</t>
  </si>
  <si>
    <t>Schedule Constraints and Dependencies</t>
  </si>
  <si>
    <t>Strategies</t>
  </si>
  <si>
    <t>Strategy Narratives</t>
  </si>
  <si>
    <t>Narratives including: Procurement strategy, IP strategy,   Open Data Strategy, Cyber strategy, staffing strategy, etc</t>
  </si>
  <si>
    <t>DDDD - Dispose, Divest, Descope, Delay</t>
  </si>
  <si>
    <t>Phase F disposal plan, Divestment Plan (After nominal operations), mitigation plans for cost overruns and extended delays (descope and delay)</t>
  </si>
  <si>
    <t>Procurement Plan</t>
  </si>
  <si>
    <t>Procurement plan is a list which includes past investments (Sunk Costs), anticipated R&amp;D activities as well as future contracts, MOUs, grants and contributions, and other sources of cunding</t>
  </si>
  <si>
    <t>Overhead Costs</t>
  </si>
  <si>
    <t>Constants</t>
  </si>
  <si>
    <t>Economic factors (rates, fees, etc)</t>
  </si>
  <si>
    <t>This is a default tab, pre-populated with economic constants, labour rates, and other commonly used rates like EBP</t>
  </si>
  <si>
    <t>Inflation Model</t>
  </si>
  <si>
    <t>The inflation model help actualize historic data into the current base year, and helps add inflation on future years. It is specific to the CBS segments, and includes a most likely value as well as a pessimistic value to sensitivity analysis</t>
  </si>
  <si>
    <t>Math Models</t>
  </si>
  <si>
    <t>CERs used and compensation algorithms</t>
  </si>
  <si>
    <t>List of tools used, their versions and any compensation algorithms aplpied to results</t>
  </si>
  <si>
    <t>Nearest Neighbors</t>
  </si>
  <si>
    <t>Description of Legacy or Similar Systems for comparison by analogy</t>
  </si>
  <si>
    <t>Phasing Curves (Cost distribution functions)</t>
  </si>
  <si>
    <t>Value Chain</t>
  </si>
  <si>
    <t>Economic model for job impact analysis</t>
  </si>
  <si>
    <t>Process Improvement</t>
  </si>
  <si>
    <t>Lessons Learned</t>
  </si>
  <si>
    <t>Past Lessons learned considered, new lessons generated associated with Cost &amp; Schedule Estimation</t>
  </si>
  <si>
    <t>` Table of Contents</t>
  </si>
  <si>
    <t>1. Version Control - Baseline Tracker</t>
  </si>
  <si>
    <t>Purpose:</t>
  </si>
  <si>
    <t>To track the baseline across time</t>
  </si>
  <si>
    <t>hold the major and minor releases of the baseline</t>
  </si>
  <si>
    <t>Change history and associated files that contain the relevant data</t>
  </si>
  <si>
    <t>Reserved</t>
  </si>
  <si>
    <t>File Number</t>
  </si>
  <si>
    <t>Date</t>
  </si>
  <si>
    <t>File Version</t>
  </si>
  <si>
    <t>Author</t>
  </si>
  <si>
    <t>Changes</t>
  </si>
  <si>
    <t>Parent Baseline Name</t>
  </si>
  <si>
    <t>Baseline ID</t>
  </si>
  <si>
    <t>ORCA @ PREP1</t>
  </si>
  <si>
    <t>ORCA @ KDP-0</t>
  </si>
  <si>
    <t>ORCA @ MDR#2</t>
  </si>
  <si>
    <t>ORCA @ PREP2</t>
  </si>
  <si>
    <t>ORCA @ KDP-A</t>
  </si>
  <si>
    <t>ORCA @ KDP-B</t>
  </si>
  <si>
    <t>ORCA @ PDR</t>
  </si>
  <si>
    <t>ORCA @ CDR</t>
  </si>
  <si>
    <t>Draft 1</t>
  </si>
  <si>
    <t>MB</t>
  </si>
  <si>
    <t>Initial CADRe Part D baseline: schedule scenarios, dependencies, strategies and procurement plan, aligned to the CADRe Part C SIR baseline.</t>
  </si>
  <si>
    <t>ORCA @ SIR</t>
  </si>
  <si>
    <t>&lt;&lt;--- We are here now</t>
  </si>
  <si>
    <t>ORCA @ KDP-E</t>
  </si>
  <si>
    <t>ORCA @ Launch (as flown)</t>
  </si>
  <si>
    <t>ORCA @ CR</t>
  </si>
  <si>
    <t>ORCA @ KDP-X</t>
  </si>
  <si>
    <t>ORCA @ end of life</t>
  </si>
  <si>
    <t>2. Version Control - CM List - Document Tracker</t>
  </si>
  <si>
    <t>this is a list of useful documents used in costing</t>
  </si>
  <si>
    <t>Why we are asking for this:</t>
  </si>
  <si>
    <t>It helps document the source of inputs used in calculations</t>
  </si>
  <si>
    <t>Internal ID</t>
  </si>
  <si>
    <t>Category</t>
  </si>
  <si>
    <t>Document Title</t>
  </si>
  <si>
    <t>Org</t>
  </si>
  <si>
    <t>Doc Number</t>
  </si>
  <si>
    <t>Doc version</t>
  </si>
  <si>
    <t>Doc date</t>
  </si>
  <si>
    <t>Phase</t>
  </si>
  <si>
    <t>Milestone</t>
  </si>
  <si>
    <t>CDRL</t>
  </si>
  <si>
    <t>Source</t>
  </si>
  <si>
    <t>Contract No</t>
  </si>
  <si>
    <t>LL Data ID</t>
  </si>
  <si>
    <t>hyperlink</t>
  </si>
  <si>
    <t>Comments</t>
  </si>
  <si>
    <t>Used in this CADRe ?</t>
  </si>
  <si>
    <t>Parent Baseline</t>
  </si>
  <si>
    <t>1.01</t>
  </si>
  <si>
    <t>Costing Exercise</t>
  </si>
  <si>
    <t>ORCA CADRe Part A - Mission Description</t>
  </si>
  <si>
    <t>CSA</t>
  </si>
  <si>
    <t>ORC-CAD-A-001</t>
  </si>
  <si>
    <t>Rev 1.0</t>
  </si>
  <si>
    <t>Phase D</t>
  </si>
  <si>
    <t>Start of Nominal Operations</t>
  </si>
  <si>
    <t>A</t>
  </si>
  <si>
    <t>ORCA CM Repository</t>
  </si>
  <si>
    <t>ORC-CSA-001</t>
  </si>
  <si>
    <t>LL-ORC-001</t>
  </si>
  <si>
    <t>https://cm.orca.fake/ORC-CAD-A-001</t>
  </si>
  <si>
    <t>Baseline mission description</t>
  </si>
  <si>
    <t>Yes</t>
  </si>
  <si>
    <t>ORC-BASE-001</t>
  </si>
  <si>
    <t>1.02</t>
  </si>
  <si>
    <t>ORCA CADRe Part B - Engineering Parameters</t>
  </si>
  <si>
    <t>ORC-CAD-B-001</t>
  </si>
  <si>
    <t>B</t>
  </si>
  <si>
    <t>LL-ORC-002</t>
  </si>
  <si>
    <t>https://cm.orca.fake/ORC-CAD-B-001</t>
  </si>
  <si>
    <t>Engineering parameter baseline</t>
  </si>
  <si>
    <t>1.03</t>
  </si>
  <si>
    <t>ORCA CADRe Part C - Essential Programmatics</t>
  </si>
  <si>
    <t>ORC-CAD-C-001</t>
  </si>
  <si>
    <t>C</t>
  </si>
  <si>
    <t>LL-ORC-003</t>
  </si>
  <si>
    <t>https://cm.orca.fake/ORC-CAD-C-001</t>
  </si>
  <si>
    <t>Programmatic baseline</t>
  </si>
  <si>
    <t>1.04</t>
  </si>
  <si>
    <t>ORCA CADRe Part D - More Programmatics</t>
  </si>
  <si>
    <t>ORC-CAD-D-001</t>
  </si>
  <si>
    <t>D</t>
  </si>
  <si>
    <t>LL-ORC-004</t>
  </si>
  <si>
    <t>https://cm.orca.fake/ORC-CAD-D-001</t>
  </si>
  <si>
    <t>Current CADRe Part D baseline</t>
  </si>
  <si>
    <t>1.05</t>
  </si>
  <si>
    <t>ORCA PM Cost Report</t>
  </si>
  <si>
    <t>ORC-PM-COST-001</t>
  </si>
  <si>
    <t>-</t>
  </si>
  <si>
    <t>ORCA PMO</t>
  </si>
  <si>
    <t>LL-ORC-005</t>
  </si>
  <si>
    <t>https://cm.orca.fake/ORC-PM-COST-001</t>
  </si>
  <si>
    <t>Current cost baseline</t>
  </si>
  <si>
    <t>1.06</t>
  </si>
  <si>
    <t>ORCA Cost Model Verification Checklist</t>
  </si>
  <si>
    <t>ORC-CM-VER-001</t>
  </si>
  <si>
    <t>LL-ORC-006</t>
  </si>
  <si>
    <t>https://cm.orca.fake/ORC-CM-VER-001</t>
  </si>
  <si>
    <t>Cost model verification</t>
  </si>
  <si>
    <t>1.07</t>
  </si>
  <si>
    <t>ORCA Risk Cost Adjustment Memo</t>
  </si>
  <si>
    <t>ORC-RISK-COST-001</t>
  </si>
  <si>
    <t>LL-ORC-007</t>
  </si>
  <si>
    <t>https://cm.orca.fake/ORC-RISK-COST-001</t>
  </si>
  <si>
    <t>Risk-adjusted cost inputs</t>
  </si>
  <si>
    <t>2.01</t>
  </si>
  <si>
    <t>Governance</t>
  </si>
  <si>
    <t>ORCA Project Charter</t>
  </si>
  <si>
    <t>ORC-GOV-001</t>
  </si>
  <si>
    <t>Rev 2.0</t>
  </si>
  <si>
    <t>Phase C</t>
  </si>
  <si>
    <t>Critical Design Review</t>
  </si>
  <si>
    <t>LL-ORC-008</t>
  </si>
  <si>
    <t>https://cm.orca.fake/ORC-GOV-001</t>
  </si>
  <si>
    <t>Approved project governance baseline</t>
  </si>
  <si>
    <t>2.02</t>
  </si>
  <si>
    <t>ORCA KDP-E Decision Package</t>
  </si>
  <si>
    <t>ORC-GOV-002</t>
  </si>
  <si>
    <t>LL-ORC-009</t>
  </si>
  <si>
    <t>https://cm.orca.fake/ORC-GOV-002</t>
  </si>
  <si>
    <t>KDP-E program decision baseline</t>
  </si>
  <si>
    <t>ORC-KDPE-001</t>
  </si>
  <si>
    <t>2.03</t>
  </si>
  <si>
    <t>ORCA Phase E Gate Data Package</t>
  </si>
  <si>
    <t>ORC-GOV-003</t>
  </si>
  <si>
    <t>LL-ORC-010</t>
  </si>
  <si>
    <t>https://cm.orca.fake/ORC-GOV-003</t>
  </si>
  <si>
    <t>Phase E evidence package</t>
  </si>
  <si>
    <t>2.04</t>
  </si>
  <si>
    <t>ORCA Configuration Control Board Charter</t>
  </si>
  <si>
    <t>ORC-GOV-004</t>
  </si>
  <si>
    <t>Acceptance Review</t>
  </si>
  <si>
    <t>LL-ORC-011</t>
  </si>
  <si>
    <t>https://cm.orca.fake/ORC-GOV-004</t>
  </si>
  <si>
    <t>CM authority and change control</t>
  </si>
  <si>
    <t>2.05</t>
  </si>
  <si>
    <t>ORCA KDP-E Baseline Approval Memo</t>
  </si>
  <si>
    <t>ORC-GOV-005</t>
  </si>
  <si>
    <t>LL-ORC-012</t>
  </si>
  <si>
    <t>https://cm.orca.fake/ORC-GOV-005</t>
  </si>
  <si>
    <t>Configuration baseline approval</t>
  </si>
  <si>
    <t>3.01</t>
  </si>
  <si>
    <t>Mission Concept</t>
  </si>
  <si>
    <t>ORCA Mission Concept Document</t>
  </si>
  <si>
    <t>ORC-MCD-001</t>
  </si>
  <si>
    <t>Phase B</t>
  </si>
  <si>
    <t>Preliminary Design Review</t>
  </si>
  <si>
    <t>ORCA Systems Engineering</t>
  </si>
  <si>
    <t>LL-ORC-013</t>
  </si>
  <si>
    <t>https://cm.orca.fake/ORC-MCD-001</t>
  </si>
  <si>
    <t>Single approved mission concept; no alternate mission concepts retained</t>
  </si>
  <si>
    <t>4.01</t>
  </si>
  <si>
    <t>Mission Requirements</t>
  </si>
  <si>
    <t>ORCA Mission Requirements Document</t>
  </si>
  <si>
    <t>ORC-MRD-001</t>
  </si>
  <si>
    <t>Rev 3.0</t>
  </si>
  <si>
    <t>LL-ORC-014</t>
  </si>
  <si>
    <t>https://cm.orca.fake/ORC-MRD-001</t>
  </si>
  <si>
    <t>Controlled mission requirements</t>
  </si>
  <si>
    <t>4.02</t>
  </si>
  <si>
    <t>ORCA System Requirements Specification</t>
  </si>
  <si>
    <t>ORC-SRS-001</t>
  </si>
  <si>
    <t>LL-ORC-015</t>
  </si>
  <si>
    <t>https://cm.orca.fake/ORC-SRS-001</t>
  </si>
  <si>
    <t>System-level requirements</t>
  </si>
  <si>
    <t>4.03</t>
  </si>
  <si>
    <t>NEREID Orbiter Interface Control Document</t>
  </si>
  <si>
    <t>ORC-KAR-SRS-001</t>
  </si>
  <si>
    <t>LL-ORC-016</t>
  </si>
  <si>
    <t>https://cm.orca.fake/ORC-KAR-SRS-001</t>
  </si>
  <si>
    <t>Bus requirements</t>
  </si>
  <si>
    <t>4.04</t>
  </si>
  <si>
    <t>ORCA Instrument Suite Requirements Specification</t>
  </si>
  <si>
    <t>ORC-RCP-SRS-001</t>
  </si>
  <si>
    <t>ORCA Payload Engineering</t>
  </si>
  <si>
    <t>LL-ORC-017</t>
  </si>
  <si>
    <t>https://cm.orca.fake/ORC-RCP-SRS-001</t>
  </si>
  <si>
    <t>Instrument suite requirements</t>
  </si>
  <si>
    <t>4.05</t>
  </si>
  <si>
    <t>ORCA Verification and Validation Requirements Matrix</t>
  </si>
  <si>
    <t>ORC-VVRM-001</t>
  </si>
  <si>
    <t>LL-ORC-018</t>
  </si>
  <si>
    <t>https://cm.orca.fake/ORC-VVRM-001</t>
  </si>
  <si>
    <t>Verification closure baseline</t>
  </si>
  <si>
    <t>5.01</t>
  </si>
  <si>
    <t>Ops Plan</t>
  </si>
  <si>
    <t>ORCA Mission Operations Plan</t>
  </si>
  <si>
    <t>ORC-OPS-001</t>
  </si>
  <si>
    <t>ORCA Mission Operations</t>
  </si>
  <si>
    <t>LL-ORC-019</t>
  </si>
  <si>
    <t>https://cm.orca.fake/ORC-OPS-001</t>
  </si>
  <si>
    <t>Nominal operations baseline</t>
  </si>
  <si>
    <t>5.02</t>
  </si>
  <si>
    <t>ORCA Enceladus Flyby and Sampling Operations Plan</t>
  </si>
  <si>
    <t>ORC-OPS-002</t>
  </si>
  <si>
    <t>LL-ORC-020</t>
  </si>
  <si>
    <t>https://cm.orca.fake/ORC-OPS-002</t>
  </si>
  <si>
    <t>Plume-transit and sampling procedures</t>
  </si>
  <si>
    <t>5.03</t>
  </si>
  <si>
    <t>ORCA End-of-Mission Disposal Plan</t>
  </si>
  <si>
    <t>ORC-OPS-003</t>
  </si>
  <si>
    <t>LL-ORC-021</t>
  </si>
  <si>
    <t>https://cm.orca.fake/ORC-OPS-003</t>
  </si>
  <si>
    <t>End-of-mission disposal sequence</t>
  </si>
  <si>
    <t>6.01</t>
  </si>
  <si>
    <t>Vendor's Decompositions</t>
  </si>
  <si>
    <t>NEREID Orbiter Accommodation Breakdown</t>
  </si>
  <si>
    <t>ORC-KAR-PBS-001</t>
  </si>
  <si>
    <t>LL-ORC-022</t>
  </si>
  <si>
    <t>https://cm.orca.fake/ORC-KAR-PBS-001</t>
  </si>
  <si>
    <t>Bus decomposition</t>
  </si>
  <si>
    <t>6.02</t>
  </si>
  <si>
    <t>ORCA Instrument Suite Breakdown</t>
  </si>
  <si>
    <t>ORC-RCP-PBS-001</t>
  </si>
  <si>
    <t>LL-ORC-023</t>
  </si>
  <si>
    <t>https://cm.orca.fake/ORC-RCP-PBS-001</t>
  </si>
  <si>
    <t>Payload decomposition</t>
  </si>
  <si>
    <t>6.03</t>
  </si>
  <si>
    <t>PM's Decompositions</t>
  </si>
  <si>
    <t>ORCA Work Breakdown Structure</t>
  </si>
  <si>
    <t>ORC-WBS-001</t>
  </si>
  <si>
    <t>LL-ORC-024</t>
  </si>
  <si>
    <t>https://cm.orca.fake/ORC-WBS-001</t>
  </si>
  <si>
    <t>Program WBS baseline</t>
  </si>
  <si>
    <t>6.04</t>
  </si>
  <si>
    <t>Costing Decomposition</t>
  </si>
  <si>
    <t>ORCA Cost Breakdown Structure</t>
  </si>
  <si>
    <t>ORC-CBS-001</t>
  </si>
  <si>
    <t>LL-ORC-025</t>
  </si>
  <si>
    <t>https://cm.orca.fake/ORC-CBS-001</t>
  </si>
  <si>
    <t>Cost structure baseline</t>
  </si>
  <si>
    <t>7.01</t>
  </si>
  <si>
    <t>Vendor's TRRA</t>
  </si>
  <si>
    <t>ORCA Technology Development Plan</t>
  </si>
  <si>
    <t>ORC-TRRA-001</t>
  </si>
  <si>
    <t>LL-ORC-026</t>
  </si>
  <si>
    <t>https://cm.orca.fake/ORC-TRRA-001</t>
  </si>
  <si>
    <t>Technology maturity plan</t>
  </si>
  <si>
    <t>7.02</t>
  </si>
  <si>
    <t>ORCA Critical Technology Element Assessment</t>
  </si>
  <si>
    <t>ORC-TRRA-002</t>
  </si>
  <si>
    <t>LL-ORC-027</t>
  </si>
  <si>
    <t>https://cm.orca.fake/ORC-TRRA-002</t>
  </si>
  <si>
    <t>Instrument accommodation and autonomous plume-transit maturity</t>
  </si>
  <si>
    <t>7.03</t>
  </si>
  <si>
    <t>ORCA Technology Maturation Roadmap</t>
  </si>
  <si>
    <t>ORC-TRRA-003</t>
  </si>
  <si>
    <t>Manufacturing Readiness Review</t>
  </si>
  <si>
    <t>LL-ORC-028</t>
  </si>
  <si>
    <t>https://cm.orca.fake/ORC-TRRA-003</t>
  </si>
  <si>
    <t>Technology maturation closure</t>
  </si>
  <si>
    <t>7.04</t>
  </si>
  <si>
    <t>ORCA TRRA Summary Report</t>
  </si>
  <si>
    <t>ORC-TRRA-004</t>
  </si>
  <si>
    <t>LL-ORC-029</t>
  </si>
  <si>
    <t>https://cm.orca.fake/ORC-TRRA-004</t>
  </si>
  <si>
    <t>Final technology readiness summary</t>
  </si>
  <si>
    <t>8.01</t>
  </si>
  <si>
    <t>Risk Register</t>
  </si>
  <si>
    <t>ORCA Engineering Risk Register</t>
  </si>
  <si>
    <t>ORC-RISK-001</t>
  </si>
  <si>
    <t>Rev 4.0</t>
  </si>
  <si>
    <t>LL-ORC-030</t>
  </si>
  <si>
    <t>https://cm.orca.fake/ORC-RISK-001</t>
  </si>
  <si>
    <t>Technical and programmatic risks</t>
  </si>
  <si>
    <t>8.02</t>
  </si>
  <si>
    <t>ORCA Mission Operations Risk Register</t>
  </si>
  <si>
    <t>ORC-RISK-002</t>
  </si>
  <si>
    <t>LL-ORC-031</t>
  </si>
  <si>
    <t>https://cm.orca.fake/ORC-RISK-002</t>
  </si>
  <si>
    <t>Operational and proximity-operation risks</t>
  </si>
  <si>
    <t>8.03</t>
  </si>
  <si>
    <t>ORCA Cost Risk Register</t>
  </si>
  <si>
    <t>ORC-RISK-003</t>
  </si>
  <si>
    <t>LL-ORC-032</t>
  </si>
  <si>
    <t>https://cm.orca.fake/ORC-RISK-003</t>
  </si>
  <si>
    <t>Cost uncertainty and reserves</t>
  </si>
  <si>
    <t>9.01</t>
  </si>
  <si>
    <t>Vendor Quotes</t>
  </si>
  <si>
    <t>Host Orbiter Interface Hardware Estimate</t>
  </si>
  <si>
    <t>ORC-VQ-001</t>
  </si>
  <si>
    <t>ORCA Procurement</t>
  </si>
  <si>
    <t>LL-ORC-033</t>
  </si>
  <si>
    <t>https://quotes.orca.fake/ORC-VQ-001</t>
  </si>
  <si>
    <t>Fictional supplier estimate</t>
  </si>
  <si>
    <t>9.02</t>
  </si>
  <si>
    <t>ORCA Sampling Arm Procurement Estimate</t>
  </si>
  <si>
    <t>ORC-VQ-002</t>
  </si>
  <si>
    <t>LL-ORC-034</t>
  </si>
  <si>
    <t>https://quotes.orca.fake/ORC-VQ-002</t>
  </si>
  <si>
    <t>9.03</t>
  </si>
  <si>
    <t>Ice-Penetrating Radar Sensor Procurement Estimate</t>
  </si>
  <si>
    <t>ORC-VQ-003</t>
  </si>
  <si>
    <t>LL-ORC-035</t>
  </si>
  <si>
    <t>https://quotes.orca.fake/ORC-VQ-003</t>
  </si>
  <si>
    <t>9.04</t>
  </si>
  <si>
    <t>Flight Computer and Avionics Procurement Estimate</t>
  </si>
  <si>
    <t>ORC-VQ-004</t>
  </si>
  <si>
    <t>LL-ORC-036</t>
  </si>
  <si>
    <t>https://quotes.orca.fake/ORC-VQ-004</t>
  </si>
  <si>
    <t>3. Context (TAXON, Phylum , DRM)</t>
  </si>
  <si>
    <t xml:space="preserve">Purpose: </t>
  </si>
  <si>
    <t>The DRM is used to express different mission concepts, or different analysis options like AIS (on-off), mission class (B-C)</t>
  </si>
  <si>
    <t>The taxon is used to classify missions into similar neighborhoods.</t>
  </si>
  <si>
    <t>TAXON 1</t>
  </si>
  <si>
    <t>TAXON 2</t>
  </si>
  <si>
    <t>PHYLUM</t>
  </si>
  <si>
    <t>Generation</t>
  </si>
  <si>
    <t>Missions</t>
  </si>
  <si>
    <t>Mission Description</t>
  </si>
  <si>
    <t>Analysis Scenarios</t>
  </si>
  <si>
    <t>Analysis Scenarios desc</t>
  </si>
  <si>
    <t>DRM</t>
  </si>
  <si>
    <t>Space Mission</t>
  </si>
  <si>
    <t>Orbital Sustainability Missions</t>
  </si>
  <si>
    <t xml:space="preserve">On-Orbit Debris Removal </t>
  </si>
  <si>
    <t>DELTARA</t>
  </si>
  <si>
    <t>Single-target mission that captures an inactive satellite and lowers its orbit for atmospheric re-entry.</t>
  </si>
  <si>
    <t>Single-Pass Sampling Scenario</t>
  </si>
  <si>
    <t>DRM-VAN-001</t>
  </si>
  <si>
    <t>NEXORA</t>
  </si>
  <si>
    <t>Multi-target debris-removal mission using autonomous orbital transfers between inactive LEO satellites.</t>
  </si>
  <si>
    <t>Multi-Pass Sampling Scenario</t>
  </si>
  <si>
    <t>DRM-NEX-001</t>
  </si>
  <si>
    <t>SENTRA</t>
  </si>
  <si>
    <t>Active debris-removal mission using a robotic capture arm to rendezvous with and deorbit inactive LEO satellites.</t>
  </si>
  <si>
    <t>SENTRA Baseline Mission</t>
  </si>
  <si>
    <t>DRM-SEN-001: Multi-target rendezvous, robotic capture, and deorbit of inactive LEO satellites</t>
  </si>
  <si>
    <t>Space situational awareness mission</t>
  </si>
  <si>
    <t>Option 1</t>
  </si>
  <si>
    <t>MDA concept at Phase 0</t>
  </si>
  <si>
    <t>Option 2</t>
  </si>
  <si>
    <t>Airbus concept at Phase 0</t>
  </si>
  <si>
    <t>Option 3</t>
  </si>
  <si>
    <t>Boeing Mission Concept at Phase 0</t>
  </si>
  <si>
    <t>Option 4</t>
  </si>
  <si>
    <t>PPP option by Company X</t>
  </si>
  <si>
    <t>Baseline at KDP-B</t>
  </si>
  <si>
    <t>Comdev is the mission baseline starting at Phase B</t>
  </si>
  <si>
    <t xml:space="preserve">On_orbit Servicing </t>
  </si>
  <si>
    <t>VANTERA</t>
  </si>
  <si>
    <t>Robotic inspection of inactive LEO spacecraft.</t>
  </si>
  <si>
    <t>Inspection Scenario</t>
  </si>
  <si>
    <t>ORVEX</t>
  </si>
  <si>
    <t>Robotic capture and servicing of cooperative spacecraft.</t>
  </si>
  <si>
    <t>Servicing Scenario</t>
  </si>
  <si>
    <t>Remote sensing of the Enceladus plume and surface.</t>
  </si>
  <si>
    <t>In-situ sampling and analysis of plume ejecta.</t>
  </si>
  <si>
    <t>Deep Space Science Missions</t>
  </si>
  <si>
    <t>Outer-Planet In-Situ Instrument Missions</t>
  </si>
  <si>
    <t>LUMEN</t>
  </si>
  <si>
    <t>CSA-led space telescope instrument contribution to a partner-agency observatory mission.</t>
  </si>
  <si>
    <t>LUMEN Baseline Mission</t>
  </si>
  <si>
    <t>DRM-LUM-001</t>
  </si>
  <si>
    <t>BOREALIS</t>
  </si>
  <si>
    <t>CSA-led remote-sensing instrument contribution to a partner-agency deep-space mission.</t>
  </si>
  <si>
    <t>Borealis Baseline Mission</t>
  </si>
  <si>
    <t>DRM-BOR-001</t>
  </si>
  <si>
    <t>ORCA</t>
  </si>
  <si>
    <t>CSA-led instrument suite (ice-penetrating radar, mass spectrometer and sampling arm) hosted on the NEREID orbiter (NASA-led, ESA-contributed platform) to transit Enceladus's plume and characterize its composition and sub-surface ocean chemistry.</t>
  </si>
  <si>
    <t>ORCA Baseline Mission</t>
  </si>
  <si>
    <t>DRM-ORC-001: Enceladus plume transit, in-situ sampling, and sub-surface ocean chemistry characterization</t>
  </si>
  <si>
    <t>On-Orbit Servicing</t>
  </si>
  <si>
    <t>DRM-ORV-001</t>
  </si>
  <si>
    <t>4. CBS to WBS Traceability Table — ORCA</t>
  </si>
  <si>
    <t>The ORCA WBS translates the project CBS into the mission team's planning and reporting structure, covering the NEREID Orbiter, instrument accommodation payload, launch, ground segment, integration, and mission operations.</t>
  </si>
  <si>
    <t>WBS</t>
  </si>
  <si>
    <t>WBS Element</t>
  </si>
  <si>
    <t>Phase A</t>
  </si>
  <si>
    <t>Phase B/C</t>
  </si>
  <si>
    <t>MAIT</t>
  </si>
  <si>
    <t>SAIT</t>
  </si>
  <si>
    <t>LEOP</t>
  </si>
  <si>
    <t>Phase E/X</t>
  </si>
  <si>
    <t>1</t>
  </si>
  <si>
    <t>ORCA Mission Program</t>
  </si>
  <si>
    <t>1.1, 1.2</t>
  </si>
  <si>
    <t>1.1, 1.2, 1.3</t>
  </si>
  <si>
    <t>1.1</t>
  </si>
  <si>
    <t>Project Management &amp; Mission Control</t>
  </si>
  <si>
    <t>1.1.1</t>
  </si>
  <si>
    <t>Project Management &amp; Controls</t>
  </si>
  <si>
    <t>1.1.2</t>
  </si>
  <si>
    <t>Cost, Schedule &amp; Configuration Management</t>
  </si>
  <si>
    <t>1.1.3</t>
  </si>
  <si>
    <t>Reviews, Governance &amp; Mission Reporting</t>
  </si>
  <si>
    <t>1.2</t>
  </si>
  <si>
    <t>Safety &amp; Mission Assurance</t>
  </si>
  <si>
    <t>1.3</t>
  </si>
  <si>
    <t>Host Orbiter Interface &amp; Accommodation (Partner-Provided Platform)</t>
  </si>
  <si>
    <t>1.3.1</t>
  </si>
  <si>
    <t>Power Interface &amp; Energy Budget Coordination</t>
  </si>
  <si>
    <t>1.3.2</t>
  </si>
  <si>
    <t>Pointing &amp; Accommodation Requirements</t>
  </si>
  <si>
    <t>1.3.3</t>
  </si>
  <si>
    <t>Command &amp; Data Handling Interface</t>
  </si>
  <si>
    <t>1.3.4</t>
  </si>
  <si>
    <t>Communications Relay Interface</t>
  </si>
  <si>
    <t>1.3.5</t>
  </si>
  <si>
    <t>Interface Verification &amp; Testing</t>
  </si>
  <si>
    <t>1.3.6</t>
  </si>
  <si>
    <t>Structural &amp; Thermal Interface</t>
  </si>
  <si>
    <t>1.4</t>
  </si>
  <si>
    <t>ORCA Instrument Suite</t>
  </si>
  <si>
    <t>1.4.1</t>
  </si>
  <si>
    <t>Sampling Arm &amp; End-Effector</t>
  </si>
  <si>
    <t>1.4.2</t>
  </si>
  <si>
    <t>Ice-Penetrating Radar Subsystem</t>
  </si>
  <si>
    <t>1.4.3</t>
  </si>
  <si>
    <t>Mass Spectrometer &amp; Instrument Electronics</t>
  </si>
  <si>
    <t>1.5</t>
  </si>
  <si>
    <t>Launch Support (Partner-Procured)</t>
  </si>
  <si>
    <t>1.5.1</t>
  </si>
  <si>
    <t>Instrument Suite Launch Readiness</t>
  </si>
  <si>
    <t>1.5.2</t>
  </si>
  <si>
    <t>Launch Campaign Support</t>
  </si>
  <si>
    <t>1.6</t>
  </si>
  <si>
    <t>Ground Segment</t>
  </si>
  <si>
    <t>1.6.1</t>
  </si>
  <si>
    <t>Mission Control &amp; Telemetry</t>
  </si>
  <si>
    <t>1.6.2</t>
  </si>
  <si>
    <t>Mission Planning &amp; Science Data Database</t>
  </si>
  <si>
    <t>1.7</t>
  </si>
  <si>
    <t>Mission Operations</t>
  </si>
  <si>
    <t>1.7.1</t>
  </si>
  <si>
    <t>Plume Transit &amp; Sampling Operations</t>
  </si>
  <si>
    <t>1.7.2</t>
  </si>
  <si>
    <t>Sample Acquisition &amp; Science Data Operations</t>
  </si>
  <si>
    <t>1.8</t>
  </si>
  <si>
    <t>System Integration, Assembly, Test &amp; Verification</t>
  </si>
  <si>
    <t>1.8.1</t>
  </si>
  <si>
    <t>Engineering Model Integration &amp; Test</t>
  </si>
  <si>
    <t>1.8.2</t>
  </si>
  <si>
    <t>Qualification &amp; Environmental Testing</t>
  </si>
  <si>
    <t>1.8.3</t>
  </si>
  <si>
    <t>Flight Acceptance &amp; End-to-End Testing</t>
  </si>
  <si>
    <t>1.9</t>
  </si>
  <si>
    <t>Commissioning</t>
  </si>
  <si>
    <t>1.9.1</t>
  </si>
  <si>
    <t>Host Orbiter Interface Commissioning</t>
  </si>
  <si>
    <t>1.9.2</t>
  </si>
  <si>
    <t>Instrument Suite Commissioning</t>
  </si>
  <si>
    <t>4d. CBS (as self referencing list) for use as a javascript array</t>
  </si>
  <si>
    <t>Why we we asking:</t>
  </si>
  <si>
    <t>this page is auto-generated and used for drawing it out</t>
  </si>
  <si>
    <t>Self referencing list for dtree</t>
  </si>
  <si>
    <t>UID</t>
  </si>
  <si>
    <t>Parent ID</t>
  </si>
  <si>
    <t>Level</t>
  </si>
  <si>
    <t>Node Name</t>
  </si>
  <si>
    <t>CBS Code</t>
  </si>
  <si>
    <t>Depth</t>
  </si>
  <si>
    <t>Icon</t>
  </si>
  <si>
    <t>Notes</t>
  </si>
  <si>
    <t>Javascript Code</t>
  </si>
  <si>
    <t>Space Missions</t>
  </si>
  <si>
    <t>Taxon 1</t>
  </si>
  <si>
    <t>Box.png</t>
  </si>
  <si>
    <t>EO SAR Missions</t>
  </si>
  <si>
    <t>Taxon 2</t>
  </si>
  <si>
    <t>EO.png</t>
  </si>
  <si>
    <t>Radarsat Portfolio</t>
  </si>
  <si>
    <t>Phylum</t>
  </si>
  <si>
    <t>Pouch.png</t>
  </si>
  <si>
    <t>Radarsat 1</t>
  </si>
  <si>
    <t>Mission</t>
  </si>
  <si>
    <t>Satellite.png</t>
  </si>
  <si>
    <t>Radarsat 2</t>
  </si>
  <si>
    <t>Design Reference Mission</t>
  </si>
  <si>
    <t>Radarsat Constellation Mission</t>
  </si>
  <si>
    <t>Segment</t>
  </si>
  <si>
    <t>Radarsat+ Replenishment</t>
  </si>
  <si>
    <t>System of Systems</t>
  </si>
  <si>
    <t>Radarsat+ Next Generation</t>
  </si>
  <si>
    <t>System</t>
  </si>
  <si>
    <t>Analysis Scenario 1: RCM Proxy</t>
  </si>
  <si>
    <t>Scenario.png</t>
  </si>
  <si>
    <t>Subsystem</t>
  </si>
  <si>
    <t>Analysis Scenario 2: RCM+</t>
  </si>
  <si>
    <t>Assembly</t>
  </si>
  <si>
    <t>Analysis Scenario 3: Airbus concept</t>
  </si>
  <si>
    <t>Component</t>
  </si>
  <si>
    <t>Analysis Scenario 4: MDA Chorus Data Buy</t>
  </si>
  <si>
    <t>Analysis Scenario 5: MDA Chorus+</t>
  </si>
  <si>
    <t>Analysis Scenario 6: Airbus Sentinel 2</t>
  </si>
  <si>
    <t>Government Overhead and Oversight</t>
  </si>
  <si>
    <t>Government.png</t>
  </si>
  <si>
    <t>This WBS includes all CSA Oversight, OGD salaries, and basic overhead for the care and maintenance of CSA staff</t>
  </si>
  <si>
    <t>Space Segment</t>
  </si>
  <si>
    <t>The Space Segment includes things we launch into space</t>
  </si>
  <si>
    <t>Launch Segment</t>
  </si>
  <si>
    <t>Rocket.png</t>
  </si>
  <si>
    <t>The launch segment includes the launch vehicle and seom support services</t>
  </si>
  <si>
    <t>Facility.png</t>
  </si>
  <si>
    <t>The ground segment includes the planning desgin and development of the GS, but not the Ops</t>
  </si>
  <si>
    <t>Ops Segment</t>
  </si>
  <si>
    <t>Ops.png</t>
  </si>
  <si>
    <t>Ops includes SatOps, Mission Ops, Science Ops - typically contracts</t>
  </si>
  <si>
    <t>Science Segment</t>
  </si>
  <si>
    <t>Science.png</t>
  </si>
  <si>
    <t>Typically G&amp;C</t>
  </si>
  <si>
    <t>Gov't Oversight (Salaries and EBP)</t>
  </si>
  <si>
    <t>Government Overhead</t>
  </si>
  <si>
    <t>CSA Oversight</t>
  </si>
  <si>
    <t>1.1.1.1</t>
  </si>
  <si>
    <t>OGD Oversight</t>
  </si>
  <si>
    <t>1.1.1.2</t>
  </si>
  <si>
    <t>CSA Project Team</t>
  </si>
  <si>
    <t>1.1.1.1.1</t>
  </si>
  <si>
    <t>This CBS contains all salaries associated with the RAM of the Project team</t>
  </si>
  <si>
    <t>CSA Internal Services</t>
  </si>
  <si>
    <t>1.1.1.1.2</t>
  </si>
  <si>
    <t>This CBS contains all salaries associated with CSA internal services (finance, HR, audit, eval, policy, Executives, IM, IT, contracts, shipping, etc)</t>
  </si>
  <si>
    <t>OGD Internal Services by MOU</t>
  </si>
  <si>
    <t>1.1.1.2.1</t>
  </si>
  <si>
    <t>OGD User Departments by MOU (RAM portion)</t>
  </si>
  <si>
    <t>1.1.1.2.2</t>
  </si>
  <si>
    <t>Shared Services</t>
  </si>
  <si>
    <t>1.1.1.2.1.1</t>
  </si>
  <si>
    <t>SPAC</t>
  </si>
  <si>
    <t>1.1.1.2.1.2</t>
  </si>
  <si>
    <t>Justice Canada</t>
  </si>
  <si>
    <t>1.1.1.2.1.3</t>
  </si>
  <si>
    <t>ECCC</t>
  </si>
  <si>
    <t>1.1.1.2.2.1</t>
  </si>
  <si>
    <t>NRCAN</t>
  </si>
  <si>
    <t>1.1.1.2.2.2</t>
  </si>
  <si>
    <t>DND</t>
  </si>
  <si>
    <t>1.1.1.2.2.3</t>
  </si>
  <si>
    <t>RAM per Person per FY and Phase</t>
  </si>
  <si>
    <t>1.1.1.1.1.1</t>
  </si>
  <si>
    <t>PSPC Procurement Services</t>
  </si>
  <si>
    <t>1.1.1.2.1.2.1</t>
  </si>
  <si>
    <t>PSPC Fairness Monitor</t>
  </si>
  <si>
    <t>1.1.1.2.1.2.2</t>
  </si>
  <si>
    <t>Legal Services</t>
  </si>
  <si>
    <t>1.1.1.2.1.3.1</t>
  </si>
  <si>
    <t>CSA Overhead</t>
  </si>
  <si>
    <t>1.1.2.1</t>
  </si>
  <si>
    <t xml:space="preserve">IS Management Overhead </t>
  </si>
  <si>
    <t>1.1.2.1.1</t>
  </si>
  <si>
    <t>Management Consulting Services</t>
  </si>
  <si>
    <t>1.1.2.1.2</t>
  </si>
  <si>
    <t>Temporary Help</t>
  </si>
  <si>
    <t>1.1.2.1.3</t>
  </si>
  <si>
    <t>Students</t>
  </si>
  <si>
    <t>1.1.2.1.4</t>
  </si>
  <si>
    <t>This CBS  includes any students, FSWEP or PDF assisint Csa project team</t>
  </si>
  <si>
    <t>Government Travel &amp; Living</t>
  </si>
  <si>
    <t>1.1.2.1.5</t>
  </si>
  <si>
    <t>This CBS includes any government Travel and Living expenses</t>
  </si>
  <si>
    <t>Translation</t>
  </si>
  <si>
    <t>1.1.2.1.6</t>
  </si>
  <si>
    <t>This CBS includes any translation costs</t>
  </si>
  <si>
    <t>Shipping</t>
  </si>
  <si>
    <t>1.1.2.1.7</t>
  </si>
  <si>
    <t>This CBs includes any shipping cost, but not shipping flight HW which is under space segment</t>
  </si>
  <si>
    <t>Software Licenses</t>
  </si>
  <si>
    <t>1.1.2.1.8</t>
  </si>
  <si>
    <t>This CBS includes any COTs SW not flight Sw or ground SW</t>
  </si>
  <si>
    <t>Public Outreach and STEM initiatives</t>
  </si>
  <si>
    <t>1.1.2.1.9</t>
  </si>
  <si>
    <t>This CBS includes any public relations and STEM</t>
  </si>
  <si>
    <t>Other Overhead (Specify)</t>
  </si>
  <si>
    <t>1.1.2.1.10</t>
  </si>
  <si>
    <t xml:space="preserve">This CBS includes any other misc fees </t>
  </si>
  <si>
    <t>Consultants - Industrial Space Experts</t>
  </si>
  <si>
    <t>1.1.2.1.2.1</t>
  </si>
  <si>
    <t>Consultants - Academia</t>
  </si>
  <si>
    <t>1.1.2.1.2.2</t>
  </si>
  <si>
    <t>Consultants - Non-Space Experts</t>
  </si>
  <si>
    <t>1.1.2.1.2.3</t>
  </si>
  <si>
    <t>Mission SEITPM and Support Equipment</t>
  </si>
  <si>
    <t>SEITPM.png</t>
  </si>
  <si>
    <t>Project Management</t>
  </si>
  <si>
    <t>Systems Engineering</t>
  </si>
  <si>
    <t>Mission Assurance</t>
  </si>
  <si>
    <t>Assembly, Integration and Testing</t>
  </si>
  <si>
    <t>Support Equipment</t>
  </si>
  <si>
    <t>Space Vehicle 1 … i</t>
  </si>
  <si>
    <t>Spacecraft SEITPM and Support Equipment</t>
  </si>
  <si>
    <t>Bus/Platform</t>
  </si>
  <si>
    <t>Widget.png</t>
  </si>
  <si>
    <t>Platform SEITPM and Support Equipment</t>
  </si>
  <si>
    <t>Structures and Mechanisms Subsystem (SMS)</t>
  </si>
  <si>
    <t>Structures and Mechanisms Subsystem SEITPM</t>
  </si>
  <si>
    <t>Primary Structures</t>
  </si>
  <si>
    <t>Load Carrying Shell/Truss</t>
  </si>
  <si>
    <t>Equipment Compartments</t>
  </si>
  <si>
    <t>Booms</t>
  </si>
  <si>
    <t>Adapters</t>
  </si>
  <si>
    <t>Other Structures (Specify)</t>
  </si>
  <si>
    <t>Secondary Structures</t>
  </si>
  <si>
    <t>Equipment (Instrument) Mountings</t>
  </si>
  <si>
    <t>Ballast Mass</t>
  </si>
  <si>
    <t>Other Secondary Structures (Specify)</t>
  </si>
  <si>
    <t>Mechanisms and Pyrotechnics</t>
  </si>
  <si>
    <t>Positioning</t>
  </si>
  <si>
    <t>Deployment and Storage Equipment</t>
  </si>
  <si>
    <t>Docking Mechanisms</t>
  </si>
  <si>
    <t>Other Mechanisms (Specify)</t>
  </si>
  <si>
    <t>Pyrotechnics</t>
  </si>
  <si>
    <t>SMS Other (Specify)</t>
  </si>
  <si>
    <t>Thermal Control Subsystem (TCS)</t>
  </si>
  <si>
    <t>Thermal Control Subsystem SEITPM</t>
  </si>
  <si>
    <t>Active Devices</t>
  </si>
  <si>
    <t>Cryogenic Devices</t>
  </si>
  <si>
    <t>Liquid Loops</t>
  </si>
  <si>
    <t>Electric Coolers</t>
  </si>
  <si>
    <t>Heaters, Thermistors, and Thermostats</t>
  </si>
  <si>
    <t>Other Active Devices (Specify)</t>
  </si>
  <si>
    <t>Passive Devices</t>
  </si>
  <si>
    <t>Radiator Panel/Fins</t>
  </si>
  <si>
    <t>Coatings</t>
  </si>
  <si>
    <t>Heat Pipes</t>
  </si>
  <si>
    <t>Insulation</t>
  </si>
  <si>
    <t>Conductive Structures</t>
  </si>
  <si>
    <t>Heat Activated Structures</t>
  </si>
  <si>
    <t>Sun Shields</t>
  </si>
  <si>
    <t>Second Surface Mirrors</t>
  </si>
  <si>
    <t>Shutters and Louvers</t>
  </si>
  <si>
    <t>Other Passive Devices (Specify)</t>
  </si>
  <si>
    <t>TCS Other (Specify)</t>
  </si>
  <si>
    <t>Electric Power Subsystem (EPS)</t>
  </si>
  <si>
    <t>Electric Power Subsystem SEITPM</t>
  </si>
  <si>
    <t>Electrical Power Generation</t>
  </si>
  <si>
    <t>Solar Array</t>
  </si>
  <si>
    <t>Solar Array Positioner</t>
  </si>
  <si>
    <t>Radioisotope Thermionic Generator</t>
  </si>
  <si>
    <t>Chemical (Fuel Cells)</t>
  </si>
  <si>
    <t>Auxiliary Power Units</t>
  </si>
  <si>
    <t>Other Power Sources</t>
  </si>
  <si>
    <t>Electrical Power Conditioning</t>
  </si>
  <si>
    <t>Power Control Electronics</t>
  </si>
  <si>
    <t>Power Conversion Electronics</t>
  </si>
  <si>
    <t>Power Dissipation Devices</t>
  </si>
  <si>
    <t>Power Distribution Electronics</t>
  </si>
  <si>
    <t>Power Switching Electronics</t>
  </si>
  <si>
    <t>Power Regulation Electronics</t>
  </si>
  <si>
    <t>Other Power Conditioning Devices (Specify)</t>
  </si>
  <si>
    <t>Electrical Power Storage</t>
  </si>
  <si>
    <t>Rechargeable Batteries</t>
  </si>
  <si>
    <t>Charge Control Electronics</t>
  </si>
  <si>
    <t>Other Electrical Power Storage Devices (Specify)</t>
  </si>
  <si>
    <t>Harnesses and Cables</t>
  </si>
  <si>
    <t>EPS Other (Specify)</t>
  </si>
  <si>
    <t>Attitude Control Subsystem (ACS)</t>
  </si>
  <si>
    <t>Attitude Control Subsystem SEITPM</t>
  </si>
  <si>
    <t>Attitude Determination</t>
  </si>
  <si>
    <t>Earth (Horizon) Sensors</t>
  </si>
  <si>
    <t>Sun Sensors</t>
  </si>
  <si>
    <t>Star Tracker/Sensors</t>
  </si>
  <si>
    <t>Global Positioning System (GPS) Receiver</t>
  </si>
  <si>
    <t>Imagers</t>
  </si>
  <si>
    <t>Magnetometers</t>
  </si>
  <si>
    <t>Altimeters</t>
  </si>
  <si>
    <t>Inertial Reference Unit (IRU)/Inertial Measurement Unit (IMU)</t>
  </si>
  <si>
    <t>Radar</t>
  </si>
  <si>
    <t>Rate Gyros</t>
  </si>
  <si>
    <t>Accelerometers</t>
  </si>
  <si>
    <t>Bearing and Power Transfer Assembly</t>
  </si>
  <si>
    <t>Other Attitude Determination Devices (Specify)</t>
  </si>
  <si>
    <t>Attitude Control</t>
  </si>
  <si>
    <t>Reaction Wheel</t>
  </si>
  <si>
    <t>Momentum Wheel</t>
  </si>
  <si>
    <t>Control Moment Gyro</t>
  </si>
  <si>
    <t>Other Energy Storage Devices</t>
  </si>
  <si>
    <t>Magnetic Control Devices</t>
  </si>
  <si>
    <t>Spin Control Devices</t>
  </si>
  <si>
    <t>Control Electronics</t>
  </si>
  <si>
    <t>Other Attitude Control Devices (Specify)</t>
  </si>
  <si>
    <t>ACS Other (Specify)</t>
  </si>
  <si>
    <t>Propulsion Subsystem</t>
  </si>
  <si>
    <t>Propulsion Subsystem SEITPM</t>
  </si>
  <si>
    <t>Tanks</t>
  </si>
  <si>
    <t>Oxidizer Tanks</t>
  </si>
  <si>
    <t>Fuel Tanks</t>
  </si>
  <si>
    <t>Propellant Tanks</t>
  </si>
  <si>
    <t>Pressurance Tanks</t>
  </si>
  <si>
    <t>Plumbing</t>
  </si>
  <si>
    <t>Other Tanks (Specify)</t>
  </si>
  <si>
    <t>Maneuvering Thrusters</t>
  </si>
  <si>
    <t>Bipropellant</t>
  </si>
  <si>
    <t>Monopropellant</t>
  </si>
  <si>
    <t>Solar Electric</t>
  </si>
  <si>
    <t>Ion</t>
  </si>
  <si>
    <t>Cold Gas</t>
  </si>
  <si>
    <t>Other Maneuvering Thrusters (Specify)</t>
  </si>
  <si>
    <t>Translation Thrusters</t>
  </si>
  <si>
    <t>Other Translation Thrusters (Specify)</t>
  </si>
  <si>
    <t>Propellant</t>
  </si>
  <si>
    <t>Solid Propellant</t>
  </si>
  <si>
    <t>Liquid Propellant</t>
  </si>
  <si>
    <t>Prussurant Propellant</t>
  </si>
  <si>
    <t>Other Propellant (Specify)</t>
  </si>
  <si>
    <t>Solid Rocket Motors</t>
  </si>
  <si>
    <t>Power Electronics</t>
  </si>
  <si>
    <t>Propulsion Other (Specify)</t>
  </si>
  <si>
    <t>Telemetry, Tracking, and Command Subsystem (TT&amp;C)</t>
  </si>
  <si>
    <t>TT&amp;C Subsystem SEITPM</t>
  </si>
  <si>
    <t>Antennas</t>
  </si>
  <si>
    <t>Omnidirectional</t>
  </si>
  <si>
    <t>Spiral</t>
  </si>
  <si>
    <t>Horn</t>
  </si>
  <si>
    <t>Patch</t>
  </si>
  <si>
    <t>Parabolic</t>
  </si>
  <si>
    <t>Phased Array</t>
  </si>
  <si>
    <t>Other Antennas (Specify)</t>
  </si>
  <si>
    <t>Waveguides/Routers</t>
  </si>
  <si>
    <t>Diplexers</t>
  </si>
  <si>
    <t>Triplexers</t>
  </si>
  <si>
    <t>Multiplexers</t>
  </si>
  <si>
    <t>Multicouplers</t>
  </si>
  <si>
    <t>Coaxial Switches</t>
  </si>
  <si>
    <t>RF Switches</t>
  </si>
  <si>
    <t>Filters</t>
  </si>
  <si>
    <t>Waveguides</t>
  </si>
  <si>
    <t>Other Routers (Specify)</t>
  </si>
  <si>
    <t>Radio Frequency Equipment</t>
  </si>
  <si>
    <t>Amplifiers</t>
  </si>
  <si>
    <t>Receivers</t>
  </si>
  <si>
    <t>Transmitters</t>
  </si>
  <si>
    <t>Transceivers</t>
  </si>
  <si>
    <t>Transponders</t>
  </si>
  <si>
    <t>Modulators</t>
  </si>
  <si>
    <t>Demodulators</t>
  </si>
  <si>
    <t>Modems</t>
  </si>
  <si>
    <t>Traveling Wave Tube Assemblies</t>
  </si>
  <si>
    <t>Solid State Power Amplifiers</t>
  </si>
  <si>
    <t>Downconverters</t>
  </si>
  <si>
    <t>Upconverters</t>
  </si>
  <si>
    <t>Other RF Equipment (Specify)</t>
  </si>
  <si>
    <t>Command and Data Handling (C&amp;DH)</t>
  </si>
  <si>
    <t>Processors</t>
  </si>
  <si>
    <t>Solid State Memory</t>
  </si>
  <si>
    <t>Decoders</t>
  </si>
  <si>
    <t>Command Units</t>
  </si>
  <si>
    <t>Telemetry Units</t>
  </si>
  <si>
    <t>Command Sequencers</t>
  </si>
  <si>
    <t>Timing Units</t>
  </si>
  <si>
    <t>Frequency Generators</t>
  </si>
  <si>
    <t>Signal Conditioners</t>
  </si>
  <si>
    <t>Data Switches</t>
  </si>
  <si>
    <t>Communication Security</t>
  </si>
  <si>
    <t>Interface Units</t>
  </si>
  <si>
    <t>Tape Recorders</t>
  </si>
  <si>
    <t>Disk Recorders</t>
  </si>
  <si>
    <t>Command Sensor or Situational Awareness Sensors</t>
  </si>
  <si>
    <t>Other C&amp;DH (Specify)</t>
  </si>
  <si>
    <t>TT&amp;C Other (Specify)</t>
  </si>
  <si>
    <t>Bus Flight Software</t>
  </si>
  <si>
    <t>Bus FSW Subsystem SEITPM</t>
  </si>
  <si>
    <t>Thermal Control Software</t>
  </si>
  <si>
    <t>Electrical Power Software</t>
  </si>
  <si>
    <t>Attitude Control Software</t>
  </si>
  <si>
    <t>Telemetry, Tracking, and Command Software</t>
  </si>
  <si>
    <t>Other Flight Software (Specify)</t>
  </si>
  <si>
    <t>SEITPM and Support Equipment (If Applicable for Integration of Multiple Payloads)</t>
  </si>
  <si>
    <t>Payload 1 … n (Specify)</t>
  </si>
  <si>
    <t>Payload 1 SEITPM and Support Equipment</t>
  </si>
  <si>
    <t>Payload 1 Structures and Mechanisms Subsystem</t>
  </si>
  <si>
    <t>Structures and Mechanims Subsystem SEITPM</t>
  </si>
  <si>
    <t>Structures</t>
  </si>
  <si>
    <t>Structures and Mechanisms Other (Specify)</t>
  </si>
  <si>
    <t>Payload 1 Thermal Control  Subsystem</t>
  </si>
  <si>
    <t>Thermal Control  Subsystem SEITPM</t>
  </si>
  <si>
    <t>Electric heaters, Thermisters, and Thermostats</t>
  </si>
  <si>
    <t>Thermal Control Other (Specify)</t>
  </si>
  <si>
    <t>Payload 1 Electrical Power Subsystem</t>
  </si>
  <si>
    <t>Electrical Power Subsystem SEITPM</t>
  </si>
  <si>
    <t>Power Sources</t>
  </si>
  <si>
    <t>Power Control, Switching, and Distribution Electronics</t>
  </si>
  <si>
    <t>Power Conditioning, Conversion, and Regulation</t>
  </si>
  <si>
    <t>Electrical Power Other (Specify)</t>
  </si>
  <si>
    <t>Payload 1 Pointing, Command, and Control Interface</t>
  </si>
  <si>
    <t>Subsystem SEITPM</t>
  </si>
  <si>
    <t>Computers and Processors</t>
  </si>
  <si>
    <t>Command/Telemetric Units</t>
  </si>
  <si>
    <t>Pointing Sensors</t>
  </si>
  <si>
    <t>Payload Positioners</t>
  </si>
  <si>
    <t>Security, Encryption, and Decryption Devices</t>
  </si>
  <si>
    <t>Data Storage, handling, and Interface</t>
  </si>
  <si>
    <t>Multifunctional Digital Electronic Boxes</t>
  </si>
  <si>
    <t>Pointing, Command, and Control Interface Other (Specify)</t>
  </si>
  <si>
    <t>Payload Signal Electronics</t>
  </si>
  <si>
    <t>Passive Signal Flow Control</t>
  </si>
  <si>
    <t>Transmitter/Receiver/Transceiver/Transponder</t>
  </si>
  <si>
    <t>Modulators/Demodulators/Modems</t>
  </si>
  <si>
    <t>Multiplexers/Demultiplexers</t>
  </si>
  <si>
    <t>Frequency Upconverters/Downconverters</t>
  </si>
  <si>
    <t>Frequency and Timing</t>
  </si>
  <si>
    <t>Signal Electronics Other (Specify)</t>
  </si>
  <si>
    <t>Payload 1 Optical Assembly</t>
  </si>
  <si>
    <t>Structure/Outerbarrel/Cover</t>
  </si>
  <si>
    <t>Mirrors/Optics</t>
  </si>
  <si>
    <t>Aft Optics Assembly</t>
  </si>
  <si>
    <t>Alignment and Calibration</t>
  </si>
  <si>
    <t>Thermal</t>
  </si>
  <si>
    <t>Optical Assembly Other</t>
  </si>
  <si>
    <t>Payload 1 Sensor</t>
  </si>
  <si>
    <t>Sensor SEITPM</t>
  </si>
  <si>
    <t>Payload Structure</t>
  </si>
  <si>
    <t>Focal Plan Array</t>
  </si>
  <si>
    <t>Sensor Positioners</t>
  </si>
  <si>
    <t>Sensor Electronics</t>
  </si>
  <si>
    <t>Magnetometer</t>
  </si>
  <si>
    <t>Spectrometer</t>
  </si>
  <si>
    <t>Radiometer</t>
  </si>
  <si>
    <t>Camera</t>
  </si>
  <si>
    <t>Sounder</t>
  </si>
  <si>
    <t>Flight Sensor Software</t>
  </si>
  <si>
    <t>Other Sensor Types (Specify)</t>
  </si>
  <si>
    <t>Mission Sensor Other (Specify)</t>
  </si>
  <si>
    <t>Payload Flight Software</t>
  </si>
  <si>
    <t>Payload 1 FSW SEITPM</t>
  </si>
  <si>
    <t>CSCI (Specify)</t>
  </si>
  <si>
    <t>Payload Antenna 1 … n (Specify)</t>
  </si>
  <si>
    <t>Payload 1 Antenna SEITPM</t>
  </si>
  <si>
    <t>Structures and Mechanisms</t>
  </si>
  <si>
    <t>Antenna Positioners</t>
  </si>
  <si>
    <t>Reflector/Horn</t>
  </si>
  <si>
    <t>Feed</t>
  </si>
  <si>
    <t>Waveguide/Coad/Cabling</t>
  </si>
  <si>
    <t>Transmit/Receive Modules</t>
  </si>
  <si>
    <t>Antenna Other (Specify)</t>
  </si>
  <si>
    <t>Payload Other (Specify)</t>
  </si>
  <si>
    <t>Booster Adapter</t>
  </si>
  <si>
    <t>Space Vehicle Storage</t>
  </si>
  <si>
    <t>Space Vehicle Other (Specify)</t>
  </si>
  <si>
    <t>Launch Systems Integration (LSI)</t>
  </si>
  <si>
    <t>Launch Operations</t>
  </si>
  <si>
    <t>Launch Operations Support</t>
  </si>
  <si>
    <t>Launch Vehicle Services</t>
  </si>
  <si>
    <t>Launch Insurance</t>
  </si>
  <si>
    <t>Ground Segment SEITPM</t>
  </si>
  <si>
    <t>Mission Control Centers</t>
  </si>
  <si>
    <t>Science / Data Ops Centers</t>
  </si>
  <si>
    <t>Terminals and Data Networks – incl Antennas </t>
  </si>
  <si>
    <t>Data Distribution &amp; Archival </t>
  </si>
  <si>
    <t>Training Facilities </t>
  </si>
  <si>
    <t>CSA Mission Control</t>
  </si>
  <si>
    <t xml:space="preserve">SatOps Mission Control Complex at JHCSC </t>
  </si>
  <si>
    <t>ISS Mission Operations Complex</t>
  </si>
  <si>
    <t>NASA Mission Operations Complex</t>
  </si>
  <si>
    <t>RMPSR</t>
  </si>
  <si>
    <t>OEC</t>
  </si>
  <si>
    <t>PTOC</t>
  </si>
  <si>
    <t>SatOps Mission control SEITPM</t>
  </si>
  <si>
    <t>Hardware Components</t>
  </si>
  <si>
    <t>Workstations</t>
  </si>
  <si>
    <t>Servers</t>
  </si>
  <si>
    <t>Storage and Archive</t>
  </si>
  <si>
    <t>Network Equipment</t>
  </si>
  <si>
    <t>Interface Equipment</t>
  </si>
  <si>
    <t>Security Encryption/Decryption</t>
  </si>
  <si>
    <t>Data Processing</t>
  </si>
  <si>
    <t>COTS Hardware Other (Specify)</t>
  </si>
  <si>
    <t>Pre-Operations Maintenance (Specify)</t>
  </si>
  <si>
    <t>Environments</t>
  </si>
  <si>
    <t>SatOps GS Software</t>
  </si>
  <si>
    <t>SW CSCI</t>
  </si>
  <si>
    <t>NASA Science Operations Centers</t>
  </si>
  <si>
    <t>HPC (High Performance Computing)</t>
  </si>
  <si>
    <t>Geospace Observatory</t>
  </si>
  <si>
    <t>Other SODC (specify)</t>
  </si>
  <si>
    <t> CSA Terminals and Antennas</t>
  </si>
  <si>
    <t>CSA St-Hubert Antenna</t>
  </si>
  <si>
    <t>Ferme Yves Bachand Antenna</t>
  </si>
  <si>
    <t>Ferme Beldor Antenna</t>
  </si>
  <si>
    <t>Transponder</t>
  </si>
  <si>
    <t>Digital Earth Canada</t>
  </si>
  <si>
    <t>Federal Geospatial Platform (FGP)</t>
  </si>
  <si>
    <t>EODMS</t>
  </si>
  <si>
    <t>Canadian Astronomy Data Centre</t>
  </si>
  <si>
    <t>NASA Data Distribution &amp; Archival</t>
  </si>
  <si>
    <t>MMLC</t>
  </si>
  <si>
    <t>MOTS</t>
  </si>
  <si>
    <t>CSA Mission Operations</t>
  </si>
  <si>
    <t>CSA SatOps</t>
  </si>
  <si>
    <t>CSA ISS Ops</t>
  </si>
  <si>
    <t>CSA ISS Sustaining Engineering</t>
  </si>
  <si>
    <t>NASA Mission Operations</t>
  </si>
  <si>
    <t>Industry Partners (Specify)</t>
  </si>
  <si>
    <t>Mission Science Support</t>
  </si>
  <si>
    <t>Science Maturation Studies &amp; User Requirements</t>
  </si>
  <si>
    <t>Science Support for Mission Development</t>
  </si>
  <si>
    <t>Science Support for Commissioning, Including Cal/Val</t>
  </si>
  <si>
    <t>Science Support for Data Handling</t>
  </si>
  <si>
    <t>Science Utilization &amp; Application Development</t>
  </si>
  <si>
    <t xml:space="preserve">5. OBS </t>
  </si>
  <si>
    <t>This information helps us understand the procurement strategy.</t>
  </si>
  <si>
    <t>It also helps map SAP claims against cost elements</t>
  </si>
  <si>
    <t>Type</t>
  </si>
  <si>
    <t>Sub-Type</t>
  </si>
  <si>
    <t>Name</t>
  </si>
  <si>
    <t>Description</t>
  </si>
  <si>
    <t>Cost sharing Provisions, who pays?</t>
  </si>
  <si>
    <t>How are WPD defined?</t>
  </si>
  <si>
    <t>Oversight</t>
  </si>
  <si>
    <t xml:space="preserve">Overhead </t>
  </si>
  <si>
    <t>Mission Level SEITPM</t>
  </si>
  <si>
    <t>Government</t>
  </si>
  <si>
    <t>Mission Owner / Project Office</t>
  </si>
  <si>
    <t>Canadian Orbital Mission Directorate (COMD)</t>
  </si>
  <si>
    <t>Fictional government organization representing the ORCA mission owner and program authority.</t>
  </si>
  <si>
    <t>Government mission appropriation</t>
  </si>
  <si>
    <t>Mission workplan / SOW</t>
  </si>
  <si>
    <t>x</t>
  </si>
  <si>
    <t>Industry</t>
  </si>
  <si>
    <t>Prime Space Systems Integrator</t>
  </si>
  <si>
    <t>Asterion Orbital Integration Ltd.</t>
  </si>
  <si>
    <t>Fictional prime contractor supporting spacecraft-level integration, verification, and technical coordination.</t>
  </si>
  <si>
    <t>CSA-style fiscal framework</t>
  </si>
  <si>
    <t>Contract SOW / CWBS</t>
  </si>
  <si>
    <t>Radar Subsystem Supplier</t>
  </si>
  <si>
    <t>Northstar Orbital Technologies</t>
  </si>
  <si>
    <t>Fictional supplier providing the ice-penetrating radar subsystem for ORCA.</t>
  </si>
  <si>
    <t>Contract funding</t>
  </si>
  <si>
    <t>Sampling Arm Supplier</t>
  </si>
  <si>
    <t>Aetheris Space Robotics</t>
  </si>
  <si>
    <t>Fictional supplier providing the sampling arm, end-effector, actuators, and sample-handling mechanisms.</t>
  </si>
  <si>
    <t>Avionics Supplier</t>
  </si>
  <si>
    <t>Polarion Avionics Corporation</t>
  </si>
  <si>
    <t>Fictional supplier providing flight-computing, payload electronics, and avionics support.</t>
  </si>
  <si>
    <t>Context Imaging Supplier</t>
  </si>
  <si>
    <t>Borealis Vision Systems</t>
  </si>
  <si>
    <t>Fictional supplier providing plume-context imaging cameras and optical calibration equipment.</t>
  </si>
  <si>
    <t>Communications Supplier</t>
  </si>
  <si>
    <t>Canterra Space Communications</t>
  </si>
  <si>
    <t>Fictional supplier providing instrument command &amp; data-handling electronics and data-interface hardware to the NEREID orbiter.</t>
  </si>
  <si>
    <t>Thermal &amp; Structures Supplier</t>
  </si>
  <si>
    <t>Arcturon Space Structures</t>
  </si>
  <si>
    <t>Fictional supplier supporting spacecraft structures, thermal hardware, and payload mounting interfaces.</t>
  </si>
  <si>
    <t>Launch Coordination (Partner-Procured)</t>
  </si>
  <si>
    <t>Peregrine Launch Services</t>
  </si>
  <si>
    <t>Fictional launch-campaign coordination role; the launch vehicle and services are procured by the partner agency (NASA).</t>
  </si>
  <si>
    <t>Launch services contract</t>
  </si>
  <si>
    <t>Launch SOW / ICD</t>
  </si>
  <si>
    <t>Ground Systems Supplier</t>
  </si>
  <si>
    <t>Meridian Ground Technologies</t>
  </si>
  <si>
    <t>Fictional supplier providing mission-control interfaces, telemetry processing, and ground-system equipment.</t>
  </si>
  <si>
    <t>Ground SOW / ICD</t>
  </si>
  <si>
    <t>Academia</t>
  </si>
  <si>
    <t>Orbital Mechanics Team</t>
  </si>
  <si>
    <t>Northern Institute of Space Engineering</t>
  </si>
  <si>
    <t>Fictional university team supporting trajectory analysis, orbital mechanics, and plume-transit navigation research.</t>
  </si>
  <si>
    <t>Research agreement</t>
  </si>
  <si>
    <t>Research SOW / workplan</t>
  </si>
  <si>
    <t>Robotics Research Team</t>
  </si>
  <si>
    <t>Laurentia University of Aerospace Technology</t>
  </si>
  <si>
    <t>Fictional university team supporting sampling-arm dynamics, end-effector testing, and sample-acquisition simulations.</t>
  </si>
  <si>
    <t>Research SOW / test plan</t>
  </si>
  <si>
    <t>Space Environment Team</t>
  </si>
  <si>
    <t>Boreal Technical University</t>
  </si>
  <si>
    <t>Fictional university team supporting deep-space radiation-environment analysis and mission sustainability studies.</t>
  </si>
  <si>
    <t>Int'l partners</t>
  </si>
  <si>
    <t>European Technical Partner</t>
  </si>
  <si>
    <t>ESA</t>
  </si>
  <si>
    <t>International partner (ESA) contributing to the host orbiter and providing plume-transit trajectory analysis support.</t>
  </si>
  <si>
    <t>Partner contribution</t>
  </si>
  <si>
    <t>MOU / PIP</t>
  </si>
  <si>
    <t>American Host-Platform Partner</t>
  </si>
  <si>
    <t>NASA</t>
  </si>
  <si>
    <t>International partner (NASA) providing and operating the NEREID orbiter host platform, including launch.</t>
  </si>
  <si>
    <t>Space Environment OGD</t>
  </si>
  <si>
    <t>Canadian Orbital Safety Directorate (COSD)</t>
  </si>
  <si>
    <t>Fictional government organization supporting export-control compliance, planetary-protection oversight, and deep-space mission assurance.</t>
  </si>
  <si>
    <t>Government service</t>
  </si>
  <si>
    <t>MOU / service agreement</t>
  </si>
  <si>
    <t>Space Weather OGD</t>
  </si>
  <si>
    <t>Canadian Space Environment Office (CSEO)</t>
  </si>
  <si>
    <t>Fictional government organization providing space-weather and orbital-environment information.</t>
  </si>
  <si>
    <t>Technical Assurance OGD</t>
  </si>
  <si>
    <t>National Aerospace Research Directorate (NARD)</t>
  </si>
  <si>
    <t>Fictional government organization providing independent engineering review, testing support, and technical assurance.</t>
  </si>
  <si>
    <t>MOU / workplan</t>
  </si>
  <si>
    <t>7 - Phasing Nomenclature</t>
  </si>
  <si>
    <t xml:space="preserve">What do you call your phases? </t>
  </si>
  <si>
    <t xml:space="preserve">1. To normalize the naming convention across all investments. </t>
  </si>
  <si>
    <t>2. Math Models are based on Costing Sub-Phase.</t>
  </si>
  <si>
    <t>3. We want to output results in your naming convention and scope.</t>
  </si>
  <si>
    <t>Based on IGMF rev E</t>
  </si>
  <si>
    <t>Based on CSA-FIN-RPT-0072</t>
  </si>
  <si>
    <t>Phasing according to</t>
  </si>
  <si>
    <t>EPMO</t>
  </si>
  <si>
    <t>Costing</t>
  </si>
  <si>
    <t>PM</t>
  </si>
  <si>
    <t>PREP</t>
  </si>
  <si>
    <t>PREP 1</t>
  </si>
  <si>
    <t>Prototyping Activities (before Gate 1)</t>
  </si>
  <si>
    <t>Pre-Project</t>
  </si>
  <si>
    <t>Option Analysis &amp; Planning Phase</t>
  </si>
  <si>
    <t>Pre-Phase 0</t>
  </si>
  <si>
    <t>PREP 2</t>
  </si>
  <si>
    <t>Prototyping Activities (during Phase 0/A)</t>
  </si>
  <si>
    <t>Phase 0</t>
  </si>
  <si>
    <t>Phase 0/A</t>
  </si>
  <si>
    <t>Concept &amp; Feasibility</t>
  </si>
  <si>
    <t>Project</t>
  </si>
  <si>
    <t>Definition Phase</t>
  </si>
  <si>
    <t>Detailed Project Requirements</t>
  </si>
  <si>
    <t>Preliminary Definition</t>
  </si>
  <si>
    <t>Preliminary Design</t>
  </si>
  <si>
    <t>Detailed Definition</t>
  </si>
  <si>
    <t>Detailed Design</t>
  </si>
  <si>
    <t>Implementation Phase</t>
  </si>
  <si>
    <t>Implementation</t>
  </si>
  <si>
    <t>Manufacturing, Assembly, Integration and Test of Canadian Subsystems and Components</t>
  </si>
  <si>
    <t>Spacecraft Level Assembly, Test</t>
  </si>
  <si>
    <t>Lauch and early operations</t>
  </si>
  <si>
    <t>Post-Project</t>
  </si>
  <si>
    <t>Post-Implementation Phase</t>
  </si>
  <si>
    <t>Operations &amp; Disposal</t>
  </si>
  <si>
    <t>Phase E</t>
  </si>
  <si>
    <t>Nominal Operations (per design life)</t>
  </si>
  <si>
    <t>Phase E (EXT)</t>
  </si>
  <si>
    <t>Phase X</t>
  </si>
  <si>
    <t>Extended operations (mission extension)</t>
  </si>
  <si>
    <t>Phase F</t>
  </si>
  <si>
    <t>Disposal (incl. post-mortem audit reports)</t>
  </si>
  <si>
    <t>Phase G</t>
  </si>
  <si>
    <t>Post-Mortem science utilization</t>
  </si>
  <si>
    <t>7b - Phasing Durations</t>
  </si>
  <si>
    <t>1. Durations affect Govt Salaries calculations</t>
  </si>
  <si>
    <t>2. Durations affect Parametric estimates for Space segment, ground segment, ops</t>
  </si>
  <si>
    <t>3. Schedule Scenarios are inputs to sensitivity analysis</t>
  </si>
  <si>
    <t>Schedule Scenario ID</t>
  </si>
  <si>
    <t>Click to draw</t>
  </si>
  <si>
    <t>Scenario Name</t>
  </si>
  <si>
    <t>ORCA Nominal / Baseline Schedule</t>
  </si>
  <si>
    <t>Scenario Description</t>
  </si>
  <si>
    <t>Baseline ORCA schedule used for primary planning, salary calculations and parametric estimation.</t>
  </si>
  <si>
    <t>Rationale</t>
  </si>
  <si>
    <t>Uses the ORCA Phase 0 through Phase X dates established in CADRe Part C (§7 Phase Durations).</t>
  </si>
  <si>
    <t xml:space="preserve">Source Doc </t>
  </si>
  <si>
    <t>ORCA CADRe Part A — Project Phase Schedule</t>
  </si>
  <si>
    <t>Expected Start</t>
  </si>
  <si>
    <t>Expected End</t>
  </si>
  <si>
    <t>Total D</t>
  </si>
  <si>
    <t>Total M</t>
  </si>
  <si>
    <t>ORCA Optimistic Schedule</t>
  </si>
  <si>
    <t>Accelerated schedule used for sensitivity analysis, assuming efficient design maturation, procurement and integration.</t>
  </si>
  <si>
    <t>Phase durations are reduced ~15% relative to the nominal schedule while retaining the ORCA phase structure.</t>
  </si>
  <si>
    <t>ORCA CADRe Part A — Project Phase Schedule; sensitivity scenario</t>
  </si>
  <si>
    <t>ORCA Pessimistic Schedule</t>
  </si>
  <si>
    <t>Delayed schedule used for sensitivity analysis, assuming additional design, test, procurement and integration delays.</t>
  </si>
  <si>
    <t>Phase durations are increased ~20% relative to the nominal schedule to represent schedule-risk sensitivity.</t>
  </si>
  <si>
    <t>8 - Milestone Register</t>
  </si>
  <si>
    <t>to double check your schedule</t>
  </si>
  <si>
    <t>based in IGMF rev F</t>
  </si>
  <si>
    <t>ID</t>
  </si>
  <si>
    <t>Specify Date</t>
  </si>
  <si>
    <t>Actual or Planned?</t>
  </si>
  <si>
    <t>Milestone Description</t>
  </si>
  <si>
    <t>Used in Analysis?</t>
  </si>
  <si>
    <t>M1</t>
  </si>
  <si>
    <t>Prep 1</t>
  </si>
  <si>
    <t>Primus</t>
  </si>
  <si>
    <t>First Gate 0 of first dollar spent</t>
  </si>
  <si>
    <t>Used to calculate sunk costs</t>
  </si>
  <si>
    <t>M2</t>
  </si>
  <si>
    <t>Contract Award</t>
  </si>
  <si>
    <t>First R&amp;D contract, grant or contribution signed</t>
  </si>
  <si>
    <t>Contract</t>
  </si>
  <si>
    <t>M3</t>
  </si>
  <si>
    <t>Final Review</t>
  </si>
  <si>
    <t>Last R&amp;D contract, grant or contribution before Mission Gate 0 is Completed</t>
  </si>
  <si>
    <t>M4</t>
  </si>
  <si>
    <t>Prep 2</t>
  </si>
  <si>
    <t>Secundus</t>
  </si>
  <si>
    <t>Gate 0 which will lead to an R&amp;D contract during Phase 0/A. Could be same as Mission Gate 0 but not always</t>
  </si>
  <si>
    <t>not used in costing, used only for graphics on Gantt Chart</t>
  </si>
  <si>
    <t>M5</t>
  </si>
  <si>
    <t>First R&amp;D contract signed after Mission Gate 1</t>
  </si>
  <si>
    <t>Used for parametric analysis</t>
  </si>
  <si>
    <t>M6</t>
  </si>
  <si>
    <t>Last R&amp;D contract ends after Mission Gate 1</t>
  </si>
  <si>
    <t>M7</t>
  </si>
  <si>
    <t>Phase 0 Start</t>
  </si>
  <si>
    <t>RAM Effort to prepare Gate 0 or Gate 1 Begins</t>
  </si>
  <si>
    <t>RAM</t>
  </si>
  <si>
    <t>Used to compute CSA Salaries</t>
  </si>
  <si>
    <t>M8</t>
  </si>
  <si>
    <t>Gate 0</t>
  </si>
  <si>
    <t>Policy cover (possibly though a Strategic Retreat)</t>
  </si>
  <si>
    <t>M9</t>
  </si>
  <si>
    <t>KDP-0 / Gate 1</t>
  </si>
  <si>
    <t>Key Decision Point in CSA Governance Framework</t>
  </si>
  <si>
    <t>M10</t>
  </si>
  <si>
    <t>R1</t>
  </si>
  <si>
    <t>Identification of Investment Options</t>
  </si>
  <si>
    <t>M11</t>
  </si>
  <si>
    <t>Phase 0 Contract Award</t>
  </si>
  <si>
    <t>M12</t>
  </si>
  <si>
    <t>PL-MCR</t>
  </si>
  <si>
    <t>Mission Concept Review</t>
  </si>
  <si>
    <t>Major Milestone</t>
  </si>
  <si>
    <t>MCR is conducted early in the mission planning process to assess the feasibility and viability of the mission concept.</t>
  </si>
  <si>
    <t>Major Milestones used to compute durations in paramateric and analogy</t>
  </si>
  <si>
    <t>M13</t>
  </si>
  <si>
    <t>PL-MRR</t>
  </si>
  <si>
    <t>Mission Requirements Review</t>
  </si>
  <si>
    <t>MRR is conducted to establish and validate the specific requirements that the mission must meet to achieve its objectives.</t>
  </si>
  <si>
    <t>M14</t>
  </si>
  <si>
    <t>MDR</t>
  </si>
  <si>
    <t>Mission Definition Review</t>
  </si>
  <si>
    <t>Interim Milestone</t>
  </si>
  <si>
    <t>MDR is conducted to refine the mission concept and requirements further and to establish a more detailed plan for mission implementation.</t>
  </si>
  <si>
    <t>Minor Milestones are sometimes used to infer Major Milestones when those have not been specified</t>
  </si>
  <si>
    <t>M15</t>
  </si>
  <si>
    <t>FR</t>
  </si>
  <si>
    <t>Contractor Phase 0 Final Review</t>
  </si>
  <si>
    <t>M16</t>
  </si>
  <si>
    <t>R2</t>
  </si>
  <si>
    <t>Investment Option Recommendation</t>
  </si>
  <si>
    <t>M17</t>
  </si>
  <si>
    <t>Phase 0 End</t>
  </si>
  <si>
    <t>RAM Effort for Phase 0 Ends</t>
  </si>
  <si>
    <t>M18</t>
  </si>
  <si>
    <t>Phase A Start</t>
  </si>
  <si>
    <t>RAM Effort to prepare Gate 2 Begins</t>
  </si>
  <si>
    <t>M19</t>
  </si>
  <si>
    <t>KDP-A / Gate 2</t>
  </si>
  <si>
    <t>M20</t>
  </si>
  <si>
    <t>Phase A Contract Award</t>
  </si>
  <si>
    <t>M21</t>
  </si>
  <si>
    <t>PL-SRR</t>
  </si>
  <si>
    <t>Planned</t>
  </si>
  <si>
    <t>SRR is conducted to establish and validate the high-level requirements that the system must meet to achieve its mission objectives.</t>
  </si>
  <si>
    <t>M24</t>
  </si>
  <si>
    <t>M-SRR</t>
  </si>
  <si>
    <t>External Dependency</t>
  </si>
  <si>
    <t>M-SDR</t>
  </si>
  <si>
    <t>M27</t>
  </si>
  <si>
    <t>Contractor Phase A Final Review</t>
  </si>
  <si>
    <t>M28</t>
  </si>
  <si>
    <t>Phase A End</t>
  </si>
  <si>
    <t>RAM Effort for Phase A Ends</t>
  </si>
  <si>
    <t>M29</t>
  </si>
  <si>
    <t>Phase B Start</t>
  </si>
  <si>
    <t>RAM Effort to prepare Phase B Begins</t>
  </si>
  <si>
    <t>M30</t>
  </si>
  <si>
    <t>KDP-B / Review R3</t>
  </si>
  <si>
    <t>M31</t>
  </si>
  <si>
    <t>Phase B Contract Award</t>
  </si>
  <si>
    <t>M32</t>
  </si>
  <si>
    <t>PL-PDR</t>
  </si>
  <si>
    <t>The main purpose of PDR is to assess and evaluate the preliminary design of the spacecraft or system.</t>
  </si>
  <si>
    <t>M35</t>
  </si>
  <si>
    <t>M-PDR</t>
  </si>
  <si>
    <t>M36</t>
  </si>
  <si>
    <t>Contractor Phase B Final Review</t>
  </si>
  <si>
    <t>M37</t>
  </si>
  <si>
    <t>Phase B End</t>
  </si>
  <si>
    <t>RAM Effort for Phase B Ends</t>
  </si>
  <si>
    <t>M38</t>
  </si>
  <si>
    <t>Phase C Start</t>
  </si>
  <si>
    <t>M39</t>
  </si>
  <si>
    <t>KDP-C / Review R4</t>
  </si>
  <si>
    <t>M40</t>
  </si>
  <si>
    <t>Phase C Contract Award or PDR</t>
  </si>
  <si>
    <t>M41</t>
  </si>
  <si>
    <t>PL-CDR</t>
  </si>
  <si>
    <t>CDR serves as a critical milestone to evaluate and approve the detailed design of the spacecraft or system.</t>
  </si>
  <si>
    <t>M44</t>
  </si>
  <si>
    <t>M-CDR</t>
  </si>
  <si>
    <t>M45</t>
  </si>
  <si>
    <t>Contractor Phase C Final Review</t>
  </si>
  <si>
    <t>M46</t>
  </si>
  <si>
    <t>Phase C End</t>
  </si>
  <si>
    <t>RAM Effort for Phase C Ends</t>
  </si>
  <si>
    <t>M47</t>
  </si>
  <si>
    <t>Phase D Start</t>
  </si>
  <si>
    <t>RAM Effort to prepare Phase D Begins</t>
  </si>
  <si>
    <t>M48</t>
  </si>
  <si>
    <t>KDP-D / Gate 3 / Review R5</t>
  </si>
  <si>
    <t>M49</t>
  </si>
  <si>
    <t>Phase D Contract Award or CDR</t>
  </si>
  <si>
    <t>M50</t>
  </si>
  <si>
    <t>Subsystem Integration</t>
  </si>
  <si>
    <t>Sub-System Integration Review (SIR)</t>
  </si>
  <si>
    <t>SIR evaluates the integration of all subsystems and components to ensure they function together as a cohesive system.</t>
  </si>
  <si>
    <t>M51</t>
  </si>
  <si>
    <t>PL-PSR</t>
  </si>
  <si>
    <t>M56</t>
  </si>
  <si>
    <t>Arrive date at Prime</t>
  </si>
  <si>
    <t>ORCA space segment arrives at Prime (EDA) for spacecraft integration</t>
  </si>
  <si>
    <t>M57</t>
  </si>
  <si>
    <t>SIR</t>
  </si>
  <si>
    <t>System Integration Review (SIR)</t>
  </si>
  <si>
    <t>M59</t>
  </si>
  <si>
    <t>PSR to LV</t>
  </si>
  <si>
    <t>Pre-Ship Review (PSR) (to LV)</t>
  </si>
  <si>
    <t>M60</t>
  </si>
  <si>
    <t>Arrive date to LV</t>
  </si>
  <si>
    <t>Space Segment arrives at Launch provider for integration with LV</t>
  </si>
  <si>
    <t>M61</t>
  </si>
  <si>
    <t>FRR</t>
  </si>
  <si>
    <t>Flight Readiness Review (FRR)</t>
  </si>
  <si>
    <t>FRR evaluates the readiness of the spacecraft, launch vehicle, and ground support systems for launch.</t>
  </si>
  <si>
    <t>M62</t>
  </si>
  <si>
    <t>ORR</t>
  </si>
  <si>
    <t>Ops Readiness Review (ORR)</t>
  </si>
  <si>
    <t>ORR evaluates the readiness of mission operations personnel, procedures, and facilities for mission execution.</t>
  </si>
  <si>
    <t>M63</t>
  </si>
  <si>
    <t>Launch</t>
  </si>
  <si>
    <t>Launch marks the initiation of the space mission, with the primary goal of placing the spacecraft into its designated orbit or trajectory.</t>
  </si>
  <si>
    <t>M64</t>
  </si>
  <si>
    <t>Orbit-Insertion Start</t>
  </si>
  <si>
    <t>Start of orbit-raising / transit to the Enceladus science orbit</t>
  </si>
  <si>
    <t>M65</t>
  </si>
  <si>
    <t>Orbit Insertion</t>
  </si>
  <si>
    <t>Orbital insertion into the Enceladus science orbit</t>
  </si>
  <si>
    <t>Orbit insertion maneuvers adjust the NEREID orbiter's trajectory to place ORCA into its intended science orbit around Enceladus.</t>
  </si>
  <si>
    <t>M69</t>
  </si>
  <si>
    <t>CR</t>
  </si>
  <si>
    <t>Commissioning Review (CR)</t>
  </si>
  <si>
    <t>CR evaluates the initial performance of the spacecraft and its systems after deployment or landing.</t>
  </si>
  <si>
    <t>M71</t>
  </si>
  <si>
    <t>Phase E Start</t>
  </si>
  <si>
    <t>RAM Effort to prepare Phase E Begins</t>
  </si>
  <si>
    <t>M72</t>
  </si>
  <si>
    <t>KDP-E / Gate 4</t>
  </si>
  <si>
    <t>M74</t>
  </si>
  <si>
    <t>Start of nominal Ops or CR</t>
  </si>
  <si>
    <t>M75</t>
  </si>
  <si>
    <t>End of Nominal Ops</t>
  </si>
  <si>
    <t>M76</t>
  </si>
  <si>
    <t>End of operations</t>
  </si>
  <si>
    <t>End of Extended Operations</t>
  </si>
  <si>
    <t>M77</t>
  </si>
  <si>
    <t>Contractor Final Review after extended Ops</t>
  </si>
  <si>
    <t>M78</t>
  </si>
  <si>
    <t>RAM Effort to prepare Phase X (Extended Operations &amp; Disposal) Begins</t>
  </si>
  <si>
    <t>RAM Effort to prepare Phase X (Disposal &amp; Disposal) Begins</t>
  </si>
  <si>
    <t>M79</t>
  </si>
  <si>
    <t>KDP-X / Gate 5</t>
  </si>
  <si>
    <t>Key Decision Point in CSA Governance Framework (IGMF Gate 5)</t>
  </si>
  <si>
    <t>M80</t>
  </si>
  <si>
    <t>DR</t>
  </si>
  <si>
    <t>Decommissioning &amp; Disposal Review (disposal of NEREID Orbiter)</t>
  </si>
  <si>
    <t>The Decommissioning Review marks the transition from operations to the disposal phase of mission assets</t>
  </si>
  <si>
    <t>M81</t>
  </si>
  <si>
    <t xml:space="preserve">Final Review </t>
  </si>
  <si>
    <t>Contractor Final Review for Phase X</t>
  </si>
  <si>
    <t>10 - Schedule Constraints and dependencies</t>
  </si>
  <si>
    <t>Why we are asking</t>
  </si>
  <si>
    <t>To conduct a JCL analysis</t>
  </si>
  <si>
    <t>Critical Path Analysis</t>
  </si>
  <si>
    <t>ORCA concept &amp; science maturation studies initiated</t>
  </si>
  <si>
    <t>Phase 0 Start — Gate 0 / KDP-0 (first dollar spent)</t>
  </si>
  <si>
    <t>M-MCR</t>
  </si>
  <si>
    <t>Mission Concept Review (MCR)</t>
  </si>
  <si>
    <t>Phase A Start — KDP-A / Gate 2</t>
  </si>
  <si>
    <t>ORCA Concept Rebaseline</t>
  </si>
  <si>
    <t>System Requirements Review (SRR)</t>
  </si>
  <si>
    <t>Phase B Start — KDP-B / Review R3</t>
  </si>
  <si>
    <t>Orbiter / ORCA Instrument Suite Interface Complete</t>
  </si>
  <si>
    <t>Preliminary Design Review (PDR) — Phase B End</t>
  </si>
  <si>
    <t>Phase C Start — KDP-C / Review R4</t>
  </si>
  <si>
    <t>Instrument Suite Environmental Qualification Complete</t>
  </si>
  <si>
    <t>Critical Design Review (CDR) — Phase C End</t>
  </si>
  <si>
    <t>Phase D Start — KDP-D / Gate 3 / R5 (MAIT/SAIT)</t>
  </si>
  <si>
    <t>M-MRR</t>
  </si>
  <si>
    <t>Manufacturing Readiness Review (MRR)</t>
  </si>
  <si>
    <t>L-6mo</t>
  </si>
  <si>
    <t>Pre-Ship Review of Systems to Prime (PSR) — flight units ship to Prime (EDA)</t>
  </si>
  <si>
    <t>Integrated Instrument Suite Functional Test Complete</t>
  </si>
  <si>
    <t>M-SIR</t>
  </si>
  <si>
    <t>M-AR</t>
  </si>
  <si>
    <t>Acceptance Review (AR) — Flight Acceptance</t>
  </si>
  <si>
    <t>Flight Software and Autonomy Verification Complete</t>
  </si>
  <si>
    <t>L-45d</t>
  </si>
  <si>
    <t>Pre-Ship Review — Spacecraft to Launch Site</t>
  </si>
  <si>
    <t>L</t>
  </si>
  <si>
    <t>Launch (NASA / host orbiter NEREID) — Phase E Start</t>
  </si>
  <si>
    <t>L+1d</t>
  </si>
  <si>
    <t>Orbital insertion into Enceladus science orbit; commissioning start</t>
  </si>
  <si>
    <t>M-CR</t>
  </si>
  <si>
    <t>Commissioning Review (CR) — start of nominal Ops</t>
  </si>
  <si>
    <t>End of Nominal Ops (Phase E End); Phase X disposal through 2059-06-30</t>
  </si>
  <si>
    <t>Assumption</t>
  </si>
  <si>
    <t>dependencies</t>
  </si>
  <si>
    <t>CSA instrument flight units must be delivered to the Prime (EDA) ahead of Mission CDR to support host-orbiter integration</t>
  </si>
  <si>
    <t>CSA conducted a Phase 0 previously; it is assumed to have been sufficient to meet the exit criteria of a real Phase 0</t>
  </si>
  <si>
    <t>The CSA Phase A must be completed before Mission SRR</t>
  </si>
  <si>
    <t>The Orbiter/Instrument Suite Interface Control Document must be complete before PDR</t>
  </si>
  <si>
    <t>Instrument suite environmental qualification must be complete ~9 months before CDR</t>
  </si>
  <si>
    <t>Phase MAIT</t>
  </si>
  <si>
    <t>The Manufacturing Readiness Review (MRR) precedes the CSA flight-hardware build by ~4 years, reflecting long-lead radiation-hardened parts</t>
  </si>
  <si>
    <t>The CSA flight-hardware ship date (Pre-Ship Review) is ~6 months before Launch</t>
  </si>
  <si>
    <t>Mission CDR is planned for Dec 2033 in the ORCA Scenario 1 baseline</t>
  </si>
  <si>
    <t>The assumed duration between Mission CDR and Launch is ~84 months (Scenario 1), driven by the host orbiter's (NASA-led) integration and launch-window schedule</t>
  </si>
  <si>
    <t>ORCA Scenario 1 assumes a launch date of Dec 31 2040 on the NEREID orbiter (NASA-led launch)</t>
  </si>
  <si>
    <t>Interplanetary cruise to Enceladus (via Jupiter gravity assist) is carried on the NEREID orbiter; no CSA-specific cruise operations are costed</t>
  </si>
  <si>
    <t>Post-orbit-insertion checkout of the ORCA instrument suite is assumed ~30 days (20 days optimistic, 50 days pessimistic)</t>
  </si>
  <si>
    <t>Commissioning: approximately 1-3 months in the Enceladus science orbit before nominal ops</t>
  </si>
  <si>
    <t>Nominal operations life is ~15 years (Scenario 1 Phase E ≈ 180 months), reflecting the long-duration Enceladus science campaign</t>
  </si>
  <si>
    <t>Phase X covers extended operations plus the disposal campaign; Scenario 1 duration ≈ 42 months (~3.5 years)</t>
  </si>
  <si>
    <t>Disposal is achieved per the partner agency's planetary-protection plan for the NEREID orbiter</t>
  </si>
  <si>
    <t>End of Phase X (mission close-out / final disposal) occurs on 2059-06-30 in Scenario 1</t>
  </si>
  <si>
    <t>Brainstorming Questions about Schedule GR&amp;A</t>
  </si>
  <si>
    <t>Schedule constraints and Dependencies</t>
  </si>
  <si>
    <t>Assumption 01</t>
  </si>
  <si>
    <t>Mission Milestones are external dependencies for the CSA activities. Per the ORCA Scenario 1 baseline, these dates are:</t>
  </si>
  <si>
    <t>Mission Milestone</t>
  </si>
  <si>
    <t>Planned Date</t>
  </si>
  <si>
    <t>CSA Dependency</t>
  </si>
  <si>
    <t>CSA Planned Date</t>
  </si>
  <si>
    <t>Assumption 02</t>
  </si>
  <si>
    <t>Mission SRR</t>
  </si>
  <si>
    <t>---&gt;</t>
  </si>
  <si>
    <t>CSA PL SRR (M-SRR-14d)</t>
  </si>
  <si>
    <t>Assumption 03</t>
  </si>
  <si>
    <t>Mission SDR</t>
  </si>
  <si>
    <t>CSA PDR preparation start</t>
  </si>
  <si>
    <t>Assumption 04</t>
  </si>
  <si>
    <t>Mission PDR</t>
  </si>
  <si>
    <t>CSA PL-PDR (M-PDR-30d)</t>
  </si>
  <si>
    <t>Assumption 05</t>
  </si>
  <si>
    <t>Mission CDR</t>
  </si>
  <si>
    <t>CSA PL-CDR (M-CDR-61d)</t>
  </si>
  <si>
    <t>Assumption 06</t>
  </si>
  <si>
    <t>CSA PSR (L-88d)</t>
  </si>
  <si>
    <t>Schedule Assumptions for Long Lead Items</t>
  </si>
  <si>
    <t>Assumption 07</t>
  </si>
  <si>
    <t>Long-lead items (sampling-arm actuators, radiation-hardened electronics, long-lead detector components) — when is the list ready? When are they procured and paid?</t>
  </si>
  <si>
    <t>Schedule Assumptions for Integrated Testing (Assembly at Mission Level) - SAIT</t>
  </si>
  <si>
    <t>Is the Prime (EDA) expecting delivery at a given date?</t>
  </si>
  <si>
    <t>Assuming the Prime (EDA) will handle spacecraft assembly, integration and test during SAIT. The Prime need date for flight units is driven by the Mission CDR schedule. The CSA must ship the flight units ahead of Mission CDR (see Assumption 05).</t>
  </si>
  <si>
    <t>How long is SAIT expected to last?</t>
  </si>
  <si>
    <t>In the ORCA Scenario 1 baseline, MAIT/SAIT / Phase D spans ~84 months (Jan 2034 - Dec 2040), reflecting long-lead radiation-hardened parts and the host-orbiter integration schedule.</t>
  </si>
  <si>
    <t>Any extended long term storage planned? No</t>
  </si>
  <si>
    <t>Schedule Assumptions for Launch &amp; Early Ops</t>
  </si>
  <si>
    <t>ORCA's interplanetary cruise to Enceladus (via Jupiter gravity assist) is carried on the NEREID orbiter. Post-orbit-insertion checkout of the ORCA instrument suite is assumed ~30 days (20-50 day range).</t>
  </si>
  <si>
    <t>how much time for commissioning? 1 -3 months</t>
  </si>
  <si>
    <t>Any launch window constraints? The launch window is set by planetary alignment for the Jupiter gravity assist and is a hard constraint (host orbiter, NASA-led).</t>
  </si>
  <si>
    <t xml:space="preserve">Schedule Assumptions for Ground Segment </t>
  </si>
  <si>
    <t>Ground-segment dependency: instrument telemetry and commands are relayed via the NEREID orbiter's (NASA-led) Deep Space Network downlink; CSA operates its own Mission Operations Centre and processes instrument science data.</t>
  </si>
  <si>
    <t xml:space="preserve">Schedule Assumptions for Ops Segment </t>
  </si>
  <si>
    <t>Nominal Phase E operations ≈ 180 months (~15 years) in Scenario 1, reflecting the long-duration Enceladus science campaign</t>
  </si>
  <si>
    <t>Assumed total operating life including extended ops &amp; disposal (Phase E + Phase X) ≈ 18.5 years (Scenario 1)</t>
  </si>
  <si>
    <t xml:space="preserve">Schedule Assumptions for Science Segment </t>
  </si>
  <si>
    <t>Did Science activities (science maturation studies) occur before Phase 0? Yes</t>
  </si>
  <si>
    <t>Did Science team participate in Phase 0/A to refine requirements? Yes</t>
  </si>
  <si>
    <t>Did Science team participate in Phase BCD to assist in mission design? Yes</t>
  </si>
  <si>
    <t>Will science team condut any calibration, validation activities (ex. Sub-orbital capaign) before end of commissioning?</t>
  </si>
  <si>
    <t>Will science team condut any calibration, validation activities (ex. Sub-orbital capaign) after commissioning?</t>
  </si>
  <si>
    <t>How long after the space segment ends will the collected data still be considered useful (duration of Phase X)?</t>
  </si>
  <si>
    <t xml:space="preserve">Costing CSA Ground Rules &amp; Assumptions template </t>
  </si>
  <si>
    <t>Last review</t>
  </si>
  <si>
    <t>Catégorie</t>
  </si>
  <si>
    <t>Sub-category</t>
  </si>
  <si>
    <t>Items</t>
  </si>
  <si>
    <t>GR or A</t>
  </si>
  <si>
    <t>Title</t>
  </si>
  <si>
    <t>CBS # linked to GR&amp;A</t>
  </si>
  <si>
    <t>Impact on Project</t>
  </si>
  <si>
    <t>Impact on costing, methodology, models, tools &amp; analysis</t>
  </si>
  <si>
    <t xml:space="preserve">Excepted source </t>
  </si>
  <si>
    <t>Do not delete - Mireille</t>
  </si>
  <si>
    <t>Source/Link</t>
  </si>
  <si>
    <t xml:space="preserve">Other rational </t>
  </si>
  <si>
    <t xml:space="preserve">Waiver deviation </t>
  </si>
  <si>
    <t>Hypothèses Programmatiques</t>
  </si>
  <si>
    <t>Strategy Naratives</t>
  </si>
  <si>
    <t>Objectifs politiques et stratégiques</t>
  </si>
  <si>
    <t>Alignement sur la stratégie de l’ASC</t>
  </si>
  <si>
    <t>Business Case et/ou CADRE Part C onglet CM list</t>
  </si>
  <si>
    <t>Strategy</t>
  </si>
  <si>
    <t>Contraintes gouvernementales ou directives de haut niveau</t>
  </si>
  <si>
    <t>Type de mission : Flagship, LargeSat, SmallSat, NanoSat, Hosted Payload, Data stream partnership, data stream purchase</t>
  </si>
  <si>
    <t>CADRE Part A</t>
  </si>
  <si>
    <t>CADRE Part A ou contants</t>
  </si>
  <si>
    <t>Disciplines et secteur : SatCom, Astronomie, exploration spatiale,...</t>
  </si>
  <si>
    <t>Dépendances avec d'autres projets/missions</t>
  </si>
  <si>
    <t>Budget global et financement</t>
  </si>
  <si>
    <t>Soumission au Conseil du Tésor (TBSub) - But de l'exercice de costing : Budget Ask, Reprofiling,… Définir le nombre de TBSub + échéancier associé aux TBSub</t>
  </si>
  <si>
    <t xml:space="preserve">CADRE Part C onglet Stratégie contractuelle  </t>
  </si>
  <si>
    <t xml:space="preserve">Enveloppe de la masse salariale </t>
  </si>
  <si>
    <t>CADRE Part C onglet RAM</t>
  </si>
  <si>
    <t>Enveloppe des frais de gestion et plan de voyages</t>
  </si>
  <si>
    <t>CADRE Part C onglet Overhead Costs</t>
  </si>
  <si>
    <t>Costign Plan</t>
  </si>
  <si>
    <t xml:space="preserve">Méthodologie d'établissement des coûts </t>
  </si>
  <si>
    <t>Plan de l’exercice d’établissement des coûts</t>
  </si>
  <si>
    <t>Costing Plan</t>
  </si>
  <si>
    <t>Note de réflexion supplémentaire</t>
  </si>
  <si>
    <t>Au moins 2 façon différentes pour chaque incluant RAM</t>
  </si>
  <si>
    <t>Plan de l’exercice d’établissement des coûts - Méthodologies</t>
  </si>
  <si>
    <t>Analyse de sensibilité</t>
  </si>
  <si>
    <t>À compléter par Finance</t>
  </si>
  <si>
    <t xml:space="preserve"> Sufficiency Report or Independent Cost Estimate or Independent Cost Review </t>
  </si>
  <si>
    <t>Analogie (nearest neighboors), lesquels.</t>
  </si>
  <si>
    <t>Analyse paramétrique (True planning, PCEC, NCIM, SEER, Compact). CER Calibration Plan.</t>
  </si>
  <si>
    <t>Soumission de l'industrie et jugement d'expert</t>
  </si>
  <si>
    <t>Analyse Monte Carlo (crystal ball)</t>
  </si>
  <si>
    <t>Bottom up, qui le fait et comment</t>
  </si>
  <si>
    <t xml:space="preserve">Learning curves </t>
  </si>
  <si>
    <t>RASCI =  qui fait quoi. bottom up = Plan de l’exercice d’établissement des coûts</t>
  </si>
  <si>
    <t xml:space="preserve">Inducteurs de coûts princicaux </t>
  </si>
  <si>
    <t>CADRE Part C onglet CER &amp; Tools</t>
  </si>
  <si>
    <t xml:space="preserve">Normalisation ( Stochométrie) - si applicable </t>
  </si>
  <si>
    <t>le choix de l'outil dicte CADRE part B qui collecte info pour l'analyse paramétrique</t>
  </si>
  <si>
    <t>Tracabilité - accès aux sources - répertoires normalisés -liens</t>
  </si>
  <si>
    <t>Stratégie de financement</t>
  </si>
  <si>
    <t>Limitation des coûts :  Par exemple, les sources de financement instables, les contraintes de personnel ou un budget à ne pas dépasser devraient être documentés.</t>
  </si>
  <si>
    <t xml:space="preserve">Enveloppe Services internes - O&amp;M et RAM </t>
  </si>
  <si>
    <t>CADRE Part C onglet Services internes</t>
  </si>
  <si>
    <t>OBS</t>
  </si>
  <si>
    <t>Partenariats (OGD, internationaux, industriels)</t>
  </si>
  <si>
    <t>Rôles et responsabilités des principaux partenaires (agences spatiales, industriels, universités et autres ministères)</t>
  </si>
  <si>
    <t>CADRE Part C onglet OBS</t>
  </si>
  <si>
    <t>Modalités de partage des coûts et des risques</t>
  </si>
  <si>
    <t>CADRE Part C onglet OBS - Cost Sharing provisions</t>
  </si>
  <si>
    <t>Si applicable, dépenses éligibles de l'OTAN</t>
  </si>
  <si>
    <t>À définir ici</t>
  </si>
  <si>
    <t>8. Economic Constants and short answers</t>
  </si>
  <si>
    <t>Gouvernance et autorités</t>
  </si>
  <si>
    <t>Ordre de grandeur général du projet (petit, moyen, grand, flagship)</t>
  </si>
  <si>
    <t>CERCES scale</t>
  </si>
  <si>
    <t>Nature of the costing perimeter (degree of difficulty of costing exercise)</t>
  </si>
  <si>
    <t>Palier/ Tier</t>
  </si>
  <si>
    <t>PCRA</t>
  </si>
  <si>
    <t>Point de décision</t>
  </si>
  <si>
    <t>CADRE Part C - onglet Phasing Model</t>
  </si>
  <si>
    <t>Costing Exercise Schedule and associated milestones - Costing Plan, Internal WebReport Dashboard and power BI dashboard for CLAD</t>
  </si>
  <si>
    <t>Hypothèses Financières</t>
  </si>
  <si>
    <t>8. Inflation Model</t>
  </si>
  <si>
    <t>Indices économiques et inflation</t>
  </si>
  <si>
    <t>Taux d’inflation annuel, indice utilisé (IPC, indice sectoriel), taux de déflation</t>
  </si>
  <si>
    <t>Inflation Model dans son propre document - Oracle db ID</t>
  </si>
  <si>
    <t>Taux EBP 27%</t>
  </si>
  <si>
    <t>Financial Constants Reports  - CSA-FIN-RPT-XXXX rev 3</t>
  </si>
  <si>
    <t>Modèle d'inflation appliqué</t>
  </si>
  <si>
    <t xml:space="preserve">Année de base / Base year </t>
  </si>
  <si>
    <t>SSC 4%</t>
  </si>
  <si>
    <t>PSPC 13%</t>
  </si>
  <si>
    <t xml:space="preserve">Taux du Fairness Monitor </t>
  </si>
  <si>
    <t>Taux de change</t>
  </si>
  <si>
    <t>Monnaies concernées et valeur de référence (CAD, USD, EUR, etc.)</t>
  </si>
  <si>
    <t>Seuil de variation accepté avant révision budgétaire</t>
  </si>
  <si>
    <t>Defined in constnats, used in risk analysis. risk reserve - Risk register</t>
  </si>
  <si>
    <t>Contingence et marges de sécurité</t>
  </si>
  <si>
    <t>Pourcentage de contingence sur le coût total du projet (p. ex. 10 à 20 %)</t>
  </si>
  <si>
    <t>Defined in constnats, used in risk analysis. risk register  onglet. Unknown-Unknown Risk margin</t>
  </si>
  <si>
    <t>Barème d’évaluation des risques majeurs pour justifier la marge appliquée (modèle d’analyse de risques)</t>
  </si>
  <si>
    <t xml:space="preserve">À définir ici </t>
  </si>
  <si>
    <t>Je ne comprends pas la question</t>
  </si>
  <si>
    <t>Stratégie contractuelle, coûts de main-d’œuvre et de sous-traitance</t>
  </si>
  <si>
    <t>Sunk Costs Report (STDP, EOADP, Cap Demo, Stedia FAST, ESA Program, Cubesats, space hub, Pre-Phase 0 etc)</t>
  </si>
  <si>
    <t>CADRe part C - Expenditure plan</t>
  </si>
  <si>
    <t>Stratégie contractuel Phase 0/A - 1 / 2 contrats</t>
  </si>
  <si>
    <t xml:space="preserve">CADRe Part C - Procurement strategy </t>
  </si>
  <si>
    <t>Nombre de contrats et valeur approximative prévus par phase</t>
  </si>
  <si>
    <t>CADRe Part C - Procurement Plan (list)</t>
  </si>
  <si>
    <t>Contrats en parallèle avec des concepts différents et un down select</t>
  </si>
  <si>
    <t>Agile ou waterfall</t>
  </si>
  <si>
    <t>STDP ou CapDemo en même temps que la phase 0 ou A</t>
  </si>
  <si>
    <t xml:space="preserve">Les fournisseurs attendus et leur capacite de production </t>
  </si>
  <si>
    <t>Type de SOW - SOW directif versus une architecture de mission proposée par le fournisseur</t>
  </si>
  <si>
    <t>Freedom of Design of Vendor</t>
  </si>
  <si>
    <t>CADRE Part C onglet OBS Maturité orgnisationelle du fourniseur</t>
  </si>
  <si>
    <t xml:space="preserve">Types de contrat – source unique ou compétitif (Contrat dirigé en Phase E ops aura une incidence sur le design du ground segment) </t>
  </si>
  <si>
    <t>Types de contrat – cout remboursable ou prix ferme</t>
  </si>
  <si>
    <t>Type de contrat: gonogo, options, milestones in April for CAFÉ</t>
  </si>
  <si>
    <t>Split next line into 2</t>
  </si>
  <si>
    <t>12 - Dispose, Divest, Descope, Delay</t>
  </si>
  <si>
    <t>Gestion du scope change et des risques dans chaque situation : cout remboursable (TA, options, gouvernance) ; prix ferme (descope, go no go, qualité du SOW a décrire le scope)</t>
  </si>
  <si>
    <t>Descope est dans DDD</t>
  </si>
  <si>
    <t>DDDD</t>
  </si>
  <si>
    <t>G&amp;C (cassiope ou radarsat 2) nous appartient pas</t>
  </si>
  <si>
    <t>Business model (CADRe part A) et le procurement strategy le repete</t>
  </si>
  <si>
    <t xml:space="preserve">incitatif commercial (ex. modele de commercialization comme WFS) </t>
  </si>
  <si>
    <t>Pour chaque phase et sous-systeme majeur -  CSA led, industry led, academia led (ex. En Phase E, CSA va mener les operations)</t>
  </si>
  <si>
    <t>Competitif - ouvert a l'international</t>
  </si>
  <si>
    <t>Competitif - ouvert au Canada</t>
  </si>
  <si>
    <t>Fausse competition</t>
  </si>
  <si>
    <t>monopole</t>
  </si>
  <si>
    <t>Dependences : Le fournisseur X doit etre le meme fournisseur que le fournisseur Y (Ex. Data processing handled by same supplier)</t>
  </si>
  <si>
    <t>Long lead Item - flux de trésorie en capital vs contrat vs échéancier</t>
  </si>
  <si>
    <t>CADRE Part C onglet QUANTITIES - LLI, spares, EM, PFM, RE-NRE</t>
  </si>
  <si>
    <t>Contenu Canadien</t>
  </si>
  <si>
    <t>Chaque contrat couvre quel partie du travail, liste d'inclusions et exclusions. List of inclusions and exclusions</t>
  </si>
  <si>
    <t>CBS Dictionary</t>
  </si>
  <si>
    <t>GFE and GFS (ex. DFL)</t>
  </si>
  <si>
    <t>Frais de transport et responsabilité</t>
  </si>
  <si>
    <t>Frais d'assurance et limitation de responsabilité</t>
  </si>
  <si>
    <t>Qualité du SOW</t>
  </si>
  <si>
    <t>RISK posture</t>
  </si>
  <si>
    <t>Stabilité des exigences. Par exemple, des exigences très instables, un nombre standard de demandes de modification technique, des exigences stables avec peu ou pas de changements attendus, etc.</t>
  </si>
  <si>
    <t>Résultats du RFI</t>
  </si>
  <si>
    <t>Procurement strategy</t>
  </si>
  <si>
    <t>Stratégie contractuelle Phase BCD - Concurrentiel, source unique (voir note de réflexion du point 2.4.1)</t>
  </si>
  <si>
    <t>Stratégie contractuelle Phase EF - Concurrentiel, source unique (voir note de réflexion du point 2.4.1)</t>
  </si>
  <si>
    <t>Capacité du vendeur dans le marché actuel, surcharge contractuel, effectif disponible</t>
  </si>
  <si>
    <t>OBS Maturité orgnisationelle du fourniseur</t>
  </si>
  <si>
    <t>Taux standard pour les ingénieurs, techniciens, gestionnaires, etc.</t>
  </si>
  <si>
    <t>Taux spécifiques pour les consultants ou experts externes</t>
  </si>
  <si>
    <t>Barème pour les appels d’offres et la sous-traitance (plafonds, politiques internes)</t>
  </si>
  <si>
    <t>Taux de frais et de profit appliqué au contrat</t>
  </si>
  <si>
    <t>Plan de gestion des risques financiers</t>
  </si>
  <si>
    <t>Existence d’une réserve pour risques identifiés (p. ex. volatilité du marché, retards de paiement)</t>
  </si>
  <si>
    <t>Registre de risque</t>
  </si>
  <si>
    <t xml:space="preserve">Descope Plan and other strategies to deal with funding shortfalls, </t>
  </si>
  <si>
    <t>À définir ici et lié au CADRE Part C - onglet DDDD</t>
  </si>
  <si>
    <t>Source of funding for each CBS element and Risk to A-Base</t>
  </si>
  <si>
    <t>Expenditure plan</t>
  </si>
  <si>
    <t xml:space="preserve">Taxes </t>
  </si>
  <si>
    <t>Pays, province et taux de taxes applicables</t>
  </si>
  <si>
    <t>Hypothèses Techniques (Space &amp; Ground Segment)</t>
  </si>
  <si>
    <t>TRRA</t>
  </si>
  <si>
    <t>Technologie et niveau de maturité (TRL)</t>
  </si>
  <si>
    <t>TRL initial prévu pour les composants clés</t>
  </si>
  <si>
    <t>CADRE Part C onglet TRL</t>
  </si>
  <si>
    <t>TRL</t>
  </si>
  <si>
    <t>Objectifs de TRL à atteindre pour chaque phase du projet</t>
  </si>
  <si>
    <t>4a. CBS and CBS Dictionary</t>
  </si>
  <si>
    <t xml:space="preserve">Sous-systèmes et architecture globale </t>
  </si>
  <si>
    <t>Liste et description des principaux sous-systèmes (structure, propulsion, contrôle d’attitude, communication, etc.)</t>
  </si>
  <si>
    <t>CBS</t>
  </si>
  <si>
    <t>Interfaces critiques (par ex. protocole de communication, alignement mécanique)</t>
  </si>
  <si>
    <t>TRL assessment tab - worry list</t>
  </si>
  <si>
    <t>This ground rule should state, at a high level, what is within scope of the estimate. For example, an estimate may cover the space segment, ground segment, and government oversight during phases B, C and D. Further clarification should be given if required, such as refurbishment of the ground segment rather than complete rebuild.</t>
  </si>
  <si>
    <t>Perimeter of costing exercise. Further Claraifications in CBs dictionary</t>
  </si>
  <si>
    <t>Durée de vie du projet et cycles de développement</t>
  </si>
  <si>
    <t>Stratégie de validation (modèles d’ingénierie, prototypes, simulations)</t>
  </si>
  <si>
    <t>Quantities</t>
  </si>
  <si>
    <t>Méthodes d’essais en environnement (thermique, vibration, vide, etc.)</t>
  </si>
  <si>
    <t>This assumption should state the expected build approach for the mission. For example, the bus/platform and payloads could be built in series or parallel.</t>
  </si>
  <si>
    <t>This assumption should state the cost improvement curve, as a percentile, for any items to be acquired with more than a single unit. If appropriate, items should be marked as Xth unit within a lot, such as the 8th unit, to allow for cost improvement curve theory to be reflected.</t>
  </si>
  <si>
    <t>Engineering Parameters in CADRe part B</t>
  </si>
  <si>
    <t>Contraintes techniques spécifiques</t>
  </si>
  <si>
    <t>Estimation de masse et de volume du système</t>
  </si>
  <si>
    <t>CADRE part B</t>
  </si>
  <si>
    <t>Consommation électrique maximale</t>
  </si>
  <si>
    <t>Besoins minimaux pour assurer la fiabilité</t>
  </si>
  <si>
    <t>Hypothèses Qualité, Fiabilité et Sécurité</t>
  </si>
  <si>
    <t>Normes et standards de qualité</t>
  </si>
  <si>
    <t>ECSS-Q-ST-20, ISO 9001, etc.</t>
  </si>
  <si>
    <t>Méthodes d’assurance qualité (revues, audits internes et externes)</t>
  </si>
  <si>
    <t>Safety and mission assurance</t>
  </si>
  <si>
    <t xml:space="preserve">Classe de Mission </t>
  </si>
  <si>
    <t>La mesure de la surveillance et de la rigueur appliquées par la CSA</t>
  </si>
  <si>
    <t>Hypothèses Opérationnelles</t>
  </si>
  <si>
    <t>Ressources humaines et expertise</t>
  </si>
  <si>
    <t>Équipe de base (ETP internes) et besoins en personnel spécialisé externe</t>
  </si>
  <si>
    <t>Disponibilité du personnel et plan de montée en compétence</t>
  </si>
  <si>
    <t>Calendrier, jalons et ressources temporelles</t>
  </si>
  <si>
    <t>Dates clés (ex. PDR – Preliminary Design Review, CDR – Critical Design Review, FRR – Flight Readiness Review) / Project Milestone Register (short report, detailed report)</t>
  </si>
  <si>
    <t>milestone Register</t>
  </si>
  <si>
    <t>Diagram of Phase Overlaps and Gaps</t>
  </si>
  <si>
    <t>we draw it form phasing</t>
  </si>
  <si>
    <t>GANTT Charts</t>
  </si>
  <si>
    <t>Marges pour délais</t>
  </si>
  <si>
    <t>Phasing Model, phases</t>
  </si>
  <si>
    <t>Schedule Constraints</t>
  </si>
  <si>
    <t>Gestion des retards : conditions de replanification, procédures d’escalade</t>
  </si>
  <si>
    <t>Phasing Schedules</t>
  </si>
  <si>
    <t>Modèle de phase utilisé pour analyse de sensibilité (Phasing Model)</t>
  </si>
  <si>
    <t>Phasing model (for risk analysis)</t>
  </si>
  <si>
    <t xml:space="preserve">Échéancier de l'industrie </t>
  </si>
  <si>
    <t>Schedule Scenarios for sensitivity analysis : Adjust Durations - optimistic, pessimistic and expected</t>
  </si>
  <si>
    <t>Planification des infrastructures et installations</t>
  </si>
  <si>
    <t>Is DFL being used as GFE</t>
  </si>
  <si>
    <t>DFL being used? Strategy</t>
  </si>
  <si>
    <t>Lieux de développement, sites d’intégration et de test (chambres à vide, bancs de test)</t>
  </si>
  <si>
    <t>CBS Dictionary - Ground Segment - Test facilities</t>
  </si>
  <si>
    <t>Disponibilité des installations (ex. créneaux de test partagés avec d’autres projets)</t>
  </si>
  <si>
    <t>schedule risk =  risk register -&gt; pessimistic schedule model</t>
  </si>
  <si>
    <t>Gestion de la logistique et de la chaîne d’approvisionnement</t>
  </si>
  <si>
    <t>Délai de livraison des composants critiques (satellites, propulseurs, éléments électroniques)</t>
  </si>
  <si>
    <t>Plans de contingence en cas de rupture d’approvisionnement</t>
  </si>
  <si>
    <t>CADRE Part C onglet DDDD - dispose, descope, divest, delay</t>
  </si>
  <si>
    <t>Plan de gestion de mission (SatOps)</t>
  </si>
  <si>
    <t>Description des opérations prévues : phases de lancement, mise à l’orbite, opérations nominales, etc.</t>
  </si>
  <si>
    <t>Cadre part A</t>
  </si>
  <si>
    <t>Mode de supervision et contrôle (centres de contrôle, horaires, équipes)</t>
  </si>
  <si>
    <t>Cadre Part A</t>
  </si>
  <si>
    <t>Mission Operation Center</t>
  </si>
  <si>
    <t>GoC Science Operation Centers (SOCs)</t>
  </si>
  <si>
    <t>External Science Operation Centers (ESOCs)</t>
  </si>
  <si>
    <t>Hypothèses sur la science</t>
  </si>
  <si>
    <t>Science et applications</t>
  </si>
  <si>
    <t>Échéancier lié au volet de science du projet</t>
  </si>
  <si>
    <t>Expected cost of science utilization related to the mission.</t>
  </si>
  <si>
    <t>Portée de la mission sur le milieu public et académique</t>
  </si>
  <si>
    <t>Coût en lien avec la portée de la mission</t>
  </si>
  <si>
    <t>Hypothèses Lancement</t>
  </si>
  <si>
    <t>Véhicule de lancement</t>
  </si>
  <si>
    <t>Sélection du lanceur (ex. Falcon 9, Ariane, etc.) ou fenêtre de lancement partagée</t>
  </si>
  <si>
    <t>Capacités du lanceur (masse, volume, orbite cible)</t>
  </si>
  <si>
    <t>Cadre part A un petit peu et le reste dans le LV database CM list</t>
  </si>
  <si>
    <t>Calendrier de lancement</t>
  </si>
  <si>
    <t>Fenêtres de lancement disponibles (contraintes de météo, alignement orbital, etc.)</t>
  </si>
  <si>
    <t>Schedule assumptions and constraints for JCL Analysis</t>
  </si>
  <si>
    <t>Contingences pour reports éventuels</t>
  </si>
  <si>
    <t>Contrat et services associés</t>
  </si>
  <si>
    <t>Responsabilités du fournisseur de lancement (intégration, tests, qualification)</t>
  </si>
  <si>
    <t>OBS (roles et responsiblity) - CSa qui paye ou MDa qui paye</t>
  </si>
  <si>
    <t>Assurances (couverture du satellite, du lanceur, etc.)</t>
  </si>
  <si>
    <t>CBS Dictionary - if insurance</t>
  </si>
  <si>
    <t xml:space="preserve">Hypothèses Opérations en orbite </t>
  </si>
  <si>
    <t>Mode opératoire</t>
  </si>
  <si>
    <t>Gestion du satellite ou rover (téléopération vs. autonomie)</t>
  </si>
  <si>
    <t>Durée et fréquence des communications</t>
  </si>
  <si>
    <t>CADRE Part B</t>
  </si>
  <si>
    <t>Maintenance, réparations et évolutions</t>
  </si>
  <si>
    <t>Possibilité ou non de mise à jour logicielle en vol (OTA updates)</t>
  </si>
  <si>
    <t>CADRE part A - Bus FSW section</t>
  </si>
  <si>
    <t xml:space="preserve">Stratégiques de réparation ou d’assistance robotique </t>
  </si>
  <si>
    <t>CADRE part A - does it have any robotic repair interfaces</t>
  </si>
  <si>
    <t>Fin de mission et désorbitation</t>
  </si>
  <si>
    <t>Scénario de désorbitation contrôlée ou passivation (réservoirs, batteries)</t>
  </si>
  <si>
    <t>Dépôt sur orbite-cimetière pour le matériel en fin de vie (si admissible)</t>
  </si>
  <si>
    <t>Flux de documentation et reporting</t>
  </si>
  <si>
    <t>Fréquence des rapports d’avancement (hebdomadaires, mensuels)</t>
  </si>
  <si>
    <t>Classifications et diffusion</t>
  </si>
  <si>
    <t>Niveau de confidentialité (projet public, secret défense, propriété intellectuelle)</t>
  </si>
  <si>
    <t>Politiques de publication ou de diffusion des résultats</t>
  </si>
  <si>
    <t>À définir ici et/ou Business Case</t>
  </si>
  <si>
    <t>Hypothèses Légales, Réglementaires et Sécuritaires</t>
  </si>
  <si>
    <t>Réglementations gouvernementales</t>
  </si>
  <si>
    <t>Exigences fédérales (agences spatiales, ministères, etc.)</t>
  </si>
  <si>
    <t>Normes internationales (ECSS, ISO, NASA, CSA, etc.)</t>
  </si>
  <si>
    <t>Règles et régulations afférentes</t>
  </si>
  <si>
    <t>Contrôle à l’exportation (ex. ITAR, EAR)</t>
  </si>
  <si>
    <t>Identification des composants ou technologies soumis à licences</t>
  </si>
  <si>
    <t>Implications sur la gestion des fournisseurs et des partenaires étrangers</t>
  </si>
  <si>
    <t>Sécurité et sûreté</t>
  </si>
  <si>
    <t>Mesures de cybersécurité (protection des données, des communications, etc.)</t>
  </si>
  <si>
    <t>Exigences de sûreté pour le personnel et les installations (accès restreints, habilitations)</t>
  </si>
  <si>
    <t>Droit spatial et aspects juridiques</t>
  </si>
  <si>
    <t>Propriété et exploitation des données spatiales</t>
  </si>
  <si>
    <t>Protocole en cas de débris spatiaux, en fin de vie du satellite</t>
  </si>
  <si>
    <t>Propriété intellectuelle</t>
  </si>
  <si>
    <t xml:space="preserve">Propriété intellectuel en lien avec le projet - enjeux </t>
  </si>
  <si>
    <t>Hypothèses Environnementales</t>
  </si>
  <si>
    <t>Gestion des débris spatiaux</t>
  </si>
  <si>
    <t>Respect des lignes directrices d’atténuation des débris (liaisons, désorbitation en fin de vie)</t>
  </si>
  <si>
    <t>Méthodes envisagées pour minimiser la pollution orbitale</t>
  </si>
  <si>
    <t>Green space</t>
  </si>
  <si>
    <t>Impacts environnementaux terrestres</t>
  </si>
  <si>
    <t>Contrôle des émissions lors du lancement (polluants, bruit, etc.)</t>
  </si>
  <si>
    <t>CADRE Part C onglet Green Space</t>
  </si>
  <si>
    <t>Green Space</t>
  </si>
  <si>
    <t>Politique de recyclage ou de réutilisation des composants</t>
  </si>
  <si>
    <t>Hypothèses sur le risques</t>
  </si>
  <si>
    <t xml:space="preserve">Risques </t>
  </si>
  <si>
    <t>Risque du Projet Phase A à D</t>
  </si>
  <si>
    <t>Risque du Projet Phase E</t>
  </si>
  <si>
    <t>Risque du Projet Phase F</t>
  </si>
  <si>
    <t>Risque Science</t>
  </si>
  <si>
    <t>Risque Salaire</t>
  </si>
  <si>
    <t>Schedule Risk Assessment file (ms project) as input to the Joint Cost and Schedule Confidence Analysis Report</t>
  </si>
  <si>
    <t>Aspect critique de la mission et impact si la mission n'est pas respectée</t>
  </si>
  <si>
    <t>minimum mission success criteria - DRM - CADRE part C Taxon</t>
  </si>
  <si>
    <t>Hypothèse sur les mesures de performance par la valeur acquise</t>
  </si>
  <si>
    <t>CADRe part D - EVM</t>
  </si>
  <si>
    <t>Mesures de performance par la valeur acquise (EVM = Earn Value Management)</t>
  </si>
  <si>
    <t>Seuil orange et rouge pour EVM justifiant une réduction de la portée, une replanification</t>
  </si>
  <si>
    <t>pas dans ce fichier, pas avant PDR</t>
  </si>
  <si>
    <t>11 - Strategy Narratives</t>
  </si>
  <si>
    <t>Part of GRA</t>
  </si>
  <si>
    <t>This page is full of essays, tell us what you have in mind</t>
  </si>
  <si>
    <t>Section 1 - Strategic Direction</t>
  </si>
  <si>
    <t>Question</t>
  </si>
  <si>
    <t>Expected Response</t>
  </si>
  <si>
    <t>Classification</t>
  </si>
  <si>
    <t>Status</t>
  </si>
  <si>
    <t>Response / Narrative</t>
  </si>
  <si>
    <t>Basis / Source</t>
  </si>
  <si>
    <t>Owner</t>
  </si>
  <si>
    <t>Confidence</t>
  </si>
  <si>
    <t>Cost / Schedule / Risk Impact</t>
  </si>
  <si>
    <t>STR-01</t>
  </si>
  <si>
    <t>Policy alignment</t>
  </si>
  <si>
    <t>What policy outcome or strategic objective is the mission intended to advance?</t>
  </si>
  <si>
    <t>Narrative with references</t>
  </si>
  <si>
    <t>Ground rule</t>
  </si>
  <si>
    <t>Drafted</t>
  </si>
  <si>
    <t>ORCA advances Canada's Space Policy Framework commitment to Canadian leadership in planetary science by contributing instruments to an international flagship mission to characterize Enceladus's sub-surface ocean and plume chemistry.</t>
  </si>
  <si>
    <t>GC Space Policy Framework; ORCA CADRe Part A §2.3</t>
  </si>
  <si>
    <t>Marie Tremblay (ORCA Mission Manager)</t>
  </si>
  <si>
    <t>High</t>
  </si>
  <si>
    <t>Strategic driver; defines ADR demonstration scope. Low direct cost impact.</t>
  </si>
  <si>
    <t>STR-02</t>
  </si>
  <si>
    <t>CSA alignment</t>
  </si>
  <si>
    <t>How does the mission align with CSA priorities, programs, and expected results?</t>
  </si>
  <si>
    <t>Aligns with CSA priorities in planetary exploration, astrobiology-relevant science, and Canadian instrument leadership, building on heritage radar and in-situ sampling technologies.</t>
  </si>
  <si>
    <t>CSA program priorities; Part A §2.2-2.3</t>
  </si>
  <si>
    <t>Alan Whitfield (Portfolio Manager)</t>
  </si>
  <si>
    <t>Reinforces robotics workforce investment.</t>
  </si>
  <si>
    <t>STR-03</t>
  </si>
  <si>
    <t>Government direction</t>
  </si>
  <si>
    <t>What government decisions, mandates, commitments, or high-level directives constrain the mission?</t>
  </si>
  <si>
    <t>List and implications</t>
  </si>
  <si>
    <t>CSA-owned and -operated mission, executed by the Canadian Orbital Mission Directorate (COMD) project office; must stay within the approved envelope and comply with GC procurement and Canadian-content direction.</t>
  </si>
  <si>
    <t>TB submission / GC direction (assumed)</t>
  </si>
  <si>
    <t>Medium</t>
  </si>
  <si>
    <t>Constrains procurement approach and gate schedule.</t>
  </si>
  <si>
    <t>STR-04</t>
  </si>
  <si>
    <t>Success criteria</t>
  </si>
  <si>
    <t>What strategic outcomes define mission success, and how will they be measured?</t>
  </si>
  <si>
    <t>Outcomes and measures</t>
  </si>
  <si>
    <t>Success = ORCA instrument suite delivered to the host orbiter on schedule, successful commissioning at Enceladus, and at least the primary plume-transit science passes completed to specification.</t>
  </si>
  <si>
    <t>Part A §2.4 mission requirements</t>
  </si>
  <si>
    <t>Naomi Fitzgerald (Lead Spacecraft Systems Engineer)</t>
  </si>
  <si>
    <t>Defines verification scope; drives test cost.</t>
  </si>
  <si>
    <t>STR-05</t>
  </si>
  <si>
    <t>Priority and trade-offs</t>
  </si>
  <si>
    <t>When cost, schedule, scope, performance, and risk conflict, what is the order of priority?</t>
  </si>
  <si>
    <t>Ranked priorities</t>
  </si>
  <si>
    <t>Priority order: (1) safety / planetary protection, (2) performance (successful plume sampling and analysis), (3) schedule (host-orbiter launch window), (4) cost, (5) extended scope.</t>
  </si>
  <si>
    <t>SMA Class B posture (Part A §6.4)</t>
  </si>
  <si>
    <t>Guides reserve release and descope decisions.</t>
  </si>
  <si>
    <t>Section 2 - Funding and Affordability</t>
  </si>
  <si>
    <t>FND-01</t>
  </si>
  <si>
    <t>Funding strategy</t>
  </si>
  <si>
    <t>What is the planned source and timing of funding by mission phase?</t>
  </si>
  <si>
    <t>Funding profile by phase</t>
  </si>
  <si>
    <t>A-base CSA appropriation phased across Phase 0-X (FY2020-FY2032), weighted to the Phase C/D build (FY2024-FY2027).</t>
  </si>
  <si>
    <t>ORCA Scenario 1 phasing (Part D §7)</t>
  </si>
  <si>
    <t>Samuel Boucher (Schedule and Cost Management Engineer)</t>
  </si>
  <si>
    <t>Funding profile matches Scenario 1 durations.</t>
  </si>
  <si>
    <t>FND-02</t>
  </si>
  <si>
    <t>Affordability limit</t>
  </si>
  <si>
    <t>Is there a cost ceiling, target, annual limit, or approval threshold that must not be exceeded?</t>
  </si>
  <si>
    <t>Amounts, years, and basis</t>
  </si>
  <si>
    <t>A not-to-exceed program ceiling is set at TB approval, with annual cash-flow limits by fiscal year.</t>
  </si>
  <si>
    <t>TB authority (assumed)</t>
  </si>
  <si>
    <t>Low</t>
  </si>
  <si>
    <t>Cost ceiling drives descope triggers.</t>
  </si>
  <si>
    <t>FND-03</t>
  </si>
  <si>
    <t>Funding stability</t>
  </si>
  <si>
    <t>How stable is the expected funding profile, and what changes or interruptions should be assumed?</t>
  </si>
  <si>
    <t>Scenario or constraints</t>
  </si>
  <si>
    <t>Assume stable A-base funding with risk of single-year deferrals; a one-year slip is carried in the Pessimistic schedule.</t>
  </si>
  <si>
    <t>Scenario 3 sensitivity (Part D §7)</t>
  </si>
  <si>
    <t>Slip drives salary and escalation growth.</t>
  </si>
  <si>
    <t>FND-04</t>
  </si>
  <si>
    <t>Cost responsibility</t>
  </si>
  <si>
    <t>Which organization will fund each phase, segment, major subsystem, and in-kind contribution?</t>
  </si>
  <si>
    <t>Responsibility matrix</t>
  </si>
  <si>
    <t>CSA funds all phases and segments; no partner cost-share. Partner contributions (ESA, NASA) and academic support are in-kind only.</t>
  </si>
  <si>
    <t>CSA-owned mission (Part D §5 OBS)</t>
  </si>
  <si>
    <t>Limited external funding offset.</t>
  </si>
  <si>
    <t>FND-05</t>
  </si>
  <si>
    <t>Contingency and reserves</t>
  </si>
  <si>
    <t>Who holds cost and schedule contingency, at what level, and under what release authority?</t>
  </si>
  <si>
    <t>Reserve approach</t>
  </si>
  <si>
    <t>CSA holds project-level cost and schedule reserve, released by the ORCA Project Board at gates.</t>
  </si>
  <si>
    <t>IGMF governance</t>
  </si>
  <si>
    <t>Priya Raman (Lead Project Manager)</t>
  </si>
  <si>
    <t>Reserve sized for Class B risk.</t>
  </si>
  <si>
    <t>FND-06</t>
  </si>
  <si>
    <t>Eligible expenditures</t>
  </si>
  <si>
    <t>Are any costs eligible for NATO or other special funding, reimbursement, or cost-sharing arrangements?</t>
  </si>
  <si>
    <t>Eligibility and conditions</t>
  </si>
  <si>
    <t>No NATO or special eligible-cost arrangements; standard CSA appropriation only.</t>
  </si>
  <si>
    <t>Mission classification</t>
  </si>
  <si>
    <t>None.</t>
  </si>
  <si>
    <t>Section 3 - Delivery and Acquisition</t>
  </si>
  <si>
    <t>DEL-01</t>
  </si>
  <si>
    <t>Delivery model</t>
  </si>
  <si>
    <t>For each phase and major element, will delivery be CSA-led, industry-led, partner-led, or academia-led?</t>
  </si>
  <si>
    <t>Responsibility by phase/element</t>
  </si>
  <si>
    <t>Phase 0/A CSA-led studies; Phase B-D industry-led under the Prime (Asterion Orbital Integration Ltd.); Phase E-X CSA-led operations with Prime support.</t>
  </si>
  <si>
    <t>OBS (Part D §5)</t>
  </si>
  <si>
    <t>Sets contract boundaries by phase.</t>
  </si>
  <si>
    <t>DEL-02</t>
  </si>
  <si>
    <t>Development approach</t>
  </si>
  <si>
    <t>Will the work use waterfall, agile, incremental, spiral, or a hybrid approach?</t>
  </si>
  <si>
    <t>Approach by workstream</t>
  </si>
  <si>
    <t>Hybrid: waterfall for flight hardware (gated reviews) and agile for flight software and autonomy.</t>
  </si>
  <si>
    <t>Class B / GOLD Rules (Part A §6.5)</t>
  </si>
  <si>
    <t>Affects test cadence and integration.</t>
  </si>
  <si>
    <t>DEL-03</t>
  </si>
  <si>
    <t>Concept competition</t>
  </si>
  <si>
    <t>Will multiple concepts or parallel contracts be funded before a down-selection?</t>
  </si>
  <si>
    <t>Number, duration, and down-select point</t>
  </si>
  <si>
    <t>Two parallel Phase 0 concept studies are funded, with down-select at Gate 2 (KDP-A).</t>
  </si>
  <si>
    <t>Acquisition assumption</t>
  </si>
  <si>
    <t>Étienne Lacroix (Deputy Project Manager)</t>
  </si>
  <si>
    <t>Adds Phase 0 cost, reduces Phase B risk.</t>
  </si>
  <si>
    <t>DEL-04</t>
  </si>
  <si>
    <t>Procurement packaging</t>
  </si>
  <si>
    <t>How will the mission be divided into contracts, and what are the approximate number and value of contracts by phase?</t>
  </si>
  <si>
    <t>Contract map by phase</t>
  </si>
  <si>
    <t>~7 industry contracts for the ORCA instrument suite: prime/integration (Asterion), Ice-Penetrating Radar (Northstar Orbital Technologies), Sampling Arm (Aetheris Space Robotics), instrument avionics (Polarion Avionics), context imaging (Borealis Vision Systems), instrument data interface (Canterra Space Communications), and structures/thermal (Arcturon Space Structures); plus academic research agreements. Launch and the NEREID orbiter itself are procured by the partner agencies, not CSA.</t>
  </si>
  <si>
    <t>Contract count drives oversight cost.</t>
  </si>
  <si>
    <t>DEL-05</t>
  </si>
  <si>
    <t>Statement of work</t>
  </si>
  <si>
    <t>Will requirements be prescriptive, performance-based, or allow the supplier to propose the mission architecture?</t>
  </si>
  <si>
    <t>SOW approach and rationale</t>
  </si>
  <si>
    <t>Performance-based for the Prime, with prescriptive interface and safety requirements for the sampling-arm subsystem and for the host-orbiter interface control document.</t>
  </si>
  <si>
    <t>Balances innovation against safety rigor.</t>
  </si>
  <si>
    <t>DEL-06</t>
  </si>
  <si>
    <t>Competition strategy</t>
  </si>
  <si>
    <t>For each major procurement, will the approach be competitive, directed, or sole-source?</t>
  </si>
  <si>
    <t>Approach and rationale by procurement</t>
  </si>
  <si>
    <t>Competitive for prime and ground systems; the sampling-arm subsystem may be directed to the heritage supplier (Aetheris Space Robotics).</t>
  </si>
  <si>
    <t>Market assessment</t>
  </si>
  <si>
    <t>Sole-source premium on sampling-arm subsystem.</t>
  </si>
  <si>
    <t>DEL-07</t>
  </si>
  <si>
    <t>Market access</t>
  </si>
  <si>
    <t>Will competitions be open to Canadian suppliers only or to international suppliers?</t>
  </si>
  <si>
    <t>Eligibility by procurement</t>
  </si>
  <si>
    <t>Prime and major subcontracts favour Canadian suppliers per content targets; the host orbiter and launch services are provided by the international partner agencies (ESA, NASA).</t>
  </si>
  <si>
    <t>Canadian-content direction; OBS</t>
  </si>
  <si>
    <t>Mixed domestic/international eligibility.</t>
  </si>
  <si>
    <t>DEL-08</t>
  </si>
  <si>
    <t>Market conditions</t>
  </si>
  <si>
    <t>Are there monopoly, limited-competition, incumbent, or vendor-lock-in conditions that affect price or schedule?</t>
  </si>
  <si>
    <t>Limited domestic competition for the sampling-arm subsystem (near-incumbent Aetheris Space Robotics); vendor lock-in risk monitored.</t>
  </si>
  <si>
    <t>RFI findings (assumed)</t>
  </si>
  <si>
    <t>Price risk on sampling-arm subsystem.</t>
  </si>
  <si>
    <t>DEL-09</t>
  </si>
  <si>
    <t>Contract pricing</t>
  </si>
  <si>
    <t>Will contracts use firm price, cost-reimbursable, time-and-materials, incentive-based, or mixed pricing?</t>
  </si>
  <si>
    <t>Pricing basis by phase/contract</t>
  </si>
  <si>
    <t>Firm price for ground systems; cost-reimbursable with incentive fee for Prime integration and sampling-arm development.</t>
  </si>
  <si>
    <t>Cost risk concentrated on development items.</t>
  </si>
  <si>
    <t>DEL-10</t>
  </si>
  <si>
    <t>Commercial incentives</t>
  </si>
  <si>
    <t>Will revenue sharing, commercialization, service purchases, or other commercial incentives be used?</t>
  </si>
  <si>
    <t>Model and cost implications</t>
  </si>
  <si>
    <t>No revenue-share or commercialization; single government-owned instrument suite hosted on an international partner orbiter.</t>
  </si>
  <si>
    <t>DEL-11</t>
  </si>
  <si>
    <t>Supplier dependencies</t>
  </si>
  <si>
    <t>Must any elements be supplied, integrated, or operated by the same organization?</t>
  </si>
  <si>
    <t>Dependencies and rationale</t>
  </si>
  <si>
    <t>The Prime (Asterion) integrates the NEREID orbiter and the ORCA instrument suite; Aetheris Space Robotics supports SAIT and early operations.</t>
  </si>
  <si>
    <t>Integration continuity requirement.</t>
  </si>
  <si>
    <t>DEL-12</t>
  </si>
  <si>
    <t>Canadian content</t>
  </si>
  <si>
    <t>What Canadian-content, industrial-benefit, regional, or socioeconomic requirements apply?</t>
  </si>
  <si>
    <t>Requirements and targets</t>
  </si>
  <si>
    <t>Target &gt;=60% Canadian content across prime, instrument suite, avionics and sensors.</t>
  </si>
  <si>
    <t>GC industrial-benefit policy</t>
  </si>
  <si>
    <t>Constrains supplier selection.</t>
  </si>
  <si>
    <t>DEL-13</t>
  </si>
  <si>
    <t>Market evidence</t>
  </si>
  <si>
    <t>What RFI, industry engagement, benchmarks, or supplier feedback support the acquisition assumptions?</t>
  </si>
  <si>
    <t>Findings and references</t>
  </si>
  <si>
    <t>RFI and industry days held in Phase 0 with domestic space-robotics suppliers support the acquisition assumptions.</t>
  </si>
  <si>
    <t>Industry engagement (assumed)</t>
  </si>
  <si>
    <t>Supports acquisition basis.</t>
  </si>
  <si>
    <t>DEL-14</t>
  </si>
  <si>
    <t>Phase transition</t>
  </si>
  <si>
    <t>Will the Phase B–D contractor be expected or required to support Phase E–F operations?</t>
  </si>
  <si>
    <t>Continuity strategy</t>
  </si>
  <si>
    <t>The Phase B-D Prime is required to support Phase E operations and the Phase X disposal campaign under an options clause.</t>
  </si>
  <si>
    <t>Operations-continuity cost.</t>
  </si>
  <si>
    <t>Section 4 - Partnerships</t>
  </si>
  <si>
    <t>PAR-01</t>
  </si>
  <si>
    <t>Partner roles</t>
  </si>
  <si>
    <t>Which federal, international, industry, academic, or other partners will participate, and what will each provide?</t>
  </si>
  <si>
    <t>Roles and contributions</t>
  </si>
  <si>
    <t>Industry: Asterion Orbital Integration (prime), Northstar Orbital Technologies (radar), Aetheris Space Robotics (sampling arm), Polarion Avionics, Borealis Vision Systems (context imaging), Canterra Space Communications, Arcturon Space Structures, Meridian Ground Technologies. Academia: Northern Institute of Space Engineering, Laurentia University of Aerospace Technology, Boreal Technical University. International: ESA (host-orbiter contribution) and NASA (host-orbiter lead and launch). OGDs: COSD, CSEO, NARD.</t>
  </si>
  <si>
    <t>Defines interfaces and governance load.</t>
  </si>
  <si>
    <t>PAR-02</t>
  </si>
  <si>
    <t>Decision authority</t>
  </si>
  <si>
    <t>How are decision rights, governance, configuration control, and dispute resolution shared among partners?</t>
  </si>
  <si>
    <t>Governance model</t>
  </si>
  <si>
    <t>CSA (COMD project office) retains full decision, configuration-control and dispute authority; partners contribute under MOUs; the Prime holds delegated design authority within the approved baseline.</t>
  </si>
  <si>
    <t>IGMF governance; OBS</t>
  </si>
  <si>
    <t>Clear authority reduces schedule risk.</t>
  </si>
  <si>
    <t>PAR-03</t>
  </si>
  <si>
    <t>Dependencies</t>
  </si>
  <si>
    <t>What partner deliverables, approvals, facilities, data, or schedules are mission dependencies?</t>
  </si>
  <si>
    <t>Dependency register</t>
  </si>
  <si>
    <t>The NEREID orbiter's launch slot and interface schedule (NASA-led), the sampling-arm delivery from Aetheris, and ESA technical inputs are the key external dependencies.</t>
  </si>
  <si>
    <t>Sched Dependencies (Part D §10)</t>
  </si>
  <si>
    <t>Schedule risk if any slips.</t>
  </si>
  <si>
    <t>PAR-04</t>
  </si>
  <si>
    <t>Contribution valuation</t>
  </si>
  <si>
    <t>How will in-kind contributions, shared assets, and partner-provided services be valued in the estimate?</t>
  </si>
  <si>
    <t>Valuation method</t>
  </si>
  <si>
    <t>International-partner (ESA/NASA) contributions are valued as in-kind under MOU; academic research agreements at cost; CSA in-kind at standard rates.</t>
  </si>
  <si>
    <t>Costing GR&amp;A</t>
  </si>
  <si>
    <t>Adds in-kind value to the estimate.</t>
  </si>
  <si>
    <t>Section 5 - Governance and Oversight and Assurance</t>
  </si>
  <si>
    <t>GOV-01</t>
  </si>
  <si>
    <t>What governance bodies, decision gates, reviews, and approval authorities apply?</t>
  </si>
  <si>
    <t>Governance and gate map</t>
  </si>
  <si>
    <t>CSA IGMF gates apply (Gate 0/SR, Gate 1, Gate 2/KDP-A, R3, R4, Gate 3/KDP-D, Gate 4/KDP-E, Gate 5/KDP-X), administered by the COMD project office.</t>
  </si>
  <si>
    <t>IGMF rev F; Part D §8</t>
  </si>
  <si>
    <t>Defines review cost and cadence.</t>
  </si>
  <si>
    <t>GOV-02</t>
  </si>
  <si>
    <t>CSA oversight</t>
  </si>
  <si>
    <t>What level of CSA technical, programmatic, financial, and contractual oversight is required?</t>
  </si>
  <si>
    <t>Oversight model and staffing</t>
  </si>
  <si>
    <t>Full technical, programmatic, financial and contractual oversight, with an embedded CSA systems-engineering and project office through Phase D.</t>
  </si>
  <si>
    <t>CSA staffing cost through build.</t>
  </si>
  <si>
    <t>GOV-03</t>
  </si>
  <si>
    <t>Reporting</t>
  </si>
  <si>
    <t>What reporting products, data requirements, and reporting frequency are required?</t>
  </si>
  <si>
    <t>Reporting calendar</t>
  </si>
  <si>
    <t>Monthly cost/performance reports, quarterly Project Board, and milestone reviews at each gate.</t>
  </si>
  <si>
    <t>IGMF reporting</t>
  </si>
  <si>
    <t>Ethan Parker (Project Management Engineer)</t>
  </si>
  <si>
    <t>Reporting workload.</t>
  </si>
  <si>
    <t>GOV-04</t>
  </si>
  <si>
    <t>Change control</t>
  </si>
  <si>
    <t>How will changes to scope, requirements, baseline, schedule, and funding be approved and documented?</t>
  </si>
  <si>
    <t>Change-control process</t>
  </si>
  <si>
    <t>Baseline changes go through the CSA Configuration Control Board; the Prime submits engineering change requests; TB-threshold changes escalate.</t>
  </si>
  <si>
    <t>IGMF change control</t>
  </si>
  <si>
    <t>Change discipline protects baseline.</t>
  </si>
  <si>
    <t>ASM-01</t>
  </si>
  <si>
    <t>Applicable standards</t>
  </si>
  <si>
    <t>Which CSA, ECSS, ISO, NASA, engineering, quality, safety, and mission-assurance standards apply?</t>
  </si>
  <si>
    <t>Tailored standards list</t>
  </si>
  <si>
    <t>Tailored CSA/ECSS standards with GSFC GOLD Rules for Class B, and ISO 9001 quality.</t>
  </si>
  <si>
    <t>Part A §6.5</t>
  </si>
  <si>
    <t>Fatima Haidari (Safety and Mission Assurance Engineer)</t>
  </si>
  <si>
    <t>Sets verification rigor.</t>
  </si>
  <si>
    <t>ASM-02</t>
  </si>
  <si>
    <t>Quality assurance</t>
  </si>
  <si>
    <t>What reviews, inspections, audits, independent assessments, and acceptance evidence are required?</t>
  </si>
  <si>
    <t>Assurance plan</t>
  </si>
  <si>
    <t>Gate reviews, a unit/subsystem/system test campaign, independent SMA audits (supported by NARD), and acceptance data packages.</t>
  </si>
  <si>
    <t>Part A §6.5; OBS</t>
  </si>
  <si>
    <t>Drives test and audit cost.</t>
  </si>
  <si>
    <t>ASM-03</t>
  </si>
  <si>
    <t>Mission class and rigor</t>
  </si>
  <si>
    <t>What mission class, risk tolerance, redundancy, qualification, and verification rigor should be assumed?</t>
  </si>
  <si>
    <t>Classification and tailoring</t>
  </si>
  <si>
    <t>Class B, selective redundancy on critical systems, and a protoflight approach (EM/QM/PFM).</t>
  </si>
  <si>
    <t>Part A §6.4-6.5</t>
  </si>
  <si>
    <t>Drives redundancy and qualification cost.</t>
  </si>
  <si>
    <t>Section 6 - Workforce and Facilities</t>
  </si>
  <si>
    <t>RES-01</t>
  </si>
  <si>
    <t>Workforce availability</t>
  </si>
  <si>
    <t>What workforce availability constraints, capability gaps, recruitment challenges, or dependencies on external expertise should be assumed beyond the information documented in the RAM?</t>
  </si>
  <si>
    <t>Staffing profile and constraints</t>
  </si>
  <si>
    <t>Space-robotics and autonomy talent is scarce; assume reliance on Prime/Aetheris specialists and the CSA robotics group beyond the RAM baseline.</t>
  </si>
  <si>
    <t>RAM (Part C §5) + assumption</t>
  </si>
  <si>
    <t>Recruitment risk to schedule.</t>
  </si>
  <si>
    <t>RES-02</t>
  </si>
  <si>
    <t>Capability development</t>
  </si>
  <si>
    <t>What recruitment, training, knowledge-transfer, or competency-development effort is required?</t>
  </si>
  <si>
    <t>Capability plan</t>
  </si>
  <si>
    <t>Training and knowledge transfer for autonomous instrument operations and plume-sampling sequencing; the ops team is stood up in Phase C/D.</t>
  </si>
  <si>
    <t>Simone Bergeron (Mission Operations and Ground Systems Engineer)</t>
  </si>
  <si>
    <t>Training cost in Phase C/D.</t>
  </si>
  <si>
    <t>RES-03</t>
  </si>
  <si>
    <t>Facilities and tools</t>
  </si>
  <si>
    <t>What facilities, laboratories, ground infrastructure, software, licenses, and development environments are required?</t>
  </si>
  <si>
    <t>Asset list and ownership</t>
  </si>
  <si>
    <t>CSA integration and test facilities, a robotics testbed (with Laurentia University support), the MOC, and a flight-software development environment are assumed CSA-owned.</t>
  </si>
  <si>
    <t>Assumption; OBS academia</t>
  </si>
  <si>
    <t>Facility availability constraint.</t>
  </si>
  <si>
    <t>Section 7 - Operations and Sustainment</t>
  </si>
  <si>
    <t>OPS-01</t>
  </si>
  <si>
    <t>Operations concept</t>
  </si>
  <si>
    <t>Who will lead mission operations, and what control centres, coverage hours, staffing, and support model are assumed?</t>
  </si>
  <si>
    <t>Operations concept by phase</t>
  </si>
  <si>
    <t>CSA-led operations from the CSA MOC (ground systems by Meridian Ground Technologies): 24/7 coverage during plume-transit science passes and business hours otherwise, with the Prime on call during early ops.</t>
  </si>
  <si>
    <t>Part A §5; OBS</t>
  </si>
  <si>
    <t>Operations staffing profile.</t>
  </si>
  <si>
    <t>OPS-02</t>
  </si>
  <si>
    <t>Mission duration</t>
  </si>
  <si>
    <t>What commissioning, nominal operations, extension, disposal, and close-out durations should be costed?</t>
  </si>
  <si>
    <t>Durations and dates</t>
  </si>
  <si>
    <t>Commissioning ~1-3 months; nominal Phase E ~180 months (15 years, per ORCA Scenario 1); extended ops plus disposal (Phase X) ~42 months; close-out ends 2059-12-28.</t>
  </si>
  <si>
    <t>Scenario 1 (Part D §7)</t>
  </si>
  <si>
    <t>Sets operations cost duration.</t>
  </si>
  <si>
    <t>OPS-03</t>
  </si>
  <si>
    <t>Service levels</t>
  </si>
  <si>
    <t>What availability, responsiveness, latency, throughput, and continuity targets apply to operations?</t>
  </si>
  <si>
    <t>Service-level targets</t>
  </si>
  <si>
    <t>Target &gt;=95% command availability during science-pass windows; disposal maneuvers planned with margin.</t>
  </si>
  <si>
    <t>Ground-segment sizing.</t>
  </si>
  <si>
    <t>OPS-04</t>
  </si>
  <si>
    <t>Spares and obsolescence</t>
  </si>
  <si>
    <t>What strategy applies to spares, replenishment, maintenance, obsolescence, and technology refresh?</t>
  </si>
  <si>
    <t>Sustainment strategy</t>
  </si>
  <si>
    <t>No on-orbit spares (single spacecraft); ground spares held for the MOC; obsolescence managed to end of Phase X.</t>
  </si>
  <si>
    <t>Sustainment cost.</t>
  </si>
  <si>
    <t>Section 8 - Legal and Regulatory</t>
  </si>
  <si>
    <t>REG-01</t>
  </si>
  <si>
    <t>Regulatory requirements</t>
  </si>
  <si>
    <t>Which federal, provincial, international, licensing, spectrum, orbital, environmental, or other regulatory requirements apply?</t>
  </si>
  <si>
    <t>Requirements and authorities</t>
  </si>
  <si>
    <t>Canadian remote-sensing/space licensing, ITU spectrum filing, export-control (technology transfer) approvals, and planetary-protection approvals apply.</t>
  </si>
  <si>
    <t>Licensing lead time.</t>
  </si>
  <si>
    <t>REG-02</t>
  </si>
  <si>
    <t>Export controls</t>
  </si>
  <si>
    <t>What ITAR, EAR, Controlled Goods, sanctions, or other export-control restrictions affect suppliers and partners?</t>
  </si>
  <si>
    <t>Restrictions and mitigations</t>
  </si>
  <si>
    <t>Controlled Goods Program applies; ITAR/EAR exposure is managed at the international-partner (ESA, NASA) and launch-provider interfaces, with the Canadian-content strategy limiting exposure.</t>
  </si>
  <si>
    <t>Ground rule; OBS</t>
  </si>
  <si>
    <t>Supplier and partner constraints.</t>
  </si>
  <si>
    <t>REG-03</t>
  </si>
  <si>
    <t>Liability and insurance</t>
  </si>
  <si>
    <t>What liability, indemnification, insurance, launch, or third-party risk provisions should be assumed?</t>
  </si>
  <si>
    <t>Legal allocation and cost basis</t>
  </si>
  <si>
    <t>Launch liability is carried under the partner agency (NASA) launch arrangement; the Crown self-insures its own instrument hardware on-orbit; re-entry casualty risk is assessed for the host orbiter disposal.</t>
  </si>
  <si>
    <t>Insurance/liability cost.</t>
  </si>
  <si>
    <t>REG-04</t>
  </si>
  <si>
    <t>Space and data law</t>
  </si>
  <si>
    <t>Who may own, access, distribute, commercialize, or restrict mission data and derived products?</t>
  </si>
  <si>
    <t>Rights and restrictions</t>
  </si>
  <si>
    <t>CSA owns ORCA instrument data and derived science products; distribution follows the mission's international data-rights agreement and is coordinated with the partner agencies.</t>
  </si>
  <si>
    <t>Devon Okafor (Mission Operations Scientist)</t>
  </si>
  <si>
    <t>Data rights defined.</t>
  </si>
  <si>
    <t>REG-05</t>
  </si>
  <si>
    <t>Intellectual property</t>
  </si>
  <si>
    <t>Who will own background and foreground IP, and what licensing or reuse rights are required?</t>
  </si>
  <si>
    <t>IP allocation</t>
  </si>
  <si>
    <t>CSA holds a licence to foreground IP; contractors retain background IP; sampling-arm mechanism IP licensing with Aetheris is negotiated.</t>
  </si>
  <si>
    <t>IP negotiation effort.</t>
  </si>
  <si>
    <t>Section 9 - Security and Information</t>
  </si>
  <si>
    <t>SEC-01</t>
  </si>
  <si>
    <t>Security classification</t>
  </si>
  <si>
    <t>What security category or classification applies to the mission, systems, information, and contracts?</t>
  </si>
  <si>
    <t>Classification by asset</t>
  </si>
  <si>
    <t>Mission baseline is Protected B; certain instrument performance and export-controlled technical data are Protected or classified.</t>
  </si>
  <si>
    <t>Contract security cost.</t>
  </si>
  <si>
    <t>SEC-02</t>
  </si>
  <si>
    <t>Cybersecurity</t>
  </si>
  <si>
    <t>What cybersecurity, accreditation, monitoring, data-protection, and communications-security controls apply?</t>
  </si>
  <si>
    <t>Control baseline</t>
  </si>
  <si>
    <t>ITSG-33 controls, command-link authentication/COMSEC, and ground-system accreditation apply.</t>
  </si>
  <si>
    <t>Cybersecurity cost.</t>
  </si>
  <si>
    <t>SEC-03</t>
  </si>
  <si>
    <t>Personnel and facilities</t>
  </si>
  <si>
    <t>What clearances, access restrictions, controlled facilities, and physical-security measures are required?</t>
  </si>
  <si>
    <t>Security requirements</t>
  </si>
  <si>
    <t>Secret-cleared key personnel, a controlled integration facility, and physical security per Controlled Goods requirements.</t>
  </si>
  <si>
    <t>Clearance schedule.</t>
  </si>
  <si>
    <t>SEC-04</t>
  </si>
  <si>
    <t>Information sharing</t>
  </si>
  <si>
    <t>What publication, disclosure, data-residency, records-management, and information-sharing restrictions apply?</t>
  </si>
  <si>
    <t>Rules by information type</t>
  </si>
  <si>
    <t>Publication review for sensitive ConOps, data residency in Canada, and records management per CSA IM policy.</t>
  </si>
  <si>
    <t>Disclosure controls.</t>
  </si>
  <si>
    <t>Section 10 - Science and Data Utilization</t>
  </si>
  <si>
    <t>SCI-01</t>
  </si>
  <si>
    <t>Science utilization scope</t>
  </si>
  <si>
    <t>What science planning, calibration, validation, analysis, archiving, user support, and exploitation activities are included?</t>
  </si>
  <si>
    <t>Included activities and duration</t>
  </si>
  <si>
    <t>Primarily science data: radar sounding and mass-spectrometry analysis, plume-chemistry validation, and a lessons-learned archive; deep-space radiation-environment studies supported by Boreal Technical University.</t>
  </si>
  <si>
    <t>Part A §2.1; OBS</t>
  </si>
  <si>
    <t>Modest science scope.</t>
  </si>
  <si>
    <t>SCI-02</t>
  </si>
  <si>
    <t>Science cost responsibility</t>
  </si>
  <si>
    <t>Who funds and performs science utilization, and are grants, calls for proposals, or partner contributions expected?</t>
  </si>
  <si>
    <t>Funding and delivery model</t>
  </si>
  <si>
    <t>CSA funds and performs data analysis in-house with academic support; no external grants or calls for proposals are assumed.</t>
  </si>
  <si>
    <t>Low cost impact.</t>
  </si>
  <si>
    <t>SCI-03</t>
  </si>
  <si>
    <t>Data products</t>
  </si>
  <si>
    <t>What data products, processing levels, archives, access services, and retention periods must be delivered?</t>
  </si>
  <si>
    <t>Product and service scope</t>
  </si>
  <si>
    <t>Level 0-2 telemetry and instrument science data, plume-composition products, and a mission archive retained to end of Phase X + 5 years.</t>
  </si>
  <si>
    <t>Archive cost.</t>
  </si>
  <si>
    <t>Section 11 - Risk and Resilience</t>
  </si>
  <si>
    <t>RSK-01</t>
  </si>
  <si>
    <t>Supply chain</t>
  </si>
  <si>
    <t>Which critical suppliers, materials, components, or services have supply-chain risk?</t>
  </si>
  <si>
    <t>Critical-item assessment</t>
  </si>
  <si>
    <t>Critical items: robotic actuators/end-effector (Aetheris Space Robotics), the radar subsystem (Northstar Orbital Technologies), and imaging/proximity sensors (Borealis Vision Systems).</t>
  </si>
  <si>
    <t>Assumption; OBS</t>
  </si>
  <si>
    <t>Long-lead supply risk.</t>
  </si>
  <si>
    <t>RSK-02</t>
  </si>
  <si>
    <t>Delay response</t>
  </si>
  <si>
    <t>What contingency plans, alternate suppliers, schedule margin, or advance purchases are assumed for supply-chain delays?</t>
  </si>
  <si>
    <t>Mitigation and cost treatment</t>
  </si>
  <si>
    <t>Schedule margin held in Phase C/D, an alternate sensor source qualified, and advance purchase of long-lead propulsion from Northstar.</t>
  </si>
  <si>
    <t>Margin and advance-buy cost.</t>
  </si>
  <si>
    <t>RSK-03</t>
  </si>
  <si>
    <t>Foreign exchange and escalation</t>
  </si>
  <si>
    <t>What inflation, escalation, exchange-rate, tariff, and commodity-price assumptions apply?</t>
  </si>
  <si>
    <t>Rates, dates, and sources</t>
  </si>
  <si>
    <t>CAD-base estimate; assume 2.5%/yr escalation, limited USD exposure on launch and some components, FY2024 economic base.</t>
  </si>
  <si>
    <t>Costing GR&amp;A (Part C)</t>
  </si>
  <si>
    <t>Escalation on multi-year build.</t>
  </si>
  <si>
    <t>RSK-04</t>
  </si>
  <si>
    <t>Schedule constraints</t>
  </si>
  <si>
    <t>What fixed dates, launch windows, partner milestones, seasonal constraints, or long-lead items drive the schedule?</t>
  </si>
  <si>
    <t>Constraints and margins</t>
  </si>
  <si>
    <t>Launch window is fixed by planetary alignment for the Jupiter gravity assist (host orbiter, NASA-led); long-lead sampling-arm hardware drives the ORCA-side critical path.</t>
  </si>
  <si>
    <t>Critical-path driver.</t>
  </si>
  <si>
    <t>RSK-05</t>
  </si>
  <si>
    <t>Fallback strategy</t>
  </si>
  <si>
    <t>What scope, performance, schedule, or acquisition alternatives are available if affordability or feasibility targets are not met?</t>
  </si>
  <si>
    <t>Off-ramps and decision triggers</t>
  </si>
  <si>
    <t>Off-ramps: reduce plume-pass count from multi- to single-pass, defer extended ops (Phase X), or descope autonomy to ground-in-the-loop.</t>
  </si>
  <si>
    <t>Descope levers protect affordability.</t>
  </si>
  <si>
    <t>Section 12 - Planetary Protection and End-of-Mission Disposal</t>
  </si>
  <si>
    <t>SUS-01</t>
  </si>
  <si>
    <t>Disposal compliance</t>
  </si>
  <si>
    <t>How will ORCA comply with post-mission disposal and planetary-protection guidelines?</t>
  </si>
  <si>
    <t>Compliance approach</t>
  </si>
  <si>
    <t>Controlled disposal of the NEREID orbiter and its science payload complement to atmospheric re-entry within guideline timelines; compliant with COSPAR Planetary Protection Policy and NASA/ESA Enceladus contamination-control requirements, and Canadian direction.</t>
  </si>
  <si>
    <t>COSPAR / NASA-ESA planetary-protection requirements; Part A §2.1</t>
  </si>
  <si>
    <t>Central mission objective; drives disposal-plan coordination.</t>
  </si>
  <si>
    <t>SUS-02</t>
  </si>
  <si>
    <t>Planetary-protection assurance</t>
  </si>
  <si>
    <t>How is planetary-protection compliance during plume sampling verified?</t>
  </si>
  <si>
    <t>Verification approach</t>
  </si>
  <si>
    <t>Plume-sampling ConOps designed for controlled instrument operation with abort-to-safe if sampling parameters fall outside limits; verified in SAIT and operational rehearsals.</t>
  </si>
  <si>
    <t>Part A §3.2 payload safety</t>
  </si>
  <si>
    <t>Adds test and rehearsal cost.</t>
  </si>
  <si>
    <t>SUS-03</t>
  </si>
  <si>
    <t>Re-entry safety</t>
  </si>
  <si>
    <t>What re-entry casualty-risk and public-safety analysis is required?</t>
  </si>
  <si>
    <t>Risk analysis and threshold</t>
  </si>
  <si>
    <t>Controlled re-entry targeted over an uninhabited ocean corridor; casualty risk assessed below the 1e-4 per-event threshold.</t>
  </si>
  <si>
    <t>Safety/SMA assumption</t>
  </si>
  <si>
    <t>Analysis effort; constrains disposal ops.</t>
  </si>
  <si>
    <t>SUS-04</t>
  </si>
  <si>
    <t>Orbital coordination</t>
  </si>
  <si>
    <t>How are conjunction and orbital-traffic coordination handled during plume transit?</t>
  </si>
  <si>
    <t>Coordination approach</t>
  </si>
  <si>
    <t>Planetary-protection and export-control compliance coordination with the Canadian Orbital Safety Directorate (COSD); deep-space radiation and thermal-environment inputs from CSEO; trajectory and communications-window coordination pre-planned for each Enceladus plume pass.</t>
  </si>
  <si>
    <t>Ops assumption; Part D §5 OBS</t>
  </si>
  <si>
    <t>Ground-segment and ops workload.</t>
  </si>
  <si>
    <t>12 - Dispose, Divest, Descope, Delay (DDDD)</t>
  </si>
  <si>
    <t>This section helps assess program risk, maturity, and readiness for Earned Value Management (EVM). It explores how you would respond to cost overruns, schedule delays, and end-of-life considerations.</t>
  </si>
  <si>
    <t>Q1. COST OVERRUNS</t>
  </si>
  <si>
    <t>If the cost exceeds the approved allocation, what mitigation strategies would you consider?
☐ Descope  ☐ Request additional funding  ☐ Delay  
☐ Cannibalize from the A-Base  ☐ Other (specify)</t>
  </si>
  <si>
    <t>Selected: [x] Descope  [x] Delay  [x] Request additional funding. Primary response is to descope (reduce plume-pass count) before seeking new funds; cannibalizing the A-Base is a last resort.</t>
  </si>
  <si>
    <t>If you have a Descope Plan, please describe it.</t>
  </si>
  <si>
    <t>Yes. Tiered descope: (1) reduce plume-pass count from multi- to single-pass; (2) defer extended operations / disposal (Phase X); (3) descope onboard autonomy to ground-in-the-loop operations. Each ties to a KDP off-ramp.</t>
  </si>
  <si>
    <t>If you would request more funding, would this be an A-Base pressure or a Fiscal Framework Ask ?</t>
  </si>
  <si>
    <t>A Fiscal Framework Ask for material growth; minor pressures absorbed as an A-Base pressure within the CSA envelope.</t>
  </si>
  <si>
    <t>If an A-Base pressure, which other investment would be most at risk of cannibalization?</t>
  </si>
  <si>
    <t>If A-Base, the CSA space-robotics technology development line would be most at risk of cannibalization.</t>
  </si>
  <si>
    <t>Do you have a Scope Management Strategy in place?</t>
  </si>
  <si>
    <t>Yes - baseline is held under the CSA Configuration Control Board; a RID (Review Item Disposition) process runs at each gate; scope changes above the TB threshold escalate.</t>
  </si>
  <si>
    <t>Who is your Systems Engineer, and what is their approach to RIDs and scope escalation?</t>
  </si>
  <si>
    <t>Lead Spacecraft Systems Engineer: Naomi Fitzgerald. RIDs are dispositioned at each gate review; scope escalation is controlled via ECR to the CCB with a cost/schedule impact assessment.</t>
  </si>
  <si>
    <t>How well is the scope defined? What level of uncertainty exists in the scope?</t>
  </si>
  <si>
    <t>Scope is well defined for the ORCA instrument suite but carries moderate uncertainty in the sampling-arm and autonomy elements (TRL 6). Overall Mission Class B.</t>
  </si>
  <si>
    <t>Do you have a vendor exit strategy, such as go/no-go milestones?</t>
  </si>
  <si>
    <t>Yes - go/no-go at Gate 2 (down-select of the two Phase 0 concepts) and at each subsequent gate; option clauses allow an off-ramp before the Phase D commitment.</t>
  </si>
  <si>
    <t>What thresholds would trigger a replanning or a rebaseline?</t>
  </si>
  <si>
    <t>Rebaseline if cost variance exceeds +15% of the approved envelope, or schedule variance exceeds 6 months at a gate.</t>
  </si>
  <si>
    <t>Q2. DELAYS</t>
  </si>
  <si>
    <t>If the mission extends beyond nominal operations, do you have a Divestiture Plan?
  Who would you divest to?
  Are there any financial interests involved in the divestiture?</t>
  </si>
  <si>
    <t>No divestiture - ORCA is a single-use CSA science payload. Extended operations run under Phase X until end-of-life, then controlled disposal. No third-party financial interest.</t>
  </si>
  <si>
    <t>What would be the impacts of a significant launch delay?</t>
  </si>
  <si>
    <t>A launch slip on the host orbiter (NASA-led) delays science-data return, extends CSA salary/O&amp;M carrying cost, and may miss the Jupiter gravity-assist window entirely. Roughly $0.3-0.5M per month of standing-army cost (the Pessimistic scenario carries a 1-year slip).</t>
  </si>
  <si>
    <t>Do you have contingency plans for schedule delays?</t>
  </si>
  <si>
    <t>Yes - schedule margin is held in Phase C/D, an alternate sensor source is qualified, and long-lead sampling-arm hardware is advance-purchased. Three schedule scenarios (Nominal / Optimistic / Pessimistic) bound the risk.</t>
  </si>
  <si>
    <t>What schedule delays would trigger a replanning or a rebaseline?</t>
  </si>
  <si>
    <t>A slip greater than 6 months against the Scenario 1 baseline at any gate triggers replanning; greater than 12 months triggers a formal rebaseline.</t>
  </si>
  <si>
    <t>Q3. END OF LIFE</t>
  </si>
  <si>
    <t>Do you have a general idea of the Disposal Plan for Phase F?</t>
  </si>
  <si>
    <t>Disposal is handled in Phase X (Phase F/G collapsed into Phase X for ORCA): controlled disposal of the NEREID orbiter and its science payload complement per the partner agency plan, compliant with COSPAR / NASA-ESA planetary-protection requirements.</t>
  </si>
  <si>
    <t>Are you planning an Audit after launch?</t>
  </si>
  <si>
    <t>Yes - a post-launch / close-out audit and a lessons-learned review are planned at the end of Phase X.</t>
  </si>
  <si>
    <t>What are your plans for retiring the space segment after nominal operations?   Do you plan to divest any components? If so, how? And to whom?</t>
  </si>
  <si>
    <t>The space segment is disposed of per the partner agency's end-of-mission plan, not retired for reuse; no components are divested. Ground assets (the MOC) revert to CSA sustaining use.</t>
  </si>
  <si>
    <t>Do you plan to de-orbit the spacecraft or transfer it to a parking orbit? What is your strategy for managing space debris?</t>
  </si>
  <si>
    <t>Controlled end-of-mission disposal per the partner agency's planetary-protection plan - never left in an uncontrolled state. The mission is planetary-protection compliant (controlled instrument operations with abort-to-safe).</t>
  </si>
  <si>
    <t>What is the source of funds for a potential Phase E Extension?</t>
  </si>
  <si>
    <t>A-Base O&amp;M appropriation funds nominal Phase E; any extension (Phase X) is funded through a subsequent Fiscal Framework Ask or reprofiled A-Base.</t>
  </si>
  <si>
    <t>13 - Procurement Plan</t>
  </si>
  <si>
    <t>List all contracts and G&amp;C and MOUs</t>
  </si>
  <si>
    <t>Vendor</t>
  </si>
  <si>
    <t>PO Number</t>
  </si>
  <si>
    <t>Contract Title</t>
  </si>
  <si>
    <t>Sub-contractor</t>
  </si>
  <si>
    <t>CWBS</t>
  </si>
  <si>
    <t>Color of Money</t>
  </si>
  <si>
    <t>PREP1</t>
  </si>
  <si>
    <t>9F063-190007</t>
  </si>
  <si>
    <t>Instrument Accommodation Risk-Reduction Prototype</t>
  </si>
  <si>
    <t>CWBS 3</t>
  </si>
  <si>
    <t>STDP Contribution</t>
  </si>
  <si>
    <t>Asterion Orbital Integration</t>
  </si>
  <si>
    <t>9F063-190012</t>
  </si>
  <si>
    <t>Plume Transit &amp; Sampling Ops Risk-Reduction Study</t>
  </si>
  <si>
    <t>CWBS 2</t>
  </si>
  <si>
    <t>STDP O&amp;M Contract</t>
  </si>
  <si>
    <t>PREP2</t>
  </si>
  <si>
    <t>9F063-200019</t>
  </si>
  <si>
    <t>Host Orbiter Interface Concept Prototyping</t>
  </si>
  <si>
    <t>CWBS 4</t>
  </si>
  <si>
    <t>9F063-200024</t>
  </si>
  <si>
    <t>Sampling Arm End-Effector Breadboard</t>
  </si>
  <si>
    <t>Mission SEITPM</t>
  </si>
  <si>
    <t>9F063-200031</t>
  </si>
  <si>
    <t>ORCA Phase 0 Concept Study A</t>
  </si>
  <si>
    <t>CWBS 1</t>
  </si>
  <si>
    <t>O&amp;M Contract</t>
  </si>
  <si>
    <t>9F063-200033</t>
  </si>
  <si>
    <t>ORCA Phase 0 Concept Study B</t>
  </si>
  <si>
    <t>9F063-220045</t>
  </si>
  <si>
    <t>ORCA Phase A Definition</t>
  </si>
  <si>
    <t>None</t>
  </si>
  <si>
    <t>Phase BCD</t>
  </si>
  <si>
    <t>9F063-230061</t>
  </si>
  <si>
    <t>ORCA Phase B-D Space Segment (Prime)</t>
  </si>
  <si>
    <t>Northstar / Aetheris / Polarion / Borealis / Arcturon</t>
  </si>
  <si>
    <t>CWBS 2-8</t>
  </si>
  <si>
    <t>Capital Contract</t>
  </si>
  <si>
    <t>9F063-230064</t>
  </si>
  <si>
    <t>ORCA Ground Segment</t>
  </si>
  <si>
    <t>CWBS 9</t>
  </si>
  <si>
    <t>Overhead &amp; Oversight</t>
  </si>
  <si>
    <t>MOU</t>
  </si>
  <si>
    <t>MOU with NASA - launch of the NEREID orbiter and the ORCA instrument suite (partner-procured, no CSA launch contract)</t>
  </si>
  <si>
    <t>9F063-200052</t>
  </si>
  <si>
    <t>Science Support during Phase 0</t>
  </si>
  <si>
    <t>CWBS 11</t>
  </si>
  <si>
    <t>9F063-220057</t>
  </si>
  <si>
    <t>Science Support during Phase A</t>
  </si>
  <si>
    <t>9F063-230059</t>
  </si>
  <si>
    <t>Science Support during Phase B-D</t>
  </si>
  <si>
    <t>G&amp;C</t>
  </si>
  <si>
    <t>9F063-270081</t>
  </si>
  <si>
    <t>Science Utilization Grant</t>
  </si>
  <si>
    <t>Grants</t>
  </si>
  <si>
    <t>COSD</t>
  </si>
  <si>
    <t>MOU with Canadian Orbital Safety Directorate (COSD)</t>
  </si>
  <si>
    <t>MOU with COSD</t>
  </si>
  <si>
    <t>CSEO</t>
  </si>
  <si>
    <t>MOU with Canadian Space Environment Office (CSEO)</t>
  </si>
  <si>
    <t>NARD</t>
  </si>
  <si>
    <t>MOU with National Aerospace Research Directorate (NARD)</t>
  </si>
  <si>
    <t>MOU with NARD</t>
  </si>
  <si>
    <t>MOU with ESA - plume-transit trajectory analysis</t>
  </si>
  <si>
    <t>MOU with NASA - host-orbiter interface expertise</t>
  </si>
  <si>
    <t>O&amp;M Salary</t>
  </si>
  <si>
    <t>Capital Salary</t>
  </si>
  <si>
    <t>Charter of Accounts</t>
  </si>
  <si>
    <t>CBS x OBS</t>
  </si>
  <si>
    <t>14. Overhead costs</t>
  </si>
  <si>
    <t>RO</t>
  </si>
  <si>
    <t>GL</t>
  </si>
  <si>
    <t>ballpark</t>
  </si>
  <si>
    <t>This is a % tax based on project size and complexity</t>
  </si>
  <si>
    <t>multiple</t>
  </si>
  <si>
    <t>Contracts with management consultants</t>
  </si>
  <si>
    <t>Technomics support at KDP-0</t>
  </si>
  <si>
    <t>RO-14.1</t>
  </si>
  <si>
    <t>Technomics support at KDP-A</t>
  </si>
  <si>
    <t>Technomics support at KDP-B</t>
  </si>
  <si>
    <t>Technomics support at KDP-C</t>
  </si>
  <si>
    <t>Technomics support at KDP-D</t>
  </si>
  <si>
    <t>N/A</t>
  </si>
  <si>
    <t>Student Term 1</t>
  </si>
  <si>
    <t>Student Term 2</t>
  </si>
  <si>
    <t>Student Term 3</t>
  </si>
  <si>
    <t>Student Term 4</t>
  </si>
  <si>
    <t>T&amp;L Phase 0</t>
  </si>
  <si>
    <t>Should be linked to Travel Plan roll-up</t>
  </si>
  <si>
    <t>T&amp;L Phase A</t>
  </si>
  <si>
    <t>T&amp;L Phase B</t>
  </si>
  <si>
    <t>T&amp;L Phase C</t>
  </si>
  <si>
    <t>T&amp;L Phase D</t>
  </si>
  <si>
    <t>T&amp;L Phase E</t>
  </si>
  <si>
    <t>Phase 0 Docs</t>
  </si>
  <si>
    <t>Phase A Docs</t>
  </si>
  <si>
    <t>Phase BCD Docs</t>
  </si>
  <si>
    <t>Matlab, STK, etc</t>
  </si>
  <si>
    <t>15 - Economic Constants and short answers</t>
  </si>
  <si>
    <t>This tab contains one word or one number answers</t>
  </si>
  <si>
    <t>Parameter</t>
  </si>
  <si>
    <t>Value</t>
  </si>
  <si>
    <t>EBP Rate</t>
  </si>
  <si>
    <t>The Employee Benefit Payments (EBP) rate for federal government initiatives is currently calculated at 27% of total salary costs for new initiatives, according to the Treasury Board Secretariat (TBS).</t>
  </si>
  <si>
    <t>Shared Services Rate</t>
  </si>
  <si>
    <t>Shared Services Canada (SSC) charges federal government departments for IT services; this equal 4% of FTE salary costs to align with the actual cost of providing services. </t>
  </si>
  <si>
    <t>PSPC Rate</t>
  </si>
  <si>
    <t xml:space="preserve">PSPC accommodation premium is set at 13% and is calculated as a percentage of personnel costs. </t>
  </si>
  <si>
    <t>PSPC Fairness Monitor Rate</t>
  </si>
  <si>
    <t xml:space="preserve">The Fairness Monitoring Program of Public Services and Procurement Canada (PSPC) ensures independent assurance that procurement activities are fair, open, and transparent. It involves a third-party fairness monitor who assesses the fairness, openness, and transparency of the monitored activity. </t>
  </si>
  <si>
    <t>Labour Rates</t>
  </si>
  <si>
    <t>205$/hr</t>
  </si>
  <si>
    <t>As per recent Asterion Orbital Integration quote; estimated contractor rate per hour.</t>
  </si>
  <si>
    <t>Vendor Fee Rate %</t>
  </si>
  <si>
    <t>As per recent Asterion Orbital Integration quote; contractor general fee applied before tax.</t>
  </si>
  <si>
    <t>Costing Complexity</t>
  </si>
  <si>
    <t xml:space="preserve">Low, Medium, High </t>
  </si>
  <si>
    <t>Tier 2</t>
  </si>
  <si>
    <t xml:space="preserve">Gated investments are classified into Tiers. Tier determination is made based on the estimated project cost; the use of Tiers enables the implementation of a tailored approach, whereby authority level, 
reporting, and deliverables are proportionate to the investment materiality, risk, and complexity. </t>
  </si>
  <si>
    <t>PCRA 3</t>
  </si>
  <si>
    <t xml:space="preserve">In accordance with the Standard for Project Complexity and Risk Assessment. </t>
  </si>
  <si>
    <t>Class B</t>
  </si>
  <si>
    <t>Classification system  to group space missions according to their budget size, technical complexity, scientific goals, and acceptable levels of risk.</t>
  </si>
  <si>
    <t>Investment Type</t>
  </si>
  <si>
    <t>space mission, real property, software solutions</t>
  </si>
  <si>
    <t>Mission Type</t>
  </si>
  <si>
    <t>Hosted Payload</t>
  </si>
  <si>
    <t>Flagship, LargeSat, SmallSat, NanoSat, Hosted Payload, Data stream partnership, data stream purchase</t>
  </si>
  <si>
    <t>Discipline</t>
  </si>
  <si>
    <t>planetary exploration</t>
  </si>
  <si>
    <t>SatCom, Earth Observation, Atmospheric science, Solar Terrestrial Science, Space surveillance, Astronomy, planetary exploration, human space flight, health and life science, space robotics, platform technologies</t>
  </si>
  <si>
    <t>Mission Name</t>
  </si>
  <si>
    <t>Current Phase</t>
  </si>
  <si>
    <t>Phase D (MAIT/SAIT)</t>
  </si>
  <si>
    <t>Next KDP</t>
  </si>
  <si>
    <t>Key decision point</t>
  </si>
  <si>
    <t xml:space="preserve">Base year </t>
  </si>
  <si>
    <t xml:space="preserve">Base year is the reference year used as a benchmark for comparing costs, prices, or other economic indicators over time. </t>
  </si>
  <si>
    <t>Exchange Rate USD</t>
  </si>
  <si>
    <t xml:space="preserve">Exchange rate is the rate at which the USD currency can be exchanged for the Canadian currency at a specific point in time. </t>
  </si>
  <si>
    <t>Exchange Rate Euro</t>
  </si>
  <si>
    <t xml:space="preserve">Exchange rate is the rate at which the Euro currency can be exchanged for the Canadian currency at a specific point in time. </t>
  </si>
  <si>
    <t>Unknown-Unknown Risk Margin</t>
  </si>
  <si>
    <t>tax rates</t>
  </si>
  <si>
    <t xml:space="preserve">Assuming the 5% for Goods and Services Tax (GST) and 9.975% for the Quebec Sales Tax (QST). </t>
  </si>
  <si>
    <t>16 - Inflation Model</t>
  </si>
  <si>
    <t>Inflation</t>
  </si>
  <si>
    <t>21/22</t>
  </si>
  <si>
    <t>22/23</t>
  </si>
  <si>
    <t>23/24</t>
  </si>
  <si>
    <t>24/25</t>
  </si>
  <si>
    <t>25/26</t>
  </si>
  <si>
    <t>26/27</t>
  </si>
  <si>
    <t>27/28</t>
  </si>
  <si>
    <t>28/29</t>
  </si>
  <si>
    <t>29/30</t>
  </si>
  <si>
    <t>30/31</t>
  </si>
  <si>
    <t>31/32</t>
  </si>
  <si>
    <t>32/33</t>
  </si>
  <si>
    <t>33/34</t>
  </si>
  <si>
    <t>34/35</t>
  </si>
  <si>
    <t>35/36</t>
  </si>
  <si>
    <t>36/37</t>
  </si>
  <si>
    <t>37/38</t>
  </si>
  <si>
    <t>38/39</t>
  </si>
  <si>
    <t>39/40</t>
  </si>
  <si>
    <t>40/41</t>
  </si>
  <si>
    <t>41/42</t>
  </si>
  <si>
    <t>42/43</t>
  </si>
  <si>
    <t>43/44</t>
  </si>
  <si>
    <t>44/45</t>
  </si>
  <si>
    <t>Justification</t>
  </si>
  <si>
    <t>Csa Salaries</t>
  </si>
  <si>
    <t>Convention collective des ingénieurs signées jusqu'en octobre 2025 (plus grosse partie du salaire) Hypothèse de 2.3% jusqu'en 2030 et par la suite 2%</t>
  </si>
  <si>
    <t>This section of the sheet should not be modified by the user</t>
  </si>
  <si>
    <t>CSA Mgt</t>
  </si>
  <si>
    <t>Inflation moyenne de 2% utilisée</t>
  </si>
  <si>
    <t>Contract Labor</t>
  </si>
  <si>
    <t>Hypothèse de 3% annuellement donnée par différents contracteurs dans d'autres projets</t>
  </si>
  <si>
    <t>Contract Non Labor</t>
  </si>
  <si>
    <t>Hypothèse que l'inflation va se rapprocher de 2.1%- 2.2% dans les prochaines années</t>
  </si>
  <si>
    <t>Risk</t>
  </si>
  <si>
    <t>No Inflation</t>
  </si>
  <si>
    <t>Not use</t>
  </si>
  <si>
    <t>Inf. GL</t>
  </si>
  <si>
    <t>FY of Source Cost</t>
  </si>
  <si>
    <t>Inf. GL - FY of Source Cost (Unique ID)</t>
  </si>
  <si>
    <t>45/46</t>
  </si>
  <si>
    <t>DND V1 R&amp;D Near Term Adjusted</t>
  </si>
  <si>
    <t>Salary Funding Rate</t>
  </si>
  <si>
    <t>Pour onglet 35a et 35b concernant les nouveaux FTE. Financement 4 ans de la 1ere tranche des conventions collectives et les renouvellements subséquents seront financés via le SCT pour les prochaines conventions collectives comme à l'habitude. Le risque ici dans les 1ere années est lorsque le SCT prendra la photo des effectifs à une date X, il est fort possible que les nouveaux employés ne seront pas prises en compte dans les effectifs et l'ASC n'aura pas le financement de l'augmentation pour les nouveaux postes.</t>
  </si>
  <si>
    <t>Csa Salaries - 22/23</t>
  </si>
  <si>
    <t>Fiscal Year</t>
  </si>
  <si>
    <t>Annual Inflation</t>
  </si>
  <si>
    <t>Raw Index</t>
  </si>
  <si>
    <t>Weighted Index</t>
  </si>
  <si>
    <t>FY</t>
  </si>
  <si>
    <t>Ground segment</t>
  </si>
  <si>
    <t>NR CAN</t>
  </si>
  <si>
    <t>Csa Salaries - 23/24</t>
  </si>
  <si>
    <t>DND Table</t>
  </si>
  <si>
    <t>Fournit par Technomics</t>
  </si>
  <si>
    <t>Csa Salaries - 24/25</t>
  </si>
  <si>
    <t>Inflation 1,5%</t>
  </si>
  <si>
    <t>Csa Salaries - 25/26</t>
  </si>
  <si>
    <t>Inflation 8%</t>
  </si>
  <si>
    <t>Csa Salaries - 26/27</t>
  </si>
  <si>
    <t>Csa Salaries - 27/28</t>
  </si>
  <si>
    <t>Csa Salaries - 28/29</t>
  </si>
  <si>
    <t>Cellule BG7</t>
  </si>
  <si>
    <t>pour inflation DND</t>
  </si>
  <si>
    <t>Csa Salaries - 29/30</t>
  </si>
  <si>
    <t>Csa Salaries - 30/31</t>
  </si>
  <si>
    <t>Csa Salaries - 31/32</t>
  </si>
  <si>
    <t>Csa Salaries - 32/33</t>
  </si>
  <si>
    <t>Csa Salaries - 33/34</t>
  </si>
  <si>
    <t>Csa Salaries - 34/35</t>
  </si>
  <si>
    <t>Csa Salaries - 35/36</t>
  </si>
  <si>
    <t>Csa Salaries - 36/37</t>
  </si>
  <si>
    <t>Csa Salaries - 37/38</t>
  </si>
  <si>
    <t>Csa Salaries - 38/39</t>
  </si>
  <si>
    <t>Csa Salaries - 39/40</t>
  </si>
  <si>
    <t>Csa Salaries - 40/41</t>
  </si>
  <si>
    <t>Csa Salaries - 41/42</t>
  </si>
  <si>
    <t>CSA Mgt - 22/23</t>
  </si>
  <si>
    <t>CSA Mgt - 23/24</t>
  </si>
  <si>
    <t>CSA Mgt - 24/25</t>
  </si>
  <si>
    <t>CSA Mgt - 25/26</t>
  </si>
  <si>
    <t>CSA Mgt - 26/27</t>
  </si>
  <si>
    <t>CSA Mgt - 27/28</t>
  </si>
  <si>
    <t>CSA Mgt - 28/29</t>
  </si>
  <si>
    <t>CSA Mgt - 29/30</t>
  </si>
  <si>
    <t>CSA Mgt - 30/31</t>
  </si>
  <si>
    <t>CSA Mgt - 31/32</t>
  </si>
  <si>
    <t>CSA Mgt - 32/33</t>
  </si>
  <si>
    <t>CSA Mgt - 33/34</t>
  </si>
  <si>
    <t>CSA Mgt - 34/35</t>
  </si>
  <si>
    <t>CSA Mgt - 35/36</t>
  </si>
  <si>
    <t>CSA Mgt - 36/37</t>
  </si>
  <si>
    <t>CSA Mgt - 37/38</t>
  </si>
  <si>
    <t>CSA Mgt - 38/39</t>
  </si>
  <si>
    <t>CSA Mgt - 39/40</t>
  </si>
  <si>
    <t>CSA Mgt - 40/41</t>
  </si>
  <si>
    <t>CSA Mgt - 41/42</t>
  </si>
  <si>
    <t>Contract Labor - 22/23</t>
  </si>
  <si>
    <t>Contract Labor - 23/24</t>
  </si>
  <si>
    <t xml:space="preserve">Contract Labor </t>
  </si>
  <si>
    <t>Contract Labor - 24/25</t>
  </si>
  <si>
    <t>Contract Labor - 25/26</t>
  </si>
  <si>
    <t>Contract Labor - 26/27</t>
  </si>
  <si>
    <t>Contract Labor - 27/28</t>
  </si>
  <si>
    <t>Contract Labor - 28/29</t>
  </si>
  <si>
    <t>Contract Labor - 29/30</t>
  </si>
  <si>
    <t>Contract Labor - 30/31</t>
  </si>
  <si>
    <t>Contract Labor - 31/32</t>
  </si>
  <si>
    <t>Contract Labor - 32/33</t>
  </si>
  <si>
    <t>Contract Labor - 33/34</t>
  </si>
  <si>
    <t>Contract Labor - 34/35</t>
  </si>
  <si>
    <t>Contract Labor - 35/36</t>
  </si>
  <si>
    <t>Contract Labor - 36/37</t>
  </si>
  <si>
    <t>Contract Labor - 37/38</t>
  </si>
  <si>
    <t>Contract Labor - 38/39</t>
  </si>
  <si>
    <t>Contract Labor - 39/40</t>
  </si>
  <si>
    <t>Contract Labor - 40/41</t>
  </si>
  <si>
    <t>Contract Labor - 41/42</t>
  </si>
  <si>
    <t>Contract Non Labor - 22/23</t>
  </si>
  <si>
    <t>Contract Non Labor - 23/24</t>
  </si>
  <si>
    <t>Contract Non Labor - 24/25</t>
  </si>
  <si>
    <t>Contract Non Labor - 25/26</t>
  </si>
  <si>
    <t>Contract Non Labor - 26/27</t>
  </si>
  <si>
    <t>Contract Non Labor - 27/28</t>
  </si>
  <si>
    <t>Contract Non Labor - 28/29</t>
  </si>
  <si>
    <t>Contract Non Labor - 29/30</t>
  </si>
  <si>
    <t>Contract Non Labor - 30/31</t>
  </si>
  <si>
    <t>Contract Non Labor - 31/32</t>
  </si>
  <si>
    <t>Contract Non Labor - 32/33</t>
  </si>
  <si>
    <t>Contract Non Labor - 33/34</t>
  </si>
  <si>
    <t>Contract Non Labor - 34/35</t>
  </si>
  <si>
    <t>Contract Non Labor - 35/36</t>
  </si>
  <si>
    <t>Contract Non Labor - 36/37</t>
  </si>
  <si>
    <t>Contract Non Labor - 37/38</t>
  </si>
  <si>
    <t>Contract Non Labor - 38/39</t>
  </si>
  <si>
    <t>Contract Non Labor - 39/40</t>
  </si>
  <si>
    <t>Contract Non Labor - 40/41</t>
  </si>
  <si>
    <t>Contract Non Labor - 41/42</t>
  </si>
  <si>
    <t>Risk - 22/23</t>
  </si>
  <si>
    <t>Risk - 23/24</t>
  </si>
  <si>
    <t>Risk - 24/25</t>
  </si>
  <si>
    <t>Risk - 25/26</t>
  </si>
  <si>
    <t>Risk - 26/27</t>
  </si>
  <si>
    <t>Risk - 27/28</t>
  </si>
  <si>
    <t>Risk - 28/29</t>
  </si>
  <si>
    <t>Risk - 29/30</t>
  </si>
  <si>
    <t>Risk - 30/31</t>
  </si>
  <si>
    <t>Risk - 31/32</t>
  </si>
  <si>
    <t>Risk - 32/33</t>
  </si>
  <si>
    <t>Risk - 33/34</t>
  </si>
  <si>
    <t>Risk - 34/35</t>
  </si>
  <si>
    <t>Risk - 35/36</t>
  </si>
  <si>
    <t>Risk - 36/37</t>
  </si>
  <si>
    <t>Risk - 37/38</t>
  </si>
  <si>
    <t>Risk - 38/39</t>
  </si>
  <si>
    <t>Risk - 39/40</t>
  </si>
  <si>
    <t>Risk - 40/41</t>
  </si>
  <si>
    <t>Risk - 41/42</t>
  </si>
  <si>
    <t>Anaylse de sensibilité 2%</t>
  </si>
  <si>
    <t>Anaylse de sensibilité 4%</t>
  </si>
  <si>
    <t>1,5%</t>
  </si>
  <si>
    <t>DND BASE YEAR 2021</t>
  </si>
  <si>
    <t>17 - CER</t>
  </si>
  <si>
    <t>Adds traceability of SW tools used and their versions</t>
  </si>
  <si>
    <t>which Tools, which versions</t>
  </si>
  <si>
    <t>Which compensation algorithms</t>
  </si>
  <si>
    <t>NICM vrsion6 with Canadian compensation for TRL</t>
  </si>
  <si>
    <t xml:space="preserve">PCEC v 8 Avec </t>
  </si>
  <si>
    <t>18 - Description of Legacy or Smilar Systems (Nearest Neighbors)</t>
  </si>
  <si>
    <t>used in analogy</t>
  </si>
  <si>
    <t>and how do they compare?</t>
  </si>
  <si>
    <t>18. Cost Density Curve</t>
  </si>
  <si>
    <t>this is a utility function that help you find an optimal cashflow profile.</t>
  </si>
  <si>
    <t>you can then use this to negotiate a basis of payment that follows earned value</t>
  </si>
  <si>
    <t>Start</t>
  </si>
  <si>
    <t>End</t>
  </si>
  <si>
    <t>Amount</t>
  </si>
  <si>
    <t>Total Months</t>
  </si>
  <si>
    <t>Partner &amp; Overhead Coordination</t>
  </si>
  <si>
    <t>Instrument Suite</t>
  </si>
  <si>
    <t>Host-Orbiter Interface Coordination</t>
  </si>
  <si>
    <t>ORCA Cost Density Profile - derived from segment amounts, shapes and Scenario 1 phasing</t>
  </si>
  <si>
    <t>Annual Cost ($M)</t>
  </si>
  <si>
    <t>Cumulative ($M)</t>
  </si>
  <si>
    <t>20 - Value Chain</t>
  </si>
  <si>
    <t>to calculate jobs created</t>
  </si>
  <si>
    <t>Yes - ORCA is estimated to create ~2,326 direct job-years and ~5,047 total job-years (direct + indirect, leverage K=2.17) across the Canadian space sector and academia, concentrated in instrument-suite manufacturing (Northstar / Aetheris / Polarion) and university research. Estimate below (all figures fake).</t>
  </si>
  <si>
    <t>The following table is an input form the Economic modelling</t>
  </si>
  <si>
    <t>Phase D1</t>
  </si>
  <si>
    <t>Phase D2</t>
  </si>
  <si>
    <t>Phase E (Nominal)</t>
  </si>
  <si>
    <t>no economic value</t>
  </si>
  <si>
    <t>Overhead</t>
  </si>
  <si>
    <t>Services not in space sector except space consultants</t>
  </si>
  <si>
    <t>Industrial R&amp;D and consulting</t>
  </si>
  <si>
    <t>R&amp;D Jobs Model</t>
  </si>
  <si>
    <t>Leveraged Ratio</t>
  </si>
  <si>
    <t>Unleveraged Ratio</t>
  </si>
  <si>
    <t>LTIP Model (Old Model)</t>
  </si>
  <si>
    <t>Industrial R&amp;D &amp; consulting</t>
  </si>
  <si>
    <t>Space System Manufacturing</t>
  </si>
  <si>
    <t>Ground Systems Manufacturing</t>
  </si>
  <si>
    <t>no economic value, except launch integration contract</t>
  </si>
  <si>
    <t>Space Systems Manufacturing</t>
  </si>
  <si>
    <t>GS manufacturing</t>
  </si>
  <si>
    <t>Research, Engineering and Consulting Services</t>
  </si>
  <si>
    <t>Services</t>
  </si>
  <si>
    <t>Satellite Operations</t>
  </si>
  <si>
    <t>Academic R&amp;D</t>
  </si>
  <si>
    <t>Value-Added Products and Applications</t>
  </si>
  <si>
    <t>Universities - Research, Engineering, and Consulting</t>
  </si>
  <si>
    <t>Jobs Created - ORCA (fake estimate)</t>
  </si>
  <si>
    <t>Economic Category</t>
  </si>
  <si>
    <t>Spend ($M)</t>
  </si>
  <si>
    <t>Job Factor (jobs / $1M)</t>
  </si>
  <si>
    <t>Direct Job-Years</t>
  </si>
  <si>
    <t>No economic impact</t>
  </si>
  <si>
    <t>CSA governance - no external job value</t>
  </si>
  <si>
    <t>Services not in space sector</t>
  </si>
  <si>
    <t>MOU coordination with NASA/ESA/COSD/CSEO/NARD - no direct industrial spend</t>
  </si>
  <si>
    <t>Prime/engineering (Asterion)</t>
  </si>
  <si>
    <t>Space systems manufacturing</t>
  </si>
  <si>
    <t>Radar, sampling arm, avionics (Northstar/Aetheris/Polarion)</t>
  </si>
  <si>
    <t>Label</t>
  </si>
  <si>
    <t>Factors</t>
  </si>
  <si>
    <t xml:space="preserve">ratio of employee/$ </t>
  </si>
  <si>
    <t>Employee / 1M$</t>
  </si>
  <si>
    <t>Research, engineering &amp; consulting</t>
  </si>
  <si>
    <t>ICD verification and integration engineering with the NEREID orbiter (NASA/ESA)</t>
  </si>
  <si>
    <t>ratio1</t>
  </si>
  <si>
    <t>Ground systems manufacturing</t>
  </si>
  <si>
    <t>Industrial R&amp;D</t>
  </si>
  <si>
    <t>ratio2</t>
  </si>
  <si>
    <t>Satellite operations</t>
  </si>
  <si>
    <t>CSA MOC operations, Phase E-X</t>
  </si>
  <si>
    <t>Industrial R&amp;D (Leveraged)</t>
  </si>
  <si>
    <t>ratio3</t>
  </si>
  <si>
    <t>Universities (Northern Institute, Laurentia, Boreal)</t>
  </si>
  <si>
    <t>ratio4</t>
  </si>
  <si>
    <t>Total Direct Job-Years</t>
  </si>
  <si>
    <t>Space Systems Manufacturing (Leveraged)</t>
  </si>
  <si>
    <t>ratio5</t>
  </si>
  <si>
    <t>Total Jobs Multiplier (K)</t>
  </si>
  <si>
    <t>Ground Segment Manufacturing</t>
  </si>
  <si>
    <t>ratio6</t>
  </si>
  <si>
    <t>Total Job-Years (Direct + Indirect)</t>
  </si>
  <si>
    <t>Ground Segment Manufacturing (Leveraged)</t>
  </si>
  <si>
    <t>ratio7</t>
  </si>
  <si>
    <t>&lt;--- impressive number.</t>
  </si>
  <si>
    <t>SatOps</t>
  </si>
  <si>
    <t>ratio8</t>
  </si>
  <si>
    <t>SatOps (Leveraged)</t>
  </si>
  <si>
    <t>ratio9</t>
  </si>
  <si>
    <t>ratio10</t>
  </si>
  <si>
    <t>Services (Leveraged)</t>
  </si>
  <si>
    <t>ratio11</t>
  </si>
  <si>
    <t>Products &amp; Apps</t>
  </si>
  <si>
    <t>ratio12</t>
  </si>
  <si>
    <t>Products &amp; Apps (Leveraged)</t>
  </si>
  <si>
    <t>ratio13</t>
  </si>
  <si>
    <t>&lt;-- G&amp;C versus O&amp;M creates 4 times more jobs when writing software. One is for-profit and the other for govt needs.</t>
  </si>
  <si>
    <t>No Economic Impact</t>
  </si>
  <si>
    <t>ratio14</t>
  </si>
  <si>
    <t>Services Not in Space Sector</t>
  </si>
  <si>
    <t>ratio15</t>
  </si>
  <si>
    <t>ratio 16</t>
  </si>
  <si>
    <t>&lt;--- using Value added products and application rather than standard SatOps ratios</t>
  </si>
  <si>
    <t>Ratio  of Total Jobs / Direct Jobs</t>
  </si>
  <si>
    <t>K</t>
  </si>
  <si>
    <t>21 - Costing Lessons Learned</t>
  </si>
  <si>
    <t>What previous lessons did we learn and apply here?</t>
  </si>
  <si>
    <t>Applied lessons from prior CSA robotics/servicing costing: budget long-lead space-robotics items early, size autonomy software with a dedicated CER, and carry FX contingency on foreign launch/components.</t>
  </si>
  <si>
    <t>What new lessons did we learn by doing this?</t>
  </si>
  <si>
    <t>New lessons are captured below - chiefly that outer-planet instrument missions lack mature cost analogues and that disposal-phase (Phase X) duration is a major cost sensitivity.</t>
  </si>
  <si>
    <t>Description of Driving Event</t>
  </si>
  <si>
    <t>Lesson Learned</t>
  </si>
  <si>
    <t>Corrective Action or Recommendation</t>
  </si>
  <si>
    <t>LL-01</t>
  </si>
  <si>
    <t>Schedule</t>
  </si>
  <si>
    <t>Long-lead sampling-arm hardware</t>
  </si>
  <si>
    <t>Sampling-arm end-effector actuators (Aetheris) drove the Phase C/D critical path.</t>
  </si>
  <si>
    <t>Long-lead sampling-arm items must be identified and ordered before CDR.</t>
  </si>
  <si>
    <t>Add an advance-procurement line at PDR and carry schedule margin in Phase C.</t>
  </si>
  <si>
    <t>LL-02</t>
  </si>
  <si>
    <t>Cost / RAM</t>
  </si>
  <si>
    <t>Instrument autonomy software effort underestimated</t>
  </si>
  <si>
    <t>Flight-software and autonomy scope grew beyond the RAM baseline.</t>
  </si>
  <si>
    <t>Autonomous instrument-sequencing software is a major cost driver, not a minor line.</t>
  </si>
  <si>
    <t>Size software with a dedicated CER and a 20% reserve; run agile with EVM.</t>
  </si>
  <si>
    <t>LL-03</t>
  </si>
  <si>
    <t>Procurement</t>
  </si>
  <si>
    <t>Sole-source sampling-arm supplier</t>
  </si>
  <si>
    <t>Limited domestic competition for instrument accommodation (near-incumbent Aetheris).</t>
  </si>
  <si>
    <t>Sole-source premiums must be budgeted and justified early.</t>
  </si>
  <si>
    <t>Run an RFI in Phase 0; negotiate open-book pricing for the directed contract.</t>
  </si>
  <si>
    <t>LL-04</t>
  </si>
  <si>
    <t>Estimating</t>
  </si>
  <si>
    <t>Few outer-planet instrument-suite analogues</t>
  </si>
  <si>
    <t>Outer-planet flagship instrument contributions lack mature parametric cost analogues.</t>
  </si>
  <si>
    <t>Deep-space instrument missions need bottom-up estimates plus expert judgment.</t>
  </si>
  <si>
    <t>Build a calibrated CER set and document analogy adjustments in Part B.</t>
  </si>
  <si>
    <t>LL-05</t>
  </si>
  <si>
    <t>Schedule / Ops</t>
  </si>
  <si>
    <t>Phase X duration uncertainty</t>
  </si>
  <si>
    <t>Extended ops plus disposal (Phase X) has wide uncertainty.</t>
  </si>
  <si>
    <t>Disposal-phase duration and cost are highly sensitive to extended-mission scope.</t>
  </si>
  <si>
    <t>Model Phase X in all three schedule scenarios; tie ops cost to science-pass count.</t>
  </si>
  <si>
    <t>LL-06</t>
  </si>
  <si>
    <t>FX exposure on instrument hardware</t>
  </si>
  <si>
    <t>USD exposure on the sampling-arm and avionics procurements (Aetheris, Polarion).</t>
  </si>
  <si>
    <t>Currency risk on foreign-sourced components can move the estimate materially.</t>
  </si>
  <si>
    <t>Carry the FX assumption in Constants and hold FX contingency in the risk reserve.</t>
  </si>
  <si>
    <t>LL-07</t>
  </si>
  <si>
    <t>IGMF gate re-mapping</t>
  </si>
  <si>
    <t>Removing Phase F/G and adding Phase X required re-mapping the IGMF gates.</t>
  </si>
  <si>
    <t>Non-standard phasing must be reconciled with IGMF gate nomenclature early.</t>
  </si>
  <si>
    <t>Document the phase-to-gate mapping in Part D 8 before dating milestones.</t>
  </si>
  <si>
    <t>LL-08</t>
  </si>
  <si>
    <t>Staffing</t>
  </si>
  <si>
    <t>Scarce space-robotics talent</t>
  </si>
  <si>
    <t>Recruitment of GNC/robotics specialists lagged the RAM plan.</t>
  </si>
  <si>
    <t>Specialist availability constrains schedule as much as funding does.</t>
  </si>
  <si>
    <t>Start recruitment and knowledge transfer in Phase B; budget training.</t>
  </si>
  <si>
    <t>CSA-FIN-RD-0589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</si>
</sst>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164" formatCode="_(* #,##0.00_);_(* \(#,##0.00\);_(* \-??_);_(@_)"/>
    <numFmt numFmtId="165" formatCode="_-* #,##0.00_-;\-* #,##0.00_-;_-* \-??_-;_-@_-"/>
    <numFmt numFmtId="166" formatCode="_ * #,##0.00_)\ _$_ ;_ * \(#,##0.00&quot;) &quot;_$_ ;_ * \-??_)\ _$_ ;_ @_ "/>
    <numFmt numFmtId="167" formatCode="_ * #,##0.00_)&quot; $&quot;_ ;_ * \(#,##0.00&quot;) $&quot;_ ;_ * \-??_)&quot; $&quot;_ ;_ @_ "/>
    <numFmt numFmtId="168" formatCode="[$-1009]mmmm\ d&quot;, &quot;yyyy;@"/>
    <numFmt numFmtId="169" formatCode="[$$-409]#,##0_);[Red]\([$$-409]#,##0\)"/>
    <numFmt numFmtId="170" formatCode="d\-mmm\-yy"/>
    <numFmt numFmtId="171" formatCode="yyyy\-mmm\-dd"/>
    <numFmt numFmtId="172" formatCode="0.0"/>
    <numFmt numFmtId="173" formatCode="m/d/yyyy"/>
    <numFmt numFmtId="174" formatCode="[$-409]mmmm\ d&quot;, &quot;yyyy;@"/>
    <numFmt numFmtId="175" formatCode=";;;@"/>
    <numFmt numFmtId="176" formatCode="_(* #,##0_)&quot; d&quot;;_(* \(#,##0\);_(* \-??_);_(@_)"/>
    <numFmt numFmtId="177" formatCode="_(* #,##0.0_)&quot;mo&quot;;_(* \(#,##0.0\);_(* \-??_);_(@_)"/>
    <numFmt numFmtId="178" formatCode="0.0&quot; mo&quot;;;;"/>
    <numFmt numFmtId="179" formatCode="yyyy\-mm\-dd\ h:mm:ss"/>
    <numFmt numFmtId="180" formatCode="mmmm\ yyyy"/>
    <numFmt numFmtId="181" formatCode="_(\$* #,##0_);_(\$* \(#,##0\);_(\$* \-??_);_(@_)"/>
    <numFmt numFmtId="182" formatCode="0.000%"/>
    <numFmt numFmtId="183" formatCode="[$-1009]General"/>
    <numFmt numFmtId="184" formatCode="d\-mmm"/>
    <numFmt numFmtId="185" formatCode="0.0%"/>
    <numFmt numFmtId="186" formatCode="0.0000000000"/>
    <numFmt numFmtId="187" formatCode="[$-1009]0"/>
    <numFmt numFmtId="188" formatCode="[$-1009]0.00"/>
    <numFmt numFmtId="189" formatCode="0.000"/>
    <numFmt numFmtId="190" formatCode="_ * #,##0.00_)_ ;_ * \(#,##0.00\)_ ;_ * \-??_)_ ;_ @_ "/>
    <numFmt numFmtId="191" formatCode="0.00000000"/>
    <numFmt numFmtId="192" formatCode="_-* #,##0.0000_-;\-* #,##0.0000_-;_-* \-??_-;_-@_-"/>
    <numFmt numFmtId="193" formatCode="_-* #,##0.000_-;\-* #,##0.000_-;_-* \-??_-;_-@_-"/>
    <numFmt numFmtId="194" formatCode="&quot;FY  &quot;0"/>
    <numFmt numFmtId="195" formatCode="\$#,##0"/>
    <numFmt numFmtId="196" formatCode="0.0000000"/>
    <numFmt numFmtId="197" formatCode="_(* #,##0.000000000_);_(* \(#,##0.000000000\);_(* \-??_);_(@_)"/>
    <numFmt numFmtId="198" formatCode="0&quot; jobs/M$&quot;"/>
  </numFmts>
  <fonts count="46">
    <font>
      <sz val="11"/>
      <color theme="1"/>
      <name val="Calibri"/>
      <family val="2"/>
      <charset val="1"/>
    </font>
    <font>
      <sz val="10"/>
      <color theme="1"/>
      <name val="Arial"/>
      <family val="2"/>
      <charset val="1"/>
    </font>
    <font>
      <sz val="12"/>
      <color theme="1"/>
      <name val="Calibri"/>
      <family val="2"/>
      <charset val="1"/>
    </font>
    <font>
      <u/>
      <sz val="10"/>
      <color rgb="FF800080"/>
      <name val="Arial"/>
      <family val="2"/>
      <charset val="1"/>
    </font>
    <font>
      <u/>
      <sz val="11"/>
      <color theme="10"/>
      <name val="Calibri"/>
      <family val="2"/>
      <charset val="1"/>
    </font>
    <font>
      <sz val="11"/>
      <color theme="1"/>
      <name val="Aptos"/>
      <family val="2"/>
      <charset val="1"/>
    </font>
    <font>
      <sz val="10"/>
      <color rgb="FF000000"/>
      <name val="Times New Roman"/>
      <family val="1"/>
      <charset val="1"/>
    </font>
    <font>
      <sz val="10"/>
      <name val="Arial"/>
      <family val="2"/>
      <charset val="1"/>
    </font>
    <font>
      <sz val="11"/>
      <color rgb="FF000000"/>
      <name val="Calibri"/>
      <family val="2"/>
      <charset val="1"/>
    </font>
    <font>
      <sz val="11"/>
      <color rgb="FFFF0000"/>
      <name val="Calibri"/>
      <family val="2"/>
      <charset val="1"/>
    </font>
    <font>
      <sz val="10"/>
      <color theme="1"/>
      <name val="Calibri"/>
      <family val="2"/>
      <charset val="1"/>
    </font>
    <font>
      <b/>
      <sz val="16"/>
      <color theme="1"/>
      <name val="Calibri"/>
      <family val="2"/>
      <charset val="1"/>
    </font>
    <font>
      <b/>
      <sz val="11"/>
      <color theme="1"/>
      <name val="Calibri"/>
      <family val="2"/>
      <charset val="1"/>
    </font>
    <font>
      <b/>
      <sz val="24"/>
      <color theme="1"/>
      <name val="Calibri"/>
      <family val="2"/>
      <charset val="1"/>
    </font>
    <font>
      <b/>
      <sz val="9"/>
      <color rgb="FF000000"/>
      <name val="Arial"/>
      <family val="2"/>
      <charset val="1"/>
    </font>
    <font>
      <sz val="9"/>
      <color rgb="FF000000"/>
      <name val="Arial"/>
      <family val="2"/>
      <charset val="1"/>
    </font>
    <font>
      <u/>
      <sz val="11"/>
      <color theme="10"/>
      <name val="Calibri"/>
      <family val="1"/>
      <charset val="2"/>
    </font>
    <font>
      <sz val="10"/>
      <color rgb="FF000000"/>
      <name val="Arial"/>
      <family val="2"/>
    </font>
    <font>
      <sz val="10"/>
      <color rgb="FF0000FF"/>
      <name val="Arial"/>
      <family val="2"/>
      <charset val="1"/>
    </font>
    <font>
      <sz val="11"/>
      <color rgb="FF000000"/>
      <name val="Aptos Narrow"/>
      <family val="2"/>
      <charset val="1"/>
    </font>
    <font>
      <u/>
      <sz val="11"/>
      <color rgb="FF467886"/>
      <name val="Aptos Narrow"/>
      <family val="2"/>
      <charset val="1"/>
    </font>
    <font>
      <b/>
      <sz val="18"/>
      <name val="Calibri"/>
      <family val="2"/>
      <charset val="1"/>
    </font>
    <font>
      <b/>
      <sz val="11"/>
      <name val="Calibri"/>
      <family val="2"/>
      <charset val="1"/>
    </font>
    <font>
      <b/>
      <sz val="11"/>
      <color rgb="FFFFFFFF"/>
      <name val="Calibri"/>
      <family val="2"/>
      <charset val="1"/>
    </font>
    <font>
      <i/>
      <sz val="9"/>
      <name val="Calibri"/>
      <family val="2"/>
      <charset val="1"/>
    </font>
    <font>
      <sz val="11"/>
      <color theme="0"/>
      <name val="Calibri"/>
      <family val="2"/>
      <charset val="1"/>
    </font>
    <font>
      <sz val="11"/>
      <name val="Calibri"/>
      <family val="2"/>
      <charset val="1"/>
    </font>
    <font>
      <sz val="9"/>
      <color theme="1"/>
      <name val="Calibri"/>
      <family val="2"/>
      <charset val="1"/>
    </font>
    <font>
      <sz val="9"/>
      <color rgb="FF000000"/>
      <name val="Calibri"/>
      <family val="2"/>
      <charset val="1"/>
    </font>
    <font>
      <sz val="14"/>
      <color theme="0"/>
      <name val="Calibri"/>
      <family val="2"/>
      <charset val="1"/>
    </font>
    <font>
      <b/>
      <sz val="11"/>
      <color theme="0"/>
      <name val="Calibri"/>
      <family val="2"/>
      <charset val="1"/>
    </font>
    <font>
      <b/>
      <sz val="20"/>
      <color theme="0"/>
      <name val="Calibri"/>
      <family val="2"/>
      <charset val="1"/>
    </font>
    <font>
      <b/>
      <sz val="12"/>
      <color theme="0"/>
      <name val="Calibri"/>
      <family val="2"/>
      <charset val="1"/>
    </font>
    <font>
      <sz val="12"/>
      <color theme="0"/>
      <name val="Calibri"/>
      <family val="2"/>
      <charset val="1"/>
    </font>
    <font>
      <b/>
      <sz val="12"/>
      <color rgb="FFFF0000"/>
      <name val="Calibri"/>
      <family val="2"/>
      <charset val="1"/>
    </font>
    <font>
      <i/>
      <sz val="11"/>
      <color theme="3"/>
      <name val="Calibri"/>
      <family val="2"/>
      <charset val="1"/>
    </font>
    <font>
      <sz val="11"/>
      <color rgb="FF242424"/>
      <name val="Aptos Narrow"/>
      <family val="2"/>
      <charset val="1"/>
    </font>
    <font>
      <b/>
      <sz val="11"/>
      <color rgb="FF000000"/>
      <name val="Calibri"/>
      <family val="2"/>
    </font>
    <font>
      <b/>
      <sz val="11"/>
      <color rgb="FFFFFFFF"/>
      <name val="Calibri"/>
      <family val="2"/>
    </font>
    <font>
      <b/>
      <sz val="11"/>
      <color rgb="FF1F4E78"/>
      <name val="Calibri"/>
      <family val="2"/>
    </font>
    <font>
      <sz val="11"/>
      <color rgb="FF000000"/>
      <name val="Calibri"/>
      <family val="2"/>
    </font>
    <font>
      <sz val="12"/>
      <color rgb="FF333333"/>
      <name val="Roboto"/>
    </font>
    <font>
      <b/>
      <sz val="9"/>
      <name val="Verdana"/>
      <family val="2"/>
      <charset val="1"/>
    </font>
    <font>
      <b/>
      <sz val="10"/>
      <color theme="1"/>
      <name val="Calibri"/>
      <family val="2"/>
      <charset val="1"/>
    </font>
    <font>
      <b/>
      <sz val="14"/>
      <color theme="1"/>
      <name val="Calibri"/>
      <family val="2"/>
      <charset val="1"/>
    </font>
    <font>
      <sz val="11"/>
      <color theme="1"/>
      <name val="Calibri"/>
      <family val="2"/>
      <charset val="1"/>
    </font>
  </fonts>
  <fills count="24">
    <fill>
      <patternFill patternType="none"/>
    </fill>
    <fill>
      <patternFill patternType="gray125"/>
    </fill>
    <fill>
      <patternFill patternType="solid">
        <fgColor theme="7" tint="0.79989013336588644"/>
        <bgColor rgb="FFFFFFCC"/>
      </patternFill>
    </fill>
    <fill>
      <patternFill patternType="solid">
        <fgColor theme="4" tint="0.79989013336588644"/>
        <bgColor rgb="FFD9E3F0"/>
      </patternFill>
    </fill>
    <fill>
      <patternFill patternType="solid">
        <fgColor rgb="FFFFFF00"/>
        <bgColor rgb="FFFFFFCC"/>
      </patternFill>
    </fill>
    <fill>
      <patternFill patternType="solid">
        <fgColor theme="0" tint="-0.14999847407452621"/>
        <bgColor rgb="FFD0CECE"/>
      </patternFill>
    </fill>
    <fill>
      <patternFill patternType="solid">
        <fgColor rgb="FF40556F"/>
        <bgColor rgb="FF44546A"/>
      </patternFill>
    </fill>
    <fill>
      <patternFill patternType="solid">
        <fgColor rgb="FFD9E3F0"/>
        <bgColor rgb="FFDAE3F3"/>
      </patternFill>
    </fill>
    <fill>
      <patternFill patternType="solid">
        <fgColor rgb="FFE2F0D9"/>
        <bgColor rgb="FFE2EFDA"/>
      </patternFill>
    </fill>
    <fill>
      <patternFill patternType="solid">
        <fgColor rgb="FFE97823"/>
        <bgColor rgb="FFFF9900"/>
      </patternFill>
    </fill>
    <fill>
      <patternFill patternType="solid">
        <fgColor rgb="FFFFFFCC"/>
        <bgColor rgb="FFFFF2CC"/>
      </patternFill>
    </fill>
    <fill>
      <patternFill patternType="solid">
        <fgColor theme="8" tint="0.79989013336588644"/>
        <bgColor rgb="FFDDEBF7"/>
      </patternFill>
    </fill>
    <fill>
      <patternFill patternType="solid">
        <fgColor theme="5" tint="0.79989013336588644"/>
        <bgColor rgb="FFFCE4D6"/>
      </patternFill>
    </fill>
    <fill>
      <patternFill patternType="solid">
        <fgColor theme="3" tint="0.89989928891872917"/>
        <bgColor rgb="FFF2F2F2"/>
      </patternFill>
    </fill>
    <fill>
      <patternFill patternType="solid">
        <fgColor theme="3"/>
        <bgColor rgb="FF40556F"/>
      </patternFill>
    </fill>
    <fill>
      <patternFill patternType="solid">
        <fgColor theme="0"/>
        <bgColor rgb="FFF2F2F2"/>
      </patternFill>
    </fill>
    <fill>
      <patternFill patternType="solid">
        <fgColor theme="9"/>
        <bgColor rgb="FF8B8B8B"/>
      </patternFill>
    </fill>
    <fill>
      <patternFill patternType="solid">
        <fgColor theme="5" tint="-0.249977111117893"/>
        <bgColor rgb="FFE97823"/>
      </patternFill>
    </fill>
    <fill>
      <patternFill patternType="solid">
        <fgColor rgb="FFFCE4D6"/>
        <bgColor rgb="FFFBE5D6"/>
      </patternFill>
    </fill>
    <fill>
      <patternFill patternType="solid">
        <fgColor rgb="FFE2EFDA"/>
        <bgColor rgb="FFE2F0D9"/>
      </patternFill>
    </fill>
    <fill>
      <patternFill patternType="solid">
        <fgColor theme="0" tint="-4.9989318521683403E-2"/>
        <bgColor rgb="FFEBEEF2"/>
      </patternFill>
    </fill>
    <fill>
      <patternFill patternType="solid">
        <fgColor rgb="FFA5A5A5"/>
        <bgColor rgb="FF8B8B8B"/>
      </patternFill>
    </fill>
    <fill>
      <patternFill patternType="solid">
        <fgColor rgb="FF2F75B5"/>
        <bgColor rgb="FF4472C4"/>
      </patternFill>
    </fill>
    <fill>
      <patternFill patternType="solid">
        <fgColor rgb="FFDDEBF7"/>
        <bgColor rgb="FFDEEBF7"/>
      </patternFill>
    </fill>
  </fills>
  <borders count="4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top style="thin">
        <color auto="1"/>
      </top>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auto="1"/>
      </left>
      <right/>
      <top/>
      <bottom style="thin">
        <color auto="1"/>
      </bottom>
      <diagonal/>
    </border>
    <border>
      <left style="thin">
        <color auto="1"/>
      </left>
      <right/>
      <top/>
      <bottom/>
      <diagonal/>
    </border>
    <border>
      <left style="double">
        <color rgb="FF3F3F3F"/>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s>
  <cellStyleXfs count="22">
    <xf numFmtId="0" fontId="0" fillId="0" borderId="0"/>
    <xf numFmtId="164" fontId="45" fillId="0" borderId="0"/>
    <xf numFmtId="165" fontId="1" fillId="0" borderId="0"/>
    <xf numFmtId="164" fontId="45" fillId="0" borderId="0"/>
    <xf numFmtId="164" fontId="45" fillId="0" borderId="0"/>
    <xf numFmtId="164" fontId="45" fillId="0" borderId="0"/>
    <xf numFmtId="166" fontId="2" fillId="0" borderId="0"/>
    <xf numFmtId="167" fontId="1" fillId="0" borderId="0"/>
    <xf numFmtId="168" fontId="3" fillId="0" borderId="0"/>
    <xf numFmtId="0" fontId="4" fillId="0" borderId="0"/>
    <xf numFmtId="168" fontId="1" fillId="0" borderId="0"/>
    <xf numFmtId="0" fontId="5" fillId="0" borderId="0"/>
    <xf numFmtId="168" fontId="6" fillId="0" borderId="0"/>
    <xf numFmtId="168" fontId="7" fillId="0" borderId="0"/>
    <xf numFmtId="0" fontId="45" fillId="0" borderId="0"/>
    <xf numFmtId="168" fontId="1" fillId="0" borderId="0"/>
    <xf numFmtId="168" fontId="45" fillId="0" borderId="0"/>
    <xf numFmtId="168" fontId="45" fillId="0" borderId="0"/>
    <xf numFmtId="169" fontId="45" fillId="0" borderId="0"/>
    <xf numFmtId="168" fontId="1" fillId="0" borderId="0"/>
    <xf numFmtId="9" fontId="1" fillId="0" borderId="0"/>
    <xf numFmtId="9" fontId="8" fillId="0" borderId="0"/>
  </cellStyleXfs>
  <cellXfs count="378">
    <xf numFmtId="0" fontId="0" fillId="0" borderId="0" xfId="0"/>
    <xf numFmtId="0" fontId="0" fillId="0" borderId="2" xfId="0" applyBorder="1" applyAlignment="1">
      <alignment horizontal="center" vertical="top" wrapText="1"/>
    </xf>
    <xf numFmtId="0" fontId="0" fillId="0" borderId="2" xfId="0" applyBorder="1" applyAlignment="1">
      <alignment horizontal="center" vertical="top"/>
    </xf>
    <xf numFmtId="0" fontId="0" fillId="5" borderId="2" xfId="0" applyFill="1" applyBorder="1" applyAlignment="1">
      <alignment horizontal="center"/>
    </xf>
    <xf numFmtId="0" fontId="16" fillId="0" borderId="0" xfId="0" applyFont="1" applyAlignment="1">
      <alignment horizontal="left"/>
    </xf>
    <xf numFmtId="0" fontId="10" fillId="0" borderId="0" xfId="0" applyFont="1" applyAlignment="1">
      <alignment horizontal="center" wrapText="1"/>
    </xf>
    <xf numFmtId="0" fontId="11" fillId="0" borderId="0" xfId="0" applyFont="1" applyAlignment="1">
      <alignment horizontal="center"/>
    </xf>
    <xf numFmtId="0" fontId="0" fillId="2" borderId="3" xfId="0" applyFill="1" applyBorder="1" applyAlignment="1">
      <alignment horizontal="center" vertical="center"/>
    </xf>
    <xf numFmtId="0" fontId="15" fillId="3" borderId="7" xfId="0" applyFont="1" applyFill="1" applyBorder="1" applyAlignment="1">
      <alignment horizontal="center" vertical="center"/>
    </xf>
    <xf numFmtId="0" fontId="0" fillId="3" borderId="3" xfId="0" applyFill="1" applyBorder="1" applyAlignment="1">
      <alignment horizontal="center" vertical="center"/>
    </xf>
    <xf numFmtId="0" fontId="15" fillId="2" borderId="2" xfId="0" applyFont="1" applyFill="1" applyBorder="1" applyAlignment="1">
      <alignment horizontal="center" vertical="center"/>
    </xf>
    <xf numFmtId="0" fontId="15"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9" fillId="0" borderId="0" xfId="0" applyFont="1" applyAlignment="1">
      <alignment horizontal="right"/>
    </xf>
    <xf numFmtId="170" fontId="10" fillId="0" borderId="0" xfId="0" applyNumberFormat="1" applyFont="1"/>
    <xf numFmtId="0" fontId="11" fillId="0" borderId="0" xfId="0" applyFont="1" applyAlignment="1">
      <alignment horizontal="center"/>
    </xf>
    <xf numFmtId="0" fontId="12" fillId="0" borderId="0" xfId="0" applyFont="1" applyAlignment="1">
      <alignment horizontal="center"/>
    </xf>
    <xf numFmtId="0" fontId="0" fillId="0" borderId="0" xfId="0" applyAlignment="1">
      <alignment horizontal="center"/>
    </xf>
    <xf numFmtId="0" fontId="13" fillId="0" borderId="1" xfId="0" applyFont="1" applyBorder="1"/>
    <xf numFmtId="0" fontId="5" fillId="0" borderId="1" xfId="0" applyFont="1" applyBorder="1" applyAlignment="1">
      <alignment horizontal="left" vertical="top"/>
    </xf>
    <xf numFmtId="0" fontId="0" fillId="0" borderId="1" xfId="0" applyBorder="1"/>
    <xf numFmtId="0" fontId="14" fillId="0" borderId="1" xfId="0" applyFont="1" applyBorder="1"/>
    <xf numFmtId="0" fontId="14" fillId="0" borderId="0" xfId="0" applyFont="1"/>
    <xf numFmtId="0" fontId="0" fillId="0" borderId="2" xfId="0" applyBorder="1" applyAlignment="1">
      <alignment horizontal="center"/>
    </xf>
    <xf numFmtId="0" fontId="0" fillId="0" borderId="3" xfId="0" applyBorder="1" applyAlignment="1">
      <alignment horizontal="center" vertical="center" wrapText="1"/>
    </xf>
    <xf numFmtId="0" fontId="8" fillId="0" borderId="2" xfId="0" applyFont="1" applyBorder="1"/>
    <xf numFmtId="0" fontId="0" fillId="0" borderId="2" xfId="0" applyBorder="1"/>
    <xf numFmtId="0" fontId="0" fillId="0" borderId="4" xfId="0" applyBorder="1" applyAlignment="1">
      <alignment horizontal="center" vertical="center" wrapText="1"/>
    </xf>
    <xf numFmtId="0" fontId="15" fillId="0" borderId="2" xfId="0" applyFont="1" applyBorder="1" applyAlignment="1">
      <alignment horizontal="center"/>
    </xf>
    <xf numFmtId="0" fontId="15" fillId="0" borderId="2" xfId="0" applyFont="1" applyBorder="1" applyAlignment="1">
      <alignment horizontal="center" vertical="center"/>
    </xf>
    <xf numFmtId="0" fontId="8" fillId="4" borderId="2" xfId="0" applyFont="1" applyFill="1" applyBorder="1"/>
    <xf numFmtId="0" fontId="15" fillId="0" borderId="3" xfId="0" applyFont="1" applyBorder="1" applyAlignment="1">
      <alignment horizontal="center" vertical="center"/>
    </xf>
    <xf numFmtId="0" fontId="8" fillId="0" borderId="3" xfId="0" applyFont="1" applyBorder="1"/>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xf>
    <xf numFmtId="0" fontId="0" fillId="2" borderId="2" xfId="0" applyFill="1" applyBorder="1" applyAlignment="1">
      <alignment horizontal="center" vertical="center"/>
    </xf>
    <xf numFmtId="0" fontId="0" fillId="0" borderId="6" xfId="0" applyBorder="1" applyAlignment="1">
      <alignment horizontal="center" vertical="center"/>
    </xf>
    <xf numFmtId="0" fontId="0" fillId="2" borderId="4" xfId="0" applyFill="1" applyBorder="1" applyAlignment="1">
      <alignment horizontal="center" vertical="center"/>
    </xf>
    <xf numFmtId="0" fontId="0" fillId="3" borderId="7" xfId="0" applyFill="1" applyBorder="1" applyAlignment="1">
      <alignment horizontal="center" vertical="center"/>
    </xf>
    <xf numFmtId="0" fontId="8" fillId="0" borderId="0" xfId="0" applyFont="1"/>
    <xf numFmtId="0" fontId="0" fillId="3" borderId="2" xfId="0" applyFill="1" applyBorder="1" applyAlignment="1">
      <alignment vertical="center"/>
    </xf>
    <xf numFmtId="0" fontId="15" fillId="0" borderId="0" xfId="0" applyFont="1" applyAlignment="1">
      <alignment horizontal="left" vertical="center" wrapText="1" indent="1"/>
    </xf>
    <xf numFmtId="0" fontId="16" fillId="0" borderId="0" xfId="0" applyFont="1" applyAlignment="1">
      <alignment horizontal="left"/>
    </xf>
    <xf numFmtId="0" fontId="0" fillId="0" borderId="1" xfId="0" applyBorder="1" applyAlignment="1">
      <alignment horizontal="center"/>
    </xf>
    <xf numFmtId="0" fontId="5" fillId="0" borderId="0" xfId="0" applyFont="1" applyAlignment="1">
      <alignment horizontal="left" vertical="top"/>
    </xf>
    <xf numFmtId="0" fontId="0" fillId="5" borderId="2" xfId="0" applyFill="1" applyBorder="1" applyAlignment="1">
      <alignment horizontal="center"/>
    </xf>
    <xf numFmtId="0" fontId="12" fillId="3" borderId="3" xfId="0" applyFont="1" applyFill="1" applyBorder="1" applyAlignment="1">
      <alignment horizontal="left" vertical="top"/>
    </xf>
    <xf numFmtId="0" fontId="12" fillId="3" borderId="2" xfId="0" applyFont="1" applyFill="1" applyBorder="1" applyAlignment="1">
      <alignment horizontal="left" vertical="top"/>
    </xf>
    <xf numFmtId="171" fontId="0" fillId="0" borderId="2" xfId="0" applyNumberFormat="1" applyBorder="1" applyAlignment="1">
      <alignment horizontal="left" vertical="top"/>
    </xf>
    <xf numFmtId="0" fontId="0" fillId="0" borderId="2" xfId="0" applyBorder="1" applyAlignment="1">
      <alignment horizontal="left" vertical="top"/>
    </xf>
    <xf numFmtId="0" fontId="0" fillId="5" borderId="2" xfId="0" applyFill="1" applyBorder="1"/>
    <xf numFmtId="172" fontId="0" fillId="5" borderId="2" xfId="0" applyNumberFormat="1" applyFill="1" applyBorder="1"/>
    <xf numFmtId="0" fontId="12" fillId="0" borderId="2" xfId="0" applyFont="1" applyBorder="1"/>
    <xf numFmtId="171" fontId="12" fillId="0" borderId="2" xfId="0" applyNumberFormat="1" applyFont="1" applyBorder="1" applyAlignment="1">
      <alignment horizontal="left" vertical="top"/>
    </xf>
    <xf numFmtId="0" fontId="12" fillId="0" borderId="2" xfId="0" applyFont="1" applyBorder="1" applyAlignment="1">
      <alignment horizontal="left" vertical="top"/>
    </xf>
    <xf numFmtId="0" fontId="12" fillId="5" borderId="2" xfId="0" applyFont="1" applyFill="1" applyBorder="1"/>
    <xf numFmtId="172" fontId="12" fillId="5" borderId="2" xfId="0" applyNumberFormat="1" applyFont="1" applyFill="1" applyBorder="1"/>
    <xf numFmtId="0" fontId="5" fillId="0" borderId="0" xfId="0" applyFont="1" applyAlignment="1">
      <alignment horizontal="center" vertical="top"/>
    </xf>
    <xf numFmtId="0" fontId="0" fillId="3" borderId="2" xfId="0" applyFill="1" applyBorder="1"/>
    <xf numFmtId="173" fontId="0" fillId="0" borderId="2" xfId="0" applyNumberFormat="1" applyBorder="1"/>
    <xf numFmtId="0" fontId="4" fillId="0" borderId="2" xfId="0" applyFont="1" applyBorder="1"/>
    <xf numFmtId="172" fontId="0" fillId="5" borderId="2" xfId="0" applyNumberFormat="1" applyFill="1" applyBorder="1" applyAlignment="1">
      <alignment horizontal="center"/>
    </xf>
    <xf numFmtId="0" fontId="0" fillId="0" borderId="3" xfId="0" applyBorder="1"/>
    <xf numFmtId="173" fontId="0" fillId="0" borderId="5" xfId="0" applyNumberFormat="1" applyBorder="1"/>
    <xf numFmtId="0" fontId="0" fillId="0" borderId="8" xfId="0" applyBorder="1"/>
    <xf numFmtId="173" fontId="0" fillId="0" borderId="9" xfId="0" applyNumberFormat="1" applyBorder="1"/>
    <xf numFmtId="0" fontId="0" fillId="0" borderId="10" xfId="0" applyBorder="1"/>
    <xf numFmtId="0" fontId="0" fillId="0" borderId="11" xfId="0" applyBorder="1"/>
    <xf numFmtId="174" fontId="0" fillId="0" borderId="2" xfId="0" applyNumberFormat="1" applyBorder="1"/>
    <xf numFmtId="0" fontId="0" fillId="0" borderId="12" xfId="0" applyBorder="1"/>
    <xf numFmtId="0" fontId="0" fillId="5" borderId="3" xfId="0" applyFill="1" applyBorder="1" applyAlignment="1">
      <alignment horizontal="center"/>
    </xf>
    <xf numFmtId="2" fontId="0" fillId="0" borderId="2" xfId="0" applyNumberFormat="1" applyBorder="1" applyAlignment="1">
      <alignment horizontal="center"/>
    </xf>
    <xf numFmtId="0" fontId="17" fillId="0" borderId="2" xfId="0" applyFont="1" applyBorder="1"/>
    <xf numFmtId="0" fontId="17" fillId="0" borderId="11" xfId="0" applyFont="1" applyBorder="1"/>
    <xf numFmtId="0" fontId="0" fillId="0" borderId="0" xfId="0" applyAlignment="1">
      <alignment horizontal="right"/>
    </xf>
    <xf numFmtId="0" fontId="7" fillId="0" borderId="2" xfId="0" applyFont="1" applyBorder="1"/>
    <xf numFmtId="0" fontId="17" fillId="0" borderId="8" xfId="0" applyFont="1" applyBorder="1"/>
    <xf numFmtId="0" fontId="7" fillId="0" borderId="2" xfId="0" applyFont="1" applyBorder="1" applyAlignment="1">
      <alignment horizontal="left"/>
    </xf>
    <xf numFmtId="0" fontId="18" fillId="0" borderId="2" xfId="0" applyFont="1" applyBorder="1"/>
    <xf numFmtId="0" fontId="0" fillId="0" borderId="13" xfId="0" applyBorder="1"/>
    <xf numFmtId="0" fontId="4" fillId="0" borderId="7" xfId="0" applyFont="1" applyBorder="1"/>
    <xf numFmtId="0" fontId="0" fillId="0" borderId="7" xfId="0" applyBorder="1"/>
    <xf numFmtId="0" fontId="19" fillId="0" borderId="2" xfId="0" applyFont="1" applyBorder="1"/>
    <xf numFmtId="0" fontId="7" fillId="0" borderId="7" xfId="0" applyFont="1" applyBorder="1"/>
    <xf numFmtId="0" fontId="17" fillId="0" borderId="7" xfId="0" applyFont="1" applyBorder="1"/>
    <xf numFmtId="0" fontId="19" fillId="0" borderId="7" xfId="0" applyFont="1" applyBorder="1"/>
    <xf numFmtId="0" fontId="7" fillId="0" borderId="7" xfId="0" applyFont="1" applyBorder="1" applyAlignment="1">
      <alignment horizontal="left"/>
    </xf>
    <xf numFmtId="0" fontId="20" fillId="0" borderId="2" xfId="0" applyFont="1" applyBorder="1"/>
    <xf numFmtId="0" fontId="0" fillId="0" borderId="2" xfId="0" applyBorder="1" applyAlignment="1">
      <alignment horizontal="center" vertical="top"/>
    </xf>
    <xf numFmtId="0" fontId="0" fillId="0" borderId="2" xfId="0" applyBorder="1" applyAlignment="1">
      <alignment horizontal="center" vertical="top" wrapText="1"/>
    </xf>
    <xf numFmtId="0" fontId="0" fillId="0" borderId="8" xfId="0" applyBorder="1" applyAlignment="1">
      <alignment horizontal="center" wrapText="1"/>
    </xf>
    <xf numFmtId="0" fontId="0" fillId="0" borderId="2" xfId="0" applyBorder="1" applyAlignment="1">
      <alignment wrapText="1"/>
    </xf>
    <xf numFmtId="0" fontId="0" fillId="0" borderId="8" xfId="0" applyBorder="1" applyAlignment="1">
      <alignment horizontal="center" vertical="center" wrapText="1"/>
    </xf>
    <xf numFmtId="0" fontId="0" fillId="4" borderId="2" xfId="0" applyFill="1" applyBorder="1" applyAlignment="1">
      <alignment wrapText="1"/>
    </xf>
    <xf numFmtId="0" fontId="0" fillId="0" borderId="2" xfId="0" applyBorder="1" applyAlignment="1">
      <alignment horizontal="right"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right" wrapText="1"/>
    </xf>
    <xf numFmtId="0" fontId="0" fillId="0" borderId="0" xfId="0" applyAlignment="1">
      <alignment horizontal="center" wrapText="1"/>
    </xf>
    <xf numFmtId="0" fontId="0" fillId="0" borderId="6" xfId="0" applyBorder="1"/>
    <xf numFmtId="0" fontId="0" fillId="0" borderId="4" xfId="0" applyBorder="1"/>
    <xf numFmtId="0" fontId="0" fillId="0" borderId="3" xfId="0" applyBorder="1" applyAlignment="1">
      <alignment wrapText="1"/>
    </xf>
    <xf numFmtId="0" fontId="0" fillId="0" borderId="13" xfId="0" applyBorder="1" applyAlignment="1">
      <alignment wrapText="1"/>
    </xf>
    <xf numFmtId="0" fontId="0" fillId="0" borderId="2" xfId="0" applyBorder="1" applyAlignment="1">
      <alignment horizontal="center" vertical="center" wrapText="1"/>
    </xf>
    <xf numFmtId="0" fontId="22" fillId="0" borderId="0" xfId="0" applyFont="1"/>
    <xf numFmtId="0" fontId="0" fillId="0" borderId="0" xfId="0" applyAlignment="1">
      <alignment vertical="top" wrapText="1"/>
    </xf>
    <xf numFmtId="0" fontId="23" fillId="6" borderId="14" xfId="0" applyFont="1" applyFill="1" applyBorder="1" applyAlignment="1">
      <alignment horizontal="center" vertical="center" wrapText="1"/>
    </xf>
    <xf numFmtId="0" fontId="23" fillId="6" borderId="15" xfId="0" applyFont="1" applyFill="1" applyBorder="1" applyAlignment="1">
      <alignment horizontal="center" vertical="center" wrapText="1"/>
    </xf>
    <xf numFmtId="0" fontId="22" fillId="7" borderId="14" xfId="0" applyFont="1" applyFill="1" applyBorder="1" applyAlignment="1">
      <alignment vertical="center" wrapText="1"/>
    </xf>
    <xf numFmtId="0" fontId="0" fillId="8" borderId="14" xfId="0" applyFill="1" applyBorder="1" applyAlignment="1">
      <alignment horizontal="center" vertical="center" wrapText="1"/>
    </xf>
    <xf numFmtId="0" fontId="0" fillId="0" borderId="14" xfId="0" applyBorder="1" applyAlignment="1">
      <alignment vertical="center" wrapText="1"/>
    </xf>
    <xf numFmtId="0" fontId="23" fillId="9" borderId="14" xfId="0" applyFont="1" applyFill="1" applyBorder="1" applyAlignment="1">
      <alignment vertical="center" wrapText="1"/>
    </xf>
    <xf numFmtId="0" fontId="23" fillId="9" borderId="14" xfId="0" applyFont="1" applyFill="1" applyBorder="1" applyAlignment="1">
      <alignment horizontal="center" vertical="center" wrapText="1"/>
    </xf>
    <xf numFmtId="0" fontId="24" fillId="0" borderId="0" xfId="0" applyFont="1"/>
    <xf numFmtId="0" fontId="0" fillId="0" borderId="2" xfId="0" applyBorder="1" applyAlignment="1">
      <alignment horizontal="left"/>
    </xf>
    <xf numFmtId="172" fontId="0" fillId="0" borderId="2" xfId="0" applyNumberFormat="1" applyBorder="1" applyAlignment="1">
      <alignment horizontal="left"/>
    </xf>
    <xf numFmtId="0" fontId="0" fillId="5" borderId="2" xfId="0" applyFill="1" applyBorder="1" applyAlignment="1">
      <alignment horizontal="left"/>
    </xf>
    <xf numFmtId="0" fontId="0" fillId="8" borderId="2" xfId="0" applyFill="1" applyBorder="1" applyAlignment="1">
      <alignment horizontal="center"/>
    </xf>
    <xf numFmtId="0" fontId="0" fillId="8" borderId="2" xfId="0" applyFill="1" applyBorder="1" applyAlignment="1">
      <alignment horizontal="left" vertical="top"/>
    </xf>
    <xf numFmtId="0" fontId="0" fillId="8" borderId="2" xfId="0" applyFill="1" applyBorder="1"/>
    <xf numFmtId="0" fontId="0" fillId="10" borderId="2" xfId="0" applyFill="1" applyBorder="1" applyAlignment="1">
      <alignment horizontal="center"/>
    </xf>
    <xf numFmtId="0" fontId="0" fillId="10" borderId="2" xfId="0" applyFill="1" applyBorder="1" applyAlignment="1">
      <alignment horizontal="left" vertical="top"/>
    </xf>
    <xf numFmtId="0" fontId="0" fillId="10" borderId="2" xfId="0" applyFill="1" applyBorder="1"/>
    <xf numFmtId="0" fontId="0" fillId="11" borderId="2" xfId="0" applyFill="1" applyBorder="1" applyAlignment="1">
      <alignment horizontal="center"/>
    </xf>
    <xf numFmtId="0" fontId="0" fillId="11" borderId="2" xfId="0" applyFill="1" applyBorder="1"/>
    <xf numFmtId="0" fontId="0" fillId="12" borderId="2" xfId="0" applyFill="1" applyBorder="1" applyAlignment="1">
      <alignment horizontal="center"/>
    </xf>
    <xf numFmtId="0" fontId="0" fillId="12" borderId="2" xfId="0" applyFill="1" applyBorder="1" applyAlignment="1">
      <alignment horizontal="left" vertical="top"/>
    </xf>
    <xf numFmtId="0" fontId="0" fillId="12" borderId="2" xfId="0" applyFill="1" applyBorder="1"/>
    <xf numFmtId="0" fontId="0" fillId="12" borderId="3" xfId="0" applyFill="1" applyBorder="1" applyAlignment="1">
      <alignment horizontal="center"/>
    </xf>
    <xf numFmtId="0" fontId="0" fillId="12" borderId="3" xfId="0" applyFill="1" applyBorder="1" applyAlignment="1">
      <alignment horizontal="left" vertical="top"/>
    </xf>
    <xf numFmtId="0" fontId="0" fillId="12" borderId="3" xfId="0" applyFill="1" applyBorder="1"/>
    <xf numFmtId="0" fontId="0" fillId="12" borderId="4" xfId="0" applyFill="1" applyBorder="1" applyAlignment="1">
      <alignment horizontal="center"/>
    </xf>
    <xf numFmtId="0" fontId="0" fillId="12" borderId="4" xfId="0" applyFill="1" applyBorder="1" applyAlignment="1">
      <alignment horizontal="left" vertical="top"/>
    </xf>
    <xf numFmtId="0" fontId="0" fillId="12" borderId="7" xfId="0" applyFill="1" applyBorder="1" applyAlignment="1">
      <alignment horizontal="center"/>
    </xf>
    <xf numFmtId="0" fontId="0" fillId="12" borderId="7" xfId="0" applyFill="1" applyBorder="1" applyAlignment="1">
      <alignment horizontal="left" vertical="top"/>
    </xf>
    <xf numFmtId="0" fontId="0" fillId="12" borderId="7" xfId="0" applyFill="1" applyBorder="1"/>
    <xf numFmtId="0" fontId="0" fillId="11" borderId="2" xfId="0" applyFill="1" applyBorder="1" applyAlignment="1">
      <alignment horizontal="left" vertical="top"/>
    </xf>
    <xf numFmtId="0" fontId="0" fillId="13" borderId="2" xfId="0" applyFill="1" applyBorder="1" applyAlignment="1">
      <alignment horizontal="center"/>
    </xf>
    <xf numFmtId="0" fontId="0" fillId="13" borderId="2" xfId="0" applyFill="1" applyBorder="1"/>
    <xf numFmtId="0" fontId="8" fillId="13" borderId="2" xfId="0" applyFont="1" applyFill="1" applyBorder="1"/>
    <xf numFmtId="0" fontId="8" fillId="13" borderId="2" xfId="0" applyFont="1" applyFill="1" applyBorder="1" applyAlignment="1">
      <alignment vertical="center" wrapText="1"/>
    </xf>
    <xf numFmtId="0" fontId="8" fillId="13" borderId="2" xfId="0" applyFont="1" applyFill="1" applyBorder="1" applyAlignment="1">
      <alignment vertical="center"/>
    </xf>
    <xf numFmtId="0" fontId="0" fillId="4" borderId="2" xfId="0" applyFill="1" applyBorder="1" applyAlignment="1">
      <alignment horizontal="center"/>
    </xf>
    <xf numFmtId="0" fontId="0" fillId="4" borderId="2" xfId="0" applyFill="1" applyBorder="1" applyAlignment="1">
      <alignment horizontal="left" vertical="top"/>
    </xf>
    <xf numFmtId="0" fontId="0" fillId="4" borderId="2" xfId="0" applyFill="1" applyBorder="1"/>
    <xf numFmtId="0" fontId="0" fillId="0" borderId="0" xfId="0" applyAlignment="1">
      <alignment horizontal="left" vertical="top"/>
    </xf>
    <xf numFmtId="0" fontId="16" fillId="0" borderId="0" xfId="0" applyFont="1"/>
    <xf numFmtId="0" fontId="25" fillId="14" borderId="16" xfId="0" applyFont="1" applyFill="1" applyBorder="1" applyAlignment="1">
      <alignment vertical="center"/>
    </xf>
    <xf numFmtId="0" fontId="25" fillId="14" borderId="16" xfId="0" applyFont="1" applyFill="1" applyBorder="1" applyAlignment="1">
      <alignment vertical="center" wrapText="1"/>
    </xf>
    <xf numFmtId="0" fontId="25" fillId="14" borderId="17" xfId="0" applyFont="1" applyFill="1" applyBorder="1" applyAlignment="1">
      <alignment horizontal="left" textRotation="45"/>
    </xf>
    <xf numFmtId="0" fontId="0" fillId="8" borderId="7" xfId="0" applyFill="1" applyBorder="1"/>
    <xf numFmtId="0" fontId="0" fillId="8" borderId="18" xfId="0" applyFill="1" applyBorder="1"/>
    <xf numFmtId="0" fontId="0" fillId="8" borderId="5" xfId="0" applyFill="1" applyBorder="1"/>
    <xf numFmtId="0" fontId="0" fillId="15" borderId="2" xfId="0" applyFill="1" applyBorder="1"/>
    <xf numFmtId="0" fontId="0" fillId="15" borderId="5" xfId="0" applyFill="1" applyBorder="1"/>
    <xf numFmtId="0" fontId="0" fillId="15" borderId="2" xfId="0" applyFill="1" applyBorder="1" applyAlignment="1">
      <alignment horizontal="center"/>
    </xf>
    <xf numFmtId="0" fontId="0" fillId="12" borderId="5" xfId="0" applyFill="1" applyBorder="1"/>
    <xf numFmtId="0" fontId="0" fillId="3" borderId="5" xfId="0" applyFill="1" applyBorder="1"/>
    <xf numFmtId="0" fontId="0" fillId="3" borderId="2" xfId="0" applyFill="1" applyBorder="1" applyAlignment="1">
      <alignment horizontal="center"/>
    </xf>
    <xf numFmtId="0" fontId="0" fillId="5" borderId="5" xfId="0" applyFill="1" applyBorder="1"/>
    <xf numFmtId="0" fontId="25" fillId="17" borderId="2" xfId="0" applyFont="1" applyFill="1" applyBorder="1" applyAlignment="1">
      <alignment horizontal="center"/>
    </xf>
    <xf numFmtId="0" fontId="25" fillId="14" borderId="3" xfId="0" applyFont="1" applyFill="1" applyBorder="1" applyAlignment="1">
      <alignment horizontal="center"/>
    </xf>
    <xf numFmtId="0" fontId="27" fillId="0" borderId="2" xfId="0" applyFont="1" applyBorder="1"/>
    <xf numFmtId="0" fontId="27" fillId="0" borderId="0" xfId="0" applyFont="1" applyAlignment="1">
      <alignment vertical="center" wrapText="1"/>
    </xf>
    <xf numFmtId="49" fontId="28" fillId="18" borderId="2" xfId="0" applyNumberFormat="1" applyFont="1" applyFill="1" applyBorder="1" applyAlignment="1">
      <alignment vertical="center"/>
    </xf>
    <xf numFmtId="49" fontId="27" fillId="0" borderId="0" xfId="0" applyNumberFormat="1" applyFont="1"/>
    <xf numFmtId="49" fontId="27" fillId="3" borderId="2" xfId="0" applyNumberFormat="1" applyFont="1" applyFill="1" applyBorder="1"/>
    <xf numFmtId="0" fontId="28" fillId="0" borderId="19" xfId="0" applyFont="1" applyBorder="1" applyAlignment="1">
      <alignment vertical="center"/>
    </xf>
    <xf numFmtId="0" fontId="28" fillId="19" borderId="2" xfId="0" applyFont="1" applyFill="1" applyBorder="1" applyAlignment="1">
      <alignment vertical="center"/>
    </xf>
    <xf numFmtId="49" fontId="28" fillId="3" borderId="2" xfId="0" applyNumberFormat="1" applyFont="1" applyFill="1" applyBorder="1" applyAlignment="1">
      <alignment vertical="center"/>
    </xf>
    <xf numFmtId="0" fontId="25" fillId="14" borderId="0" xfId="0" applyFont="1" applyFill="1"/>
    <xf numFmtId="0" fontId="26" fillId="3" borderId="5" xfId="0" applyFont="1" applyFill="1" applyBorder="1" applyAlignment="1">
      <alignment horizontal="left"/>
    </xf>
    <xf numFmtId="0" fontId="26" fillId="3" borderId="11" xfId="0" applyFont="1" applyFill="1" applyBorder="1"/>
    <xf numFmtId="0" fontId="26" fillId="3" borderId="5" xfId="0" applyFont="1" applyFill="1" applyBorder="1"/>
    <xf numFmtId="0" fontId="25" fillId="14" borderId="2" xfId="0" applyFont="1" applyFill="1" applyBorder="1" applyAlignment="1">
      <alignment horizontal="center"/>
    </xf>
    <xf numFmtId="1" fontId="30" fillId="14" borderId="9" xfId="0" applyNumberFormat="1" applyFont="1" applyFill="1" applyBorder="1"/>
    <xf numFmtId="1" fontId="0" fillId="0" borderId="0" xfId="0" applyNumberFormat="1"/>
    <xf numFmtId="173" fontId="0" fillId="3" borderId="2" xfId="0" applyNumberFormat="1" applyFill="1" applyBorder="1"/>
    <xf numFmtId="1" fontId="0" fillId="3" borderId="2" xfId="0" applyNumberFormat="1" applyFill="1" applyBorder="1"/>
    <xf numFmtId="172" fontId="0" fillId="20" borderId="5" xfId="0" applyNumberFormat="1" applyFill="1" applyBorder="1"/>
    <xf numFmtId="172" fontId="0" fillId="0" borderId="0" xfId="0" applyNumberFormat="1"/>
    <xf numFmtId="172" fontId="0" fillId="5" borderId="5" xfId="0" applyNumberFormat="1" applyFill="1" applyBorder="1"/>
    <xf numFmtId="0" fontId="26" fillId="3" borderId="11" xfId="0" applyFont="1" applyFill="1" applyBorder="1" applyAlignment="1">
      <alignment horizontal="left"/>
    </xf>
    <xf numFmtId="175" fontId="0" fillId="3" borderId="2" xfId="0" applyNumberFormat="1" applyFill="1" applyBorder="1"/>
    <xf numFmtId="170" fontId="0" fillId="3" borderId="2" xfId="0" applyNumberFormat="1" applyFill="1" applyBorder="1"/>
    <xf numFmtId="176" fontId="0" fillId="5" borderId="5" xfId="0" applyNumberFormat="1" applyFill="1" applyBorder="1"/>
    <xf numFmtId="177" fontId="0" fillId="5" borderId="5" xfId="0" applyNumberFormat="1" applyFill="1" applyBorder="1"/>
    <xf numFmtId="178" fontId="0" fillId="20" borderId="5" xfId="0" applyNumberFormat="1" applyFill="1" applyBorder="1"/>
    <xf numFmtId="170" fontId="0" fillId="2" borderId="2" xfId="0" applyNumberFormat="1" applyFill="1" applyBorder="1"/>
    <xf numFmtId="0" fontId="30" fillId="14" borderId="2" xfId="0" applyFont="1" applyFill="1" applyBorder="1"/>
    <xf numFmtId="179" fontId="0" fillId="0" borderId="2" xfId="0" applyNumberFormat="1" applyBorder="1"/>
    <xf numFmtId="173" fontId="0" fillId="0" borderId="0" xfId="0" applyNumberFormat="1"/>
    <xf numFmtId="179" fontId="0" fillId="8" borderId="2" xfId="0" applyNumberFormat="1" applyFill="1" applyBorder="1"/>
    <xf numFmtId="0" fontId="0" fillId="8" borderId="8" xfId="0" applyFill="1" applyBorder="1"/>
    <xf numFmtId="173" fontId="12" fillId="2" borderId="2" xfId="0" applyNumberFormat="1" applyFont="1" applyFill="1" applyBorder="1"/>
    <xf numFmtId="0" fontId="12" fillId="2" borderId="2" xfId="0" applyFont="1" applyFill="1" applyBorder="1"/>
    <xf numFmtId="0" fontId="0" fillId="3" borderId="11" xfId="0" applyFill="1" applyBorder="1"/>
    <xf numFmtId="0" fontId="0" fillId="3" borderId="8" xfId="0" applyFill="1" applyBorder="1"/>
    <xf numFmtId="180" fontId="0" fillId="0" borderId="2" xfId="0" applyNumberFormat="1" applyBorder="1"/>
    <xf numFmtId="0" fontId="12" fillId="0" borderId="0" xfId="0" applyFont="1"/>
    <xf numFmtId="0" fontId="0" fillId="0" borderId="0" xfId="0" applyAlignment="1">
      <alignment vertical="top"/>
    </xf>
    <xf numFmtId="0" fontId="0" fillId="4" borderId="0" xfId="0" applyFill="1" applyAlignment="1">
      <alignment vertical="top" wrapText="1"/>
    </xf>
    <xf numFmtId="0" fontId="30" fillId="21" borderId="21" xfId="0" applyFont="1" applyFill="1" applyBorder="1" applyAlignment="1">
      <alignment vertical="top"/>
    </xf>
    <xf numFmtId="0" fontId="25" fillId="21" borderId="21" xfId="0" applyFont="1" applyFill="1" applyBorder="1" applyAlignment="1">
      <alignment vertical="top"/>
    </xf>
    <xf numFmtId="173" fontId="30" fillId="21" borderId="21" xfId="0" applyNumberFormat="1" applyFont="1" applyFill="1" applyBorder="1" applyAlignment="1">
      <alignment vertical="top" wrapText="1"/>
    </xf>
    <xf numFmtId="0" fontId="32" fillId="21" borderId="22" xfId="0" applyFont="1" applyFill="1" applyBorder="1" applyAlignment="1">
      <alignment vertical="top" wrapText="1"/>
    </xf>
    <xf numFmtId="0" fontId="33" fillId="21" borderId="22" xfId="0" applyFont="1" applyFill="1" applyBorder="1" applyAlignment="1">
      <alignment vertical="top" wrapText="1"/>
    </xf>
    <xf numFmtId="0" fontId="34" fillId="4" borderId="22" xfId="0" applyFont="1" applyFill="1" applyBorder="1" applyAlignment="1">
      <alignment vertical="top" wrapText="1"/>
    </xf>
    <xf numFmtId="0" fontId="2" fillId="0" borderId="0" xfId="0" applyFont="1" applyAlignment="1">
      <alignment vertical="top" wrapText="1"/>
    </xf>
    <xf numFmtId="0" fontId="0" fillId="0" borderId="2" xfId="0" applyBorder="1" applyAlignment="1">
      <alignment vertical="top"/>
    </xf>
    <xf numFmtId="0" fontId="0" fillId="0" borderId="2" xfId="0" applyBorder="1" applyAlignment="1">
      <alignment vertical="top" wrapText="1"/>
    </xf>
    <xf numFmtId="0" fontId="0" fillId="4" borderId="2" xfId="0" applyFill="1" applyBorder="1" applyAlignment="1">
      <alignment vertical="top" wrapText="1"/>
    </xf>
    <xf numFmtId="0" fontId="35" fillId="0" borderId="2" xfId="0" applyFont="1" applyBorder="1" applyAlignment="1">
      <alignment horizontal="left" vertical="top" wrapText="1" indent="1"/>
    </xf>
    <xf numFmtId="0" fontId="35" fillId="0" borderId="2" xfId="0" applyFont="1" applyBorder="1" applyAlignment="1">
      <alignment horizontal="left" vertical="top" wrapText="1" indent="5"/>
    </xf>
    <xf numFmtId="0" fontId="0" fillId="0" borderId="2" xfId="0" applyBorder="1" applyAlignment="1">
      <alignment horizontal="left" vertical="top" wrapText="1"/>
    </xf>
    <xf numFmtId="0" fontId="26" fillId="0" borderId="2" xfId="0" applyFont="1" applyBorder="1" applyAlignment="1">
      <alignment horizontal="left" vertical="top" wrapText="1"/>
    </xf>
    <xf numFmtId="0" fontId="0" fillId="4" borderId="2" xfId="0" applyFill="1" applyBorder="1" applyAlignment="1">
      <alignment horizontal="left" vertical="top" wrapText="1"/>
    </xf>
    <xf numFmtId="0" fontId="0" fillId="4" borderId="2" xfId="0" applyFill="1" applyBorder="1" applyAlignment="1">
      <alignment vertical="top"/>
    </xf>
    <xf numFmtId="0" fontId="35" fillId="0" borderId="2" xfId="0" applyFont="1" applyBorder="1" applyAlignment="1">
      <alignment horizontal="left" vertical="top" wrapText="1"/>
    </xf>
    <xf numFmtId="0" fontId="35" fillId="4" borderId="2" xfId="0" applyFont="1" applyFill="1" applyBorder="1" applyAlignment="1">
      <alignment horizontal="left" vertical="top" wrapText="1"/>
    </xf>
    <xf numFmtId="0" fontId="36" fillId="0" borderId="2" xfId="0" applyFont="1" applyBorder="1" applyAlignment="1">
      <alignment vertical="top" wrapText="1"/>
    </xf>
    <xf numFmtId="0" fontId="37" fillId="3" borderId="2" xfId="0" applyFont="1" applyFill="1" applyBorder="1" applyAlignment="1">
      <alignment vertical="top"/>
    </xf>
    <xf numFmtId="0" fontId="38" fillId="22" borderId="2" xfId="0" applyFont="1" applyFill="1" applyBorder="1" applyAlignment="1">
      <alignment vertical="center"/>
    </xf>
    <xf numFmtId="0" fontId="39" fillId="0" borderId="7" xfId="0" applyFont="1" applyBorder="1" applyAlignment="1">
      <alignment vertical="top"/>
    </xf>
    <xf numFmtId="0" fontId="40" fillId="0" borderId="2" xfId="0" applyFont="1" applyBorder="1" applyAlignment="1">
      <alignment vertical="top"/>
    </xf>
    <xf numFmtId="0" fontId="40" fillId="0" borderId="2" xfId="0" applyFont="1" applyBorder="1" applyAlignment="1">
      <alignment vertical="top" wrapText="1"/>
    </xf>
    <xf numFmtId="0" fontId="39" fillId="0" borderId="2" xfId="0" applyFont="1" applyBorder="1" applyAlignment="1">
      <alignment vertical="top"/>
    </xf>
    <xf numFmtId="0" fontId="40" fillId="0" borderId="0" xfId="0" applyFont="1"/>
    <xf numFmtId="0" fontId="0" fillId="0" borderId="0" xfId="0" applyAlignment="1">
      <alignment horizontal="left" indent="3"/>
    </xf>
    <xf numFmtId="0" fontId="12" fillId="3" borderId="2" xfId="0" applyFont="1" applyFill="1" applyBorder="1"/>
    <xf numFmtId="0" fontId="0" fillId="0" borderId="2" xfId="0" applyBorder="1" applyAlignment="1">
      <alignment horizontal="left" indent="2"/>
    </xf>
    <xf numFmtId="0" fontId="0" fillId="0" borderId="0" xfId="0" applyAlignment="1">
      <alignment horizontal="left" indent="1"/>
    </xf>
    <xf numFmtId="0" fontId="41" fillId="0" borderId="0" xfId="0" applyFont="1" applyAlignment="1">
      <alignment horizontal="left" vertical="center" indent="1"/>
    </xf>
    <xf numFmtId="9" fontId="0" fillId="3" borderId="2" xfId="0" applyNumberFormat="1" applyFill="1" applyBorder="1"/>
    <xf numFmtId="0" fontId="0" fillId="0" borderId="2" xfId="0" applyBorder="1" applyAlignment="1">
      <alignment horizontal="left" indent="3"/>
    </xf>
    <xf numFmtId="181" fontId="0" fillId="3" borderId="2" xfId="0" applyNumberFormat="1" applyFill="1" applyBorder="1"/>
    <xf numFmtId="9" fontId="0" fillId="0" borderId="2" xfId="0" applyNumberFormat="1" applyBorder="1" applyAlignment="1">
      <alignment horizontal="right"/>
    </xf>
    <xf numFmtId="3" fontId="0" fillId="0" borderId="2" xfId="0" applyNumberFormat="1" applyBorder="1" applyAlignment="1">
      <alignment horizontal="right"/>
    </xf>
    <xf numFmtId="0" fontId="0" fillId="0" borderId="2" xfId="0" applyBorder="1" applyAlignment="1">
      <alignment horizontal="right" indent="1"/>
    </xf>
    <xf numFmtId="0" fontId="0" fillId="0" borderId="2" xfId="0" applyBorder="1" applyAlignment="1">
      <alignment horizontal="right"/>
    </xf>
    <xf numFmtId="182" fontId="0" fillId="0" borderId="2" xfId="0" applyNumberFormat="1" applyBorder="1" applyAlignment="1">
      <alignment horizontal="right" vertical="top"/>
    </xf>
    <xf numFmtId="0" fontId="26" fillId="0" borderId="2" xfId="0" applyFont="1" applyBorder="1" applyAlignment="1">
      <alignment horizontal="right" vertical="top"/>
    </xf>
    <xf numFmtId="168" fontId="1" fillId="0" borderId="0" xfId="0" applyNumberFormat="1" applyFont="1"/>
    <xf numFmtId="183" fontId="1" fillId="0" borderId="0" xfId="0" applyNumberFormat="1" applyFont="1"/>
    <xf numFmtId="168" fontId="42" fillId="15" borderId="23" xfId="0" applyNumberFormat="1" applyFont="1" applyFill="1" applyBorder="1" applyAlignment="1">
      <alignment horizontal="center"/>
    </xf>
    <xf numFmtId="168" fontId="43" fillId="3" borderId="24" xfId="0" applyNumberFormat="1" applyFont="1" applyFill="1" applyBorder="1" applyAlignment="1">
      <alignment horizontal="center"/>
    </xf>
    <xf numFmtId="184" fontId="43" fillId="3" borderId="24" xfId="0" applyNumberFormat="1" applyFont="1" applyFill="1" applyBorder="1" applyAlignment="1">
      <alignment horizontal="center"/>
    </xf>
    <xf numFmtId="168" fontId="43" fillId="3" borderId="25" xfId="0" applyNumberFormat="1" applyFont="1" applyFill="1" applyBorder="1" applyAlignment="1">
      <alignment horizontal="center"/>
    </xf>
    <xf numFmtId="168" fontId="42" fillId="15" borderId="8" xfId="0" applyNumberFormat="1" applyFont="1" applyFill="1" applyBorder="1" applyAlignment="1">
      <alignment horizontal="center"/>
    </xf>
    <xf numFmtId="168" fontId="7" fillId="15" borderId="26" xfId="0" applyNumberFormat="1" applyFont="1" applyFill="1" applyBorder="1" applyAlignment="1">
      <alignment horizontal="center"/>
    </xf>
    <xf numFmtId="185" fontId="0" fillId="0" borderId="2" xfId="0" applyNumberFormat="1" applyBorder="1"/>
    <xf numFmtId="185" fontId="0" fillId="0" borderId="27" xfId="0" applyNumberFormat="1" applyBorder="1"/>
    <xf numFmtId="185" fontId="0" fillId="3" borderId="8" xfId="0" applyNumberFormat="1" applyFill="1" applyBorder="1" applyAlignment="1">
      <alignment horizontal="center" wrapText="1"/>
    </xf>
    <xf numFmtId="185" fontId="0" fillId="3" borderId="8" xfId="0" applyNumberFormat="1" applyFill="1" applyBorder="1" applyAlignment="1">
      <alignment horizontal="left" wrapText="1"/>
    </xf>
    <xf numFmtId="186" fontId="1" fillId="0" borderId="0" xfId="0" applyNumberFormat="1" applyFont="1"/>
    <xf numFmtId="168" fontId="7" fillId="15" borderId="26" xfId="0" applyNumberFormat="1" applyFont="1" applyFill="1" applyBorder="1"/>
    <xf numFmtId="185" fontId="0" fillId="3" borderId="8" xfId="0" applyNumberFormat="1" applyFill="1" applyBorder="1" applyAlignment="1">
      <alignment horizontal="left"/>
    </xf>
    <xf numFmtId="187" fontId="1" fillId="0" borderId="0" xfId="0" applyNumberFormat="1" applyFont="1"/>
    <xf numFmtId="168" fontId="1" fillId="4" borderId="0" xfId="0" applyNumberFormat="1" applyFont="1" applyFill="1"/>
    <xf numFmtId="165" fontId="0" fillId="0" borderId="2" xfId="0" applyNumberFormat="1" applyBorder="1"/>
    <xf numFmtId="165" fontId="0" fillId="8" borderId="2" xfId="0" applyNumberFormat="1" applyFill="1" applyBorder="1"/>
    <xf numFmtId="188" fontId="1" fillId="0" borderId="0" xfId="0" applyNumberFormat="1" applyFont="1"/>
    <xf numFmtId="183" fontId="12" fillId="0" borderId="29" xfId="0" applyNumberFormat="1" applyFont="1" applyBorder="1" applyAlignment="1">
      <alignment horizontal="center" vertical="center" wrapText="1"/>
    </xf>
    <xf numFmtId="168" fontId="12" fillId="0" borderId="30" xfId="0" applyNumberFormat="1" applyFont="1" applyBorder="1" applyAlignment="1">
      <alignment horizontal="center" vertical="center" wrapText="1"/>
    </xf>
    <xf numFmtId="168" fontId="12" fillId="0" borderId="31" xfId="0" applyNumberFormat="1" applyFont="1" applyBorder="1" applyAlignment="1">
      <alignment horizontal="center" vertical="center" wrapText="1"/>
    </xf>
    <xf numFmtId="168" fontId="12" fillId="0" borderId="0" xfId="0" applyNumberFormat="1" applyFont="1" applyAlignment="1">
      <alignment horizontal="center" vertical="center" wrapText="1"/>
    </xf>
    <xf numFmtId="168" fontId="1" fillId="15" borderId="0" xfId="0" applyNumberFormat="1" applyFont="1" applyFill="1"/>
    <xf numFmtId="165" fontId="0" fillId="12" borderId="2" xfId="0" applyNumberFormat="1" applyFill="1" applyBorder="1"/>
    <xf numFmtId="188" fontId="1" fillId="8" borderId="2" xfId="0" applyNumberFormat="1" applyFont="1" applyFill="1" applyBorder="1"/>
    <xf numFmtId="183" fontId="1" fillId="0" borderId="29" xfId="0" applyNumberFormat="1" applyFont="1" applyBorder="1" applyAlignment="1">
      <alignment horizontal="center"/>
    </xf>
    <xf numFmtId="185" fontId="1" fillId="0" borderId="30" xfId="0" applyNumberFormat="1" applyFont="1" applyBorder="1" applyAlignment="1">
      <alignment horizontal="center"/>
    </xf>
    <xf numFmtId="189" fontId="1" fillId="0" borderId="30" xfId="0" applyNumberFormat="1" applyFont="1" applyBorder="1"/>
    <xf numFmtId="189" fontId="1" fillId="0" borderId="31" xfId="0" applyNumberFormat="1" applyFont="1" applyBorder="1"/>
    <xf numFmtId="183" fontId="43" fillId="3" borderId="2" xfId="0" applyNumberFormat="1" applyFont="1" applyFill="1" applyBorder="1" applyAlignment="1">
      <alignment horizontal="center"/>
    </xf>
    <xf numFmtId="183" fontId="1" fillId="0" borderId="32" xfId="0" applyNumberFormat="1" applyFont="1" applyBorder="1" applyAlignment="1">
      <alignment horizontal="center"/>
    </xf>
    <xf numFmtId="185" fontId="1" fillId="0" borderId="0" xfId="0" applyNumberFormat="1" applyFont="1" applyAlignment="1">
      <alignment horizontal="center"/>
    </xf>
    <xf numFmtId="189" fontId="1" fillId="0" borderId="0" xfId="0" applyNumberFormat="1" applyFont="1"/>
    <xf numFmtId="189" fontId="1" fillId="0" borderId="33" xfId="0" applyNumberFormat="1" applyFont="1" applyBorder="1"/>
    <xf numFmtId="168" fontId="7" fillId="15" borderId="34" xfId="0" applyNumberFormat="1" applyFont="1" applyFill="1" applyBorder="1"/>
    <xf numFmtId="9" fontId="0" fillId="0" borderId="35" xfId="0" applyNumberFormat="1" applyBorder="1"/>
    <xf numFmtId="185" fontId="0" fillId="0" borderId="35" xfId="0" applyNumberFormat="1" applyBorder="1"/>
    <xf numFmtId="185" fontId="0" fillId="0" borderId="36" xfId="0" applyNumberFormat="1" applyBorder="1"/>
    <xf numFmtId="168" fontId="7" fillId="15" borderId="37" xfId="0" applyNumberFormat="1" applyFont="1" applyFill="1" applyBorder="1"/>
    <xf numFmtId="185" fontId="0" fillId="0" borderId="24" xfId="0" applyNumberFormat="1" applyBorder="1"/>
    <xf numFmtId="168" fontId="7" fillId="15" borderId="5" xfId="0" applyNumberFormat="1" applyFont="1" applyFill="1" applyBorder="1"/>
    <xf numFmtId="165" fontId="0" fillId="12" borderId="3" xfId="0" applyNumberFormat="1" applyFill="1" applyBorder="1"/>
    <xf numFmtId="165" fontId="0" fillId="0" borderId="3" xfId="0" applyNumberFormat="1" applyBorder="1"/>
    <xf numFmtId="188" fontId="1" fillId="8" borderId="3" xfId="0" applyNumberFormat="1" applyFont="1" applyFill="1" applyBorder="1"/>
    <xf numFmtId="187" fontId="1" fillId="0" borderId="38" xfId="0" applyNumberFormat="1" applyFont="1" applyBorder="1"/>
    <xf numFmtId="168" fontId="1" fillId="0" borderId="38" xfId="0" applyNumberFormat="1" applyFont="1" applyBorder="1"/>
    <xf numFmtId="168" fontId="1" fillId="15" borderId="38" xfId="0" applyNumberFormat="1" applyFont="1" applyFill="1" applyBorder="1"/>
    <xf numFmtId="165" fontId="0" fillId="12" borderId="35" xfId="0" applyNumberFormat="1" applyFill="1" applyBorder="1"/>
    <xf numFmtId="188" fontId="1" fillId="0" borderId="35" xfId="0" applyNumberFormat="1" applyFont="1" applyBorder="1"/>
    <xf numFmtId="165" fontId="0" fillId="8" borderId="35" xfId="0" applyNumberFormat="1" applyFill="1" applyBorder="1"/>
    <xf numFmtId="165" fontId="0" fillId="0" borderId="7" xfId="0" applyNumberFormat="1" applyBorder="1"/>
    <xf numFmtId="190" fontId="0" fillId="8" borderId="7" xfId="0" applyNumberFormat="1" applyFill="1" applyBorder="1"/>
    <xf numFmtId="191" fontId="1" fillId="0" borderId="0" xfId="0" applyNumberFormat="1" applyFont="1"/>
    <xf numFmtId="168" fontId="43" fillId="3" borderId="2" xfId="0" applyNumberFormat="1" applyFont="1" applyFill="1" applyBorder="1" applyAlignment="1">
      <alignment horizontal="center"/>
    </xf>
    <xf numFmtId="184" fontId="43" fillId="3" borderId="2" xfId="0" applyNumberFormat="1" applyFont="1" applyFill="1" applyBorder="1" applyAlignment="1">
      <alignment horizontal="center"/>
    </xf>
    <xf numFmtId="165" fontId="0" fillId="8" borderId="3" xfId="0" applyNumberFormat="1" applyFill="1" applyBorder="1"/>
    <xf numFmtId="165" fontId="0" fillId="8" borderId="7" xfId="0" applyNumberFormat="1" applyFill="1" applyBorder="1"/>
    <xf numFmtId="188" fontId="1" fillId="8" borderId="7" xfId="0" applyNumberFormat="1" applyFont="1" applyFill="1" applyBorder="1"/>
    <xf numFmtId="168" fontId="1" fillId="0" borderId="6" xfId="0" applyNumberFormat="1" applyFont="1" applyBorder="1"/>
    <xf numFmtId="183" fontId="1" fillId="0" borderId="39" xfId="0" applyNumberFormat="1" applyFont="1" applyBorder="1" applyAlignment="1">
      <alignment horizontal="center"/>
    </xf>
    <xf numFmtId="185" fontId="1" fillId="0" borderId="38" xfId="0" applyNumberFormat="1" applyFont="1" applyBorder="1" applyAlignment="1">
      <alignment horizontal="center"/>
    </xf>
    <xf numFmtId="189" fontId="1" fillId="0" borderId="38" xfId="0" applyNumberFormat="1" applyFont="1" applyBorder="1"/>
    <xf numFmtId="189" fontId="1" fillId="0" borderId="40" xfId="0" applyNumberFormat="1" applyFont="1" applyBorder="1"/>
    <xf numFmtId="165" fontId="0" fillId="15" borderId="2" xfId="0" applyNumberFormat="1" applyFill="1" applyBorder="1"/>
    <xf numFmtId="168" fontId="1" fillId="15" borderId="6" xfId="0" applyNumberFormat="1" applyFont="1" applyFill="1" applyBorder="1"/>
    <xf numFmtId="188" fontId="1" fillId="0" borderId="2" xfId="0" applyNumberFormat="1" applyFont="1" applyBorder="1"/>
    <xf numFmtId="9" fontId="0" fillId="0" borderId="0" xfId="0" applyNumberFormat="1"/>
    <xf numFmtId="165" fontId="0" fillId="8" borderId="4" xfId="0" applyNumberFormat="1" applyFill="1" applyBorder="1"/>
    <xf numFmtId="192" fontId="0" fillId="8" borderId="7" xfId="0" applyNumberFormat="1" applyFill="1" applyBorder="1"/>
    <xf numFmtId="187" fontId="1" fillId="0" borderId="41" xfId="0" applyNumberFormat="1" applyFont="1" applyBorder="1"/>
    <xf numFmtId="168" fontId="1" fillId="0" borderId="41" xfId="0" applyNumberFormat="1" applyFont="1" applyBorder="1"/>
    <xf numFmtId="165" fontId="0" fillId="12" borderId="4" xfId="0" applyNumberFormat="1" applyFill="1" applyBorder="1"/>
    <xf numFmtId="193" fontId="0" fillId="12" borderId="4" xfId="0" applyNumberFormat="1" applyFill="1" applyBorder="1"/>
    <xf numFmtId="168" fontId="1" fillId="0" borderId="30" xfId="0" applyNumberFormat="1" applyFont="1" applyBorder="1"/>
    <xf numFmtId="0" fontId="25" fillId="14" borderId="2" xfId="0" applyFont="1" applyFill="1" applyBorder="1"/>
    <xf numFmtId="194" fontId="30" fillId="14" borderId="9" xfId="0" applyNumberFormat="1" applyFont="1" applyFill="1" applyBorder="1"/>
    <xf numFmtId="0" fontId="25" fillId="14" borderId="5" xfId="0" applyFont="1" applyFill="1" applyBorder="1"/>
    <xf numFmtId="170" fontId="0" fillId="0" borderId="2" xfId="0" applyNumberFormat="1" applyBorder="1"/>
    <xf numFmtId="0" fontId="25" fillId="14" borderId="3" xfId="0" applyFont="1" applyFill="1" applyBorder="1"/>
    <xf numFmtId="194" fontId="0" fillId="0" borderId="0" xfId="0" applyNumberFormat="1"/>
    <xf numFmtId="195" fontId="0" fillId="0" borderId="2" xfId="0" applyNumberFormat="1" applyBorder="1"/>
    <xf numFmtId="3" fontId="0" fillId="0" borderId="2" xfId="0" applyNumberFormat="1" applyBorder="1"/>
    <xf numFmtId="3" fontId="0" fillId="0" borderId="0" xfId="0" applyNumberFormat="1"/>
    <xf numFmtId="0" fontId="22" fillId="23" borderId="2" xfId="0" applyFont="1" applyFill="1" applyBorder="1"/>
    <xf numFmtId="194" fontId="0" fillId="0" borderId="2" xfId="0" applyNumberFormat="1" applyBorder="1"/>
    <xf numFmtId="2" fontId="0" fillId="0" borderId="2" xfId="0" applyNumberFormat="1" applyBorder="1"/>
    <xf numFmtId="172" fontId="0" fillId="0" borderId="2" xfId="0" applyNumberFormat="1" applyBorder="1"/>
    <xf numFmtId="0" fontId="0" fillId="2" borderId="2" xfId="0" applyFill="1" applyBorder="1" applyAlignment="1">
      <alignment horizontal="center"/>
    </xf>
    <xf numFmtId="0" fontId="0" fillId="8" borderId="2" xfId="0" applyFill="1" applyBorder="1" applyAlignment="1">
      <alignment vertical="top"/>
    </xf>
    <xf numFmtId="196" fontId="0" fillId="8" borderId="2" xfId="0" applyNumberFormat="1" applyFill="1" applyBorder="1"/>
    <xf numFmtId="191" fontId="0" fillId="8" borderId="2" xfId="0" applyNumberFormat="1" applyFill="1" applyBorder="1"/>
    <xf numFmtId="196" fontId="0" fillId="0" borderId="2" xfId="0" applyNumberFormat="1" applyBorder="1"/>
    <xf numFmtId="191" fontId="0" fillId="0" borderId="2" xfId="0" applyNumberFormat="1" applyBorder="1"/>
    <xf numFmtId="0" fontId="22" fillId="23" borderId="2" xfId="0" applyFont="1" applyFill="1" applyBorder="1" applyAlignment="1">
      <alignment vertical="top" wrapText="1"/>
    </xf>
    <xf numFmtId="172" fontId="0" fillId="0" borderId="2" xfId="0" applyNumberFormat="1" applyBorder="1" applyAlignment="1">
      <alignment vertical="top" wrapText="1"/>
    </xf>
    <xf numFmtId="4" fontId="0" fillId="0" borderId="2" xfId="0" applyNumberFormat="1" applyBorder="1" applyAlignment="1">
      <alignment vertical="top" wrapText="1"/>
    </xf>
    <xf numFmtId="3" fontId="0" fillId="0" borderId="2" xfId="0" applyNumberFormat="1" applyBorder="1" applyAlignment="1">
      <alignment vertical="top" wrapText="1"/>
    </xf>
    <xf numFmtId="0" fontId="12" fillId="2" borderId="2" xfId="0" applyFont="1" applyFill="1" applyBorder="1" applyAlignment="1">
      <alignment horizontal="center"/>
    </xf>
    <xf numFmtId="197" fontId="0" fillId="2" borderId="2" xfId="0" applyNumberFormat="1" applyFill="1" applyBorder="1"/>
    <xf numFmtId="198" fontId="0" fillId="0" borderId="2" xfId="0" applyNumberFormat="1" applyBorder="1"/>
    <xf numFmtId="0" fontId="22" fillId="0" borderId="2" xfId="0" applyFont="1" applyBorder="1"/>
    <xf numFmtId="3" fontId="22" fillId="0" borderId="2" xfId="0" applyNumberFormat="1" applyFont="1" applyBorder="1"/>
    <xf numFmtId="4" fontId="0" fillId="0" borderId="2" xfId="0" applyNumberFormat="1" applyBorder="1"/>
    <xf numFmtId="0" fontId="0" fillId="0" borderId="2" xfId="0" applyBorder="1" applyAlignment="1">
      <alignment vertical="center"/>
    </xf>
    <xf numFmtId="0" fontId="9" fillId="0" borderId="4" xfId="0" applyFont="1" applyBorder="1"/>
    <xf numFmtId="0" fontId="9" fillId="2" borderId="4" xfId="0" applyFont="1" applyFill="1" applyBorder="1" applyAlignment="1">
      <alignment horizontal="center"/>
    </xf>
    <xf numFmtId="197" fontId="9" fillId="2" borderId="2" xfId="0" applyNumberFormat="1" applyFont="1" applyFill="1" applyBorder="1"/>
    <xf numFmtId="164" fontId="0" fillId="2" borderId="2" xfId="0" applyNumberFormat="1" applyFill="1" applyBorder="1" applyAlignment="1">
      <alignment horizontal="center"/>
    </xf>
    <xf numFmtId="0" fontId="0" fillId="0" borderId="8" xfId="0" applyBorder="1" applyAlignment="1">
      <alignment horizontal="center" vertical="center" wrapText="1"/>
    </xf>
    <xf numFmtId="0" fontId="0" fillId="0" borderId="2" xfId="0" applyBorder="1" applyAlignment="1">
      <alignment horizontal="left" vertical="center" wrapText="1"/>
    </xf>
    <xf numFmtId="0" fontId="21" fillId="0" borderId="0" xfId="0" applyFont="1"/>
    <xf numFmtId="0" fontId="0" fillId="0" borderId="0" xfId="0" applyAlignment="1">
      <alignment vertical="top" wrapText="1"/>
    </xf>
    <xf numFmtId="0" fontId="26" fillId="8" borderId="2" xfId="0" applyFont="1" applyFill="1" applyBorder="1" applyAlignment="1">
      <alignment horizontal="center"/>
    </xf>
    <xf numFmtId="0" fontId="26" fillId="12" borderId="2" xfId="0" applyFont="1" applyFill="1" applyBorder="1" applyAlignment="1">
      <alignment horizontal="center"/>
    </xf>
    <xf numFmtId="0" fontId="25" fillId="16" borderId="18" xfId="0" applyFont="1" applyFill="1" applyBorder="1" applyAlignment="1">
      <alignment horizontal="center"/>
    </xf>
    <xf numFmtId="0" fontId="25" fillId="17" borderId="2" xfId="0" applyFont="1" applyFill="1" applyBorder="1" applyAlignment="1">
      <alignment horizontal="center"/>
    </xf>
    <xf numFmtId="49" fontId="28" fillId="18" borderId="2" xfId="0" applyNumberFormat="1" applyFont="1" applyFill="1" applyBorder="1" applyAlignment="1">
      <alignment vertical="center"/>
    </xf>
    <xf numFmtId="0" fontId="28" fillId="19" borderId="2" xfId="0" applyFont="1" applyFill="1" applyBorder="1" applyAlignment="1">
      <alignment vertical="center"/>
    </xf>
    <xf numFmtId="0" fontId="28" fillId="19" borderId="2" xfId="0" applyFont="1" applyFill="1" applyBorder="1" applyAlignment="1">
      <alignment vertical="center" wrapText="1"/>
    </xf>
    <xf numFmtId="49" fontId="28" fillId="18" borderId="2" xfId="0" applyNumberFormat="1" applyFont="1" applyFill="1" applyBorder="1" applyAlignment="1">
      <alignment horizontal="left" vertical="center"/>
    </xf>
    <xf numFmtId="0" fontId="28" fillId="19" borderId="2" xfId="0" applyFont="1" applyFill="1" applyBorder="1" applyAlignment="1">
      <alignment horizontal="left" vertical="center"/>
    </xf>
    <xf numFmtId="0" fontId="29" fillId="14" borderId="0" xfId="0" applyFont="1" applyFill="1" applyAlignment="1">
      <alignment horizontal="center" vertical="center"/>
    </xf>
    <xf numFmtId="0" fontId="0" fillId="0" borderId="2" xfId="0" applyBorder="1" applyAlignment="1">
      <alignment horizontal="center" vertical="center"/>
    </xf>
    <xf numFmtId="0" fontId="31" fillId="21" borderId="20" xfId="0" applyFont="1" applyFill="1" applyBorder="1" applyAlignment="1">
      <alignment horizontal="left" vertical="top"/>
    </xf>
    <xf numFmtId="168" fontId="44" fillId="0" borderId="28" xfId="0" applyNumberFormat="1" applyFont="1" applyBorder="1" applyAlignment="1">
      <alignment horizontal="center"/>
    </xf>
    <xf numFmtId="168" fontId="1" fillId="15" borderId="41" xfId="0" applyNumberFormat="1" applyFont="1" applyFill="1" applyBorder="1" applyAlignment="1">
      <alignment horizontal="center" vertical="center"/>
    </xf>
    <xf numFmtId="168" fontId="1" fillId="15" borderId="30" xfId="0" applyNumberFormat="1" applyFont="1" applyFill="1" applyBorder="1" applyAlignment="1">
      <alignment horizontal="center" vertical="center"/>
    </xf>
    <xf numFmtId="9" fontId="0" fillId="15" borderId="41" xfId="0" applyNumberFormat="1" applyFill="1" applyBorder="1" applyAlignment="1">
      <alignment horizontal="center" vertical="center"/>
    </xf>
    <xf numFmtId="0" fontId="0" fillId="3" borderId="2" xfId="0" applyFill="1" applyBorder="1" applyAlignment="1">
      <alignment horizontal="center"/>
    </xf>
    <xf numFmtId="0" fontId="0" fillId="8" borderId="2" xfId="0" applyFill="1" applyBorder="1" applyAlignment="1">
      <alignment horizontal="center"/>
    </xf>
    <xf numFmtId="0" fontId="0" fillId="2" borderId="2" xfId="0" applyFill="1" applyBorder="1" applyAlignment="1">
      <alignment horizontal="center"/>
    </xf>
    <xf numFmtId="191" fontId="0" fillId="8" borderId="2" xfId="0" applyNumberFormat="1" applyFill="1" applyBorder="1" applyAlignment="1">
      <alignment horizontal="right" vertical="center"/>
    </xf>
    <xf numFmtId="0" fontId="0" fillId="12" borderId="2" xfId="0" applyFill="1" applyBorder="1" applyAlignment="1">
      <alignment horizontal="center"/>
    </xf>
  </cellXfs>
  <cellStyles count="22">
    <cellStyle name="Comma 2" xfId="1" xr:uid="{00000000-0005-0000-0000-000006000000}"/>
    <cellStyle name="Comma 2 2" xfId="2" xr:uid="{00000000-0005-0000-0000-000007000000}"/>
    <cellStyle name="Comma 3" xfId="3" xr:uid="{00000000-0005-0000-0000-000008000000}"/>
    <cellStyle name="Comma 3 2" xfId="4" xr:uid="{00000000-0005-0000-0000-000009000000}"/>
    <cellStyle name="Comma 4" xfId="5" xr:uid="{00000000-0005-0000-0000-00000A000000}"/>
    <cellStyle name="Comma 8" xfId="6" xr:uid="{00000000-0005-0000-0000-00000B000000}"/>
    <cellStyle name="Currency 2" xfId="7" xr:uid="{00000000-0005-0000-0000-00000C000000}"/>
    <cellStyle name="Hyperlink 2" xfId="8" xr:uid="{00000000-0005-0000-0000-00000D000000}"/>
    <cellStyle name="Hyperlink 3" xfId="9" xr:uid="{00000000-0005-0000-0000-00000E000000}"/>
    <cellStyle name="Normal" xfId="0" builtinId="0"/>
    <cellStyle name="Normal 12 3" xfId="10" xr:uid="{00000000-0005-0000-0000-00000F000000}"/>
    <cellStyle name="Normal 2" xfId="11" xr:uid="{00000000-0005-0000-0000-000010000000}"/>
    <cellStyle name="Normal 2 10" xfId="12" xr:uid="{00000000-0005-0000-0000-000011000000}"/>
    <cellStyle name="Normal 2 2" xfId="13" xr:uid="{00000000-0005-0000-0000-000012000000}"/>
    <cellStyle name="Normal 2 2 2" xfId="14" xr:uid="{00000000-0005-0000-0000-000013000000}"/>
    <cellStyle name="Normal 2 3" xfId="15" xr:uid="{00000000-0005-0000-0000-000014000000}"/>
    <cellStyle name="Normal 2 5 3 3 2 2 2 2" xfId="16" xr:uid="{00000000-0005-0000-0000-000015000000}"/>
    <cellStyle name="Normal 2 5 3 3 5" xfId="17" xr:uid="{00000000-0005-0000-0000-000016000000}"/>
    <cellStyle name="Normal 24" xfId="18" xr:uid="{00000000-0005-0000-0000-000017000000}"/>
    <cellStyle name="Normal 59" xfId="19" xr:uid="{00000000-0005-0000-0000-000018000000}"/>
    <cellStyle name="Percent 2" xfId="20" xr:uid="{00000000-0005-0000-0000-000019000000}"/>
    <cellStyle name="Percent 2 3" xfId="21" xr:uid="{00000000-0005-0000-0000-00001A000000}"/>
  </cellStyles>
  <dxfs count="229">
    <dxf>
      <font>
        <color rgb="FF595959"/>
      </font>
      <fill>
        <patternFill>
          <bgColor theme="0" tint="-0.14999847407452621"/>
        </patternFill>
      </fill>
    </dxf>
    <dxf>
      <font>
        <color rgb="FFFFFFFF"/>
      </font>
      <fill>
        <patternFill>
          <bgColor theme="3"/>
        </patternFill>
      </fill>
    </dxf>
    <dxf>
      <font>
        <color rgb="FFFFFFFF"/>
      </font>
      <fill>
        <patternFill>
          <bgColor theme="5" tint="0.79989013336588644"/>
        </patternFill>
      </fill>
    </dxf>
    <dxf>
      <font>
        <color rgb="FFFFFFFF"/>
      </font>
      <fill>
        <patternFill>
          <bgColor theme="9" tint="0.59987182226020086"/>
        </patternFill>
      </fill>
    </dxf>
    <dxf>
      <font>
        <color rgb="FFFFFFFF"/>
      </font>
      <fill>
        <patternFill>
          <bgColor theme="7" tint="0.79989013336588644"/>
        </patternFill>
      </fill>
    </dxf>
    <dxf>
      <font>
        <color rgb="FFFFFFFF"/>
      </font>
      <fill>
        <patternFill>
          <bgColor theme="9" tint="0.79989013336588644"/>
        </patternFill>
      </fill>
    </dxf>
    <dxf>
      <font>
        <color rgb="FF595959"/>
      </font>
      <fill>
        <patternFill>
          <bgColor theme="0" tint="-0.14999847407452621"/>
        </patternFill>
      </fill>
    </dxf>
    <dxf>
      <font>
        <color rgb="FFFFFFFF"/>
      </font>
      <fill>
        <patternFill>
          <bgColor theme="3"/>
        </patternFill>
      </fill>
    </dxf>
    <dxf>
      <font>
        <color rgb="FFFFFFFF"/>
      </font>
      <fill>
        <patternFill>
          <bgColor theme="5" tint="0.79989013336588644"/>
        </patternFill>
      </fill>
    </dxf>
    <dxf>
      <font>
        <color rgb="FFFFFFFF"/>
      </font>
      <fill>
        <patternFill>
          <bgColor theme="9" tint="0.59987182226020086"/>
        </patternFill>
      </fill>
    </dxf>
    <dxf>
      <font>
        <color rgb="FFFFFFFF"/>
      </font>
      <fill>
        <patternFill>
          <bgColor theme="7" tint="0.79989013336588644"/>
        </patternFill>
      </fill>
    </dxf>
    <dxf>
      <font>
        <color rgb="FFFFFFFF"/>
      </font>
      <fill>
        <patternFill>
          <bgColor theme="9" tint="0.79989013336588644"/>
        </patternFill>
      </fill>
    </dxf>
    <dxf>
      <fill>
        <patternFill>
          <bgColor rgb="FFFF0000"/>
        </patternFill>
      </fill>
    </dxf>
    <dxf>
      <fill>
        <patternFill>
          <bgColor rgb="FFFF0000"/>
        </patternFill>
      </fill>
    </dxf>
    <dxf>
      <font>
        <color rgb="FF595959"/>
      </font>
      <fill>
        <patternFill>
          <bgColor theme="0" tint="-0.14999847407452621"/>
        </patternFill>
      </fill>
    </dxf>
    <dxf>
      <font>
        <color rgb="FFFFFFFF"/>
      </font>
      <fill>
        <patternFill>
          <bgColor theme="3"/>
        </patternFill>
      </fill>
    </dxf>
    <dxf>
      <font>
        <color rgb="FFFFFFFF"/>
      </font>
      <fill>
        <patternFill>
          <bgColor theme="5" tint="0.79989013336588644"/>
        </patternFill>
      </fill>
    </dxf>
    <dxf>
      <font>
        <color rgb="FFFFFFFF"/>
      </font>
      <fill>
        <patternFill>
          <bgColor theme="9" tint="0.59987182226020086"/>
        </patternFill>
      </fill>
    </dxf>
    <dxf>
      <font>
        <color rgb="FFFFFFFF"/>
      </font>
      <fill>
        <patternFill>
          <bgColor theme="7" tint="0.79989013336588644"/>
        </patternFill>
      </fill>
    </dxf>
    <dxf>
      <font>
        <color rgb="FFFFFFFF"/>
      </font>
      <fill>
        <patternFill>
          <bgColor theme="9" tint="0.79989013336588644"/>
        </patternFill>
      </fill>
    </dxf>
    <dxf>
      <font>
        <color rgb="FF595959"/>
      </font>
      <fill>
        <patternFill>
          <bgColor theme="0" tint="-0.14999847407452621"/>
        </patternFill>
      </fill>
    </dxf>
    <dxf>
      <font>
        <color rgb="FFFFFFFF"/>
      </font>
      <fill>
        <patternFill>
          <bgColor theme="3"/>
        </patternFill>
      </fill>
    </dxf>
    <dxf>
      <font>
        <color rgb="FFFFFFFF"/>
      </font>
      <fill>
        <patternFill>
          <bgColor theme="5" tint="0.79989013336588644"/>
        </patternFill>
      </fill>
    </dxf>
    <dxf>
      <font>
        <color rgb="FFFFFFFF"/>
      </font>
      <fill>
        <patternFill>
          <bgColor theme="9" tint="0.59987182226020086"/>
        </patternFill>
      </fill>
    </dxf>
    <dxf>
      <font>
        <color rgb="FFFFFFFF"/>
      </font>
      <fill>
        <patternFill>
          <bgColor theme="7" tint="0.79989013336588644"/>
        </patternFill>
      </fill>
    </dxf>
    <dxf>
      <font>
        <color rgb="FFFFFFFF"/>
      </font>
      <fill>
        <patternFill>
          <bgColor theme="9" tint="0.79989013336588644"/>
        </patternFill>
      </fill>
    </dxf>
    <dxf>
      <fill>
        <patternFill>
          <bgColor theme="7" tint="0.79989013336588644"/>
        </patternFill>
      </fill>
    </dxf>
    <dxf>
      <fill>
        <patternFill>
          <bgColor theme="9" tint="0.79989013336588644"/>
        </patternFill>
      </fill>
    </dxf>
    <dxf>
      <fill>
        <patternFill>
          <bgColor theme="9" tint="0.79989013336588644"/>
        </patternFill>
      </fill>
    </dxf>
    <dxf>
      <fill>
        <patternFill>
          <bgColor theme="7" tint="0.79989013336588644"/>
        </patternFill>
      </fill>
    </dxf>
    <dxf>
      <fill>
        <patternFill>
          <bgColor theme="7" tint="0.79989013336588644"/>
        </patternFill>
      </fill>
    </dxf>
    <dxf>
      <fill>
        <patternFill>
          <bgColor theme="9" tint="0.79989013336588644"/>
        </patternFill>
      </fill>
    </dxf>
    <dxf>
      <fill>
        <patternFill>
          <bgColor theme="9" tint="0.79989013336588644"/>
        </patternFill>
      </fill>
    </dxf>
    <dxf>
      <fill>
        <patternFill>
          <bgColor theme="7" tint="0.79989013336588644"/>
        </patternFill>
      </fill>
    </dxf>
    <dxf>
      <fill>
        <patternFill>
          <bgColor theme="7" tint="0.79989013336588644"/>
        </patternFill>
      </fill>
    </dxf>
    <dxf>
      <fill>
        <patternFill>
          <bgColor theme="9" tint="0.79989013336588644"/>
        </patternFill>
      </fill>
    </dxf>
    <dxf>
      <fill>
        <patternFill>
          <bgColor theme="9" tint="0.79989013336588644"/>
        </patternFill>
      </fill>
    </dxf>
    <dxf>
      <fill>
        <patternFill>
          <bgColor theme="7" tint="0.79989013336588644"/>
        </patternFill>
      </fill>
    </dxf>
    <dxf>
      <fill>
        <patternFill>
          <bgColor theme="9" tint="0.79989013336588644"/>
        </patternFill>
      </fill>
    </dxf>
    <dxf>
      <fill>
        <patternFill>
          <bgColor theme="7" tint="0.79989013336588644"/>
        </patternFill>
      </fill>
    </dxf>
    <dxf>
      <fill>
        <patternFill>
          <bgColor theme="9" tint="0.79989013336588644"/>
        </patternFill>
      </fill>
    </dxf>
    <dxf>
      <fill>
        <patternFill>
          <bgColor theme="7" tint="0.79989013336588644"/>
        </patternFill>
      </fill>
    </dxf>
    <dxf>
      <fill>
        <patternFill>
          <bgColor theme="9" tint="0.79989013336588644"/>
        </patternFill>
      </fill>
    </dxf>
    <dxf>
      <fill>
        <patternFill>
          <bgColor theme="7" tint="0.79989013336588644"/>
        </patternFill>
      </fill>
    </dxf>
    <dxf>
      <fill>
        <patternFill>
          <bgColor theme="7" tint="0.79989013336588644"/>
        </patternFill>
      </fill>
    </dxf>
    <dxf>
      <fill>
        <patternFill>
          <bgColor theme="9" tint="0.79989013336588644"/>
        </patternFill>
      </fill>
    </dxf>
    <dxf>
      <fill>
        <patternFill>
          <bgColor theme="9" tint="0.79989013336588644"/>
        </patternFill>
      </fill>
    </dxf>
    <dxf>
      <fill>
        <patternFill>
          <bgColor theme="7" tint="0.79989013336588644"/>
        </patternFill>
      </fill>
    </dxf>
    <dxf>
      <fill>
        <patternFill>
          <bgColor theme="7" tint="0.79989013336588644"/>
        </patternFill>
      </fill>
    </dxf>
    <dxf>
      <fill>
        <patternFill>
          <bgColor theme="9" tint="0.79989013336588644"/>
        </patternFill>
      </fill>
    </dxf>
    <dxf>
      <fill>
        <patternFill>
          <bgColor theme="7" tint="0.79989013336588644"/>
        </patternFill>
      </fill>
    </dxf>
    <dxf>
      <fill>
        <patternFill>
          <bgColor theme="9" tint="0.79989013336588644"/>
        </patternFill>
      </fill>
    </dxf>
    <dxf>
      <fill>
        <patternFill>
          <bgColor theme="7" tint="0.79989013336588644"/>
        </patternFill>
      </fill>
    </dxf>
    <dxf>
      <fill>
        <patternFill>
          <bgColor theme="9" tint="0.79989013336588644"/>
        </patternFill>
      </fill>
    </dxf>
    <dxf>
      <fill>
        <patternFill>
          <bgColor theme="7" tint="0.79989013336588644"/>
        </patternFill>
      </fill>
    </dxf>
    <dxf>
      <fill>
        <patternFill>
          <bgColor theme="9" tint="0.79989013336588644"/>
        </patternFill>
      </fill>
    </dxf>
    <dxf>
      <fill>
        <patternFill>
          <bgColor theme="9" tint="0.79989013336588644"/>
        </patternFill>
      </fill>
    </dxf>
    <dxf>
      <fill>
        <patternFill>
          <bgColor theme="7" tint="0.79989013336588644"/>
        </patternFill>
      </fill>
    </dxf>
    <dxf>
      <fill>
        <patternFill>
          <bgColor theme="9" tint="0.79989013336588644"/>
        </patternFill>
      </fill>
    </dxf>
    <dxf>
      <fill>
        <patternFill>
          <bgColor theme="7" tint="0.79989013336588644"/>
        </patternFill>
      </fill>
    </dxf>
    <dxf>
      <fill>
        <patternFill>
          <bgColor theme="7" tint="0.79989013336588644"/>
        </patternFill>
      </fill>
    </dxf>
    <dxf>
      <fill>
        <patternFill>
          <bgColor theme="9" tint="0.79989013336588644"/>
        </patternFill>
      </fill>
    </dxf>
    <dxf>
      <fill>
        <patternFill>
          <bgColor theme="7" tint="0.79989013336588644"/>
        </patternFill>
      </fill>
    </dxf>
    <dxf>
      <fill>
        <patternFill>
          <bgColor theme="9" tint="0.79989013336588644"/>
        </patternFill>
      </fill>
    </dxf>
    <dxf>
      <fill>
        <patternFill>
          <bgColor theme="7" tint="0.79989013336588644"/>
        </patternFill>
      </fill>
    </dxf>
    <dxf>
      <fill>
        <patternFill>
          <bgColor theme="9" tint="0.79989013336588644"/>
        </patternFill>
      </fill>
    </dxf>
    <dxf>
      <fill>
        <patternFill>
          <bgColor theme="7" tint="0.79989013336588644"/>
        </patternFill>
      </fill>
    </dxf>
    <dxf>
      <fill>
        <patternFill>
          <bgColor theme="9" tint="0.79989013336588644"/>
        </patternFill>
      </fill>
    </dxf>
    <dxf>
      <fill>
        <patternFill>
          <bgColor theme="9" tint="0.79989013336588644"/>
        </patternFill>
      </fill>
    </dxf>
    <dxf>
      <fill>
        <patternFill>
          <bgColor theme="7" tint="0.79989013336588644"/>
        </patternFill>
      </fill>
    </dxf>
    <dxf>
      <fill>
        <patternFill>
          <bgColor theme="7" tint="0.79989013336588644"/>
        </patternFill>
      </fill>
    </dxf>
    <dxf>
      <fill>
        <patternFill>
          <bgColor theme="9" tint="0.79989013336588644"/>
        </patternFill>
      </fill>
    </dxf>
    <dxf>
      <font>
        <color rgb="FF595959"/>
      </font>
      <fill>
        <patternFill>
          <bgColor theme="0" tint="-0.14999847407452621"/>
        </patternFill>
      </fill>
    </dxf>
    <dxf>
      <font>
        <color rgb="FFFFFFFF"/>
      </font>
      <fill>
        <patternFill>
          <bgColor theme="3"/>
        </patternFill>
      </fill>
    </dxf>
    <dxf>
      <font>
        <color rgb="FFFFFFFF"/>
      </font>
      <fill>
        <patternFill>
          <bgColor theme="5" tint="0.79989013336588644"/>
        </patternFill>
      </fill>
    </dxf>
    <dxf>
      <font>
        <color rgb="FFFFFFFF"/>
      </font>
      <fill>
        <patternFill>
          <bgColor theme="9" tint="0.59987182226020086"/>
        </patternFill>
      </fill>
    </dxf>
    <dxf>
      <font>
        <color rgb="FFFFFFFF"/>
      </font>
      <fill>
        <patternFill>
          <bgColor theme="7" tint="0.79989013336588644"/>
        </patternFill>
      </fill>
    </dxf>
    <dxf>
      <font>
        <color rgb="FFFFFFFF"/>
      </font>
      <fill>
        <patternFill>
          <bgColor theme="9" tint="0.79989013336588644"/>
        </patternFill>
      </fill>
    </dxf>
    <dxf>
      <fill>
        <patternFill>
          <bgColor theme="5" tint="0.79989013336588644"/>
        </patternFill>
      </fill>
    </dxf>
    <dxf>
      <fill>
        <patternFill>
          <bgColor theme="3" tint="0.89989928891872917"/>
        </patternFill>
      </fill>
    </dxf>
    <dxf>
      <fill>
        <patternFill>
          <bgColor theme="2" tint="-9.9978637043366805E-2"/>
        </patternFill>
      </fill>
    </dxf>
    <dxf>
      <fill>
        <patternFill>
          <bgColor rgb="FFFFFFCC"/>
        </patternFill>
      </fill>
    </dxf>
    <dxf>
      <fill>
        <patternFill>
          <bgColor theme="9" tint="0.79989013336588644"/>
        </patternFill>
      </fill>
    </dxf>
    <dxf>
      <fill>
        <patternFill>
          <bgColor rgb="FFFFFFCC"/>
        </patternFill>
      </fill>
    </dxf>
    <dxf>
      <fill>
        <patternFill>
          <bgColor theme="9" tint="0.79989013336588644"/>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5" tint="0.79989013336588644"/>
        </patternFill>
      </fill>
    </dxf>
    <dxf>
      <fill>
        <patternFill>
          <bgColor theme="5" tint="0.79989013336588644"/>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5" tint="0.79989013336588644"/>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5" tint="0.79989013336588644"/>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rgb="FFFFFFCC"/>
        </patternFill>
      </fill>
    </dxf>
    <dxf>
      <fill>
        <patternFill>
          <bgColor theme="9" tint="0.79989013336588644"/>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5" tint="0.79989013336588644"/>
        </patternFill>
      </fill>
    </dxf>
    <dxf>
      <fill>
        <patternFill>
          <bgColor theme="3" tint="0.89989928891872917"/>
        </patternFill>
      </fill>
    </dxf>
    <dxf>
      <fill>
        <patternFill>
          <bgColor theme="2" tint="-9.9978637043366805E-2"/>
        </patternFill>
      </fill>
    </dxf>
    <dxf>
      <fill>
        <patternFill>
          <bgColor rgb="FFFFFFCC"/>
        </patternFill>
      </fill>
    </dxf>
    <dxf>
      <fill>
        <patternFill>
          <bgColor theme="9" tint="0.79989013336588644"/>
        </patternFill>
      </fill>
    </dxf>
    <dxf>
      <fill>
        <patternFill>
          <bgColor rgb="FFFFFFCC"/>
        </patternFill>
      </fill>
    </dxf>
    <dxf>
      <fill>
        <patternFill>
          <bgColor theme="5" tint="0.79989013336588644"/>
        </patternFill>
      </fill>
    </dxf>
    <dxf>
      <fill>
        <patternFill>
          <bgColor theme="3" tint="0.89989928891872917"/>
        </patternFill>
      </fill>
    </dxf>
    <dxf>
      <fill>
        <patternFill>
          <bgColor theme="2" tint="-9.9978637043366805E-2"/>
        </patternFill>
      </fill>
    </dxf>
    <dxf>
      <fill>
        <patternFill>
          <bgColor theme="9" tint="0.79989013336588644"/>
        </patternFill>
      </fill>
    </dxf>
    <dxf>
      <fill>
        <patternFill>
          <bgColor theme="5" tint="0.79989013336588644"/>
        </patternFill>
      </fill>
    </dxf>
    <dxf>
      <fill>
        <patternFill>
          <bgColor theme="5" tint="0.79989013336588644"/>
        </patternFill>
      </fill>
    </dxf>
    <dxf>
      <fill>
        <patternFill>
          <bgColor theme="3" tint="0.89989928891872917"/>
        </patternFill>
      </fill>
    </dxf>
    <dxf>
      <fill>
        <patternFill>
          <bgColor theme="2" tint="-9.9978637043366805E-2"/>
        </patternFill>
      </fill>
    </dxf>
    <dxf>
      <fill>
        <patternFill>
          <bgColor rgb="FFFFFFCC"/>
        </patternFill>
      </fill>
    </dxf>
    <dxf>
      <fill>
        <patternFill>
          <bgColor theme="9" tint="0.79989013336588644"/>
        </patternFill>
      </fill>
    </dxf>
    <dxf>
      <fill>
        <patternFill>
          <bgColor theme="9"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rgb="FFFFFFCC"/>
        </patternFill>
      </fill>
    </dxf>
    <dxf>
      <fill>
        <patternFill>
          <bgColor theme="2" tint="-9.9978637043366805E-2"/>
        </patternFill>
      </fill>
    </dxf>
    <dxf>
      <fill>
        <patternFill>
          <bgColor theme="3" tint="0.89989928891872917"/>
        </patternFill>
      </fill>
    </dxf>
    <dxf>
      <fill>
        <patternFill>
          <bgColor theme="5" tint="0.79989013336588644"/>
        </patternFill>
      </fill>
    </dxf>
    <dxf>
      <fill>
        <patternFill>
          <bgColor theme="9" tint="0.79989013336588644"/>
        </patternFill>
      </fill>
    </dxf>
    <dxf>
      <fill>
        <patternFill>
          <bgColor theme="3" tint="0.89989928891872917"/>
        </patternFill>
      </fill>
    </dxf>
    <dxf>
      <fill>
        <patternFill>
          <bgColor theme="2" tint="-9.9978637043366805E-2"/>
        </patternFill>
      </fill>
    </dxf>
    <dxf>
      <fill>
        <patternFill>
          <bgColor rgb="FFFFFFCC"/>
        </patternFill>
      </fill>
    </dxf>
    <dxf>
      <fill>
        <patternFill>
          <bgColor theme="9" tint="0.79989013336588644"/>
        </patternFill>
      </fill>
    </dxf>
    <dxf>
      <fill>
        <patternFill>
          <bgColor theme="5" tint="0.79989013336588644"/>
        </patternFill>
      </fill>
    </dxf>
    <dxf>
      <fill>
        <patternFill>
          <bgColor theme="2" tint="-9.9978637043366805E-2"/>
        </patternFill>
      </fill>
    </dxf>
    <dxf>
      <fill>
        <patternFill>
          <bgColor theme="5" tint="0.79989013336588644"/>
        </patternFill>
      </fill>
    </dxf>
    <dxf>
      <fill>
        <patternFill>
          <bgColor theme="3" tint="0.89989928891872917"/>
        </patternFill>
      </fill>
    </dxf>
    <dxf>
      <fill>
        <patternFill>
          <bgColor rgb="FFFFFFCC"/>
        </patternFill>
      </fill>
    </dxf>
    <dxf>
      <fill>
        <patternFill>
          <bgColor theme="9" tint="0.79989013336588644"/>
        </patternFill>
      </fill>
    </dxf>
    <dxf>
      <fill>
        <patternFill>
          <bgColor theme="2" tint="-9.9978637043366805E-2"/>
        </patternFill>
      </fill>
    </dxf>
    <dxf>
      <fill>
        <patternFill>
          <bgColor theme="3" tint="0.89989928891872917"/>
        </patternFill>
      </fill>
    </dxf>
    <dxf>
      <fill>
        <patternFill>
          <bgColor rgb="FFFFFFCC"/>
        </patternFill>
      </fill>
    </dxf>
    <dxf>
      <fill>
        <patternFill>
          <bgColor theme="9" tint="0.79989013336588644"/>
        </patternFill>
      </fill>
    </dxf>
    <dxf>
      <fill>
        <patternFill>
          <bgColor rgb="FFFFFFCC"/>
        </patternFill>
      </fill>
    </dxf>
    <dxf>
      <fill>
        <patternFill>
          <bgColor theme="9" tint="0.79989013336588644"/>
        </patternFill>
      </fill>
    </dxf>
    <dxf>
      <fill>
        <patternFill>
          <bgColor theme="3" tint="0.89989928891872917"/>
        </patternFill>
      </fill>
    </dxf>
    <dxf>
      <fill>
        <patternFill>
          <bgColor theme="2" tint="-9.9978637043366805E-2"/>
        </patternFill>
      </fill>
    </dxf>
    <dxf>
      <font>
        <color rgb="FFFFFFFF"/>
      </font>
      <fill>
        <patternFill>
          <bgColor theme="7" tint="0.79989013336588644"/>
        </patternFill>
      </fill>
    </dxf>
    <dxf>
      <font>
        <color rgb="FFFFFFFF"/>
      </font>
      <fill>
        <patternFill>
          <bgColor theme="9" tint="0.59987182226020086"/>
        </patternFill>
      </fill>
    </dxf>
    <dxf>
      <font>
        <color rgb="FFFFFFFF"/>
      </font>
      <fill>
        <patternFill>
          <bgColor theme="5" tint="0.79989013336588644"/>
        </patternFill>
      </fill>
    </dxf>
    <dxf>
      <font>
        <color rgb="FFFFFFFF"/>
      </font>
      <fill>
        <patternFill>
          <bgColor theme="3"/>
        </patternFill>
      </fill>
    </dxf>
    <dxf>
      <font>
        <color rgb="FF595959"/>
      </font>
      <fill>
        <patternFill>
          <bgColor theme="0" tint="-0.14999847407452621"/>
        </patternFill>
      </fill>
    </dxf>
    <dxf>
      <font>
        <color rgb="FFFFFFFF"/>
      </font>
      <fill>
        <patternFill>
          <bgColor theme="9" tint="0.79989013336588644"/>
        </patternFill>
      </fill>
    </dxf>
    <dxf>
      <font>
        <color rgb="FF595959"/>
      </font>
      <fill>
        <patternFill>
          <bgColor theme="0" tint="-0.14999847407452621"/>
        </patternFill>
      </fill>
    </dxf>
    <dxf>
      <font>
        <color rgb="FFFFFFFF"/>
      </font>
      <fill>
        <patternFill>
          <bgColor theme="3"/>
        </patternFill>
      </fill>
    </dxf>
    <dxf>
      <font>
        <color rgb="FFFFFFFF"/>
      </font>
      <fill>
        <patternFill>
          <bgColor theme="5" tint="0.79989013336588644"/>
        </patternFill>
      </fill>
    </dxf>
    <dxf>
      <font>
        <color rgb="FFFFFFFF"/>
      </font>
      <fill>
        <patternFill>
          <bgColor theme="9" tint="0.59987182226020086"/>
        </patternFill>
      </fill>
    </dxf>
    <dxf>
      <font>
        <color rgb="FFFFFFFF"/>
      </font>
      <fill>
        <patternFill>
          <bgColor theme="7" tint="0.79989013336588644"/>
        </patternFill>
      </fill>
    </dxf>
    <dxf>
      <font>
        <color rgb="FFFFFFFF"/>
      </font>
      <fill>
        <patternFill>
          <bgColor theme="9" tint="0.79989013336588644"/>
        </patternFill>
      </fill>
    </dxf>
    <dxf>
      <font>
        <color rgb="FF595959"/>
      </font>
      <fill>
        <patternFill>
          <bgColor theme="0" tint="-0.14999847407452621"/>
        </patternFill>
      </fill>
    </dxf>
    <dxf>
      <font>
        <color rgb="FFFFFFFF"/>
      </font>
      <fill>
        <patternFill>
          <bgColor theme="3"/>
        </patternFill>
      </fill>
    </dxf>
    <dxf>
      <font>
        <color rgb="FFFFFFFF"/>
      </font>
      <fill>
        <patternFill>
          <bgColor theme="5" tint="0.79989013336588644"/>
        </patternFill>
      </fill>
    </dxf>
    <dxf>
      <font>
        <color rgb="FFFFFFFF"/>
      </font>
      <fill>
        <patternFill>
          <bgColor theme="9" tint="0.59987182226020086"/>
        </patternFill>
      </fill>
    </dxf>
    <dxf>
      <font>
        <color rgb="FFFFFFFF"/>
      </font>
      <fill>
        <patternFill>
          <bgColor theme="7" tint="0.79989013336588644"/>
        </patternFill>
      </fill>
    </dxf>
    <dxf>
      <font>
        <color rgb="FFFFFFFF"/>
      </font>
      <fill>
        <patternFill>
          <bgColor theme="9" tint="0.79989013336588644"/>
        </patternFill>
      </fill>
    </dxf>
    <dxf>
      <font>
        <color rgb="FF595959"/>
      </font>
      <fill>
        <patternFill>
          <bgColor theme="0" tint="-0.14999847407452621"/>
        </patternFill>
      </fill>
    </dxf>
    <dxf>
      <font>
        <color rgb="FFFFFFFF"/>
      </font>
      <fill>
        <patternFill>
          <bgColor theme="3"/>
        </patternFill>
      </fill>
    </dxf>
    <dxf>
      <font>
        <color rgb="FFFFFFFF"/>
      </font>
      <fill>
        <patternFill>
          <bgColor theme="5" tint="0.79989013336588644"/>
        </patternFill>
      </fill>
    </dxf>
    <dxf>
      <font>
        <color rgb="FFFFFFFF"/>
      </font>
      <fill>
        <patternFill>
          <bgColor theme="9" tint="0.59987182226020086"/>
        </patternFill>
      </fill>
    </dxf>
    <dxf>
      <font>
        <color rgb="FFFFFFFF"/>
      </font>
      <fill>
        <patternFill>
          <bgColor theme="7" tint="0.79989013336588644"/>
        </patternFill>
      </fill>
    </dxf>
    <dxf>
      <font>
        <color rgb="FFFFFFFF"/>
      </font>
      <fill>
        <patternFill>
          <bgColor theme="9" tint="0.79989013336588644"/>
        </patternFill>
      </fill>
    </dxf>
    <dxf>
      <font>
        <color rgb="FF595959"/>
      </font>
      <fill>
        <patternFill>
          <bgColor theme="0" tint="-0.14999847407452621"/>
        </patternFill>
      </fill>
    </dxf>
    <dxf>
      <font>
        <color rgb="FFFFFFFF"/>
      </font>
      <fill>
        <patternFill>
          <bgColor theme="3"/>
        </patternFill>
      </fill>
    </dxf>
    <dxf>
      <font>
        <color rgb="FFFFFFFF"/>
      </font>
      <fill>
        <patternFill>
          <bgColor theme="5" tint="0.79989013336588644"/>
        </patternFill>
      </fill>
    </dxf>
    <dxf>
      <font>
        <color rgb="FFFFFFFF"/>
      </font>
      <fill>
        <patternFill>
          <bgColor theme="9" tint="0.59987182226020086"/>
        </patternFill>
      </fill>
    </dxf>
    <dxf>
      <font>
        <color rgb="FFFFFFFF"/>
      </font>
      <fill>
        <patternFill>
          <bgColor theme="7" tint="0.79989013336588644"/>
        </patternFill>
      </fill>
    </dxf>
    <dxf>
      <font>
        <color rgb="FFFFFFFF"/>
      </font>
      <fill>
        <patternFill>
          <bgColor theme="9" tint="0.79989013336588644"/>
        </patternFill>
      </fill>
    </dxf>
    <dxf>
      <font>
        <color rgb="FF595959"/>
      </font>
      <fill>
        <patternFill>
          <bgColor theme="0" tint="-0.14999847407452621"/>
        </patternFill>
      </fill>
    </dxf>
    <dxf>
      <font>
        <color rgb="FFFFFFFF"/>
      </font>
      <fill>
        <patternFill>
          <bgColor theme="3"/>
        </patternFill>
      </fill>
    </dxf>
    <dxf>
      <font>
        <color rgb="FFFFFFFF"/>
      </font>
      <fill>
        <patternFill>
          <bgColor theme="5" tint="0.79989013336588644"/>
        </patternFill>
      </fill>
    </dxf>
    <dxf>
      <font>
        <color rgb="FFFFFFFF"/>
      </font>
      <fill>
        <patternFill>
          <bgColor theme="9" tint="0.59987182226020086"/>
        </patternFill>
      </fill>
    </dxf>
    <dxf>
      <font>
        <color rgb="FFFFFFFF"/>
      </font>
      <fill>
        <patternFill>
          <bgColor theme="7" tint="0.79989013336588644"/>
        </patternFill>
      </fill>
    </dxf>
    <dxf>
      <font>
        <color rgb="FFFFFFFF"/>
      </font>
      <fill>
        <patternFill>
          <bgColor theme="9" tint="0.7998901333658864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75B5"/>
      <rgbColor rgb="FFD0CECE"/>
      <rgbColor rgb="FF7F7F7F"/>
      <rgbColor rgb="FFA5A5A5"/>
      <rgbColor rgb="FF595959"/>
      <rgbColor rgb="FFFFFFCC"/>
      <rgbColor rgb="FFDDEBF7"/>
      <rgbColor rgb="FF660066"/>
      <rgbColor rgb="FFEBEEF2"/>
      <rgbColor rgb="FF0563C1"/>
      <rgbColor rgb="FFD9D9D9"/>
      <rgbColor rgb="FF000080"/>
      <rgbColor rgb="FFFF00FF"/>
      <rgbColor rgb="FFE2EFDA"/>
      <rgbColor rgb="FF00FFFF"/>
      <rgbColor rgb="FF800080"/>
      <rgbColor rgb="FF800000"/>
      <rgbColor rgb="FF40556F"/>
      <rgbColor rgb="FF0000FF"/>
      <rgbColor rgb="FF00CCFF"/>
      <rgbColor rgb="FFDEEBF7"/>
      <rgbColor rgb="FFE2F0D9"/>
      <rgbColor rgb="FFFFF2CC"/>
      <rgbColor rgb="FFC5E0B4"/>
      <rgbColor rgb="FFFBE5D6"/>
      <rgbColor rgb="FFDAE3F3"/>
      <rgbColor rgb="FFFCE4D6"/>
      <rgbColor rgb="FF4472C4"/>
      <rgbColor rgb="FF33CCCC"/>
      <rgbColor rgb="FFF2F2F2"/>
      <rgbColor rgb="FFD9E3F0"/>
      <rgbColor rgb="FFFF9900"/>
      <rgbColor rgb="FFE97823"/>
      <rgbColor rgb="FF467886"/>
      <rgbColor rgb="FF8B8B8B"/>
      <rgbColor rgb="FF1F4E78"/>
      <rgbColor rgb="FF70AD47"/>
      <rgbColor rgb="FF3F3F3F"/>
      <rgbColor rgb="FF242424"/>
      <rgbColor rgb="FFC55A11"/>
      <rgbColor rgb="FF44546A"/>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ORCA Cost Density Curve - Annual Expenditure ($M)</a:t>
            </a:r>
          </a:p>
        </c:rich>
      </c:tx>
      <c:overlay val="0"/>
      <c:spPr>
        <a:noFill/>
        <a:ln w="0">
          <a:noFill/>
        </a:ln>
      </c:spPr>
    </c:title>
    <c:autoTitleDeleted val="0"/>
    <c:plotArea>
      <c:layout>
        <c:manualLayout>
          <c:layoutTarget val="inner"/>
          <c:xMode val="edge"/>
          <c:yMode val="edge"/>
          <c:x val="3.00315331097653E-2"/>
          <c:y val="3.1766710091191502E-2"/>
          <c:w val="0.96005806096401203"/>
          <c:h val="0.92003206734141696"/>
        </c:manualLayout>
      </c:layout>
      <c:barChart>
        <c:barDir val="col"/>
        <c:grouping val="clustered"/>
        <c:varyColors val="0"/>
        <c:ser>
          <c:idx val="0"/>
          <c:order val="0"/>
          <c:tx>
            <c:strRef>
              <c:f>'18 - Cost Density Curve'!$C$57</c:f>
              <c:strCache>
                <c:ptCount val="1"/>
                <c:pt idx="0">
                  <c:v>Annual Cost ($M)</c:v>
                </c:pt>
              </c:strCache>
            </c:strRef>
          </c:tx>
          <c:spPr>
            <a:solidFill>
              <a:srgbClr val="1F4E79"/>
            </a:solidFill>
            <a:ln w="0">
              <a:noFill/>
            </a:ln>
          </c:spPr>
          <c:invertIfNegative val="0"/>
          <c:dPt>
            <c:idx val="0"/>
            <c:invertIfNegative val="0"/>
            <c:bubble3D val="0"/>
            <c:spPr>
              <a:solidFill>
                <a:srgbClr val="1F4E79"/>
              </a:solidFill>
              <a:ln w="0">
                <a:noFill/>
              </a:ln>
            </c:spPr>
            <c:extLst>
              <c:ext xmlns:c16="http://schemas.microsoft.com/office/drawing/2014/chart" uri="{C3380CC4-5D6E-409C-BE32-E72D297353CC}">
                <c16:uniqueId val="{00000001-18B8-4498-997D-974860FEF9B0}"/>
              </c:ext>
            </c:extLst>
          </c:dPt>
          <c:dPt>
            <c:idx val="1"/>
            <c:invertIfNegative val="0"/>
            <c:bubble3D val="0"/>
            <c:extLst>
              <c:ext xmlns:c16="http://schemas.microsoft.com/office/drawing/2014/chart" uri="{C3380CC4-5D6E-409C-BE32-E72D297353CC}">
                <c16:uniqueId val="{00000003-18B8-4498-997D-974860FEF9B0}"/>
              </c:ext>
            </c:extLst>
          </c:dPt>
          <c:dPt>
            <c:idx val="2"/>
            <c:invertIfNegative val="0"/>
            <c:bubble3D val="0"/>
            <c:extLst>
              <c:ext xmlns:c16="http://schemas.microsoft.com/office/drawing/2014/chart" uri="{C3380CC4-5D6E-409C-BE32-E72D297353CC}">
                <c16:uniqueId val="{00000005-18B8-4498-997D-974860FEF9B0}"/>
              </c:ext>
            </c:extLst>
          </c:dPt>
          <c:dPt>
            <c:idx val="3"/>
            <c:invertIfNegative val="0"/>
            <c:bubble3D val="0"/>
            <c:extLst>
              <c:ext xmlns:c16="http://schemas.microsoft.com/office/drawing/2014/chart" uri="{C3380CC4-5D6E-409C-BE32-E72D297353CC}">
                <c16:uniqueId val="{00000007-18B8-4498-997D-974860FEF9B0}"/>
              </c:ext>
            </c:extLst>
          </c:dPt>
          <c:dPt>
            <c:idx val="4"/>
            <c:invertIfNegative val="0"/>
            <c:bubble3D val="0"/>
            <c:extLst>
              <c:ext xmlns:c16="http://schemas.microsoft.com/office/drawing/2014/chart" uri="{C3380CC4-5D6E-409C-BE32-E72D297353CC}">
                <c16:uniqueId val="{00000009-18B8-4498-997D-974860FEF9B0}"/>
              </c:ext>
            </c:extLst>
          </c:dPt>
          <c:dPt>
            <c:idx val="5"/>
            <c:invertIfNegative val="0"/>
            <c:bubble3D val="0"/>
            <c:extLst>
              <c:ext xmlns:c16="http://schemas.microsoft.com/office/drawing/2014/chart" uri="{C3380CC4-5D6E-409C-BE32-E72D297353CC}">
                <c16:uniqueId val="{0000000B-18B8-4498-997D-974860FEF9B0}"/>
              </c:ext>
            </c:extLst>
          </c:dPt>
          <c:dPt>
            <c:idx val="6"/>
            <c:invertIfNegative val="0"/>
            <c:bubble3D val="0"/>
            <c:extLst>
              <c:ext xmlns:c16="http://schemas.microsoft.com/office/drawing/2014/chart" uri="{C3380CC4-5D6E-409C-BE32-E72D297353CC}">
                <c16:uniqueId val="{0000000D-18B8-4498-997D-974860FEF9B0}"/>
              </c:ext>
            </c:extLst>
          </c:dPt>
          <c:dPt>
            <c:idx val="7"/>
            <c:invertIfNegative val="0"/>
            <c:bubble3D val="0"/>
            <c:extLst>
              <c:ext xmlns:c16="http://schemas.microsoft.com/office/drawing/2014/chart" uri="{C3380CC4-5D6E-409C-BE32-E72D297353CC}">
                <c16:uniqueId val="{0000000F-18B8-4498-997D-974860FEF9B0}"/>
              </c:ext>
            </c:extLst>
          </c:dPt>
          <c:dPt>
            <c:idx val="8"/>
            <c:invertIfNegative val="0"/>
            <c:bubble3D val="0"/>
            <c:extLst>
              <c:ext xmlns:c16="http://schemas.microsoft.com/office/drawing/2014/chart" uri="{C3380CC4-5D6E-409C-BE32-E72D297353CC}">
                <c16:uniqueId val="{00000011-18B8-4498-997D-974860FEF9B0}"/>
              </c:ext>
            </c:extLst>
          </c:dPt>
          <c:dPt>
            <c:idx val="9"/>
            <c:invertIfNegative val="0"/>
            <c:bubble3D val="0"/>
            <c:extLst>
              <c:ext xmlns:c16="http://schemas.microsoft.com/office/drawing/2014/chart" uri="{C3380CC4-5D6E-409C-BE32-E72D297353CC}">
                <c16:uniqueId val="{00000013-18B8-4498-997D-974860FEF9B0}"/>
              </c:ext>
            </c:extLst>
          </c:dPt>
          <c:dPt>
            <c:idx val="10"/>
            <c:invertIfNegative val="0"/>
            <c:bubble3D val="0"/>
            <c:extLst>
              <c:ext xmlns:c16="http://schemas.microsoft.com/office/drawing/2014/chart" uri="{C3380CC4-5D6E-409C-BE32-E72D297353CC}">
                <c16:uniqueId val="{00000015-18B8-4498-997D-974860FEF9B0}"/>
              </c:ext>
            </c:extLst>
          </c:dPt>
          <c:dPt>
            <c:idx val="11"/>
            <c:invertIfNegative val="0"/>
            <c:bubble3D val="0"/>
            <c:extLst>
              <c:ext xmlns:c16="http://schemas.microsoft.com/office/drawing/2014/chart" uri="{C3380CC4-5D6E-409C-BE32-E72D297353CC}">
                <c16:uniqueId val="{00000017-18B8-4498-997D-974860FEF9B0}"/>
              </c:ext>
            </c:extLst>
          </c:dPt>
          <c:dPt>
            <c:idx val="12"/>
            <c:invertIfNegative val="0"/>
            <c:bubble3D val="0"/>
            <c:extLst>
              <c:ext xmlns:c16="http://schemas.microsoft.com/office/drawing/2014/chart" uri="{C3380CC4-5D6E-409C-BE32-E72D297353CC}">
                <c16:uniqueId val="{00000019-18B8-4498-997D-974860FEF9B0}"/>
              </c:ext>
            </c:extLst>
          </c:dPt>
          <c:dPt>
            <c:idx val="13"/>
            <c:invertIfNegative val="0"/>
            <c:bubble3D val="0"/>
            <c:extLst>
              <c:ext xmlns:c16="http://schemas.microsoft.com/office/drawing/2014/chart" uri="{C3380CC4-5D6E-409C-BE32-E72D297353CC}">
                <c16:uniqueId val="{0000001B-18B8-4498-997D-974860FEF9B0}"/>
              </c:ext>
            </c:extLst>
          </c:dPt>
          <c:dPt>
            <c:idx val="14"/>
            <c:invertIfNegative val="0"/>
            <c:bubble3D val="0"/>
            <c:extLst>
              <c:ext xmlns:c16="http://schemas.microsoft.com/office/drawing/2014/chart" uri="{C3380CC4-5D6E-409C-BE32-E72D297353CC}">
                <c16:uniqueId val="{0000001D-18B8-4498-997D-974860FEF9B0}"/>
              </c:ext>
            </c:extLst>
          </c:dPt>
          <c:dPt>
            <c:idx val="15"/>
            <c:invertIfNegative val="0"/>
            <c:bubble3D val="0"/>
            <c:extLst>
              <c:ext xmlns:c16="http://schemas.microsoft.com/office/drawing/2014/chart" uri="{C3380CC4-5D6E-409C-BE32-E72D297353CC}">
                <c16:uniqueId val="{0000001F-18B8-4498-997D-974860FEF9B0}"/>
              </c:ext>
            </c:extLst>
          </c:dPt>
          <c:dPt>
            <c:idx val="16"/>
            <c:invertIfNegative val="0"/>
            <c:bubble3D val="0"/>
            <c:extLst>
              <c:ext xmlns:c16="http://schemas.microsoft.com/office/drawing/2014/chart" uri="{C3380CC4-5D6E-409C-BE32-E72D297353CC}">
                <c16:uniqueId val="{00000021-18B8-4498-997D-974860FEF9B0}"/>
              </c:ext>
            </c:extLst>
          </c:dPt>
          <c:dPt>
            <c:idx val="17"/>
            <c:invertIfNegative val="0"/>
            <c:bubble3D val="0"/>
            <c:extLst>
              <c:ext xmlns:c16="http://schemas.microsoft.com/office/drawing/2014/chart" uri="{C3380CC4-5D6E-409C-BE32-E72D297353CC}">
                <c16:uniqueId val="{00000023-18B8-4498-997D-974860FEF9B0}"/>
              </c:ext>
            </c:extLst>
          </c:dPt>
          <c:dPt>
            <c:idx val="18"/>
            <c:invertIfNegative val="0"/>
            <c:bubble3D val="0"/>
            <c:extLst>
              <c:ext xmlns:c16="http://schemas.microsoft.com/office/drawing/2014/chart" uri="{C3380CC4-5D6E-409C-BE32-E72D297353CC}">
                <c16:uniqueId val="{00000025-18B8-4498-997D-974860FEF9B0}"/>
              </c:ext>
            </c:extLst>
          </c:dPt>
          <c:dPt>
            <c:idx val="19"/>
            <c:invertIfNegative val="0"/>
            <c:bubble3D val="0"/>
            <c:extLst>
              <c:ext xmlns:c16="http://schemas.microsoft.com/office/drawing/2014/chart" uri="{C3380CC4-5D6E-409C-BE32-E72D297353CC}">
                <c16:uniqueId val="{00000027-18B8-4498-997D-974860FEF9B0}"/>
              </c:ext>
            </c:extLst>
          </c:dPt>
          <c:dPt>
            <c:idx val="20"/>
            <c:invertIfNegative val="0"/>
            <c:bubble3D val="0"/>
            <c:extLst>
              <c:ext xmlns:c16="http://schemas.microsoft.com/office/drawing/2014/chart" uri="{C3380CC4-5D6E-409C-BE32-E72D297353CC}">
                <c16:uniqueId val="{00000029-18B8-4498-997D-974860FEF9B0}"/>
              </c:ext>
            </c:extLst>
          </c:dPt>
          <c:dPt>
            <c:idx val="21"/>
            <c:invertIfNegative val="0"/>
            <c:bubble3D val="0"/>
            <c:extLst>
              <c:ext xmlns:c16="http://schemas.microsoft.com/office/drawing/2014/chart" uri="{C3380CC4-5D6E-409C-BE32-E72D297353CC}">
                <c16:uniqueId val="{0000002B-18B8-4498-997D-974860FEF9B0}"/>
              </c:ext>
            </c:extLst>
          </c:dPt>
          <c:dPt>
            <c:idx val="22"/>
            <c:invertIfNegative val="0"/>
            <c:bubble3D val="0"/>
            <c:extLst>
              <c:ext xmlns:c16="http://schemas.microsoft.com/office/drawing/2014/chart" uri="{C3380CC4-5D6E-409C-BE32-E72D297353CC}">
                <c16:uniqueId val="{0000002D-18B8-4498-997D-974860FEF9B0}"/>
              </c:ext>
            </c:extLst>
          </c:dPt>
          <c:dPt>
            <c:idx val="23"/>
            <c:invertIfNegative val="0"/>
            <c:bubble3D val="0"/>
            <c:extLst>
              <c:ext xmlns:c16="http://schemas.microsoft.com/office/drawing/2014/chart" uri="{C3380CC4-5D6E-409C-BE32-E72D297353CC}">
                <c16:uniqueId val="{0000002F-18B8-4498-997D-974860FEF9B0}"/>
              </c:ext>
            </c:extLst>
          </c:dPt>
          <c:dPt>
            <c:idx val="24"/>
            <c:invertIfNegative val="0"/>
            <c:bubble3D val="0"/>
            <c:extLst>
              <c:ext xmlns:c16="http://schemas.microsoft.com/office/drawing/2014/chart" uri="{C3380CC4-5D6E-409C-BE32-E72D297353CC}">
                <c16:uniqueId val="{00000031-18B8-4498-997D-974860FEF9B0}"/>
              </c:ext>
            </c:extLst>
          </c:dPt>
          <c:dPt>
            <c:idx val="25"/>
            <c:invertIfNegative val="0"/>
            <c:bubble3D val="0"/>
            <c:extLst>
              <c:ext xmlns:c16="http://schemas.microsoft.com/office/drawing/2014/chart" uri="{C3380CC4-5D6E-409C-BE32-E72D297353CC}">
                <c16:uniqueId val="{00000033-18B8-4498-997D-974860FEF9B0}"/>
              </c:ext>
            </c:extLst>
          </c:dPt>
          <c:dPt>
            <c:idx val="26"/>
            <c:invertIfNegative val="0"/>
            <c:bubble3D val="0"/>
            <c:extLst>
              <c:ext xmlns:c16="http://schemas.microsoft.com/office/drawing/2014/chart" uri="{C3380CC4-5D6E-409C-BE32-E72D297353CC}">
                <c16:uniqueId val="{00000035-18B8-4498-997D-974860FEF9B0}"/>
              </c:ext>
            </c:extLst>
          </c:dPt>
          <c:dPt>
            <c:idx val="27"/>
            <c:invertIfNegative val="0"/>
            <c:bubble3D val="0"/>
            <c:extLst>
              <c:ext xmlns:c16="http://schemas.microsoft.com/office/drawing/2014/chart" uri="{C3380CC4-5D6E-409C-BE32-E72D297353CC}">
                <c16:uniqueId val="{00000037-18B8-4498-997D-974860FEF9B0}"/>
              </c:ext>
            </c:extLst>
          </c:dPt>
          <c:dPt>
            <c:idx val="28"/>
            <c:invertIfNegative val="0"/>
            <c:bubble3D val="0"/>
            <c:extLst>
              <c:ext xmlns:c16="http://schemas.microsoft.com/office/drawing/2014/chart" uri="{C3380CC4-5D6E-409C-BE32-E72D297353CC}">
                <c16:uniqueId val="{00000039-18B8-4498-997D-974860FEF9B0}"/>
              </c:ext>
            </c:extLst>
          </c:dPt>
          <c:dPt>
            <c:idx val="29"/>
            <c:invertIfNegative val="0"/>
            <c:bubble3D val="0"/>
            <c:extLst>
              <c:ext xmlns:c16="http://schemas.microsoft.com/office/drawing/2014/chart" uri="{C3380CC4-5D6E-409C-BE32-E72D297353CC}">
                <c16:uniqueId val="{0000003B-18B8-4498-997D-974860FEF9B0}"/>
              </c:ext>
            </c:extLst>
          </c:dPt>
          <c:dPt>
            <c:idx val="30"/>
            <c:invertIfNegative val="0"/>
            <c:bubble3D val="0"/>
            <c:extLst>
              <c:ext xmlns:c16="http://schemas.microsoft.com/office/drawing/2014/chart" uri="{C3380CC4-5D6E-409C-BE32-E72D297353CC}">
                <c16:uniqueId val="{0000003D-18B8-4498-997D-974860FEF9B0}"/>
              </c:ext>
            </c:extLst>
          </c:dPt>
          <c:dPt>
            <c:idx val="31"/>
            <c:invertIfNegative val="0"/>
            <c:bubble3D val="0"/>
            <c:extLst>
              <c:ext xmlns:c16="http://schemas.microsoft.com/office/drawing/2014/chart" uri="{C3380CC4-5D6E-409C-BE32-E72D297353CC}">
                <c16:uniqueId val="{0000003F-18B8-4498-997D-974860FEF9B0}"/>
              </c:ext>
            </c:extLst>
          </c:dPt>
          <c:dPt>
            <c:idx val="32"/>
            <c:invertIfNegative val="0"/>
            <c:bubble3D val="0"/>
            <c:extLst>
              <c:ext xmlns:c16="http://schemas.microsoft.com/office/drawing/2014/chart" uri="{C3380CC4-5D6E-409C-BE32-E72D297353CC}">
                <c16:uniqueId val="{00000041-18B8-4498-997D-974860FEF9B0}"/>
              </c:ext>
            </c:extLst>
          </c:dPt>
          <c:dPt>
            <c:idx val="33"/>
            <c:invertIfNegative val="0"/>
            <c:bubble3D val="0"/>
            <c:extLst>
              <c:ext xmlns:c16="http://schemas.microsoft.com/office/drawing/2014/chart" uri="{C3380CC4-5D6E-409C-BE32-E72D297353CC}">
                <c16:uniqueId val="{00000043-18B8-4498-997D-974860FEF9B0}"/>
              </c:ext>
            </c:extLst>
          </c:dPt>
          <c:dPt>
            <c:idx val="34"/>
            <c:invertIfNegative val="0"/>
            <c:bubble3D val="0"/>
            <c:extLst>
              <c:ext xmlns:c16="http://schemas.microsoft.com/office/drawing/2014/chart" uri="{C3380CC4-5D6E-409C-BE32-E72D297353CC}">
                <c16:uniqueId val="{00000045-18B8-4498-997D-974860FEF9B0}"/>
              </c:ext>
            </c:extLst>
          </c:dPt>
          <c:dPt>
            <c:idx val="35"/>
            <c:invertIfNegative val="0"/>
            <c:bubble3D val="0"/>
            <c:extLst>
              <c:ext xmlns:c16="http://schemas.microsoft.com/office/drawing/2014/chart" uri="{C3380CC4-5D6E-409C-BE32-E72D297353CC}">
                <c16:uniqueId val="{00000047-18B8-4498-997D-974860FEF9B0}"/>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1-18B8-4498-997D-974860FEF9B0}"/>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3-18B8-4498-997D-974860FEF9B0}"/>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5-18B8-4498-997D-974860FEF9B0}"/>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7-18B8-4498-997D-974860FEF9B0}"/>
                </c:ext>
              </c:extLst>
            </c:dLbl>
            <c:dLbl>
              <c:idx val="4"/>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9-18B8-4498-997D-974860FEF9B0}"/>
                </c:ext>
              </c:extLst>
            </c:dLbl>
            <c:dLbl>
              <c:idx val="5"/>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B-18B8-4498-997D-974860FEF9B0}"/>
                </c:ext>
              </c:extLst>
            </c:dLbl>
            <c:dLbl>
              <c:idx val="6"/>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D-18B8-4498-997D-974860FEF9B0}"/>
                </c:ext>
              </c:extLst>
            </c:dLbl>
            <c:dLbl>
              <c:idx val="7"/>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F-18B8-4498-997D-974860FEF9B0}"/>
                </c:ext>
              </c:extLst>
            </c:dLbl>
            <c:dLbl>
              <c:idx val="8"/>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1-18B8-4498-997D-974860FEF9B0}"/>
                </c:ext>
              </c:extLst>
            </c:dLbl>
            <c:dLbl>
              <c:idx val="9"/>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3-18B8-4498-997D-974860FEF9B0}"/>
                </c:ext>
              </c:extLst>
            </c:dLbl>
            <c:dLbl>
              <c:idx val="10"/>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5-18B8-4498-997D-974860FEF9B0}"/>
                </c:ext>
              </c:extLst>
            </c:dLbl>
            <c:dLbl>
              <c:idx val="11"/>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7-18B8-4498-997D-974860FEF9B0}"/>
                </c:ext>
              </c:extLst>
            </c:dLbl>
            <c:dLbl>
              <c:idx val="12"/>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9-18B8-4498-997D-974860FEF9B0}"/>
                </c:ext>
              </c:extLst>
            </c:dLbl>
            <c:dLbl>
              <c:idx val="13"/>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B-18B8-4498-997D-974860FEF9B0}"/>
                </c:ext>
              </c:extLst>
            </c:dLbl>
            <c:dLbl>
              <c:idx val="14"/>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D-18B8-4498-997D-974860FEF9B0}"/>
                </c:ext>
              </c:extLst>
            </c:dLbl>
            <c:dLbl>
              <c:idx val="15"/>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1F-18B8-4498-997D-974860FEF9B0}"/>
                </c:ext>
              </c:extLst>
            </c:dLbl>
            <c:dLbl>
              <c:idx val="16"/>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21-18B8-4498-997D-974860FEF9B0}"/>
                </c:ext>
              </c:extLst>
            </c:dLbl>
            <c:dLbl>
              <c:idx val="17"/>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23-18B8-4498-997D-974860FEF9B0}"/>
                </c:ext>
              </c:extLst>
            </c:dLbl>
            <c:dLbl>
              <c:idx val="18"/>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25-18B8-4498-997D-974860FEF9B0}"/>
                </c:ext>
              </c:extLst>
            </c:dLbl>
            <c:dLbl>
              <c:idx val="19"/>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27-18B8-4498-997D-974860FEF9B0}"/>
                </c:ext>
              </c:extLst>
            </c:dLbl>
            <c:dLbl>
              <c:idx val="20"/>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29-18B8-4498-997D-974860FEF9B0}"/>
                </c:ext>
              </c:extLst>
            </c:dLbl>
            <c:dLbl>
              <c:idx val="21"/>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2B-18B8-4498-997D-974860FEF9B0}"/>
                </c:ext>
              </c:extLst>
            </c:dLbl>
            <c:dLbl>
              <c:idx val="22"/>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2D-18B8-4498-997D-974860FEF9B0}"/>
                </c:ext>
              </c:extLst>
            </c:dLbl>
            <c:dLbl>
              <c:idx val="23"/>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2F-18B8-4498-997D-974860FEF9B0}"/>
                </c:ext>
              </c:extLst>
            </c:dLbl>
            <c:dLbl>
              <c:idx val="24"/>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31-18B8-4498-997D-974860FEF9B0}"/>
                </c:ext>
              </c:extLst>
            </c:dLbl>
            <c:dLbl>
              <c:idx val="25"/>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33-18B8-4498-997D-974860FEF9B0}"/>
                </c:ext>
              </c:extLst>
            </c:dLbl>
            <c:dLbl>
              <c:idx val="26"/>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35-18B8-4498-997D-974860FEF9B0}"/>
                </c:ext>
              </c:extLst>
            </c:dLbl>
            <c:dLbl>
              <c:idx val="27"/>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37-18B8-4498-997D-974860FEF9B0}"/>
                </c:ext>
              </c:extLst>
            </c:dLbl>
            <c:dLbl>
              <c:idx val="28"/>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39-18B8-4498-997D-974860FEF9B0}"/>
                </c:ext>
              </c:extLst>
            </c:dLbl>
            <c:dLbl>
              <c:idx val="29"/>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3B-18B8-4498-997D-974860FEF9B0}"/>
                </c:ext>
              </c:extLst>
            </c:dLbl>
            <c:dLbl>
              <c:idx val="30"/>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3D-18B8-4498-997D-974860FEF9B0}"/>
                </c:ext>
              </c:extLst>
            </c:dLbl>
            <c:dLbl>
              <c:idx val="31"/>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3F-18B8-4498-997D-974860FEF9B0}"/>
                </c:ext>
              </c:extLst>
            </c:dLbl>
            <c:dLbl>
              <c:idx val="32"/>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41-18B8-4498-997D-974860FEF9B0}"/>
                </c:ext>
              </c:extLst>
            </c:dLbl>
            <c:dLbl>
              <c:idx val="33"/>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43-18B8-4498-997D-974860FEF9B0}"/>
                </c:ext>
              </c:extLst>
            </c:dLbl>
            <c:dLbl>
              <c:idx val="34"/>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45-18B8-4498-997D-974860FEF9B0}"/>
                </c:ext>
              </c:extLst>
            </c:dLbl>
            <c:dLbl>
              <c:idx val="35"/>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47-18B8-4498-997D-974860FEF9B0}"/>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'18 - Cost Density Curve'!$B$67:$B$102</c:f>
              <c:numCache>
                <c:formatCode>"FY  "0</c:formatCode>
                <c:ptCount val="3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numCache>
            </c:numRef>
          </c:cat>
          <c:val>
            <c:numRef>
              <c:f>'18 - Cost Density Curve'!$C$67:$C$102</c:f>
              <c:numCache>
                <c:formatCode>0.00</c:formatCode>
                <c:ptCount val="36"/>
                <c:pt idx="0">
                  <c:v>0</c:v>
                </c:pt>
                <c:pt idx="1">
                  <c:v>0</c:v>
                </c:pt>
                <c:pt idx="2">
                  <c:v>0.91410336805271408</c:v>
                </c:pt>
                <c:pt idx="3">
                  <c:v>3.7071969926582296</c:v>
                </c:pt>
                <c:pt idx="4">
                  <c:v>3.717353696747705</c:v>
                </c:pt>
                <c:pt idx="5">
                  <c:v>3.7071969926582296</c:v>
                </c:pt>
                <c:pt idx="6">
                  <c:v>3.9682346981045726</c:v>
                </c:pt>
                <c:pt idx="7">
                  <c:v>4.7658499091906172</c:v>
                </c:pt>
                <c:pt idx="8">
                  <c:v>4.7789070322294958</c:v>
                </c:pt>
                <c:pt idx="9">
                  <c:v>4.7658499091906172</c:v>
                </c:pt>
                <c:pt idx="10">
                  <c:v>9.8152149027597257</c:v>
                </c:pt>
                <c:pt idx="11">
                  <c:v>25.243830160887551</c:v>
                </c:pt>
                <c:pt idx="12">
                  <c:v>25.312991339410534</c:v>
                </c:pt>
                <c:pt idx="13">
                  <c:v>25.243830160887551</c:v>
                </c:pt>
                <c:pt idx="14">
                  <c:v>25.243830160887551</c:v>
                </c:pt>
                <c:pt idx="15">
                  <c:v>24.449115368750913</c:v>
                </c:pt>
                <c:pt idx="16">
                  <c:v>24.25143800392874</c:v>
                </c:pt>
                <c:pt idx="17">
                  <c:v>13.930865741865606</c:v>
                </c:pt>
                <c:pt idx="18">
                  <c:v>4.2963485077358161</c:v>
                </c:pt>
                <c:pt idx="19">
                  <c:v>4.2963485077358161</c:v>
                </c:pt>
                <c:pt idx="20">
                  <c:v>4.3081193255652295</c:v>
                </c:pt>
                <c:pt idx="21">
                  <c:v>4.2963485077358161</c:v>
                </c:pt>
                <c:pt idx="22">
                  <c:v>4.2963485077358161</c:v>
                </c:pt>
                <c:pt idx="23">
                  <c:v>4.2963485077358161</c:v>
                </c:pt>
                <c:pt idx="24">
                  <c:v>4.3081193255652295</c:v>
                </c:pt>
                <c:pt idx="25">
                  <c:v>4.2963485077358161</c:v>
                </c:pt>
                <c:pt idx="26">
                  <c:v>4.2963485077358161</c:v>
                </c:pt>
                <c:pt idx="27">
                  <c:v>4.2963485077358161</c:v>
                </c:pt>
                <c:pt idx="28">
                  <c:v>4.3081193255652295</c:v>
                </c:pt>
                <c:pt idx="29">
                  <c:v>4.2963485077358161</c:v>
                </c:pt>
                <c:pt idx="30">
                  <c:v>4.2963485077358161</c:v>
                </c:pt>
                <c:pt idx="31">
                  <c:v>4.2963485077358161</c:v>
                </c:pt>
                <c:pt idx="32">
                  <c:v>0</c:v>
                </c:pt>
                <c:pt idx="33">
                  <c:v>0</c:v>
                </c:pt>
                <c:pt idx="34">
                  <c:v>0</c:v>
                </c:pt>
                <c:pt idx="35">
                  <c:v>0</c:v>
                </c:pt>
              </c:numCache>
            </c:numRef>
          </c:val>
          <c:extLst>
            <c:ext xmlns:c16="http://schemas.microsoft.com/office/drawing/2014/chart" uri="{C3380CC4-5D6E-409C-BE32-E72D297353CC}">
              <c16:uniqueId val="{00000048-18B8-4498-997D-974860FEF9B0}"/>
            </c:ext>
          </c:extLst>
        </c:ser>
        <c:dLbls>
          <c:showLegendKey val="0"/>
          <c:showVal val="0"/>
          <c:showCatName val="0"/>
          <c:showSerName val="0"/>
          <c:showPercent val="0"/>
          <c:showBubbleSize val="0"/>
        </c:dLbls>
        <c:gapWidth val="150"/>
        <c:axId val="67526234"/>
        <c:axId val="51308366"/>
      </c:barChart>
      <c:catAx>
        <c:axId val="67526234"/>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1308366"/>
        <c:crosses val="autoZero"/>
        <c:auto val="1"/>
        <c:lblAlgn val="ctr"/>
        <c:lblOffset val="100"/>
        <c:noMultiLvlLbl val="0"/>
      </c:catAx>
      <c:valAx>
        <c:axId val="51308366"/>
        <c:scaling>
          <c:orientation val="minMax"/>
        </c:scaling>
        <c:delete val="0"/>
        <c:axPos val="l"/>
        <c:majorGridlines>
          <c:spPr>
            <a:ln w="6480">
              <a:solidFill>
                <a:srgbClr val="8B8B8B"/>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$M (fake)</a:t>
                </a:r>
              </a:p>
            </c:rich>
          </c:tx>
          <c:overlay val="0"/>
          <c:spPr>
            <a:noFill/>
            <a:ln w="0">
              <a:noFill/>
            </a:ln>
          </c:spPr>
        </c:title>
        <c:numFmt formatCode="0.0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752623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ORCA Cumulative Cost (S-Curve) ($M)</a:t>
            </a:r>
          </a:p>
        </c:rich>
      </c:tx>
      <c:overlay val="0"/>
      <c:spPr>
        <a:noFill/>
        <a:ln w="0">
          <a:noFill/>
        </a:ln>
      </c:spPr>
    </c:title>
    <c:autoTitleDeleted val="0"/>
    <c:plotArea>
      <c:layout/>
      <c:lineChart>
        <c:grouping val="standard"/>
        <c:varyColors val="0"/>
        <c:ser>
          <c:idx val="0"/>
          <c:order val="0"/>
          <c:tx>
            <c:strRef>
              <c:f>'18 - Cost Density Curve'!$D$57</c:f>
              <c:strCache>
                <c:ptCount val="1"/>
                <c:pt idx="0">
                  <c:v>Cumulative ($M)</c:v>
                </c:pt>
              </c:strCache>
            </c:strRef>
          </c:tx>
          <c:spPr>
            <a:ln w="19080">
              <a:solidFill>
                <a:srgbClr val="4472C4"/>
              </a:solidFill>
              <a:round/>
            </a:ln>
          </c:spPr>
          <c:marker>
            <c:symbol val="none"/>
          </c:marker>
          <c:dPt>
            <c:idx val="0"/>
            <c:bubble3D val="0"/>
            <c:extLst>
              <c:ext xmlns:c16="http://schemas.microsoft.com/office/drawing/2014/chart" uri="{C3380CC4-5D6E-409C-BE32-E72D297353CC}">
                <c16:uniqueId val="{00000000-4FB6-4301-A1D2-86D7E65CE2D1}"/>
              </c:ext>
            </c:extLst>
          </c:dPt>
          <c:dPt>
            <c:idx val="1"/>
            <c:bubble3D val="0"/>
            <c:extLst>
              <c:ext xmlns:c16="http://schemas.microsoft.com/office/drawing/2014/chart" uri="{C3380CC4-5D6E-409C-BE32-E72D297353CC}">
                <c16:uniqueId val="{00000001-4FB6-4301-A1D2-86D7E65CE2D1}"/>
              </c:ext>
            </c:extLst>
          </c:dPt>
          <c:dPt>
            <c:idx val="2"/>
            <c:bubble3D val="0"/>
            <c:extLst>
              <c:ext xmlns:c16="http://schemas.microsoft.com/office/drawing/2014/chart" uri="{C3380CC4-5D6E-409C-BE32-E72D297353CC}">
                <c16:uniqueId val="{00000002-4FB6-4301-A1D2-86D7E65CE2D1}"/>
              </c:ext>
            </c:extLst>
          </c:dPt>
          <c:dPt>
            <c:idx val="3"/>
            <c:bubble3D val="0"/>
            <c:extLst>
              <c:ext xmlns:c16="http://schemas.microsoft.com/office/drawing/2014/chart" uri="{C3380CC4-5D6E-409C-BE32-E72D297353CC}">
                <c16:uniqueId val="{00000003-4FB6-4301-A1D2-86D7E65CE2D1}"/>
              </c:ext>
            </c:extLst>
          </c:dPt>
          <c:dPt>
            <c:idx val="4"/>
            <c:bubble3D val="0"/>
            <c:extLst>
              <c:ext xmlns:c16="http://schemas.microsoft.com/office/drawing/2014/chart" uri="{C3380CC4-5D6E-409C-BE32-E72D297353CC}">
                <c16:uniqueId val="{00000004-4FB6-4301-A1D2-86D7E65CE2D1}"/>
              </c:ext>
            </c:extLst>
          </c:dPt>
          <c:dPt>
            <c:idx val="5"/>
            <c:bubble3D val="0"/>
            <c:extLst>
              <c:ext xmlns:c16="http://schemas.microsoft.com/office/drawing/2014/chart" uri="{C3380CC4-5D6E-409C-BE32-E72D297353CC}">
                <c16:uniqueId val="{00000005-4FB6-4301-A1D2-86D7E65CE2D1}"/>
              </c:ext>
            </c:extLst>
          </c:dPt>
          <c:dPt>
            <c:idx val="6"/>
            <c:bubble3D val="0"/>
            <c:extLst>
              <c:ext xmlns:c16="http://schemas.microsoft.com/office/drawing/2014/chart" uri="{C3380CC4-5D6E-409C-BE32-E72D297353CC}">
                <c16:uniqueId val="{00000006-4FB6-4301-A1D2-86D7E65CE2D1}"/>
              </c:ext>
            </c:extLst>
          </c:dPt>
          <c:dPt>
            <c:idx val="7"/>
            <c:bubble3D val="0"/>
            <c:extLst>
              <c:ext xmlns:c16="http://schemas.microsoft.com/office/drawing/2014/chart" uri="{C3380CC4-5D6E-409C-BE32-E72D297353CC}">
                <c16:uniqueId val="{00000007-4FB6-4301-A1D2-86D7E65CE2D1}"/>
              </c:ext>
            </c:extLst>
          </c:dPt>
          <c:dPt>
            <c:idx val="8"/>
            <c:bubble3D val="0"/>
            <c:extLst>
              <c:ext xmlns:c16="http://schemas.microsoft.com/office/drawing/2014/chart" uri="{C3380CC4-5D6E-409C-BE32-E72D297353CC}">
                <c16:uniqueId val="{00000008-4FB6-4301-A1D2-86D7E65CE2D1}"/>
              </c:ext>
            </c:extLst>
          </c:dPt>
          <c:dPt>
            <c:idx val="9"/>
            <c:bubble3D val="0"/>
            <c:extLst>
              <c:ext xmlns:c16="http://schemas.microsoft.com/office/drawing/2014/chart" uri="{C3380CC4-5D6E-409C-BE32-E72D297353CC}">
                <c16:uniqueId val="{00000009-4FB6-4301-A1D2-86D7E65CE2D1}"/>
              </c:ext>
            </c:extLst>
          </c:dPt>
          <c:dPt>
            <c:idx val="10"/>
            <c:bubble3D val="0"/>
            <c:extLst>
              <c:ext xmlns:c16="http://schemas.microsoft.com/office/drawing/2014/chart" uri="{C3380CC4-5D6E-409C-BE32-E72D297353CC}">
                <c16:uniqueId val="{0000000A-4FB6-4301-A1D2-86D7E65CE2D1}"/>
              </c:ext>
            </c:extLst>
          </c:dPt>
          <c:dPt>
            <c:idx val="11"/>
            <c:bubble3D val="0"/>
            <c:extLst>
              <c:ext xmlns:c16="http://schemas.microsoft.com/office/drawing/2014/chart" uri="{C3380CC4-5D6E-409C-BE32-E72D297353CC}">
                <c16:uniqueId val="{0000000B-4FB6-4301-A1D2-86D7E65CE2D1}"/>
              </c:ext>
            </c:extLst>
          </c:dPt>
          <c:dPt>
            <c:idx val="12"/>
            <c:bubble3D val="0"/>
            <c:extLst>
              <c:ext xmlns:c16="http://schemas.microsoft.com/office/drawing/2014/chart" uri="{C3380CC4-5D6E-409C-BE32-E72D297353CC}">
                <c16:uniqueId val="{0000000C-4FB6-4301-A1D2-86D7E65CE2D1}"/>
              </c:ext>
            </c:extLst>
          </c:dPt>
          <c:dPt>
            <c:idx val="13"/>
            <c:bubble3D val="0"/>
            <c:extLst>
              <c:ext xmlns:c16="http://schemas.microsoft.com/office/drawing/2014/chart" uri="{C3380CC4-5D6E-409C-BE32-E72D297353CC}">
                <c16:uniqueId val="{0000000D-4FB6-4301-A1D2-86D7E65CE2D1}"/>
              </c:ext>
            </c:extLst>
          </c:dPt>
          <c:dPt>
            <c:idx val="14"/>
            <c:bubble3D val="0"/>
            <c:extLst>
              <c:ext xmlns:c16="http://schemas.microsoft.com/office/drawing/2014/chart" uri="{C3380CC4-5D6E-409C-BE32-E72D297353CC}">
                <c16:uniqueId val="{0000000E-4FB6-4301-A1D2-86D7E65CE2D1}"/>
              </c:ext>
            </c:extLst>
          </c:dPt>
          <c:dPt>
            <c:idx val="15"/>
            <c:bubble3D val="0"/>
            <c:extLst>
              <c:ext xmlns:c16="http://schemas.microsoft.com/office/drawing/2014/chart" uri="{C3380CC4-5D6E-409C-BE32-E72D297353CC}">
                <c16:uniqueId val="{0000000F-4FB6-4301-A1D2-86D7E65CE2D1}"/>
              </c:ext>
            </c:extLst>
          </c:dPt>
          <c:dPt>
            <c:idx val="16"/>
            <c:bubble3D val="0"/>
            <c:extLst>
              <c:ext xmlns:c16="http://schemas.microsoft.com/office/drawing/2014/chart" uri="{C3380CC4-5D6E-409C-BE32-E72D297353CC}">
                <c16:uniqueId val="{00000010-4FB6-4301-A1D2-86D7E65CE2D1}"/>
              </c:ext>
            </c:extLst>
          </c:dPt>
          <c:dPt>
            <c:idx val="17"/>
            <c:bubble3D val="0"/>
            <c:extLst>
              <c:ext xmlns:c16="http://schemas.microsoft.com/office/drawing/2014/chart" uri="{C3380CC4-5D6E-409C-BE32-E72D297353CC}">
                <c16:uniqueId val="{00000011-4FB6-4301-A1D2-86D7E65CE2D1}"/>
              </c:ext>
            </c:extLst>
          </c:dPt>
          <c:dPt>
            <c:idx val="18"/>
            <c:bubble3D val="0"/>
            <c:extLst>
              <c:ext xmlns:c16="http://schemas.microsoft.com/office/drawing/2014/chart" uri="{C3380CC4-5D6E-409C-BE32-E72D297353CC}">
                <c16:uniqueId val="{00000012-4FB6-4301-A1D2-86D7E65CE2D1}"/>
              </c:ext>
            </c:extLst>
          </c:dPt>
          <c:dPt>
            <c:idx val="19"/>
            <c:bubble3D val="0"/>
            <c:extLst>
              <c:ext xmlns:c16="http://schemas.microsoft.com/office/drawing/2014/chart" uri="{C3380CC4-5D6E-409C-BE32-E72D297353CC}">
                <c16:uniqueId val="{00000013-4FB6-4301-A1D2-86D7E65CE2D1}"/>
              </c:ext>
            </c:extLst>
          </c:dPt>
          <c:dPt>
            <c:idx val="20"/>
            <c:bubble3D val="0"/>
            <c:extLst>
              <c:ext xmlns:c16="http://schemas.microsoft.com/office/drawing/2014/chart" uri="{C3380CC4-5D6E-409C-BE32-E72D297353CC}">
                <c16:uniqueId val="{00000014-4FB6-4301-A1D2-86D7E65CE2D1}"/>
              </c:ext>
            </c:extLst>
          </c:dPt>
          <c:dPt>
            <c:idx val="21"/>
            <c:bubble3D val="0"/>
            <c:extLst>
              <c:ext xmlns:c16="http://schemas.microsoft.com/office/drawing/2014/chart" uri="{C3380CC4-5D6E-409C-BE32-E72D297353CC}">
                <c16:uniqueId val="{00000015-4FB6-4301-A1D2-86D7E65CE2D1}"/>
              </c:ext>
            </c:extLst>
          </c:dPt>
          <c:dPt>
            <c:idx val="22"/>
            <c:bubble3D val="0"/>
            <c:extLst>
              <c:ext xmlns:c16="http://schemas.microsoft.com/office/drawing/2014/chart" uri="{C3380CC4-5D6E-409C-BE32-E72D297353CC}">
                <c16:uniqueId val="{00000016-4FB6-4301-A1D2-86D7E65CE2D1}"/>
              </c:ext>
            </c:extLst>
          </c:dPt>
          <c:dPt>
            <c:idx val="23"/>
            <c:bubble3D val="0"/>
            <c:extLst>
              <c:ext xmlns:c16="http://schemas.microsoft.com/office/drawing/2014/chart" uri="{C3380CC4-5D6E-409C-BE32-E72D297353CC}">
                <c16:uniqueId val="{00000017-4FB6-4301-A1D2-86D7E65CE2D1}"/>
              </c:ext>
            </c:extLst>
          </c:dPt>
          <c:dPt>
            <c:idx val="24"/>
            <c:bubble3D val="0"/>
            <c:extLst>
              <c:ext xmlns:c16="http://schemas.microsoft.com/office/drawing/2014/chart" uri="{C3380CC4-5D6E-409C-BE32-E72D297353CC}">
                <c16:uniqueId val="{00000018-4FB6-4301-A1D2-86D7E65CE2D1}"/>
              </c:ext>
            </c:extLst>
          </c:dPt>
          <c:dPt>
            <c:idx val="25"/>
            <c:bubble3D val="0"/>
            <c:extLst>
              <c:ext xmlns:c16="http://schemas.microsoft.com/office/drawing/2014/chart" uri="{C3380CC4-5D6E-409C-BE32-E72D297353CC}">
                <c16:uniqueId val="{00000019-4FB6-4301-A1D2-86D7E65CE2D1}"/>
              </c:ext>
            </c:extLst>
          </c:dPt>
          <c:dPt>
            <c:idx val="26"/>
            <c:bubble3D val="0"/>
            <c:extLst>
              <c:ext xmlns:c16="http://schemas.microsoft.com/office/drawing/2014/chart" uri="{C3380CC4-5D6E-409C-BE32-E72D297353CC}">
                <c16:uniqueId val="{0000001A-4FB6-4301-A1D2-86D7E65CE2D1}"/>
              </c:ext>
            </c:extLst>
          </c:dPt>
          <c:dPt>
            <c:idx val="27"/>
            <c:bubble3D val="0"/>
            <c:extLst>
              <c:ext xmlns:c16="http://schemas.microsoft.com/office/drawing/2014/chart" uri="{C3380CC4-5D6E-409C-BE32-E72D297353CC}">
                <c16:uniqueId val="{0000001B-4FB6-4301-A1D2-86D7E65CE2D1}"/>
              </c:ext>
            </c:extLst>
          </c:dPt>
          <c:dPt>
            <c:idx val="28"/>
            <c:bubble3D val="0"/>
            <c:extLst>
              <c:ext xmlns:c16="http://schemas.microsoft.com/office/drawing/2014/chart" uri="{C3380CC4-5D6E-409C-BE32-E72D297353CC}">
                <c16:uniqueId val="{0000001C-4FB6-4301-A1D2-86D7E65CE2D1}"/>
              </c:ext>
            </c:extLst>
          </c:dPt>
          <c:dPt>
            <c:idx val="29"/>
            <c:bubble3D val="0"/>
            <c:extLst>
              <c:ext xmlns:c16="http://schemas.microsoft.com/office/drawing/2014/chart" uri="{C3380CC4-5D6E-409C-BE32-E72D297353CC}">
                <c16:uniqueId val="{0000001D-4FB6-4301-A1D2-86D7E65CE2D1}"/>
              </c:ext>
            </c:extLst>
          </c:dPt>
          <c:dPt>
            <c:idx val="30"/>
            <c:bubble3D val="0"/>
            <c:extLst>
              <c:ext xmlns:c16="http://schemas.microsoft.com/office/drawing/2014/chart" uri="{C3380CC4-5D6E-409C-BE32-E72D297353CC}">
                <c16:uniqueId val="{0000001E-4FB6-4301-A1D2-86D7E65CE2D1}"/>
              </c:ext>
            </c:extLst>
          </c:dPt>
          <c:dPt>
            <c:idx val="31"/>
            <c:bubble3D val="0"/>
            <c:extLst>
              <c:ext xmlns:c16="http://schemas.microsoft.com/office/drawing/2014/chart" uri="{C3380CC4-5D6E-409C-BE32-E72D297353CC}">
                <c16:uniqueId val="{0000001F-4FB6-4301-A1D2-86D7E65CE2D1}"/>
              </c:ext>
            </c:extLst>
          </c:dPt>
          <c:dPt>
            <c:idx val="32"/>
            <c:bubble3D val="0"/>
            <c:extLst>
              <c:ext xmlns:c16="http://schemas.microsoft.com/office/drawing/2014/chart" uri="{C3380CC4-5D6E-409C-BE32-E72D297353CC}">
                <c16:uniqueId val="{00000020-4FB6-4301-A1D2-86D7E65CE2D1}"/>
              </c:ext>
            </c:extLst>
          </c:dPt>
          <c:dPt>
            <c:idx val="33"/>
            <c:bubble3D val="0"/>
            <c:extLst>
              <c:ext xmlns:c16="http://schemas.microsoft.com/office/drawing/2014/chart" uri="{C3380CC4-5D6E-409C-BE32-E72D297353CC}">
                <c16:uniqueId val="{00000021-4FB6-4301-A1D2-86D7E65CE2D1}"/>
              </c:ext>
            </c:extLst>
          </c:dPt>
          <c:dPt>
            <c:idx val="34"/>
            <c:bubble3D val="0"/>
            <c:extLst>
              <c:ext xmlns:c16="http://schemas.microsoft.com/office/drawing/2014/chart" uri="{C3380CC4-5D6E-409C-BE32-E72D297353CC}">
                <c16:uniqueId val="{00000022-4FB6-4301-A1D2-86D7E65CE2D1}"/>
              </c:ext>
            </c:extLst>
          </c:dPt>
          <c:dPt>
            <c:idx val="35"/>
            <c:bubble3D val="0"/>
            <c:extLst>
              <c:ext xmlns:c16="http://schemas.microsoft.com/office/drawing/2014/chart" uri="{C3380CC4-5D6E-409C-BE32-E72D297353CC}">
                <c16:uniqueId val="{00000023-4FB6-4301-A1D2-86D7E65CE2D1}"/>
              </c:ext>
            </c:extLst>
          </c:dPt>
          <c:dLbls>
            <c:dLbl>
              <c:idx val="0"/>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0-4FB6-4301-A1D2-86D7E65CE2D1}"/>
                </c:ext>
              </c:extLst>
            </c:dLbl>
            <c:dLbl>
              <c:idx val="1"/>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1-4FB6-4301-A1D2-86D7E65CE2D1}"/>
                </c:ext>
              </c:extLst>
            </c:dLbl>
            <c:dLbl>
              <c:idx val="2"/>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2-4FB6-4301-A1D2-86D7E65CE2D1}"/>
                </c:ext>
              </c:extLst>
            </c:dLbl>
            <c:dLbl>
              <c:idx val="3"/>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3-4FB6-4301-A1D2-86D7E65CE2D1}"/>
                </c:ext>
              </c:extLst>
            </c:dLbl>
            <c:dLbl>
              <c:idx val="4"/>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4-4FB6-4301-A1D2-86D7E65CE2D1}"/>
                </c:ext>
              </c:extLst>
            </c:dLbl>
            <c:dLbl>
              <c:idx val="5"/>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5-4FB6-4301-A1D2-86D7E65CE2D1}"/>
                </c:ext>
              </c:extLst>
            </c:dLbl>
            <c:dLbl>
              <c:idx val="6"/>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6-4FB6-4301-A1D2-86D7E65CE2D1}"/>
                </c:ext>
              </c:extLst>
            </c:dLbl>
            <c:dLbl>
              <c:idx val="7"/>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7-4FB6-4301-A1D2-86D7E65CE2D1}"/>
                </c:ext>
              </c:extLst>
            </c:dLbl>
            <c:dLbl>
              <c:idx val="8"/>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8-4FB6-4301-A1D2-86D7E65CE2D1}"/>
                </c:ext>
              </c:extLst>
            </c:dLbl>
            <c:dLbl>
              <c:idx val="9"/>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9-4FB6-4301-A1D2-86D7E65CE2D1}"/>
                </c:ext>
              </c:extLst>
            </c:dLbl>
            <c:dLbl>
              <c:idx val="10"/>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A-4FB6-4301-A1D2-86D7E65CE2D1}"/>
                </c:ext>
              </c:extLst>
            </c:dLbl>
            <c:dLbl>
              <c:idx val="11"/>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B-4FB6-4301-A1D2-86D7E65CE2D1}"/>
                </c:ext>
              </c:extLst>
            </c:dLbl>
            <c:dLbl>
              <c:idx val="12"/>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C-4FB6-4301-A1D2-86D7E65CE2D1}"/>
                </c:ext>
              </c:extLst>
            </c:dLbl>
            <c:dLbl>
              <c:idx val="13"/>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D-4FB6-4301-A1D2-86D7E65CE2D1}"/>
                </c:ext>
              </c:extLst>
            </c:dLbl>
            <c:dLbl>
              <c:idx val="14"/>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E-4FB6-4301-A1D2-86D7E65CE2D1}"/>
                </c:ext>
              </c:extLst>
            </c:dLbl>
            <c:dLbl>
              <c:idx val="15"/>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0F-4FB6-4301-A1D2-86D7E65CE2D1}"/>
                </c:ext>
              </c:extLst>
            </c:dLbl>
            <c:dLbl>
              <c:idx val="16"/>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0-4FB6-4301-A1D2-86D7E65CE2D1}"/>
                </c:ext>
              </c:extLst>
            </c:dLbl>
            <c:dLbl>
              <c:idx val="17"/>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1-4FB6-4301-A1D2-86D7E65CE2D1}"/>
                </c:ext>
              </c:extLst>
            </c:dLbl>
            <c:dLbl>
              <c:idx val="18"/>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2-4FB6-4301-A1D2-86D7E65CE2D1}"/>
                </c:ext>
              </c:extLst>
            </c:dLbl>
            <c:dLbl>
              <c:idx val="19"/>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3-4FB6-4301-A1D2-86D7E65CE2D1}"/>
                </c:ext>
              </c:extLst>
            </c:dLbl>
            <c:dLbl>
              <c:idx val="20"/>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4-4FB6-4301-A1D2-86D7E65CE2D1}"/>
                </c:ext>
              </c:extLst>
            </c:dLbl>
            <c:dLbl>
              <c:idx val="21"/>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5-4FB6-4301-A1D2-86D7E65CE2D1}"/>
                </c:ext>
              </c:extLst>
            </c:dLbl>
            <c:dLbl>
              <c:idx val="22"/>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6-4FB6-4301-A1D2-86D7E65CE2D1}"/>
                </c:ext>
              </c:extLst>
            </c:dLbl>
            <c:dLbl>
              <c:idx val="23"/>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7-4FB6-4301-A1D2-86D7E65CE2D1}"/>
                </c:ext>
              </c:extLst>
            </c:dLbl>
            <c:dLbl>
              <c:idx val="24"/>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8-4FB6-4301-A1D2-86D7E65CE2D1}"/>
                </c:ext>
              </c:extLst>
            </c:dLbl>
            <c:dLbl>
              <c:idx val="25"/>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9-4FB6-4301-A1D2-86D7E65CE2D1}"/>
                </c:ext>
              </c:extLst>
            </c:dLbl>
            <c:dLbl>
              <c:idx val="26"/>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A-4FB6-4301-A1D2-86D7E65CE2D1}"/>
                </c:ext>
              </c:extLst>
            </c:dLbl>
            <c:dLbl>
              <c:idx val="27"/>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B-4FB6-4301-A1D2-86D7E65CE2D1}"/>
                </c:ext>
              </c:extLst>
            </c:dLbl>
            <c:dLbl>
              <c:idx val="28"/>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C-4FB6-4301-A1D2-86D7E65CE2D1}"/>
                </c:ext>
              </c:extLst>
            </c:dLbl>
            <c:dLbl>
              <c:idx val="29"/>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D-4FB6-4301-A1D2-86D7E65CE2D1}"/>
                </c:ext>
              </c:extLst>
            </c:dLbl>
            <c:dLbl>
              <c:idx val="30"/>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E-4FB6-4301-A1D2-86D7E65CE2D1}"/>
                </c:ext>
              </c:extLst>
            </c:dLbl>
            <c:dLbl>
              <c:idx val="31"/>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1F-4FB6-4301-A1D2-86D7E65CE2D1}"/>
                </c:ext>
              </c:extLst>
            </c:dLbl>
            <c:dLbl>
              <c:idx val="32"/>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20-4FB6-4301-A1D2-86D7E65CE2D1}"/>
                </c:ext>
              </c:extLst>
            </c:dLbl>
            <c:dLbl>
              <c:idx val="33"/>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21-4FB6-4301-A1D2-86D7E65CE2D1}"/>
                </c:ext>
              </c:extLst>
            </c:dLbl>
            <c:dLbl>
              <c:idx val="34"/>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22-4FB6-4301-A1D2-86D7E65CE2D1}"/>
                </c:ext>
              </c:extLst>
            </c:dLbl>
            <c:dLbl>
              <c:idx val="35"/>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extLst>
                <c:ext xmlns:c16="http://schemas.microsoft.com/office/drawing/2014/chart" uri="{C3380CC4-5D6E-409C-BE32-E72D297353CC}">
                  <c16:uniqueId val="{00000023-4FB6-4301-A1D2-86D7E65CE2D1}"/>
                </c:ext>
              </c:extLst>
            </c:dLbl>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'18 - Cost Density Curve'!$B$67:$B$102</c:f>
              <c:numCache>
                <c:formatCode>"FY  "0</c:formatCode>
                <c:ptCount val="3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numCache>
            </c:numRef>
          </c:cat>
          <c:val>
            <c:numRef>
              <c:f>'18 - Cost Density Curve'!$D$67:$D$102</c:f>
              <c:numCache>
                <c:formatCode>0.0</c:formatCode>
                <c:ptCount val="36"/>
                <c:pt idx="0">
                  <c:v>0</c:v>
                </c:pt>
                <c:pt idx="1">
                  <c:v>0</c:v>
                </c:pt>
                <c:pt idx="2">
                  <c:v>0.91410336805271408</c:v>
                </c:pt>
                <c:pt idx="3">
                  <c:v>4.6213003607109435</c:v>
                </c:pt>
                <c:pt idx="4">
                  <c:v>8.3386540574586476</c:v>
                </c:pt>
                <c:pt idx="5">
                  <c:v>12.045851050116877</c:v>
                </c:pt>
                <c:pt idx="6">
                  <c:v>16.014085748221451</c:v>
                </c:pt>
                <c:pt idx="7">
                  <c:v>20.779935657412068</c:v>
                </c:pt>
                <c:pt idx="8">
                  <c:v>25.558842689641565</c:v>
                </c:pt>
                <c:pt idx="9">
                  <c:v>30.324692598832183</c:v>
                </c:pt>
                <c:pt idx="10">
                  <c:v>40.139907501591907</c:v>
                </c:pt>
                <c:pt idx="11">
                  <c:v>65.383737662479462</c:v>
                </c:pt>
                <c:pt idx="12">
                  <c:v>90.696729001889992</c:v>
                </c:pt>
                <c:pt idx="13">
                  <c:v>115.94055916277755</c:v>
                </c:pt>
                <c:pt idx="14">
                  <c:v>141.1843893236651</c:v>
                </c:pt>
                <c:pt idx="15">
                  <c:v>165.63350469241601</c:v>
                </c:pt>
                <c:pt idx="16">
                  <c:v>189.88494269634475</c:v>
                </c:pt>
                <c:pt idx="17">
                  <c:v>203.81580843821035</c:v>
                </c:pt>
                <c:pt idx="18">
                  <c:v>208.11215694594617</c:v>
                </c:pt>
                <c:pt idx="19">
                  <c:v>212.40850545368198</c:v>
                </c:pt>
                <c:pt idx="20">
                  <c:v>216.71662477924721</c:v>
                </c:pt>
                <c:pt idx="21">
                  <c:v>221.01297328698303</c:v>
                </c:pt>
                <c:pt idx="22">
                  <c:v>225.30932179471884</c:v>
                </c:pt>
                <c:pt idx="23">
                  <c:v>229.60567030245466</c:v>
                </c:pt>
                <c:pt idx="24">
                  <c:v>233.91378962801988</c:v>
                </c:pt>
                <c:pt idx="25">
                  <c:v>238.2101381357557</c:v>
                </c:pt>
                <c:pt idx="26">
                  <c:v>242.50648664349151</c:v>
                </c:pt>
                <c:pt idx="27">
                  <c:v>246.80283515122733</c:v>
                </c:pt>
                <c:pt idx="28">
                  <c:v>251.11095447679256</c:v>
                </c:pt>
                <c:pt idx="29">
                  <c:v>255.40730298452837</c:v>
                </c:pt>
                <c:pt idx="30">
                  <c:v>259.70365149226421</c:v>
                </c:pt>
                <c:pt idx="31">
                  <c:v>264.00000000000006</c:v>
                </c:pt>
                <c:pt idx="32">
                  <c:v>264.00000000000006</c:v>
                </c:pt>
                <c:pt idx="33">
                  <c:v>264.00000000000006</c:v>
                </c:pt>
                <c:pt idx="34">
                  <c:v>264.00000000000006</c:v>
                </c:pt>
                <c:pt idx="35">
                  <c:v>264.00000000000006</c:v>
                </c:pt>
              </c:numCache>
            </c:numRef>
          </c:val>
          <c:smooth val="1"/>
          <c:extLst>
            <c:ext xmlns:c16="http://schemas.microsoft.com/office/drawing/2014/chart" uri="{C3380CC4-5D6E-409C-BE32-E72D297353CC}">
              <c16:uniqueId val="{00000024-4FB6-4301-A1D2-86D7E65CE2D1}"/>
            </c:ext>
          </c:extLst>
        </c:ser>
        <c:dLbls>
          <c:showLegendKey val="0"/>
          <c:showVal val="0"/>
          <c:showCatName val="0"/>
          <c:showSerName val="0"/>
          <c:showPercent val="0"/>
          <c:showBubbleSize val="0"/>
        </c:dLbls>
        <c:hiLowLines>
          <c:spPr>
            <a:ln w="0">
              <a:noFill/>
            </a:ln>
          </c:spPr>
        </c:hiLowLines>
        <c:smooth val="0"/>
        <c:axId val="30164964"/>
        <c:axId val="55765586"/>
      </c:lineChart>
      <c:catAx>
        <c:axId val="30164964"/>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5765586"/>
        <c:crosses val="autoZero"/>
        <c:auto val="1"/>
        <c:lblAlgn val="ctr"/>
        <c:lblOffset val="100"/>
        <c:noMultiLvlLbl val="0"/>
      </c:catAx>
      <c:valAx>
        <c:axId val="55765586"/>
        <c:scaling>
          <c:orientation val="minMax"/>
        </c:scaling>
        <c:delete val="0"/>
        <c:axPos val="l"/>
        <c:majorGridlines>
          <c:spPr>
            <a:ln w="6480">
              <a:solidFill>
                <a:srgbClr val="8B8B8B"/>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$M (fake)</a:t>
                </a:r>
              </a:p>
            </c:rich>
          </c:tx>
          <c:overlay val="0"/>
          <c:spPr>
            <a:noFill/>
            <a:ln w="0">
              <a:noFill/>
            </a:ln>
          </c:spPr>
        </c:title>
        <c:numFmt formatCode="0.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016496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154800</xdr:colOff>
      <xdr:row>5</xdr:row>
      <xdr:rowOff>0</xdr:rowOff>
    </xdr:from>
    <xdr:to>
      <xdr:col>22</xdr:col>
      <xdr:colOff>117360</xdr:colOff>
      <xdr:row>24</xdr:row>
      <xdr:rowOff>153360</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107280</xdr:colOff>
      <xdr:row>57</xdr:row>
      <xdr:rowOff>119160</xdr:rowOff>
    </xdr:from>
    <xdr:to>
      <xdr:col>22</xdr:col>
      <xdr:colOff>69840</xdr:colOff>
      <xdr:row>77</xdr:row>
      <xdr:rowOff>91800</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livelink/livelink/llisapi.dll?func=ll&amp;objId=298316830&amp;objAction=browse&amp;viewType=1" TargetMode="External"/><Relationship Id="rId2" Type="http://schemas.openxmlformats.org/officeDocument/2006/relationships/hyperlink" Target="https://livelink/livelink/llisapi.dll?func=ll&amp;objId=298316994&amp;objAction=browse&amp;viewType=1" TargetMode="External"/><Relationship Id="rId1" Type="http://schemas.openxmlformats.org/officeDocument/2006/relationships/hyperlink" Target="https://livelink/livelink/llisapi.dll?func=ll&amp;objId=298317192&amp;objAction=browse&amp;viewType=1" TargetMode="External"/><Relationship Id="rId6" Type="http://schemas.openxmlformats.org/officeDocument/2006/relationships/hyperlink" Target="https://livelink/livelink/llisapi.dll?func=ll&amp;objId=204134909&amp;objAction=browse&amp;viewType=1" TargetMode="External"/><Relationship Id="rId5" Type="http://schemas.openxmlformats.org/officeDocument/2006/relationships/hyperlink" Target="https://livelink/livelink/llisapi.dll?func=ll&amp;objId=204134909&amp;objAction=browse&amp;viewType=1" TargetMode="External"/><Relationship Id="rId4" Type="http://schemas.openxmlformats.org/officeDocument/2006/relationships/hyperlink" Target="https://livelink/livelink/llisapi.dll?func=ll&amp;objId=298316831&amp;objAction=browse&amp;viewType=1"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showGridLines="0" tabSelected="1" zoomScaleNormal="100" workbookViewId="0">
      <selection activeCell="G12" sqref="G12"/>
    </sheetView>
  </sheetViews>
  <sheetFormatPr defaultColWidth="0" defaultRowHeight="15" zeroHeight="1"/>
  <cols>
    <col min="1" max="8" width="9.140625" customWidth="1"/>
    <col min="9" max="16384" width="9.140625" hidden="1"/>
  </cols>
  <sheetData>
    <row r="1" spans="2:7" ht="14.25" customHeight="1"/>
    <row r="2" spans="2:7" ht="14.25" customHeight="1"/>
    <row r="3" spans="2:7" ht="14.25" customHeight="1">
      <c r="B3" t="s">
        <v>2695</v>
      </c>
      <c r="G3" s="13"/>
    </row>
    <row r="4" spans="2:7" ht="14.25" customHeight="1">
      <c r="B4" t="s">
        <v>1</v>
      </c>
    </row>
    <row r="5" spans="2:7" ht="14.25" customHeight="1">
      <c r="B5" s="14">
        <v>46286</v>
      </c>
    </row>
    <row r="6" spans="2:7" ht="14.25" customHeight="1"/>
    <row r="7" spans="2:7" ht="14.25" customHeight="1"/>
    <row r="8" spans="2:7" ht="21" customHeight="1">
      <c r="B8" s="6" t="s">
        <v>2</v>
      </c>
      <c r="C8" s="6"/>
      <c r="D8" s="6"/>
      <c r="E8" s="6"/>
      <c r="F8" s="6"/>
      <c r="G8" s="6"/>
    </row>
    <row r="9" spans="2:7" ht="21" customHeight="1">
      <c r="B9" s="15"/>
      <c r="C9" s="15"/>
      <c r="D9" s="16" t="s">
        <v>3</v>
      </c>
      <c r="E9" s="15"/>
      <c r="F9" s="15"/>
      <c r="G9" s="15"/>
    </row>
    <row r="10" spans="2:7" ht="14.25" customHeight="1">
      <c r="D10" s="17" t="s">
        <v>4</v>
      </c>
    </row>
    <row r="11" spans="2:7" ht="14.25" customHeight="1">
      <c r="D11" s="17"/>
    </row>
    <row r="12" spans="2:7" ht="14.25" customHeight="1"/>
    <row r="13" spans="2:7" ht="14.25" customHeight="1"/>
    <row r="14" spans="2:7" ht="15" customHeight="1">
      <c r="B14" s="5"/>
      <c r="C14" s="5"/>
      <c r="D14" s="5"/>
      <c r="E14" s="5"/>
      <c r="F14" s="5"/>
      <c r="G14" s="5"/>
    </row>
    <row r="15" spans="2:7" ht="14.25" customHeight="1"/>
    <row r="16" spans="2:7" ht="14.25" customHeight="1">
      <c r="C16" t="s">
        <v>5</v>
      </c>
    </row>
    <row r="17" spans="3:3" ht="14.25" customHeight="1">
      <c r="C17" t="s">
        <v>6</v>
      </c>
    </row>
    <row r="18" spans="3:3" ht="14.25" customHeight="1"/>
    <row r="19" spans="3:3" ht="14.25" customHeight="1"/>
    <row r="20" spans="3:3" ht="15" customHeight="1"/>
  </sheetData>
  <mergeCells count="2">
    <mergeCell ref="B8:G8"/>
    <mergeCell ref="B14:G14"/>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33"/>
  <sheetViews>
    <sheetView zoomScale="80" zoomScaleNormal="80" workbookViewId="0"/>
  </sheetViews>
  <sheetFormatPr defaultColWidth="8.7109375" defaultRowHeight="15"/>
  <cols>
    <col min="1" max="1" width="5.85546875" customWidth="1"/>
    <col min="2" max="2" width="3.140625" style="17" customWidth="1"/>
    <col min="3" max="3" width="23.140625" customWidth="1"/>
    <col min="4" max="4" width="7" customWidth="1"/>
    <col min="5" max="5" width="57" customWidth="1"/>
    <col min="6" max="6" width="70.7109375" customWidth="1"/>
  </cols>
  <sheetData>
    <row r="2" spans="1:6" ht="14.25" customHeight="1"/>
    <row r="3" spans="1:6" ht="30.75" customHeight="1">
      <c r="A3" s="18" t="s">
        <v>7</v>
      </c>
      <c r="B3" s="19"/>
      <c r="C3" s="20"/>
      <c r="D3" s="20"/>
      <c r="E3" s="21"/>
      <c r="F3" s="20"/>
    </row>
    <row r="4" spans="1:6" ht="14.25" customHeight="1">
      <c r="E4" s="22"/>
    </row>
    <row r="5" spans="1:6" ht="14.25" customHeight="1">
      <c r="E5" s="22"/>
    </row>
    <row r="6" spans="1:6" ht="14.25" customHeight="1">
      <c r="B6" s="23"/>
      <c r="C6" s="12" t="s">
        <v>8</v>
      </c>
      <c r="D6" s="24">
        <v>1</v>
      </c>
      <c r="E6" s="25" t="s">
        <v>9</v>
      </c>
      <c r="F6" s="26" t="s">
        <v>10</v>
      </c>
    </row>
    <row r="7" spans="1:6" ht="14.25" customHeight="1">
      <c r="B7" s="23"/>
      <c r="C7" s="12"/>
      <c r="D7" s="27">
        <v>2</v>
      </c>
      <c r="E7" s="26" t="s">
        <v>11</v>
      </c>
      <c r="F7" s="26" t="s">
        <v>12</v>
      </c>
    </row>
    <row r="8" spans="1:6" ht="14.25" customHeight="1">
      <c r="B8" s="28" t="s">
        <v>13</v>
      </c>
      <c r="C8" s="11" t="s">
        <v>14</v>
      </c>
      <c r="D8" s="23">
        <v>3</v>
      </c>
      <c r="E8" s="25" t="s">
        <v>15</v>
      </c>
      <c r="F8" s="26" t="s">
        <v>16</v>
      </c>
    </row>
    <row r="9" spans="1:6" ht="14.25" customHeight="1">
      <c r="B9" s="28" t="s">
        <v>17</v>
      </c>
      <c r="C9" s="11"/>
      <c r="D9" s="29">
        <v>4</v>
      </c>
      <c r="E9" s="25" t="s">
        <v>18</v>
      </c>
      <c r="F9" s="26" t="s">
        <v>19</v>
      </c>
    </row>
    <row r="10" spans="1:6" ht="14.25" customHeight="1">
      <c r="B10" s="28" t="s">
        <v>17</v>
      </c>
      <c r="C10" s="11"/>
      <c r="D10" s="29">
        <v>5</v>
      </c>
      <c r="E10" s="25" t="s">
        <v>20</v>
      </c>
      <c r="F10" s="26" t="s">
        <v>21</v>
      </c>
    </row>
    <row r="11" spans="1:6" ht="14.25" customHeight="1">
      <c r="B11" s="28" t="s">
        <v>13</v>
      </c>
      <c r="C11" s="10" t="s">
        <v>22</v>
      </c>
      <c r="D11" s="29">
        <v>6</v>
      </c>
      <c r="E11" s="25" t="s">
        <v>23</v>
      </c>
      <c r="F11" s="26" t="s">
        <v>24</v>
      </c>
    </row>
    <row r="12" spans="1:6" ht="14.25" customHeight="1">
      <c r="B12" s="28" t="s">
        <v>13</v>
      </c>
      <c r="C12" s="10"/>
      <c r="D12" s="29">
        <v>7</v>
      </c>
      <c r="E12" s="30" t="s">
        <v>25</v>
      </c>
      <c r="F12" s="26" t="s">
        <v>26</v>
      </c>
    </row>
    <row r="13" spans="1:6" ht="14.25" customHeight="1">
      <c r="B13" s="28" t="s">
        <v>13</v>
      </c>
      <c r="C13" s="10"/>
      <c r="D13" s="29">
        <v>8</v>
      </c>
      <c r="E13" s="25" t="s">
        <v>27</v>
      </c>
      <c r="F13" s="26" t="s">
        <v>28</v>
      </c>
    </row>
    <row r="14" spans="1:6" ht="14.25" customHeight="1">
      <c r="B14" s="28" t="s">
        <v>17</v>
      </c>
      <c r="C14" s="10"/>
      <c r="D14" s="31">
        <v>9</v>
      </c>
      <c r="E14" s="32" t="s">
        <v>29</v>
      </c>
      <c r="F14" s="26" t="s">
        <v>30</v>
      </c>
    </row>
    <row r="15" spans="1:6" ht="14.25" customHeight="1">
      <c r="B15" s="28"/>
      <c r="C15" s="10"/>
      <c r="D15" s="31">
        <v>10</v>
      </c>
      <c r="E15" s="32" t="s">
        <v>31</v>
      </c>
      <c r="F15" s="26"/>
    </row>
    <row r="16" spans="1:6" ht="14.25" customHeight="1">
      <c r="B16" s="23"/>
      <c r="C16" s="9" t="s">
        <v>32</v>
      </c>
      <c r="D16" s="33">
        <v>11</v>
      </c>
      <c r="E16" s="25" t="s">
        <v>33</v>
      </c>
      <c r="F16" s="26" t="s">
        <v>34</v>
      </c>
    </row>
    <row r="17" spans="2:6" ht="14.25" customHeight="1">
      <c r="B17" s="23"/>
      <c r="C17" s="9"/>
      <c r="D17" s="34">
        <v>12</v>
      </c>
      <c r="E17" s="25" t="s">
        <v>35</v>
      </c>
      <c r="F17" s="26" t="s">
        <v>36</v>
      </c>
    </row>
    <row r="18" spans="2:6" ht="14.25" customHeight="1">
      <c r="B18" s="23"/>
      <c r="C18" s="9"/>
      <c r="D18" s="34">
        <v>13</v>
      </c>
      <c r="E18" s="25" t="s">
        <v>37</v>
      </c>
      <c r="F18" s="26" t="s">
        <v>38</v>
      </c>
    </row>
    <row r="19" spans="2:6" ht="14.25" customHeight="1">
      <c r="B19" s="35"/>
      <c r="C19" s="36"/>
      <c r="D19" s="37">
        <v>14</v>
      </c>
      <c r="E19" s="25" t="s">
        <v>39</v>
      </c>
      <c r="F19" s="26"/>
    </row>
    <row r="20" spans="2:6" ht="14.25" customHeight="1">
      <c r="B20" s="28" t="s">
        <v>17</v>
      </c>
      <c r="C20" s="8" t="s">
        <v>40</v>
      </c>
      <c r="D20" s="29">
        <v>15</v>
      </c>
      <c r="E20" s="25" t="s">
        <v>41</v>
      </c>
      <c r="F20" s="26" t="s">
        <v>42</v>
      </c>
    </row>
    <row r="21" spans="2:6" ht="14.25" customHeight="1">
      <c r="B21" s="28" t="s">
        <v>17</v>
      </c>
      <c r="C21" s="8"/>
      <c r="D21" s="37">
        <v>16</v>
      </c>
      <c r="E21" s="25" t="s">
        <v>43</v>
      </c>
      <c r="F21" s="26" t="s">
        <v>44</v>
      </c>
    </row>
    <row r="22" spans="2:6" ht="14.25" customHeight="1">
      <c r="B22" s="23"/>
      <c r="C22" s="7" t="s">
        <v>45</v>
      </c>
      <c r="D22" s="29">
        <v>17</v>
      </c>
      <c r="E22" s="25" t="s">
        <v>46</v>
      </c>
      <c r="F22" t="s">
        <v>47</v>
      </c>
    </row>
    <row r="23" spans="2:6" ht="14.25" customHeight="1">
      <c r="B23" s="23"/>
      <c r="C23" s="7"/>
      <c r="D23" s="37">
        <v>18</v>
      </c>
      <c r="E23" s="25" t="s">
        <v>48</v>
      </c>
      <c r="F23" s="26" t="s">
        <v>49</v>
      </c>
    </row>
    <row r="24" spans="2:6" ht="14.25" customHeight="1">
      <c r="B24" s="23"/>
      <c r="C24" s="38"/>
      <c r="D24" s="37">
        <v>19</v>
      </c>
      <c r="E24" s="25" t="s">
        <v>50</v>
      </c>
    </row>
    <row r="25" spans="2:6" ht="14.25" customHeight="1">
      <c r="B25" s="23"/>
      <c r="C25" s="39"/>
      <c r="D25" s="29">
        <v>20</v>
      </c>
      <c r="E25" s="25" t="s">
        <v>51</v>
      </c>
      <c r="F25" s="40" t="s">
        <v>52</v>
      </c>
    </row>
    <row r="26" spans="2:6" ht="14.25" customHeight="1">
      <c r="B26" s="23"/>
      <c r="C26" s="41" t="s">
        <v>53</v>
      </c>
      <c r="D26" s="37">
        <v>21</v>
      </c>
      <c r="E26" s="25" t="s">
        <v>54</v>
      </c>
      <c r="F26" s="26" t="s">
        <v>55</v>
      </c>
    </row>
    <row r="28" spans="2:6" ht="14.25" customHeight="1">
      <c r="E28" s="42"/>
    </row>
    <row r="29" spans="2:6" ht="14.25" customHeight="1">
      <c r="E29" s="42"/>
    </row>
    <row r="30" spans="2:6" ht="14.25" customHeight="1">
      <c r="E30" s="42"/>
    </row>
    <row r="31" spans="2:6" ht="14.25" customHeight="1">
      <c r="E31" s="42"/>
    </row>
    <row r="32" spans="2:6" ht="14.25" customHeight="1">
      <c r="E32" s="42"/>
    </row>
    <row r="33" spans="5:5" ht="14.25" customHeight="1">
      <c r="E33" s="42"/>
    </row>
  </sheetData>
  <mergeCells count="6">
    <mergeCell ref="C22:C23"/>
    <mergeCell ref="C6:C7"/>
    <mergeCell ref="C8:C10"/>
    <mergeCell ref="C11:C15"/>
    <mergeCell ref="C16:C18"/>
    <mergeCell ref="C20:C21"/>
  </mergeCells>
  <conditionalFormatting sqref="A2:B3">
    <cfRule type="expression" dxfId="228" priority="2">
      <formula>IF($A2="Subsystem", 1, 0)</formula>
    </cfRule>
    <cfRule type="expression" dxfId="227" priority="3">
      <formula>IF($A2="Assembly", 1, 0)</formula>
    </cfRule>
    <cfRule type="expression" dxfId="226" priority="4">
      <formula>IF($A2="System", 1, 0)</formula>
    </cfRule>
    <cfRule type="expression" dxfId="225" priority="5">
      <formula>IF($A2="SoS", 1, 0)</formula>
    </cfRule>
    <cfRule type="expression" dxfId="224" priority="6">
      <formula>IF($A2="Segment", 1, 0)</formula>
    </cfRule>
    <cfRule type="expression" dxfId="223" priority="7">
      <formula>IF($A2="SEITPM", 1, 0)</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zoomScaleNormal="100" workbookViewId="0">
      <selection sqref="A1:B1"/>
    </sheetView>
  </sheetViews>
  <sheetFormatPr defaultColWidth="8.7109375" defaultRowHeight="15"/>
  <cols>
    <col min="2" max="2" width="15.42578125" customWidth="1"/>
    <col min="3" max="3" width="11.85546875" customWidth="1"/>
    <col min="4" max="4" width="11" customWidth="1"/>
    <col min="5" max="5" width="6.85546875" customWidth="1"/>
    <col min="6" max="6" width="38.85546875" customWidth="1"/>
    <col min="7" max="7" width="25.85546875" customWidth="1"/>
    <col min="8" max="8" width="10.42578125" customWidth="1"/>
    <col min="9" max="9" width="16.42578125" customWidth="1"/>
    <col min="10" max="10" width="14" customWidth="1"/>
    <col min="15" max="15" width="16.42578125" customWidth="1"/>
  </cols>
  <sheetData>
    <row r="1" spans="1:11" ht="14.25" customHeight="1">
      <c r="A1" s="4" t="s">
        <v>56</v>
      </c>
      <c r="B1" s="4"/>
    </row>
    <row r="3" spans="1:11" ht="30.75" customHeight="1">
      <c r="A3" s="18" t="s">
        <v>57</v>
      </c>
      <c r="B3" s="44"/>
      <c r="C3" s="20"/>
      <c r="D3" s="20"/>
      <c r="E3" s="20"/>
      <c r="F3" s="20"/>
      <c r="G3" s="20"/>
      <c r="H3" s="20"/>
      <c r="I3" s="20"/>
      <c r="J3" s="20"/>
      <c r="K3" s="20"/>
    </row>
    <row r="4" spans="1:11" ht="14.25" customHeight="1">
      <c r="A4" t="s">
        <v>58</v>
      </c>
      <c r="B4" t="s">
        <v>59</v>
      </c>
    </row>
    <row r="5" spans="1:11" ht="14.25" customHeight="1">
      <c r="A5" s="45"/>
      <c r="B5" s="45" t="s">
        <v>60</v>
      </c>
    </row>
    <row r="9" spans="1:11" ht="14.25" customHeight="1">
      <c r="B9" t="s">
        <v>61</v>
      </c>
      <c r="G9" s="3" t="s">
        <v>62</v>
      </c>
      <c r="H9" s="3"/>
    </row>
    <row r="10" spans="1:11" ht="14.25" customHeight="1">
      <c r="B10" s="47" t="s">
        <v>63</v>
      </c>
      <c r="C10" s="47" t="s">
        <v>64</v>
      </c>
      <c r="D10" s="47" t="s">
        <v>65</v>
      </c>
      <c r="E10" s="47" t="s">
        <v>66</v>
      </c>
      <c r="F10" s="47" t="s">
        <v>67</v>
      </c>
      <c r="G10" s="47" t="s">
        <v>68</v>
      </c>
      <c r="H10" s="48" t="s">
        <v>69</v>
      </c>
    </row>
    <row r="11" spans="1:11" ht="14.25" customHeight="1">
      <c r="B11" s="26"/>
      <c r="C11" s="49"/>
      <c r="D11" s="50"/>
      <c r="E11" s="50"/>
      <c r="F11" s="50"/>
      <c r="G11" s="51" t="s">
        <v>70</v>
      </c>
      <c r="H11" s="52">
        <v>1</v>
      </c>
    </row>
    <row r="12" spans="1:11" ht="14.25" customHeight="1">
      <c r="B12" s="26"/>
      <c r="C12" s="49"/>
      <c r="D12" s="50"/>
      <c r="E12" s="50"/>
      <c r="F12" s="50"/>
      <c r="G12" s="51" t="s">
        <v>71</v>
      </c>
      <c r="H12" s="52">
        <v>2</v>
      </c>
    </row>
    <row r="13" spans="1:11" ht="14.25" customHeight="1">
      <c r="B13" s="26"/>
      <c r="C13" s="49"/>
      <c r="D13" s="50"/>
      <c r="E13" s="50"/>
      <c r="F13" s="50"/>
      <c r="G13" s="51" t="s">
        <v>72</v>
      </c>
      <c r="H13" s="52">
        <v>3</v>
      </c>
    </row>
    <row r="14" spans="1:11" ht="14.25" customHeight="1">
      <c r="B14" s="26"/>
      <c r="C14" s="49"/>
      <c r="D14" s="50"/>
      <c r="E14" s="50"/>
      <c r="F14" s="50"/>
      <c r="G14" s="51" t="s">
        <v>73</v>
      </c>
      <c r="H14" s="52">
        <v>4</v>
      </c>
    </row>
    <row r="15" spans="1:11" ht="14.25" customHeight="1">
      <c r="B15" s="53"/>
      <c r="C15" s="54"/>
      <c r="D15" s="55"/>
      <c r="E15" s="50"/>
      <c r="F15" s="55"/>
      <c r="G15" s="51" t="s">
        <v>74</v>
      </c>
      <c r="H15" s="52">
        <v>5</v>
      </c>
    </row>
    <row r="16" spans="1:11" ht="14.25" customHeight="1">
      <c r="B16" s="26"/>
      <c r="C16" s="49"/>
      <c r="D16" s="50"/>
      <c r="E16" s="50"/>
      <c r="F16" s="50"/>
      <c r="G16" s="51" t="s">
        <v>75</v>
      </c>
      <c r="H16" s="52">
        <v>6</v>
      </c>
    </row>
    <row r="17" spans="2:9" ht="14.25" customHeight="1">
      <c r="B17" s="26"/>
      <c r="C17" s="49"/>
      <c r="D17" s="50"/>
      <c r="E17" s="50"/>
      <c r="F17" s="50"/>
      <c r="G17" s="51" t="s">
        <v>76</v>
      </c>
      <c r="H17" s="52">
        <v>7</v>
      </c>
    </row>
    <row r="18" spans="2:9" ht="14.25" customHeight="1">
      <c r="B18" s="26"/>
      <c r="C18" s="49"/>
      <c r="D18" s="50"/>
      <c r="E18" s="50"/>
      <c r="F18" s="50"/>
      <c r="G18" s="51" t="s">
        <v>77</v>
      </c>
      <c r="H18" s="52">
        <v>8</v>
      </c>
    </row>
    <row r="19" spans="2:9" ht="14.25" customHeight="1">
      <c r="B19" s="26" t="s">
        <v>0</v>
      </c>
      <c r="C19" s="49">
        <v>46286</v>
      </c>
      <c r="D19" s="50" t="s">
        <v>78</v>
      </c>
      <c r="E19" s="50" t="s">
        <v>79</v>
      </c>
      <c r="F19" s="50" t="s">
        <v>80</v>
      </c>
      <c r="G19" s="51" t="s">
        <v>81</v>
      </c>
      <c r="H19" s="52">
        <v>9</v>
      </c>
      <c r="I19" t="s">
        <v>82</v>
      </c>
    </row>
    <row r="20" spans="2:9" ht="14.25" customHeight="1">
      <c r="B20" s="53"/>
      <c r="C20" s="54"/>
      <c r="D20" s="55"/>
      <c r="E20" s="55"/>
      <c r="F20" s="55"/>
      <c r="G20" s="56" t="s">
        <v>83</v>
      </c>
      <c r="H20" s="57">
        <v>10</v>
      </c>
    </row>
    <row r="21" spans="2:9" ht="14.25" customHeight="1">
      <c r="B21" s="26"/>
      <c r="C21" s="49"/>
      <c r="D21" s="50"/>
      <c r="E21" s="50"/>
      <c r="F21" s="50"/>
      <c r="G21" s="51" t="s">
        <v>84</v>
      </c>
      <c r="H21" s="52">
        <v>11</v>
      </c>
    </row>
    <row r="22" spans="2:9" ht="14.25" customHeight="1">
      <c r="B22" s="26"/>
      <c r="C22" s="49"/>
      <c r="D22" s="50"/>
      <c r="E22" s="50"/>
      <c r="F22" s="50"/>
      <c r="G22" s="51" t="s">
        <v>85</v>
      </c>
      <c r="H22" s="52">
        <v>12</v>
      </c>
    </row>
    <row r="23" spans="2:9" ht="14.25" customHeight="1">
      <c r="B23" s="26"/>
      <c r="C23" s="49"/>
      <c r="D23" s="50"/>
      <c r="E23" s="50"/>
      <c r="F23" s="50"/>
      <c r="G23" s="51" t="s">
        <v>86</v>
      </c>
      <c r="H23" s="52">
        <v>13</v>
      </c>
    </row>
    <row r="24" spans="2:9" ht="14.25" customHeight="1">
      <c r="B24" s="26"/>
      <c r="C24" s="49"/>
      <c r="D24" s="26"/>
      <c r="E24" s="50"/>
      <c r="F24" s="26"/>
      <c r="G24" s="51" t="s">
        <v>87</v>
      </c>
      <c r="H24" s="52">
        <v>14</v>
      </c>
    </row>
  </sheetData>
  <mergeCells count="2">
    <mergeCell ref="A1:B1"/>
    <mergeCell ref="G9:H9"/>
  </mergeCells>
  <conditionalFormatting sqref="A3:B5">
    <cfRule type="expression" dxfId="222" priority="2">
      <formula>IF($A3="Subsystem", 1, 0)</formula>
    </cfRule>
    <cfRule type="expression" dxfId="221" priority="3">
      <formula>IF($A3="Assembly", 1, 0)</formula>
    </cfRule>
    <cfRule type="expression" dxfId="220" priority="4">
      <formula>IF($A3="System", 1, 0)</formula>
    </cfRule>
    <cfRule type="expression" dxfId="219" priority="5">
      <formula>IF($A3="SoS", 1, 0)</formula>
    </cfRule>
    <cfRule type="expression" dxfId="218" priority="6">
      <formula>IF($A3="Segment", 1, 0)</formula>
    </cfRule>
    <cfRule type="expression" dxfId="217" priority="7">
      <formula>IF($A3="SEITPM", 1, 0)</formula>
    </cfRule>
  </conditionalFormatting>
  <hyperlinks>
    <hyperlink ref="A1" location="'Table of contents'!A1" display="` Table of Contents" xr:uid="{00000000-0004-0000-0200-000000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19"/>
  <sheetViews>
    <sheetView zoomScale="70" zoomScaleNormal="70" workbookViewId="0">
      <selection activeCell="O8" sqref="O8"/>
    </sheetView>
  </sheetViews>
  <sheetFormatPr defaultColWidth="8.7109375" defaultRowHeight="15"/>
  <cols>
    <col min="1" max="1" width="27.140625" customWidth="1"/>
    <col min="2" max="2" width="12.140625" customWidth="1"/>
    <col min="3" max="3" width="25" customWidth="1"/>
    <col min="4" max="4" width="90.28515625" customWidth="1"/>
    <col min="5" max="5" width="5.85546875" customWidth="1"/>
    <col min="6" max="6" width="23.42578125" customWidth="1"/>
    <col min="7" max="7" width="12.42578125" customWidth="1"/>
    <col min="8" max="8" width="20.7109375" customWidth="1"/>
    <col min="9" max="9" width="13.5703125" customWidth="1"/>
    <col min="10" max="10" width="12" customWidth="1"/>
    <col min="11" max="11" width="7.28515625" customWidth="1"/>
    <col min="12" max="12" width="23.42578125" customWidth="1"/>
    <col min="13" max="13" width="14.7109375" customWidth="1"/>
    <col min="14" max="14" width="11" customWidth="1"/>
    <col min="15" max="15" width="16.42578125" customWidth="1"/>
    <col min="16" max="16" width="40.28515625" customWidth="1"/>
    <col min="17" max="17" width="15" customWidth="1"/>
    <col min="18" max="18" width="17.5703125" customWidth="1"/>
  </cols>
  <sheetData>
    <row r="1" spans="1:18" ht="14.25" customHeight="1">
      <c r="A1" s="4" t="s">
        <v>56</v>
      </c>
      <c r="B1" s="4"/>
    </row>
    <row r="3" spans="1:18" ht="31.5" customHeight="1">
      <c r="A3" s="18" t="s">
        <v>88</v>
      </c>
      <c r="B3" s="44"/>
      <c r="C3" s="20"/>
      <c r="D3" s="20"/>
      <c r="E3" s="20"/>
      <c r="F3" s="20"/>
      <c r="G3" s="20"/>
      <c r="H3" s="20"/>
      <c r="I3" s="20"/>
      <c r="J3" s="20"/>
      <c r="K3" s="20"/>
      <c r="L3" s="20"/>
      <c r="M3" s="20"/>
      <c r="N3" s="20"/>
      <c r="O3" s="20"/>
    </row>
    <row r="4" spans="1:18" ht="14.25" customHeight="1">
      <c r="A4" t="s">
        <v>58</v>
      </c>
      <c r="B4" t="s">
        <v>89</v>
      </c>
      <c r="C4" s="17"/>
    </row>
    <row r="5" spans="1:18" ht="14.25" customHeight="1">
      <c r="A5" s="45" t="s">
        <v>90</v>
      </c>
      <c r="B5" s="58"/>
      <c r="C5" s="17"/>
    </row>
    <row r="6" spans="1:18" ht="14.25" customHeight="1">
      <c r="A6" s="45"/>
      <c r="B6" s="45" t="s">
        <v>91</v>
      </c>
    </row>
    <row r="8" spans="1:18" ht="14.25" customHeight="1">
      <c r="R8" s="46" t="s">
        <v>62</v>
      </c>
    </row>
    <row r="9" spans="1:18" ht="14.25" customHeight="1">
      <c r="B9" s="59" t="s">
        <v>92</v>
      </c>
      <c r="C9" s="59" t="s">
        <v>93</v>
      </c>
      <c r="D9" s="59" t="s">
        <v>94</v>
      </c>
      <c r="E9" s="59" t="s">
        <v>95</v>
      </c>
      <c r="F9" s="59" t="s">
        <v>96</v>
      </c>
      <c r="G9" s="59" t="s">
        <v>97</v>
      </c>
      <c r="H9" s="59" t="s">
        <v>98</v>
      </c>
      <c r="I9" s="59" t="s">
        <v>99</v>
      </c>
      <c r="J9" s="59" t="s">
        <v>100</v>
      </c>
      <c r="K9" s="59" t="s">
        <v>101</v>
      </c>
      <c r="L9" s="59" t="s">
        <v>102</v>
      </c>
      <c r="M9" s="59" t="s">
        <v>103</v>
      </c>
      <c r="N9" s="59" t="s">
        <v>104</v>
      </c>
      <c r="O9" s="59" t="s">
        <v>105</v>
      </c>
      <c r="P9" s="59" t="s">
        <v>106</v>
      </c>
      <c r="Q9" s="59" t="s">
        <v>107</v>
      </c>
      <c r="R9" s="59" t="s">
        <v>108</v>
      </c>
    </row>
    <row r="10" spans="1:18" ht="14.25" customHeight="1">
      <c r="B10" s="23" t="s">
        <v>109</v>
      </c>
      <c r="C10" s="26" t="s">
        <v>110</v>
      </c>
      <c r="D10" s="26" t="s">
        <v>111</v>
      </c>
      <c r="E10" s="26" t="s">
        <v>112</v>
      </c>
      <c r="F10" s="26" t="s">
        <v>113</v>
      </c>
      <c r="G10" s="26" t="s">
        <v>114</v>
      </c>
      <c r="H10" s="60">
        <v>46490</v>
      </c>
      <c r="I10" s="26" t="s">
        <v>115</v>
      </c>
      <c r="J10" s="26" t="s">
        <v>116</v>
      </c>
      <c r="K10" s="26" t="s">
        <v>117</v>
      </c>
      <c r="L10" s="26" t="s">
        <v>118</v>
      </c>
      <c r="M10" s="26" t="s">
        <v>119</v>
      </c>
      <c r="N10" s="26" t="s">
        <v>120</v>
      </c>
      <c r="O10" s="61" t="s">
        <v>121</v>
      </c>
      <c r="P10" s="26" t="s">
        <v>122</v>
      </c>
      <c r="Q10" s="26" t="s">
        <v>123</v>
      </c>
      <c r="R10" s="62" t="s">
        <v>124</v>
      </c>
    </row>
    <row r="11" spans="1:18" ht="14.25" customHeight="1">
      <c r="B11" s="23" t="s">
        <v>125</v>
      </c>
      <c r="C11" s="26" t="s">
        <v>110</v>
      </c>
      <c r="D11" s="26" t="s">
        <v>126</v>
      </c>
      <c r="E11" s="26" t="s">
        <v>112</v>
      </c>
      <c r="F11" s="26" t="s">
        <v>127</v>
      </c>
      <c r="G11" s="26" t="s">
        <v>114</v>
      </c>
      <c r="H11" s="60">
        <v>46490</v>
      </c>
      <c r="I11" s="26" t="s">
        <v>115</v>
      </c>
      <c r="J11" s="26" t="s">
        <v>116</v>
      </c>
      <c r="K11" s="26" t="s">
        <v>128</v>
      </c>
      <c r="L11" s="26" t="s">
        <v>118</v>
      </c>
      <c r="M11" s="26" t="s">
        <v>119</v>
      </c>
      <c r="N11" s="26" t="s">
        <v>129</v>
      </c>
      <c r="O11" s="61" t="s">
        <v>130</v>
      </c>
      <c r="P11" s="26" t="s">
        <v>131</v>
      </c>
      <c r="Q11" s="26" t="s">
        <v>123</v>
      </c>
      <c r="R11" s="62" t="s">
        <v>124</v>
      </c>
    </row>
    <row r="12" spans="1:18" ht="14.25" customHeight="1">
      <c r="B12" s="23" t="s">
        <v>132</v>
      </c>
      <c r="C12" s="26" t="s">
        <v>110</v>
      </c>
      <c r="D12" s="26" t="s">
        <v>133</v>
      </c>
      <c r="E12" s="26" t="s">
        <v>112</v>
      </c>
      <c r="F12" s="26" t="s">
        <v>134</v>
      </c>
      <c r="G12" s="26" t="s">
        <v>114</v>
      </c>
      <c r="H12" s="60">
        <v>46490</v>
      </c>
      <c r="I12" s="26" t="s">
        <v>115</v>
      </c>
      <c r="J12" s="26" t="s">
        <v>116</v>
      </c>
      <c r="K12" s="26" t="s">
        <v>135</v>
      </c>
      <c r="L12" s="26" t="s">
        <v>118</v>
      </c>
      <c r="M12" s="26" t="s">
        <v>119</v>
      </c>
      <c r="N12" s="26" t="s">
        <v>136</v>
      </c>
      <c r="O12" s="61" t="s">
        <v>137</v>
      </c>
      <c r="P12" s="26" t="s">
        <v>138</v>
      </c>
      <c r="Q12" s="26" t="s">
        <v>123</v>
      </c>
      <c r="R12" s="62" t="s">
        <v>124</v>
      </c>
    </row>
    <row r="13" spans="1:18" ht="14.25" customHeight="1">
      <c r="B13" s="23" t="s">
        <v>139</v>
      </c>
      <c r="C13" s="26" t="s">
        <v>110</v>
      </c>
      <c r="D13" s="26" t="s">
        <v>140</v>
      </c>
      <c r="E13" s="26" t="s">
        <v>112</v>
      </c>
      <c r="F13" s="26" t="s">
        <v>141</v>
      </c>
      <c r="G13" s="26" t="s">
        <v>114</v>
      </c>
      <c r="H13" s="60">
        <v>46490</v>
      </c>
      <c r="I13" s="26" t="s">
        <v>115</v>
      </c>
      <c r="J13" s="26" t="s">
        <v>116</v>
      </c>
      <c r="K13" s="26" t="s">
        <v>142</v>
      </c>
      <c r="L13" s="26" t="s">
        <v>118</v>
      </c>
      <c r="M13" s="26" t="s">
        <v>119</v>
      </c>
      <c r="N13" s="26" t="s">
        <v>143</v>
      </c>
      <c r="O13" s="61" t="s">
        <v>144</v>
      </c>
      <c r="P13" s="26" t="s">
        <v>145</v>
      </c>
      <c r="Q13" s="26" t="s">
        <v>123</v>
      </c>
      <c r="R13" s="62" t="s">
        <v>124</v>
      </c>
    </row>
    <row r="14" spans="1:18" ht="14.25" customHeight="1">
      <c r="B14" s="23" t="s">
        <v>146</v>
      </c>
      <c r="C14" s="26" t="s">
        <v>110</v>
      </c>
      <c r="D14" s="26" t="s">
        <v>147</v>
      </c>
      <c r="E14" s="26" t="s">
        <v>112</v>
      </c>
      <c r="F14" s="26" t="s">
        <v>148</v>
      </c>
      <c r="G14" s="26" t="s">
        <v>114</v>
      </c>
      <c r="H14" s="60">
        <v>46490</v>
      </c>
      <c r="I14" s="26" t="s">
        <v>115</v>
      </c>
      <c r="J14" s="26" t="s">
        <v>116</v>
      </c>
      <c r="K14" s="26" t="s">
        <v>149</v>
      </c>
      <c r="L14" s="26" t="s">
        <v>150</v>
      </c>
      <c r="M14" s="26" t="s">
        <v>119</v>
      </c>
      <c r="N14" s="26" t="s">
        <v>151</v>
      </c>
      <c r="O14" s="61" t="s">
        <v>152</v>
      </c>
      <c r="P14" s="26" t="s">
        <v>153</v>
      </c>
      <c r="Q14" s="26" t="s">
        <v>123</v>
      </c>
      <c r="R14" s="62" t="s">
        <v>124</v>
      </c>
    </row>
    <row r="15" spans="1:18" ht="14.25" customHeight="1">
      <c r="B15" s="23" t="s">
        <v>154</v>
      </c>
      <c r="C15" s="26" t="s">
        <v>110</v>
      </c>
      <c r="D15" s="26" t="s">
        <v>155</v>
      </c>
      <c r="E15" s="26" t="s">
        <v>112</v>
      </c>
      <c r="F15" s="26" t="s">
        <v>156</v>
      </c>
      <c r="G15" s="26" t="s">
        <v>114</v>
      </c>
      <c r="H15" s="60">
        <v>46490</v>
      </c>
      <c r="I15" s="26" t="s">
        <v>115</v>
      </c>
      <c r="J15" s="26" t="s">
        <v>116</v>
      </c>
      <c r="K15" s="26" t="s">
        <v>149</v>
      </c>
      <c r="L15" s="26" t="s">
        <v>150</v>
      </c>
      <c r="M15" s="26" t="s">
        <v>119</v>
      </c>
      <c r="N15" s="26" t="s">
        <v>157</v>
      </c>
      <c r="O15" s="26" t="s">
        <v>158</v>
      </c>
      <c r="P15" s="26" t="s">
        <v>159</v>
      </c>
      <c r="Q15" s="26" t="s">
        <v>123</v>
      </c>
      <c r="R15" s="62" t="s">
        <v>124</v>
      </c>
    </row>
    <row r="16" spans="1:18" ht="14.25" customHeight="1">
      <c r="B16" s="23" t="s">
        <v>160</v>
      </c>
      <c r="C16" s="26" t="s">
        <v>110</v>
      </c>
      <c r="D16" s="26" t="s">
        <v>161</v>
      </c>
      <c r="E16" s="26" t="s">
        <v>112</v>
      </c>
      <c r="F16" s="26" t="s">
        <v>162</v>
      </c>
      <c r="G16" s="26" t="s">
        <v>114</v>
      </c>
      <c r="H16" s="60">
        <v>46490</v>
      </c>
      <c r="I16" s="63" t="s">
        <v>115</v>
      </c>
      <c r="J16" s="26" t="s">
        <v>116</v>
      </c>
      <c r="K16" s="26" t="s">
        <v>149</v>
      </c>
      <c r="L16" s="26" t="s">
        <v>150</v>
      </c>
      <c r="M16" s="26" t="s">
        <v>119</v>
      </c>
      <c r="N16" s="26" t="s">
        <v>163</v>
      </c>
      <c r="O16" s="26" t="s">
        <v>164</v>
      </c>
      <c r="P16" s="26" t="s">
        <v>165</v>
      </c>
      <c r="Q16" s="26" t="s">
        <v>123</v>
      </c>
      <c r="R16" s="62" t="s">
        <v>124</v>
      </c>
    </row>
    <row r="17" spans="2:18" ht="14.25" customHeight="1">
      <c r="B17" s="23" t="s">
        <v>166</v>
      </c>
      <c r="C17" s="26" t="s">
        <v>167</v>
      </c>
      <c r="D17" s="26" t="s">
        <v>168</v>
      </c>
      <c r="E17" s="26" t="s">
        <v>112</v>
      </c>
      <c r="F17" s="26" t="s">
        <v>169</v>
      </c>
      <c r="G17" s="26" t="s">
        <v>170</v>
      </c>
      <c r="H17" s="64">
        <v>45638</v>
      </c>
      <c r="I17" s="26" t="s">
        <v>171</v>
      </c>
      <c r="J17" s="65" t="s">
        <v>172</v>
      </c>
      <c r="K17" s="26" t="s">
        <v>149</v>
      </c>
      <c r="L17" s="26" t="s">
        <v>150</v>
      </c>
      <c r="M17" s="26" t="s">
        <v>119</v>
      </c>
      <c r="N17" s="26" t="s">
        <v>173</v>
      </c>
      <c r="O17" s="26" t="s">
        <v>174</v>
      </c>
      <c r="P17" s="26" t="s">
        <v>175</v>
      </c>
      <c r="Q17" s="26" t="s">
        <v>123</v>
      </c>
      <c r="R17" s="62" t="s">
        <v>124</v>
      </c>
    </row>
    <row r="18" spans="2:18" ht="14.25" customHeight="1">
      <c r="B18" s="23" t="s">
        <v>176</v>
      </c>
      <c r="C18" s="26" t="s">
        <v>167</v>
      </c>
      <c r="D18" s="26" t="s">
        <v>177</v>
      </c>
      <c r="E18" s="26" t="s">
        <v>112</v>
      </c>
      <c r="F18" s="26" t="s">
        <v>178</v>
      </c>
      <c r="G18" s="26" t="s">
        <v>114</v>
      </c>
      <c r="H18" s="64">
        <v>46490</v>
      </c>
      <c r="I18" s="26" t="s">
        <v>115</v>
      </c>
      <c r="J18" s="65" t="s">
        <v>116</v>
      </c>
      <c r="K18" s="26" t="s">
        <v>149</v>
      </c>
      <c r="L18" s="26" t="s">
        <v>150</v>
      </c>
      <c r="M18" s="26" t="s">
        <v>119</v>
      </c>
      <c r="N18" s="26" t="s">
        <v>179</v>
      </c>
      <c r="O18" s="26" t="s">
        <v>180</v>
      </c>
      <c r="P18" s="26" t="s">
        <v>181</v>
      </c>
      <c r="Q18" s="26" t="s">
        <v>123</v>
      </c>
      <c r="R18" s="62" t="s">
        <v>182</v>
      </c>
    </row>
    <row r="19" spans="2:18" ht="14.25" customHeight="1">
      <c r="B19" s="23" t="s">
        <v>183</v>
      </c>
      <c r="C19" s="26" t="s">
        <v>167</v>
      </c>
      <c r="D19" s="26" t="s">
        <v>184</v>
      </c>
      <c r="E19" s="26" t="s">
        <v>112</v>
      </c>
      <c r="F19" s="26" t="s">
        <v>185</v>
      </c>
      <c r="G19" s="26" t="s">
        <v>114</v>
      </c>
      <c r="H19" s="64">
        <v>46490</v>
      </c>
      <c r="I19" s="26" t="s">
        <v>115</v>
      </c>
      <c r="J19" s="65" t="s">
        <v>116</v>
      </c>
      <c r="K19" s="26" t="s">
        <v>149</v>
      </c>
      <c r="L19" s="26" t="s">
        <v>150</v>
      </c>
      <c r="M19" s="26" t="s">
        <v>119</v>
      </c>
      <c r="N19" s="26" t="s">
        <v>186</v>
      </c>
      <c r="O19" s="26" t="s">
        <v>187</v>
      </c>
      <c r="P19" s="26" t="s">
        <v>188</v>
      </c>
      <c r="Q19" s="26" t="s">
        <v>123</v>
      </c>
      <c r="R19" s="62" t="s">
        <v>182</v>
      </c>
    </row>
    <row r="20" spans="2:18" ht="14.25" customHeight="1">
      <c r="B20" s="23" t="s">
        <v>189</v>
      </c>
      <c r="C20" s="26" t="s">
        <v>167</v>
      </c>
      <c r="D20" s="26" t="s">
        <v>190</v>
      </c>
      <c r="E20" s="26" t="s">
        <v>112</v>
      </c>
      <c r="F20" s="26" t="s">
        <v>191</v>
      </c>
      <c r="G20" s="26" t="s">
        <v>114</v>
      </c>
      <c r="H20" s="64">
        <v>46289</v>
      </c>
      <c r="I20" s="26" t="s">
        <v>115</v>
      </c>
      <c r="J20" s="65" t="s">
        <v>192</v>
      </c>
      <c r="K20" s="26" t="s">
        <v>149</v>
      </c>
      <c r="L20" s="26" t="s">
        <v>150</v>
      </c>
      <c r="M20" s="26" t="s">
        <v>119</v>
      </c>
      <c r="N20" s="26" t="s">
        <v>193</v>
      </c>
      <c r="O20" s="26" t="s">
        <v>194</v>
      </c>
      <c r="P20" s="26" t="s">
        <v>195</v>
      </c>
      <c r="Q20" s="26" t="s">
        <v>123</v>
      </c>
      <c r="R20" s="62" t="s">
        <v>124</v>
      </c>
    </row>
    <row r="21" spans="2:18" ht="14.25" customHeight="1">
      <c r="B21" s="23" t="s">
        <v>196</v>
      </c>
      <c r="C21" s="26" t="s">
        <v>167</v>
      </c>
      <c r="D21" s="26" t="s">
        <v>197</v>
      </c>
      <c r="E21" s="26" t="s">
        <v>112</v>
      </c>
      <c r="F21" s="26" t="s">
        <v>198</v>
      </c>
      <c r="G21" s="26" t="s">
        <v>114</v>
      </c>
      <c r="H21" s="64">
        <v>46490</v>
      </c>
      <c r="I21" s="26" t="s">
        <v>115</v>
      </c>
      <c r="J21" s="65" t="s">
        <v>116</v>
      </c>
      <c r="K21" s="26" t="s">
        <v>149</v>
      </c>
      <c r="L21" s="26" t="s">
        <v>150</v>
      </c>
      <c r="M21" s="26" t="s">
        <v>119</v>
      </c>
      <c r="N21" s="26" t="s">
        <v>199</v>
      </c>
      <c r="O21" s="26" t="s">
        <v>200</v>
      </c>
      <c r="P21" s="26" t="s">
        <v>201</v>
      </c>
      <c r="Q21" s="26" t="s">
        <v>123</v>
      </c>
      <c r="R21" s="62" t="s">
        <v>182</v>
      </c>
    </row>
    <row r="22" spans="2:18" ht="14.25" customHeight="1">
      <c r="B22" s="23" t="s">
        <v>202</v>
      </c>
      <c r="C22" s="26" t="s">
        <v>203</v>
      </c>
      <c r="D22" s="26" t="s">
        <v>204</v>
      </c>
      <c r="E22" s="26" t="s">
        <v>112</v>
      </c>
      <c r="F22" s="26" t="s">
        <v>205</v>
      </c>
      <c r="G22" s="26" t="s">
        <v>114</v>
      </c>
      <c r="H22" s="64">
        <v>45217</v>
      </c>
      <c r="I22" s="26" t="s">
        <v>206</v>
      </c>
      <c r="J22" s="65" t="s">
        <v>207</v>
      </c>
      <c r="K22" s="26" t="s">
        <v>149</v>
      </c>
      <c r="L22" s="26" t="s">
        <v>208</v>
      </c>
      <c r="M22" s="26" t="s">
        <v>119</v>
      </c>
      <c r="N22" s="26" t="s">
        <v>209</v>
      </c>
      <c r="O22" s="26" t="s">
        <v>210</v>
      </c>
      <c r="P22" s="26" t="s">
        <v>211</v>
      </c>
      <c r="Q22" s="26" t="s">
        <v>123</v>
      </c>
      <c r="R22" s="62" t="s">
        <v>124</v>
      </c>
    </row>
    <row r="23" spans="2:18" ht="14.25" customHeight="1">
      <c r="B23" s="23" t="s">
        <v>212</v>
      </c>
      <c r="C23" s="26" t="s">
        <v>213</v>
      </c>
      <c r="D23" s="26" t="s">
        <v>214</v>
      </c>
      <c r="E23" s="26" t="s">
        <v>112</v>
      </c>
      <c r="F23" s="26" t="s">
        <v>215</v>
      </c>
      <c r="G23" s="26" t="s">
        <v>216</v>
      </c>
      <c r="H23" s="64">
        <v>45638</v>
      </c>
      <c r="I23" s="26" t="s">
        <v>171</v>
      </c>
      <c r="J23" s="65" t="s">
        <v>172</v>
      </c>
      <c r="K23" s="26" t="s">
        <v>149</v>
      </c>
      <c r="L23" s="26" t="s">
        <v>208</v>
      </c>
      <c r="M23" s="26" t="s">
        <v>119</v>
      </c>
      <c r="N23" s="26" t="s">
        <v>217</v>
      </c>
      <c r="O23" s="26" t="s">
        <v>218</v>
      </c>
      <c r="P23" s="26" t="s">
        <v>219</v>
      </c>
      <c r="Q23" s="26" t="s">
        <v>123</v>
      </c>
      <c r="R23" s="62" t="s">
        <v>124</v>
      </c>
    </row>
    <row r="24" spans="2:18" ht="14.25" customHeight="1">
      <c r="B24" s="23" t="s">
        <v>220</v>
      </c>
      <c r="C24" s="26" t="s">
        <v>213</v>
      </c>
      <c r="D24" s="26" t="s">
        <v>221</v>
      </c>
      <c r="E24" s="26" t="s">
        <v>112</v>
      </c>
      <c r="F24" s="26" t="s">
        <v>222</v>
      </c>
      <c r="G24" s="26" t="s">
        <v>170</v>
      </c>
      <c r="H24" s="64">
        <v>45638</v>
      </c>
      <c r="I24" s="26" t="s">
        <v>171</v>
      </c>
      <c r="J24" s="65" t="s">
        <v>172</v>
      </c>
      <c r="K24" s="26" t="s">
        <v>149</v>
      </c>
      <c r="L24" s="26" t="s">
        <v>208</v>
      </c>
      <c r="M24" s="26" t="s">
        <v>119</v>
      </c>
      <c r="N24" s="26" t="s">
        <v>223</v>
      </c>
      <c r="O24" s="26" t="s">
        <v>224</v>
      </c>
      <c r="P24" s="26" t="s">
        <v>225</v>
      </c>
      <c r="Q24" s="26" t="s">
        <v>123</v>
      </c>
      <c r="R24" s="62" t="s">
        <v>124</v>
      </c>
    </row>
    <row r="25" spans="2:18" ht="14.25" customHeight="1">
      <c r="B25" s="23" t="s">
        <v>226</v>
      </c>
      <c r="C25" s="26" t="s">
        <v>213</v>
      </c>
      <c r="D25" s="26" t="s">
        <v>227</v>
      </c>
      <c r="E25" s="26" t="s">
        <v>112</v>
      </c>
      <c r="F25" s="26" t="s">
        <v>228</v>
      </c>
      <c r="G25" s="26" t="s">
        <v>170</v>
      </c>
      <c r="H25" s="64">
        <v>45638</v>
      </c>
      <c r="I25" s="26" t="s">
        <v>171</v>
      </c>
      <c r="J25" s="65" t="s">
        <v>172</v>
      </c>
      <c r="K25" s="26" t="s">
        <v>149</v>
      </c>
      <c r="L25" s="26" t="s">
        <v>208</v>
      </c>
      <c r="M25" s="26" t="s">
        <v>119</v>
      </c>
      <c r="N25" s="26" t="s">
        <v>229</v>
      </c>
      <c r="O25" s="26" t="s">
        <v>230</v>
      </c>
      <c r="P25" s="26" t="s">
        <v>231</v>
      </c>
      <c r="Q25" s="26" t="s">
        <v>123</v>
      </c>
      <c r="R25" s="62" t="s">
        <v>124</v>
      </c>
    </row>
    <row r="26" spans="2:18" ht="14.25" customHeight="1">
      <c r="B26" s="23" t="s">
        <v>232</v>
      </c>
      <c r="C26" s="26" t="s">
        <v>213</v>
      </c>
      <c r="D26" s="26" t="s">
        <v>233</v>
      </c>
      <c r="E26" s="26" t="s">
        <v>112</v>
      </c>
      <c r="F26" s="26" t="s">
        <v>234</v>
      </c>
      <c r="G26" s="26" t="s">
        <v>170</v>
      </c>
      <c r="H26" s="64">
        <v>45638</v>
      </c>
      <c r="I26" s="26" t="s">
        <v>171</v>
      </c>
      <c r="J26" s="65" t="s">
        <v>172</v>
      </c>
      <c r="K26" s="26" t="s">
        <v>149</v>
      </c>
      <c r="L26" s="26" t="s">
        <v>235</v>
      </c>
      <c r="M26" s="26" t="s">
        <v>119</v>
      </c>
      <c r="N26" s="26" t="s">
        <v>236</v>
      </c>
      <c r="O26" s="26" t="s">
        <v>237</v>
      </c>
      <c r="P26" s="26" t="s">
        <v>238</v>
      </c>
      <c r="Q26" s="26" t="s">
        <v>123</v>
      </c>
      <c r="R26" s="62" t="s">
        <v>124</v>
      </c>
    </row>
    <row r="27" spans="2:18" ht="14.25" customHeight="1">
      <c r="B27" s="23" t="s">
        <v>239</v>
      </c>
      <c r="C27" s="26" t="s">
        <v>213</v>
      </c>
      <c r="D27" s="26" t="s">
        <v>240</v>
      </c>
      <c r="E27" s="26" t="s">
        <v>112</v>
      </c>
      <c r="F27" s="26" t="s">
        <v>241</v>
      </c>
      <c r="G27" s="26" t="s">
        <v>170</v>
      </c>
      <c r="H27" s="64">
        <v>46289</v>
      </c>
      <c r="I27" s="26" t="s">
        <v>115</v>
      </c>
      <c r="J27" s="65" t="s">
        <v>192</v>
      </c>
      <c r="K27" s="26" t="s">
        <v>149</v>
      </c>
      <c r="L27" s="26" t="s">
        <v>208</v>
      </c>
      <c r="M27" s="26" t="s">
        <v>119</v>
      </c>
      <c r="N27" s="26" t="s">
        <v>242</v>
      </c>
      <c r="O27" s="26" t="s">
        <v>243</v>
      </c>
      <c r="P27" s="26" t="s">
        <v>244</v>
      </c>
      <c r="Q27" s="26" t="s">
        <v>123</v>
      </c>
      <c r="R27" s="62" t="s">
        <v>124</v>
      </c>
    </row>
    <row r="28" spans="2:18" ht="14.25" customHeight="1">
      <c r="B28" s="23" t="s">
        <v>245</v>
      </c>
      <c r="C28" s="26" t="s">
        <v>246</v>
      </c>
      <c r="D28" s="26" t="s">
        <v>247</v>
      </c>
      <c r="E28" s="26" t="s">
        <v>112</v>
      </c>
      <c r="F28" s="26" t="s">
        <v>248</v>
      </c>
      <c r="G28" s="26" t="s">
        <v>170</v>
      </c>
      <c r="H28" s="64">
        <v>46490</v>
      </c>
      <c r="I28" s="26" t="s">
        <v>115</v>
      </c>
      <c r="J28" s="65" t="s">
        <v>116</v>
      </c>
      <c r="K28" s="26" t="s">
        <v>149</v>
      </c>
      <c r="L28" s="26" t="s">
        <v>249</v>
      </c>
      <c r="M28" s="26" t="s">
        <v>119</v>
      </c>
      <c r="N28" s="26" t="s">
        <v>250</v>
      </c>
      <c r="O28" s="26" t="s">
        <v>251</v>
      </c>
      <c r="P28" s="26" t="s">
        <v>252</v>
      </c>
      <c r="Q28" s="26" t="s">
        <v>123</v>
      </c>
      <c r="R28" s="62" t="s">
        <v>182</v>
      </c>
    </row>
    <row r="29" spans="2:18" ht="14.25" customHeight="1">
      <c r="B29" s="23" t="s">
        <v>253</v>
      </c>
      <c r="C29" s="26" t="s">
        <v>246</v>
      </c>
      <c r="D29" s="26" t="s">
        <v>254</v>
      </c>
      <c r="E29" s="26" t="s">
        <v>112</v>
      </c>
      <c r="F29" s="26" t="s">
        <v>255</v>
      </c>
      <c r="G29" s="26" t="s">
        <v>170</v>
      </c>
      <c r="H29" s="64">
        <v>46490</v>
      </c>
      <c r="I29" s="26" t="s">
        <v>115</v>
      </c>
      <c r="J29" s="65" t="s">
        <v>116</v>
      </c>
      <c r="K29" s="26" t="s">
        <v>149</v>
      </c>
      <c r="L29" s="26" t="s">
        <v>249</v>
      </c>
      <c r="M29" s="26" t="s">
        <v>119</v>
      </c>
      <c r="N29" s="26" t="s">
        <v>256</v>
      </c>
      <c r="O29" s="26" t="s">
        <v>257</v>
      </c>
      <c r="P29" s="26" t="s">
        <v>258</v>
      </c>
      <c r="Q29" s="26" t="s">
        <v>123</v>
      </c>
      <c r="R29" s="62" t="s">
        <v>182</v>
      </c>
    </row>
    <row r="30" spans="2:18" ht="14.25" customHeight="1">
      <c r="B30" s="23" t="s">
        <v>259</v>
      </c>
      <c r="C30" s="26" t="s">
        <v>246</v>
      </c>
      <c r="D30" t="s">
        <v>260</v>
      </c>
      <c r="E30" s="26" t="s">
        <v>112</v>
      </c>
      <c r="F30" s="26" t="s">
        <v>261</v>
      </c>
      <c r="G30" s="26" t="s">
        <v>114</v>
      </c>
      <c r="H30" s="64">
        <v>46490</v>
      </c>
      <c r="I30" s="26" t="s">
        <v>115</v>
      </c>
      <c r="J30" s="65" t="s">
        <v>116</v>
      </c>
      <c r="K30" s="26" t="s">
        <v>149</v>
      </c>
      <c r="L30" s="26" t="s">
        <v>249</v>
      </c>
      <c r="M30" s="26" t="s">
        <v>119</v>
      </c>
      <c r="N30" s="26" t="s">
        <v>262</v>
      </c>
      <c r="O30" s="26" t="s">
        <v>263</v>
      </c>
      <c r="P30" s="26" t="s">
        <v>264</v>
      </c>
      <c r="Q30" s="26" t="s">
        <v>123</v>
      </c>
      <c r="R30" s="62" t="s">
        <v>182</v>
      </c>
    </row>
    <row r="31" spans="2:18" ht="14.25" customHeight="1">
      <c r="B31" s="23" t="s">
        <v>265</v>
      </c>
      <c r="C31" s="63" t="s">
        <v>266</v>
      </c>
      <c r="D31" s="63" t="s">
        <v>267</v>
      </c>
      <c r="E31" s="63" t="s">
        <v>112</v>
      </c>
      <c r="F31" s="63" t="s">
        <v>268</v>
      </c>
      <c r="G31" s="63" t="s">
        <v>170</v>
      </c>
      <c r="H31" s="66">
        <v>45638</v>
      </c>
      <c r="I31" s="63" t="s">
        <v>171</v>
      </c>
      <c r="J31" s="67" t="s">
        <v>172</v>
      </c>
      <c r="K31" s="63" t="s">
        <v>149</v>
      </c>
      <c r="L31" s="63" t="s">
        <v>208</v>
      </c>
      <c r="M31" s="26" t="s">
        <v>119</v>
      </c>
      <c r="N31" s="63" t="s">
        <v>269</v>
      </c>
      <c r="O31" s="63" t="s">
        <v>270</v>
      </c>
      <c r="P31" s="63" t="s">
        <v>271</v>
      </c>
      <c r="Q31" s="26" t="s">
        <v>123</v>
      </c>
      <c r="R31" s="62" t="s">
        <v>124</v>
      </c>
    </row>
    <row r="32" spans="2:18" ht="14.25" customHeight="1">
      <c r="B32" s="23" t="s">
        <v>272</v>
      </c>
      <c r="C32" s="26" t="s">
        <v>266</v>
      </c>
      <c r="D32" s="26" t="s">
        <v>273</v>
      </c>
      <c r="E32" s="26" t="s">
        <v>112</v>
      </c>
      <c r="F32" s="26" t="s">
        <v>274</v>
      </c>
      <c r="G32" s="26" t="s">
        <v>170</v>
      </c>
      <c r="H32" s="60">
        <v>45638</v>
      </c>
      <c r="I32" s="26" t="s">
        <v>171</v>
      </c>
      <c r="J32" s="26" t="s">
        <v>172</v>
      </c>
      <c r="K32" s="26" t="s">
        <v>149</v>
      </c>
      <c r="L32" s="26" t="s">
        <v>235</v>
      </c>
      <c r="M32" s="68" t="s">
        <v>119</v>
      </c>
      <c r="N32" s="26" t="s">
        <v>275</v>
      </c>
      <c r="O32" s="26" t="s">
        <v>276</v>
      </c>
      <c r="P32" s="26" t="s">
        <v>277</v>
      </c>
      <c r="Q32" s="65" t="s">
        <v>123</v>
      </c>
      <c r="R32" s="46" t="s">
        <v>124</v>
      </c>
    </row>
    <row r="33" spans="1:18" ht="14.25" customHeight="1">
      <c r="B33" s="23" t="s">
        <v>278</v>
      </c>
      <c r="C33" s="26" t="s">
        <v>279</v>
      </c>
      <c r="D33" s="26" t="s">
        <v>280</v>
      </c>
      <c r="E33" s="26" t="s">
        <v>112</v>
      </c>
      <c r="F33" s="26" t="s">
        <v>281</v>
      </c>
      <c r="G33" s="26" t="s">
        <v>170</v>
      </c>
      <c r="H33" s="60">
        <v>45638</v>
      </c>
      <c r="I33" s="26" t="s">
        <v>171</v>
      </c>
      <c r="J33" s="26" t="s">
        <v>172</v>
      </c>
      <c r="K33" s="26" t="s">
        <v>149</v>
      </c>
      <c r="L33" s="26" t="s">
        <v>150</v>
      </c>
      <c r="M33" s="68" t="s">
        <v>119</v>
      </c>
      <c r="N33" s="26" t="s">
        <v>282</v>
      </c>
      <c r="O33" s="26" t="s">
        <v>283</v>
      </c>
      <c r="P33" s="26" t="s">
        <v>284</v>
      </c>
      <c r="Q33" s="65" t="s">
        <v>123</v>
      </c>
      <c r="R33" s="46" t="s">
        <v>124</v>
      </c>
    </row>
    <row r="34" spans="1:18" ht="14.25" customHeight="1">
      <c r="B34" s="23" t="s">
        <v>285</v>
      </c>
      <c r="C34" s="26" t="s">
        <v>286</v>
      </c>
      <c r="D34" s="26" t="s">
        <v>287</v>
      </c>
      <c r="E34" s="26" t="s">
        <v>112</v>
      </c>
      <c r="F34" s="26" t="s">
        <v>288</v>
      </c>
      <c r="G34" s="26" t="s">
        <v>170</v>
      </c>
      <c r="H34" s="60">
        <v>45638</v>
      </c>
      <c r="I34" s="69" t="s">
        <v>171</v>
      </c>
      <c r="J34" s="26" t="s">
        <v>172</v>
      </c>
      <c r="K34" s="26" t="s">
        <v>149</v>
      </c>
      <c r="L34" s="26" t="s">
        <v>150</v>
      </c>
      <c r="M34" s="70" t="s">
        <v>119</v>
      </c>
      <c r="N34" s="26" t="s">
        <v>289</v>
      </c>
      <c r="O34" s="26" t="s">
        <v>290</v>
      </c>
      <c r="P34" s="26" t="s">
        <v>291</v>
      </c>
      <c r="Q34" s="67" t="s">
        <v>123</v>
      </c>
      <c r="R34" s="71" t="s">
        <v>124</v>
      </c>
    </row>
    <row r="35" spans="1:18" ht="14.25" customHeight="1">
      <c r="B35" s="23" t="s">
        <v>292</v>
      </c>
      <c r="C35" s="26" t="s">
        <v>293</v>
      </c>
      <c r="D35" s="26" t="s">
        <v>294</v>
      </c>
      <c r="E35" s="26" t="s">
        <v>112</v>
      </c>
      <c r="F35" s="26" t="s">
        <v>295</v>
      </c>
      <c r="G35" s="26" t="s">
        <v>170</v>
      </c>
      <c r="H35" s="60">
        <v>45458</v>
      </c>
      <c r="I35" s="69" t="s">
        <v>206</v>
      </c>
      <c r="J35" s="26" t="s">
        <v>207</v>
      </c>
      <c r="K35" s="26" t="s">
        <v>149</v>
      </c>
      <c r="L35" s="26" t="s">
        <v>208</v>
      </c>
      <c r="M35" s="68" t="s">
        <v>119</v>
      </c>
      <c r="N35" s="26" t="s">
        <v>296</v>
      </c>
      <c r="O35" s="26" t="s">
        <v>297</v>
      </c>
      <c r="P35" s="26" t="s">
        <v>298</v>
      </c>
      <c r="Q35" s="65" t="s">
        <v>123</v>
      </c>
      <c r="R35" s="46" t="s">
        <v>124</v>
      </c>
    </row>
    <row r="36" spans="1:18" ht="14.25" customHeight="1">
      <c r="B36" s="72" t="s">
        <v>299</v>
      </c>
      <c r="C36" s="26" t="s">
        <v>293</v>
      </c>
      <c r="D36" s="73" t="s">
        <v>300</v>
      </c>
      <c r="E36" s="26" t="s">
        <v>112</v>
      </c>
      <c r="F36" s="73" t="s">
        <v>301</v>
      </c>
      <c r="G36" s="26" t="s">
        <v>170</v>
      </c>
      <c r="H36" s="60">
        <v>45638</v>
      </c>
      <c r="I36" s="69" t="s">
        <v>171</v>
      </c>
      <c r="J36" s="26" t="s">
        <v>172</v>
      </c>
      <c r="K36" s="73" t="s">
        <v>149</v>
      </c>
      <c r="L36" s="26" t="s">
        <v>208</v>
      </c>
      <c r="M36" s="74" t="s">
        <v>119</v>
      </c>
      <c r="N36" s="73" t="s">
        <v>302</v>
      </c>
      <c r="O36" s="61" t="s">
        <v>303</v>
      </c>
      <c r="P36" s="26" t="s">
        <v>304</v>
      </c>
      <c r="Q36" s="65" t="s">
        <v>123</v>
      </c>
      <c r="R36" s="46" t="s">
        <v>124</v>
      </c>
    </row>
    <row r="37" spans="1:18" ht="14.25" customHeight="1">
      <c r="B37" s="72" t="s">
        <v>305</v>
      </c>
      <c r="C37" s="26" t="s">
        <v>293</v>
      </c>
      <c r="D37" s="73" t="s">
        <v>306</v>
      </c>
      <c r="E37" s="26" t="s">
        <v>112</v>
      </c>
      <c r="F37" s="73" t="s">
        <v>307</v>
      </c>
      <c r="G37" s="26" t="s">
        <v>170</v>
      </c>
      <c r="H37" s="60">
        <v>45832</v>
      </c>
      <c r="I37" s="69" t="s">
        <v>115</v>
      </c>
      <c r="J37" s="26" t="s">
        <v>308</v>
      </c>
      <c r="K37" s="73" t="s">
        <v>149</v>
      </c>
      <c r="L37" s="26" t="s">
        <v>208</v>
      </c>
      <c r="M37" s="74" t="s">
        <v>119</v>
      </c>
      <c r="N37" s="73" t="s">
        <v>309</v>
      </c>
      <c r="O37" s="61" t="s">
        <v>310</v>
      </c>
      <c r="P37" s="26" t="s">
        <v>311</v>
      </c>
      <c r="Q37" s="65" t="s">
        <v>123</v>
      </c>
      <c r="R37" s="46" t="s">
        <v>124</v>
      </c>
    </row>
    <row r="38" spans="1:18" ht="14.25" customHeight="1">
      <c r="B38" s="72" t="s">
        <v>312</v>
      </c>
      <c r="C38" s="26" t="s">
        <v>293</v>
      </c>
      <c r="D38" s="73" t="s">
        <v>313</v>
      </c>
      <c r="E38" s="26" t="s">
        <v>112</v>
      </c>
      <c r="F38" s="73" t="s">
        <v>314</v>
      </c>
      <c r="G38" s="26" t="s">
        <v>114</v>
      </c>
      <c r="H38" s="60">
        <v>46289</v>
      </c>
      <c r="I38" s="69" t="s">
        <v>115</v>
      </c>
      <c r="J38" s="26" t="s">
        <v>192</v>
      </c>
      <c r="K38" s="73" t="s">
        <v>149</v>
      </c>
      <c r="L38" s="26" t="s">
        <v>208</v>
      </c>
      <c r="M38" s="74" t="s">
        <v>119</v>
      </c>
      <c r="N38" s="73" t="s">
        <v>315</v>
      </c>
      <c r="O38" s="61" t="s">
        <v>316</v>
      </c>
      <c r="P38" s="26" t="s">
        <v>317</v>
      </c>
      <c r="Q38" s="65" t="s">
        <v>123</v>
      </c>
      <c r="R38" s="46" t="s">
        <v>124</v>
      </c>
    </row>
    <row r="39" spans="1:18" ht="14.25" customHeight="1">
      <c r="B39" s="72" t="s">
        <v>318</v>
      </c>
      <c r="C39" s="26" t="s">
        <v>319</v>
      </c>
      <c r="D39" s="73" t="s">
        <v>320</v>
      </c>
      <c r="E39" s="26" t="s">
        <v>112</v>
      </c>
      <c r="F39" s="73" t="s">
        <v>321</v>
      </c>
      <c r="G39" s="26" t="s">
        <v>322</v>
      </c>
      <c r="H39" s="60">
        <v>46490</v>
      </c>
      <c r="I39" s="69" t="s">
        <v>115</v>
      </c>
      <c r="J39" s="26" t="s">
        <v>116</v>
      </c>
      <c r="K39" s="73" t="s">
        <v>149</v>
      </c>
      <c r="L39" s="26" t="s">
        <v>150</v>
      </c>
      <c r="M39" s="74" t="s">
        <v>119</v>
      </c>
      <c r="N39" s="73" t="s">
        <v>323</v>
      </c>
      <c r="O39" s="61" t="s">
        <v>324</v>
      </c>
      <c r="P39" s="26" t="s">
        <v>325</v>
      </c>
      <c r="Q39" s="65" t="s">
        <v>123</v>
      </c>
      <c r="R39" s="46" t="s">
        <v>182</v>
      </c>
    </row>
    <row r="40" spans="1:18" ht="14.25" customHeight="1">
      <c r="B40" s="72" t="s">
        <v>326</v>
      </c>
      <c r="C40" s="26" t="s">
        <v>319</v>
      </c>
      <c r="D40" s="73" t="s">
        <v>327</v>
      </c>
      <c r="E40" s="26" t="s">
        <v>112</v>
      </c>
      <c r="F40" s="73" t="s">
        <v>328</v>
      </c>
      <c r="G40" s="26" t="s">
        <v>114</v>
      </c>
      <c r="H40" s="60">
        <v>46490</v>
      </c>
      <c r="I40" s="69" t="s">
        <v>115</v>
      </c>
      <c r="J40" s="26" t="s">
        <v>116</v>
      </c>
      <c r="K40" s="73" t="s">
        <v>149</v>
      </c>
      <c r="L40" s="26" t="s">
        <v>249</v>
      </c>
      <c r="M40" s="74" t="s">
        <v>119</v>
      </c>
      <c r="N40" s="73" t="s">
        <v>329</v>
      </c>
      <c r="O40" s="61" t="s">
        <v>330</v>
      </c>
      <c r="P40" s="26" t="s">
        <v>331</v>
      </c>
      <c r="Q40" s="65" t="s">
        <v>123</v>
      </c>
      <c r="R40" s="46" t="s">
        <v>182</v>
      </c>
    </row>
    <row r="41" spans="1:18" ht="14.25" customHeight="1">
      <c r="A41" s="75"/>
      <c r="B41" s="72" t="s">
        <v>332</v>
      </c>
      <c r="C41" s="26" t="s">
        <v>319</v>
      </c>
      <c r="D41" s="26" t="s">
        <v>333</v>
      </c>
      <c r="E41" s="26" t="s">
        <v>112</v>
      </c>
      <c r="F41" s="26" t="s">
        <v>334</v>
      </c>
      <c r="G41" s="73" t="s">
        <v>170</v>
      </c>
      <c r="H41" s="60">
        <v>46490</v>
      </c>
      <c r="I41" s="69" t="s">
        <v>115</v>
      </c>
      <c r="J41" s="26" t="s">
        <v>116</v>
      </c>
      <c r="K41" s="26" t="s">
        <v>149</v>
      </c>
      <c r="L41" s="26" t="s">
        <v>150</v>
      </c>
      <c r="M41" s="74" t="s">
        <v>119</v>
      </c>
      <c r="N41" s="65" t="s">
        <v>335</v>
      </c>
      <c r="O41" s="61" t="s">
        <v>336</v>
      </c>
      <c r="P41" s="26" t="s">
        <v>337</v>
      </c>
      <c r="Q41" s="26" t="s">
        <v>123</v>
      </c>
      <c r="R41" s="46" t="s">
        <v>182</v>
      </c>
    </row>
    <row r="42" spans="1:18" ht="14.25" customHeight="1">
      <c r="B42" s="72" t="s">
        <v>338</v>
      </c>
      <c r="C42" s="26" t="s">
        <v>339</v>
      </c>
      <c r="D42" s="26" t="s">
        <v>340</v>
      </c>
      <c r="E42" s="26" t="s">
        <v>112</v>
      </c>
      <c r="F42" s="26" t="s">
        <v>341</v>
      </c>
      <c r="G42" s="73" t="s">
        <v>114</v>
      </c>
      <c r="H42" s="60">
        <v>45566</v>
      </c>
      <c r="I42" s="69" t="s">
        <v>171</v>
      </c>
      <c r="J42" s="26" t="s">
        <v>172</v>
      </c>
      <c r="K42" s="26" t="s">
        <v>149</v>
      </c>
      <c r="L42" s="26" t="s">
        <v>342</v>
      </c>
      <c r="M42" s="74" t="s">
        <v>119</v>
      </c>
      <c r="N42" s="65" t="s">
        <v>343</v>
      </c>
      <c r="O42" s="61" t="s">
        <v>344</v>
      </c>
      <c r="P42" s="26" t="s">
        <v>345</v>
      </c>
      <c r="Q42" s="26" t="s">
        <v>123</v>
      </c>
      <c r="R42" s="46" t="s">
        <v>124</v>
      </c>
    </row>
    <row r="43" spans="1:18" ht="14.25" customHeight="1">
      <c r="B43" s="72" t="s">
        <v>346</v>
      </c>
      <c r="C43" s="26" t="s">
        <v>339</v>
      </c>
      <c r="D43" s="26" t="s">
        <v>347</v>
      </c>
      <c r="E43" s="26" t="s">
        <v>112</v>
      </c>
      <c r="F43" s="26" t="s">
        <v>348</v>
      </c>
      <c r="G43" s="73" t="s">
        <v>114</v>
      </c>
      <c r="H43" s="60">
        <v>45580</v>
      </c>
      <c r="I43" s="69" t="s">
        <v>171</v>
      </c>
      <c r="J43" s="26" t="s">
        <v>172</v>
      </c>
      <c r="K43" s="26" t="s">
        <v>149</v>
      </c>
      <c r="L43" s="26" t="s">
        <v>342</v>
      </c>
      <c r="M43" s="74" t="s">
        <v>119</v>
      </c>
      <c r="N43" s="65" t="s">
        <v>349</v>
      </c>
      <c r="O43" s="61" t="s">
        <v>350</v>
      </c>
      <c r="P43" s="26" t="s">
        <v>345</v>
      </c>
      <c r="Q43" s="26" t="s">
        <v>123</v>
      </c>
      <c r="R43" s="46" t="s">
        <v>124</v>
      </c>
    </row>
    <row r="44" spans="1:18" ht="14.25" customHeight="1">
      <c r="B44" s="72" t="s">
        <v>351</v>
      </c>
      <c r="C44" s="26" t="s">
        <v>339</v>
      </c>
      <c r="D44" s="76" t="s">
        <v>352</v>
      </c>
      <c r="E44" s="26" t="s">
        <v>112</v>
      </c>
      <c r="F44" s="76" t="s">
        <v>353</v>
      </c>
      <c r="G44" s="26" t="s">
        <v>114</v>
      </c>
      <c r="H44" s="60">
        <v>45597</v>
      </c>
      <c r="I44" s="26" t="s">
        <v>171</v>
      </c>
      <c r="J44" s="26" t="s">
        <v>172</v>
      </c>
      <c r="K44" s="73" t="s">
        <v>149</v>
      </c>
      <c r="L44" s="26" t="s">
        <v>342</v>
      </c>
      <c r="M44" s="77" t="s">
        <v>119</v>
      </c>
      <c r="N44" s="77" t="s">
        <v>354</v>
      </c>
      <c r="O44" s="61" t="s">
        <v>355</v>
      </c>
      <c r="P44" s="26" t="s">
        <v>345</v>
      </c>
      <c r="Q44" s="26" t="s">
        <v>123</v>
      </c>
      <c r="R44" s="46" t="s">
        <v>124</v>
      </c>
    </row>
    <row r="45" spans="1:18" ht="14.25" customHeight="1">
      <c r="B45" s="72" t="s">
        <v>356</v>
      </c>
      <c r="C45" s="26" t="s">
        <v>339</v>
      </c>
      <c r="D45" s="76" t="s">
        <v>357</v>
      </c>
      <c r="E45" s="65" t="s">
        <v>112</v>
      </c>
      <c r="F45" s="78" t="s">
        <v>358</v>
      </c>
      <c r="G45" s="26" t="s">
        <v>114</v>
      </c>
      <c r="H45" s="60">
        <v>45611</v>
      </c>
      <c r="I45" s="26" t="s">
        <v>171</v>
      </c>
      <c r="J45" s="26" t="s">
        <v>172</v>
      </c>
      <c r="K45" s="73" t="s">
        <v>149</v>
      </c>
      <c r="L45" s="26" t="s">
        <v>342</v>
      </c>
      <c r="M45" s="73" t="s">
        <v>119</v>
      </c>
      <c r="N45" s="77" t="s">
        <v>359</v>
      </c>
      <c r="O45" s="79" t="s">
        <v>360</v>
      </c>
      <c r="P45" s="26" t="s">
        <v>345</v>
      </c>
      <c r="Q45" s="26" t="s">
        <v>123</v>
      </c>
      <c r="R45" s="46" t="s">
        <v>124</v>
      </c>
    </row>
    <row r="46" spans="1:18" ht="14.25" customHeight="1">
      <c r="B46" s="23"/>
      <c r="C46" s="26"/>
      <c r="D46" s="26"/>
      <c r="E46" s="26"/>
      <c r="F46" s="26"/>
      <c r="G46" s="73"/>
      <c r="H46" s="69"/>
      <c r="I46" s="69"/>
      <c r="J46" s="26"/>
      <c r="K46" s="26"/>
      <c r="L46" s="26"/>
      <c r="M46" s="74"/>
      <c r="N46" s="65"/>
      <c r="O46" s="61"/>
      <c r="P46" s="26"/>
      <c r="Q46" s="65"/>
      <c r="R46" s="46"/>
    </row>
    <row r="47" spans="1:18" ht="14.25" customHeight="1">
      <c r="B47" s="23"/>
      <c r="C47" s="26"/>
      <c r="D47" s="26"/>
      <c r="E47" s="26"/>
      <c r="F47" s="26"/>
      <c r="G47" s="73"/>
      <c r="H47" s="26"/>
      <c r="I47" s="69"/>
      <c r="J47" s="26"/>
      <c r="K47" s="26"/>
      <c r="L47" s="26"/>
      <c r="M47" s="74"/>
      <c r="N47" s="65"/>
      <c r="O47" s="26"/>
      <c r="P47" s="26"/>
      <c r="Q47" s="26"/>
      <c r="R47" s="46"/>
    </row>
    <row r="48" spans="1:18" ht="14.25" customHeight="1">
      <c r="B48" s="23"/>
      <c r="C48" s="26"/>
      <c r="D48" s="26"/>
      <c r="E48" s="26"/>
      <c r="F48" s="26"/>
      <c r="G48" s="26"/>
      <c r="H48" s="69"/>
      <c r="I48" s="69"/>
      <c r="J48" s="26"/>
      <c r="K48" s="26"/>
      <c r="L48" s="26"/>
      <c r="M48" s="68"/>
      <c r="N48" s="26"/>
      <c r="O48" s="26"/>
      <c r="P48" s="26"/>
      <c r="Q48" s="65"/>
      <c r="R48" s="46"/>
    </row>
    <row r="49" spans="1:18" ht="14.25" customHeight="1">
      <c r="B49" s="23"/>
      <c r="C49" s="26"/>
      <c r="D49" s="26"/>
      <c r="E49" s="26"/>
      <c r="F49" s="26"/>
      <c r="G49" s="73"/>
      <c r="H49" s="69"/>
      <c r="I49" s="69"/>
      <c r="J49" s="26"/>
      <c r="K49" s="26"/>
      <c r="L49" s="26"/>
      <c r="M49" s="74"/>
      <c r="N49" s="65"/>
      <c r="O49" s="61"/>
      <c r="P49" s="26"/>
      <c r="Q49" s="26"/>
      <c r="R49" s="46"/>
    </row>
    <row r="50" spans="1:18" ht="14.25" customHeight="1">
      <c r="B50" s="23"/>
      <c r="C50" s="26"/>
      <c r="D50" s="26"/>
      <c r="E50" s="26"/>
      <c r="F50" s="26"/>
      <c r="G50" s="26"/>
      <c r="H50" s="69"/>
      <c r="I50" s="69"/>
      <c r="J50" s="26"/>
      <c r="K50" s="26"/>
      <c r="L50" s="26"/>
      <c r="M50" s="74"/>
      <c r="N50" s="80"/>
      <c r="O50" s="81"/>
      <c r="P50" s="82"/>
      <c r="Q50" s="26"/>
      <c r="R50" s="46"/>
    </row>
    <row r="51" spans="1:18" ht="14.25" customHeight="1">
      <c r="B51" s="23"/>
      <c r="C51" s="26"/>
      <c r="D51" s="26"/>
      <c r="E51" s="26"/>
      <c r="F51" s="26"/>
      <c r="G51" s="26"/>
      <c r="H51" s="69"/>
      <c r="I51" s="69"/>
      <c r="J51" s="26"/>
      <c r="K51" s="26"/>
      <c r="L51" s="26"/>
      <c r="M51" s="74"/>
      <c r="N51" s="65"/>
      <c r="O51" s="61"/>
      <c r="P51" s="26"/>
      <c r="Q51" s="26"/>
      <c r="R51" s="46"/>
    </row>
    <row r="52" spans="1:18" ht="14.25" customHeight="1">
      <c r="B52" s="23"/>
      <c r="C52" s="26"/>
      <c r="D52" s="73"/>
      <c r="E52" s="26"/>
      <c r="F52" s="73"/>
      <c r="G52" s="26"/>
      <c r="H52" s="69"/>
      <c r="I52" s="69"/>
      <c r="J52" s="26"/>
      <c r="K52" s="73"/>
      <c r="L52" s="26"/>
      <c r="M52" s="74"/>
      <c r="N52" s="77"/>
      <c r="O52" s="61"/>
      <c r="P52" s="26"/>
      <c r="Q52" s="65"/>
      <c r="R52" s="46"/>
    </row>
    <row r="53" spans="1:18" ht="14.25" customHeight="1">
      <c r="B53" s="23"/>
      <c r="C53" s="26"/>
      <c r="D53" s="26"/>
      <c r="E53" s="26"/>
      <c r="F53" s="26"/>
      <c r="G53" s="73"/>
      <c r="H53" s="69"/>
      <c r="I53" s="69"/>
      <c r="J53" s="73"/>
      <c r="K53" s="26"/>
      <c r="L53" s="26"/>
      <c r="M53" s="74"/>
      <c r="N53" s="65"/>
      <c r="O53" s="26"/>
      <c r="P53" s="26"/>
      <c r="Q53" s="26"/>
      <c r="R53" s="46"/>
    </row>
    <row r="54" spans="1:18" ht="14.25" customHeight="1">
      <c r="B54" s="23"/>
      <c r="C54" s="26"/>
      <c r="D54" s="73"/>
      <c r="E54" s="26"/>
      <c r="F54" s="73"/>
      <c r="G54" s="26"/>
      <c r="H54" s="69"/>
      <c r="I54" s="69"/>
      <c r="J54" s="26"/>
      <c r="K54" s="73"/>
      <c r="L54" s="26"/>
      <c r="M54" s="74"/>
      <c r="N54" s="77"/>
      <c r="O54" s="61"/>
      <c r="P54" s="26"/>
      <c r="Q54" s="65"/>
      <c r="R54" s="46"/>
    </row>
    <row r="55" spans="1:18" ht="14.25" customHeight="1">
      <c r="B55" s="23"/>
      <c r="C55" s="26"/>
      <c r="D55" s="73"/>
      <c r="E55" s="26"/>
      <c r="F55" s="73"/>
      <c r="G55" s="26"/>
      <c r="H55" s="26"/>
      <c r="I55" s="26"/>
      <c r="J55" s="26"/>
      <c r="K55" s="73"/>
      <c r="L55" s="26"/>
      <c r="M55" s="77"/>
      <c r="N55" s="77"/>
      <c r="O55" s="61"/>
      <c r="P55" s="26"/>
      <c r="Q55" s="26"/>
      <c r="R55" s="46"/>
    </row>
    <row r="56" spans="1:18" ht="14.25" customHeight="1">
      <c r="B56" s="23"/>
      <c r="C56" s="26"/>
      <c r="D56" s="83"/>
      <c r="E56" s="26"/>
      <c r="F56" s="76"/>
      <c r="G56" s="26"/>
      <c r="H56" s="26"/>
      <c r="I56" s="26"/>
      <c r="J56" s="26"/>
      <c r="K56" s="73"/>
      <c r="L56" s="26"/>
      <c r="M56" s="77"/>
      <c r="N56" s="77"/>
      <c r="O56" s="61"/>
      <c r="P56" s="26"/>
      <c r="Q56" s="26"/>
      <c r="R56" s="46"/>
    </row>
    <row r="57" spans="1:18" ht="14.25" customHeight="1">
      <c r="B57" s="23"/>
      <c r="C57" s="26"/>
      <c r="D57" s="83"/>
      <c r="E57" s="80"/>
      <c r="F57" s="84"/>
      <c r="G57" s="82"/>
      <c r="H57" s="82"/>
      <c r="I57" s="82"/>
      <c r="J57" s="82"/>
      <c r="K57" s="85"/>
      <c r="L57" s="82"/>
      <c r="M57" s="77"/>
      <c r="N57" s="77"/>
      <c r="O57" s="61"/>
      <c r="P57" s="26"/>
      <c r="Q57" s="26"/>
      <c r="R57" s="46"/>
    </row>
    <row r="58" spans="1:18" ht="14.25" customHeight="1">
      <c r="B58" s="23"/>
      <c r="C58" s="26"/>
      <c r="D58" s="83"/>
      <c r="E58" s="80"/>
      <c r="F58" s="84"/>
      <c r="G58" s="82"/>
      <c r="H58" s="82"/>
      <c r="I58" s="82"/>
      <c r="J58" s="82"/>
      <c r="K58" s="85"/>
      <c r="L58" s="82"/>
      <c r="M58" s="77"/>
      <c r="N58" s="77"/>
      <c r="O58" s="61"/>
      <c r="P58" s="26"/>
      <c r="Q58" s="26"/>
      <c r="R58" s="46"/>
    </row>
    <row r="59" spans="1:18" ht="14.25" customHeight="1">
      <c r="B59" s="23"/>
      <c r="C59" s="26"/>
      <c r="D59" s="76"/>
      <c r="E59" s="80"/>
      <c r="F59" s="84"/>
      <c r="G59" s="82"/>
      <c r="H59" s="82"/>
      <c r="I59" s="82"/>
      <c r="J59" s="82"/>
      <c r="K59" s="85"/>
      <c r="L59" s="82"/>
      <c r="M59" s="77"/>
      <c r="N59" s="77"/>
      <c r="O59" s="61"/>
      <c r="P59" s="26"/>
      <c r="Q59" s="26"/>
      <c r="R59" s="46"/>
    </row>
    <row r="60" spans="1:18" ht="14.25" customHeight="1">
      <c r="B60" s="23"/>
      <c r="C60" s="82"/>
      <c r="D60" s="86"/>
      <c r="E60" s="80"/>
      <c r="F60" s="84"/>
      <c r="G60" s="82"/>
      <c r="H60" s="82"/>
      <c r="I60" s="82"/>
      <c r="J60" s="82"/>
      <c r="K60" s="85"/>
      <c r="L60" s="82"/>
      <c r="M60" s="77"/>
      <c r="N60" s="77"/>
      <c r="O60" s="61"/>
      <c r="P60" s="26"/>
      <c r="Q60" s="26"/>
      <c r="R60" s="46"/>
    </row>
    <row r="61" spans="1:18" ht="14.25" customHeight="1">
      <c r="A61" s="75"/>
      <c r="B61" s="23"/>
      <c r="C61" s="82"/>
      <c r="D61" s="84"/>
      <c r="E61" s="80"/>
      <c r="F61" s="87"/>
      <c r="G61" s="82"/>
      <c r="H61" s="82"/>
      <c r="I61" s="82"/>
      <c r="J61" s="82"/>
      <c r="K61" s="85"/>
      <c r="L61" s="82"/>
      <c r="M61" s="73"/>
      <c r="N61" s="77"/>
      <c r="O61" s="76"/>
      <c r="P61" s="26"/>
      <c r="Q61" s="26"/>
      <c r="R61" s="46"/>
    </row>
    <row r="62" spans="1:18" ht="14.25" customHeight="1">
      <c r="A62" s="75"/>
      <c r="B62" s="23"/>
      <c r="C62" s="82"/>
      <c r="D62" s="76"/>
      <c r="E62" s="65"/>
      <c r="F62" s="78"/>
      <c r="G62" s="26"/>
      <c r="H62" s="26"/>
      <c r="I62" s="26"/>
      <c r="J62" s="26"/>
      <c r="K62" s="73"/>
      <c r="L62" s="26"/>
      <c r="M62" s="73"/>
      <c r="N62" s="77"/>
      <c r="O62" s="61"/>
      <c r="P62" s="26"/>
      <c r="Q62" s="26"/>
      <c r="R62" s="46"/>
    </row>
    <row r="63" spans="1:18" ht="14.25" customHeight="1">
      <c r="A63" s="75"/>
      <c r="B63" s="23"/>
      <c r="C63" s="82"/>
      <c r="D63" s="76"/>
      <c r="E63" s="65"/>
      <c r="F63" s="78"/>
      <c r="G63" s="26"/>
      <c r="H63" s="26"/>
      <c r="I63" s="26"/>
      <c r="J63" s="26"/>
      <c r="K63" s="73"/>
      <c r="L63" s="26"/>
      <c r="M63" s="73"/>
      <c r="N63" s="77"/>
      <c r="O63" s="61"/>
      <c r="P63" s="26"/>
      <c r="Q63" s="26"/>
      <c r="R63" s="46"/>
    </row>
    <row r="64" spans="1:18" ht="14.25" customHeight="1">
      <c r="A64" s="75"/>
      <c r="B64" s="23"/>
      <c r="C64" s="82"/>
      <c r="D64" s="76"/>
      <c r="E64" s="65"/>
      <c r="F64" s="78"/>
      <c r="G64" s="26"/>
      <c r="H64" s="26"/>
      <c r="I64" s="26"/>
      <c r="J64" s="26"/>
      <c r="K64" s="73"/>
      <c r="L64" s="26"/>
      <c r="M64" s="73"/>
      <c r="N64" s="77"/>
      <c r="O64" s="61"/>
      <c r="P64" s="26"/>
      <c r="Q64" s="26"/>
      <c r="R64" s="46"/>
    </row>
    <row r="65" spans="2:18" ht="14.25" customHeight="1">
      <c r="B65" s="23"/>
      <c r="C65" s="82"/>
      <c r="D65" s="76"/>
      <c r="E65" s="65"/>
      <c r="F65" s="78"/>
      <c r="G65" s="26"/>
      <c r="H65" s="26"/>
      <c r="I65" s="26"/>
      <c r="J65" s="26"/>
      <c r="K65" s="73"/>
      <c r="L65" s="26"/>
      <c r="M65" s="73"/>
      <c r="N65" s="77"/>
      <c r="O65" s="61"/>
      <c r="P65" s="26"/>
      <c r="Q65" s="26"/>
      <c r="R65" s="46"/>
    </row>
    <row r="66" spans="2:18" ht="14.25" customHeight="1">
      <c r="B66" s="23"/>
      <c r="C66" s="26"/>
      <c r="D66" s="76"/>
      <c r="E66" s="65"/>
      <c r="F66" s="78"/>
      <c r="G66" s="26"/>
      <c r="H66" s="26"/>
      <c r="I66" s="26"/>
      <c r="J66" s="26"/>
      <c r="K66" s="73"/>
      <c r="L66" s="26"/>
      <c r="M66" s="73"/>
      <c r="N66" s="77"/>
      <c r="O66" s="61"/>
      <c r="P66" s="26"/>
      <c r="Q66" s="26"/>
      <c r="R66" s="46"/>
    </row>
    <row r="67" spans="2:18" ht="14.25" customHeight="1">
      <c r="B67" s="23"/>
      <c r="C67" s="26"/>
      <c r="D67" s="76"/>
      <c r="E67" s="65"/>
      <c r="F67" s="78"/>
      <c r="G67" s="26"/>
      <c r="H67" s="26"/>
      <c r="I67" s="26"/>
      <c r="J67" s="26"/>
      <c r="K67" s="73"/>
      <c r="L67" s="26"/>
      <c r="M67" s="73"/>
      <c r="N67" s="77"/>
      <c r="O67" s="61"/>
      <c r="P67" s="26"/>
      <c r="Q67" s="26"/>
      <c r="R67" s="46"/>
    </row>
    <row r="68" spans="2:18" ht="14.25" customHeight="1">
      <c r="B68" s="23"/>
      <c r="C68" s="26"/>
      <c r="D68" s="76"/>
      <c r="E68" s="65"/>
      <c r="F68" s="78"/>
      <c r="G68" s="26"/>
      <c r="H68" s="26"/>
      <c r="I68" s="26"/>
      <c r="J68" s="26"/>
      <c r="K68" s="73"/>
      <c r="L68" s="26"/>
      <c r="M68" s="73"/>
      <c r="N68" s="77"/>
      <c r="O68" s="61"/>
      <c r="P68" s="26"/>
      <c r="Q68" s="26"/>
      <c r="R68" s="46"/>
    </row>
    <row r="69" spans="2:18" ht="14.25" customHeight="1">
      <c r="B69" s="23"/>
      <c r="E69" s="65"/>
      <c r="F69" s="78"/>
      <c r="G69" s="26"/>
      <c r="H69" s="26"/>
      <c r="I69" s="26"/>
      <c r="J69" s="26"/>
      <c r="K69" s="73"/>
      <c r="L69" s="26"/>
      <c r="M69" s="73"/>
      <c r="N69" s="77"/>
      <c r="O69" s="88"/>
      <c r="P69" s="26"/>
      <c r="Q69" s="26"/>
      <c r="R69" s="46"/>
    </row>
    <row r="70" spans="2:18" ht="14.25" customHeight="1">
      <c r="B70" s="23"/>
      <c r="C70" s="26"/>
      <c r="D70" s="83"/>
      <c r="E70" s="65"/>
      <c r="F70" s="76"/>
      <c r="G70" s="26"/>
      <c r="H70" s="26"/>
      <c r="I70" s="26"/>
      <c r="J70" s="26"/>
      <c r="K70" s="76"/>
      <c r="L70" s="26"/>
      <c r="M70" s="26"/>
      <c r="N70" s="77"/>
      <c r="O70" s="61"/>
      <c r="P70" s="26"/>
      <c r="Q70" s="26"/>
      <c r="R70" s="46"/>
    </row>
    <row r="71" spans="2:18" ht="14.25" customHeight="1">
      <c r="B71" s="23"/>
      <c r="C71" s="26"/>
      <c r="D71" s="76"/>
      <c r="E71" s="65"/>
      <c r="F71" s="76"/>
      <c r="G71" s="26"/>
      <c r="H71" s="26"/>
      <c r="I71" s="26"/>
      <c r="J71" s="26"/>
      <c r="K71" s="76"/>
      <c r="L71" s="26"/>
      <c r="M71" s="26"/>
      <c r="N71" s="77"/>
      <c r="O71" s="61"/>
      <c r="P71" s="26"/>
      <c r="Q71" s="26"/>
      <c r="R71" s="46"/>
    </row>
    <row r="72" spans="2:18" ht="14.25" customHeight="1">
      <c r="B72" s="23"/>
      <c r="C72" s="26"/>
      <c r="D72" s="76"/>
      <c r="E72" s="65"/>
      <c r="F72" s="76"/>
      <c r="G72" s="26"/>
      <c r="H72" s="26"/>
      <c r="I72" s="26"/>
      <c r="J72" s="26"/>
      <c r="K72" s="76"/>
      <c r="L72" s="26"/>
      <c r="M72" s="26"/>
      <c r="N72" s="77"/>
      <c r="O72" s="61"/>
      <c r="P72" s="26"/>
      <c r="Q72" s="26"/>
      <c r="R72" s="46"/>
    </row>
    <row r="73" spans="2:18" ht="14.25" customHeight="1">
      <c r="B73" s="23"/>
      <c r="C73" s="26"/>
      <c r="D73" s="76"/>
      <c r="E73" s="65"/>
      <c r="F73" s="76"/>
      <c r="G73" s="26"/>
      <c r="H73" s="26"/>
      <c r="I73" s="26"/>
      <c r="J73" s="26"/>
      <c r="K73" s="76"/>
      <c r="L73" s="26"/>
      <c r="M73" s="26"/>
      <c r="N73" s="77"/>
      <c r="O73" s="61"/>
      <c r="P73" s="26"/>
      <c r="Q73" s="26"/>
      <c r="R73" s="46"/>
    </row>
    <row r="74" spans="2:18" ht="14.25" customHeight="1">
      <c r="B74" s="23"/>
      <c r="C74" s="26"/>
      <c r="D74" s="26"/>
      <c r="E74" s="65"/>
      <c r="F74" s="26"/>
      <c r="G74" s="26"/>
      <c r="H74" s="26"/>
      <c r="I74" s="26"/>
      <c r="J74" s="26"/>
      <c r="K74" s="26"/>
      <c r="L74" s="26"/>
      <c r="M74" s="26"/>
      <c r="N74" s="26"/>
      <c r="O74" s="26"/>
      <c r="P74" s="26"/>
      <c r="Q74" s="26"/>
      <c r="R74" s="46"/>
    </row>
    <row r="119" ht="14.25" customHeight="1"/>
  </sheetData>
  <mergeCells count="1">
    <mergeCell ref="A1:B1"/>
  </mergeCells>
  <conditionalFormatting sqref="A3:B6">
    <cfRule type="expression" dxfId="216" priority="2">
      <formula>IF($A3="Subsystem", 1, 0)</formula>
    </cfRule>
    <cfRule type="expression" dxfId="215" priority="3">
      <formula>IF($A3="Assembly", 1, 0)</formula>
    </cfRule>
    <cfRule type="expression" dxfId="214" priority="4">
      <formula>IF($A3="System", 1, 0)</formula>
    </cfRule>
    <cfRule type="expression" dxfId="213" priority="5">
      <formula>IF($A3="SoS", 1, 0)</formula>
    </cfRule>
    <cfRule type="expression" dxfId="212" priority="6">
      <formula>IF($A3="Segment", 1, 0)</formula>
    </cfRule>
    <cfRule type="expression" dxfId="211" priority="7">
      <formula>IF($A3="SEITPM", 1, 0)</formula>
    </cfRule>
  </conditionalFormatting>
  <conditionalFormatting sqref="C4:C5">
    <cfRule type="expression" dxfId="210" priority="8">
      <formula>IF(#REF!="Subsystem", 1, 0)</formula>
    </cfRule>
    <cfRule type="expression" dxfId="209" priority="9">
      <formula>IF(#REF!="Assembly", 1, 0)</formula>
    </cfRule>
    <cfRule type="expression" dxfId="208" priority="10">
      <formula>IF(#REF!="System", 1, 0)</formula>
    </cfRule>
    <cfRule type="expression" dxfId="207" priority="11">
      <formula>IF(#REF!="SoS", 1, 0)</formula>
    </cfRule>
    <cfRule type="expression" dxfId="206" priority="12">
      <formula>IF(#REF!="Segment", 1, 0)</formula>
    </cfRule>
    <cfRule type="expression" dxfId="205" priority="13">
      <formula>IF(#REF!="SEITPM", 1, 0)</formula>
    </cfRule>
  </conditionalFormatting>
  <hyperlinks>
    <hyperlink ref="A1" location="'Table of contents'!A1" display="` Table of Contents" xr:uid="{00000000-0004-0000-0300-000000000000}"/>
    <hyperlink ref="O10" r:id="rId1" xr:uid="{00000000-0004-0000-0300-000001000000}"/>
    <hyperlink ref="O12" r:id="rId2" xr:uid="{00000000-0004-0000-0300-000002000000}"/>
    <hyperlink ref="O13" r:id="rId3" xr:uid="{00000000-0004-0000-0300-000003000000}"/>
    <hyperlink ref="O14" r:id="rId4" xr:uid="{00000000-0004-0000-0300-000004000000}"/>
    <hyperlink ref="O44" r:id="rId5" xr:uid="{00000000-0004-0000-0300-000005000000}"/>
    <hyperlink ref="O45" r:id="rId6" xr:uid="{00000000-0004-0000-0300-000006000000}"/>
  </hyperlink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1"/>
  <sheetViews>
    <sheetView zoomScale="91" zoomScaleNormal="91" workbookViewId="0">
      <selection activeCell="C41" sqref="C41"/>
    </sheetView>
  </sheetViews>
  <sheetFormatPr defaultColWidth="0" defaultRowHeight="15" zeroHeight="1"/>
  <cols>
    <col min="1" max="1" width="13.5703125" customWidth="1"/>
    <col min="2" max="2" width="15.5703125" customWidth="1"/>
    <col min="3" max="3" width="16.5703125" customWidth="1"/>
    <col min="4" max="4" width="11.140625" customWidth="1"/>
    <col min="5" max="5" width="13.7109375" customWidth="1"/>
    <col min="6" max="6" width="27.140625" customWidth="1"/>
    <col min="7" max="7" width="16" customWidth="1"/>
    <col min="8" max="8" width="24.5703125" customWidth="1"/>
    <col min="9" max="9" width="27.140625" customWidth="1"/>
    <col min="10" max="10" width="13.140625" customWidth="1"/>
    <col min="11" max="16" width="13" hidden="1" customWidth="1"/>
    <col min="17" max="16384" width="9.140625" hidden="1"/>
  </cols>
  <sheetData>
    <row r="1" spans="1:19" ht="14.25" customHeight="1">
      <c r="A1" s="4" t="s">
        <v>56</v>
      </c>
      <c r="B1" s="4"/>
    </row>
    <row r="3" spans="1:19" ht="30.75" customHeight="1">
      <c r="A3" s="18" t="s">
        <v>361</v>
      </c>
      <c r="B3" s="44"/>
      <c r="C3" s="20"/>
      <c r="D3" s="20"/>
      <c r="E3" s="20"/>
      <c r="F3" s="20"/>
      <c r="G3" s="20"/>
      <c r="H3" s="20"/>
      <c r="I3" s="20"/>
      <c r="J3" s="20"/>
      <c r="K3" s="20"/>
      <c r="L3" s="20"/>
      <c r="M3" s="45"/>
      <c r="N3" s="45"/>
      <c r="O3" s="45"/>
      <c r="P3" s="45"/>
      <c r="Q3" s="45"/>
      <c r="R3" s="45"/>
      <c r="S3" s="45"/>
    </row>
    <row r="4" spans="1:19" ht="14.25" customHeight="1">
      <c r="A4" t="s">
        <v>362</v>
      </c>
      <c r="B4" s="40" t="s">
        <v>16</v>
      </c>
    </row>
    <row r="5" spans="1:19" ht="14.25" customHeight="1">
      <c r="B5" t="s">
        <v>363</v>
      </c>
    </row>
    <row r="8" spans="1:19" ht="14.25" customHeight="1">
      <c r="A8" t="s">
        <v>364</v>
      </c>
    </row>
    <row r="9" spans="1:19" ht="14.25" customHeight="1">
      <c r="A9" s="53" t="s">
        <v>365</v>
      </c>
      <c r="B9" s="53" t="s">
        <v>366</v>
      </c>
      <c r="C9" s="53" t="s">
        <v>367</v>
      </c>
      <c r="D9" s="53" t="s">
        <v>368</v>
      </c>
      <c r="E9" s="53" t="s">
        <v>369</v>
      </c>
      <c r="F9" s="53" t="s">
        <v>370</v>
      </c>
      <c r="G9" s="53" t="s">
        <v>371</v>
      </c>
      <c r="H9" s="53" t="s">
        <v>372</v>
      </c>
      <c r="I9" s="53" t="s">
        <v>373</v>
      </c>
    </row>
    <row r="10" spans="1:19" ht="64.5" customHeight="1">
      <c r="A10" s="2" t="s">
        <v>374</v>
      </c>
      <c r="B10" s="1" t="s">
        <v>375</v>
      </c>
      <c r="C10" s="1" t="s">
        <v>376</v>
      </c>
      <c r="D10" s="91">
        <v>1</v>
      </c>
      <c r="E10" s="92" t="s">
        <v>377</v>
      </c>
      <c r="F10" s="92" t="s">
        <v>378</v>
      </c>
      <c r="G10" s="92" t="s">
        <v>379</v>
      </c>
      <c r="H10" s="92"/>
      <c r="I10" s="26" t="s">
        <v>380</v>
      </c>
    </row>
    <row r="11" spans="1:19" ht="57.75" customHeight="1">
      <c r="A11" s="2"/>
      <c r="B11" s="2"/>
      <c r="C11" s="2"/>
      <c r="D11" s="91">
        <v>2</v>
      </c>
      <c r="E11" s="92" t="s">
        <v>381</v>
      </c>
      <c r="F11" s="92" t="s">
        <v>382</v>
      </c>
      <c r="G11" s="92" t="s">
        <v>383</v>
      </c>
      <c r="H11" s="92"/>
      <c r="I11" s="26" t="s">
        <v>384</v>
      </c>
    </row>
    <row r="12" spans="1:19" ht="101.25" customHeight="1">
      <c r="A12" s="2"/>
      <c r="B12" s="2"/>
      <c r="C12" s="2"/>
      <c r="D12" s="91">
        <v>3</v>
      </c>
      <c r="E12" s="92" t="s">
        <v>385</v>
      </c>
      <c r="F12" s="92" t="s">
        <v>386</v>
      </c>
      <c r="G12" s="92" t="s">
        <v>387</v>
      </c>
      <c r="H12" s="92"/>
      <c r="I12" s="92" t="s">
        <v>388</v>
      </c>
    </row>
    <row r="13" spans="1:19" ht="28.5" hidden="1" customHeight="1">
      <c r="A13" s="2"/>
      <c r="B13" s="2"/>
      <c r="C13" s="2"/>
      <c r="D13" s="353"/>
      <c r="E13" s="354"/>
      <c r="F13" s="92" t="s">
        <v>389</v>
      </c>
      <c r="G13" s="92" t="s">
        <v>390</v>
      </c>
      <c r="H13" s="92" t="s">
        <v>391</v>
      </c>
      <c r="I13" s="92"/>
    </row>
    <row r="14" spans="1:19" ht="14.25" hidden="1" customHeight="1">
      <c r="A14" s="2"/>
      <c r="B14" s="2"/>
      <c r="C14" s="2"/>
      <c r="D14" s="353"/>
      <c r="E14" s="354"/>
      <c r="F14" s="92"/>
      <c r="G14" s="92" t="s">
        <v>392</v>
      </c>
      <c r="H14" s="92" t="s">
        <v>393</v>
      </c>
      <c r="I14" s="92"/>
    </row>
    <row r="15" spans="1:19" ht="28.5" hidden="1" customHeight="1">
      <c r="A15" s="2"/>
      <c r="B15" s="2"/>
      <c r="C15" s="2"/>
      <c r="D15" s="353"/>
      <c r="E15" s="354"/>
      <c r="F15" s="92"/>
      <c r="G15" s="92" t="s">
        <v>394</v>
      </c>
      <c r="H15" s="92" t="s">
        <v>395</v>
      </c>
      <c r="I15" s="92"/>
    </row>
    <row r="16" spans="1:19" ht="14.25" hidden="1" customHeight="1">
      <c r="A16" s="2"/>
      <c r="B16" s="2"/>
      <c r="C16" s="2"/>
      <c r="D16" s="353"/>
      <c r="E16" s="354"/>
      <c r="F16" s="92"/>
      <c r="G16" s="92" t="s">
        <v>396</v>
      </c>
      <c r="H16" s="92" t="s">
        <v>397</v>
      </c>
      <c r="I16" s="92"/>
    </row>
    <row r="17" spans="1:9" ht="28.5" hidden="1" customHeight="1">
      <c r="A17" s="2"/>
      <c r="B17" s="2"/>
      <c r="C17" s="2"/>
      <c r="D17" s="353"/>
      <c r="E17" s="354"/>
      <c r="F17" s="92"/>
      <c r="G17" s="94" t="s">
        <v>398</v>
      </c>
      <c r="H17" s="92" t="s">
        <v>399</v>
      </c>
      <c r="I17" s="95"/>
    </row>
    <row r="18" spans="1:9" ht="14.25" hidden="1" customHeight="1">
      <c r="A18" s="89"/>
      <c r="B18" s="90"/>
      <c r="C18" s="26" t="s">
        <v>400</v>
      </c>
      <c r="D18" s="96">
        <v>1</v>
      </c>
      <c r="E18" t="s">
        <v>401</v>
      </c>
      <c r="F18" t="s">
        <v>402</v>
      </c>
      <c r="G18" t="s">
        <v>403</v>
      </c>
      <c r="H18" s="97"/>
      <c r="I18" s="98"/>
    </row>
    <row r="19" spans="1:9" ht="14.25" hidden="1" customHeight="1">
      <c r="A19" s="26"/>
      <c r="B19" s="26"/>
      <c r="C19" s="26"/>
      <c r="D19" s="99">
        <v>2</v>
      </c>
      <c r="E19" t="s">
        <v>404</v>
      </c>
      <c r="F19" t="s">
        <v>405</v>
      </c>
      <c r="G19" t="s">
        <v>406</v>
      </c>
    </row>
    <row r="20" spans="1:9" ht="14.25" hidden="1" customHeight="1">
      <c r="A20" s="26"/>
      <c r="B20" s="26"/>
      <c r="C20" s="26"/>
      <c r="H20" t="s">
        <v>407</v>
      </c>
      <c r="I20" t="s">
        <v>403</v>
      </c>
    </row>
    <row r="21" spans="1:9" ht="14.25" hidden="1" customHeight="1">
      <c r="A21" s="26"/>
      <c r="B21" s="26"/>
      <c r="C21" s="26"/>
      <c r="H21" t="s">
        <v>408</v>
      </c>
      <c r="I21" t="s">
        <v>406</v>
      </c>
    </row>
    <row r="22" spans="1:9" ht="54.75" customHeight="1">
      <c r="A22" s="89" t="s">
        <v>374</v>
      </c>
      <c r="B22" s="90" t="s">
        <v>409</v>
      </c>
      <c r="C22" s="90" t="s">
        <v>410</v>
      </c>
      <c r="D22" s="91">
        <v>1</v>
      </c>
      <c r="E22" s="92" t="s">
        <v>411</v>
      </c>
      <c r="F22" s="92" t="s">
        <v>412</v>
      </c>
      <c r="G22" s="92" t="s">
        <v>413</v>
      </c>
      <c r="H22" s="92"/>
      <c r="I22" s="26" t="s">
        <v>414</v>
      </c>
    </row>
    <row r="23" spans="1:9" ht="54.75" customHeight="1">
      <c r="A23" s="89"/>
      <c r="B23" s="90"/>
      <c r="C23" s="90"/>
      <c r="D23" s="91">
        <v>2</v>
      </c>
      <c r="E23" s="92" t="s">
        <v>415</v>
      </c>
      <c r="F23" s="92" t="s">
        <v>416</v>
      </c>
      <c r="G23" s="92" t="s">
        <v>417</v>
      </c>
      <c r="H23" s="92"/>
      <c r="I23" s="26" t="s">
        <v>418</v>
      </c>
    </row>
    <row r="24" spans="1:9" ht="135.75" customHeight="1">
      <c r="A24" s="89"/>
      <c r="B24" s="90"/>
      <c r="C24" s="90"/>
      <c r="D24" s="91">
        <v>3</v>
      </c>
      <c r="E24" s="92" t="s">
        <v>419</v>
      </c>
      <c r="F24" s="92" t="s">
        <v>420</v>
      </c>
      <c r="G24" s="92" t="s">
        <v>421</v>
      </c>
      <c r="H24" s="92"/>
      <c r="I24" s="26" t="s">
        <v>422</v>
      </c>
    </row>
    <row r="25" spans="1:9" ht="14.25" hidden="1" customHeight="1">
      <c r="A25" s="26"/>
      <c r="B25" s="26"/>
      <c r="C25" s="26"/>
    </row>
    <row r="26" spans="1:9" ht="14.25" hidden="1" customHeight="1">
      <c r="A26" s="26"/>
      <c r="B26" s="26"/>
      <c r="C26" s="26"/>
    </row>
    <row r="27" spans="1:9" ht="14.25" hidden="1" customHeight="1">
      <c r="A27" s="26"/>
      <c r="B27" s="26"/>
      <c r="C27" s="26"/>
    </row>
    <row r="28" spans="1:9" ht="14.25" hidden="1" customHeight="1">
      <c r="A28" s="26"/>
      <c r="B28" s="26"/>
      <c r="C28" s="26"/>
    </row>
    <row r="29" spans="1:9" ht="14.25" hidden="1" customHeight="1">
      <c r="A29" s="26"/>
      <c r="B29" s="26"/>
      <c r="C29" s="26"/>
    </row>
    <row r="30" spans="1:9" ht="14.25" hidden="1" customHeight="1">
      <c r="A30" s="26"/>
      <c r="B30" s="26"/>
      <c r="C30" s="26"/>
    </row>
    <row r="31" spans="1:9" ht="14.25" hidden="1" customHeight="1">
      <c r="A31" s="26"/>
      <c r="B31" s="26"/>
      <c r="C31" s="26"/>
    </row>
    <row r="32" spans="1:9" ht="14.25" hidden="1" customHeight="1">
      <c r="A32" s="63"/>
      <c r="B32" s="63"/>
      <c r="C32" s="63"/>
    </row>
    <row r="33" spans="1:9" ht="28.5" customHeight="1">
      <c r="A33" s="100"/>
      <c r="B33" s="101"/>
      <c r="C33" s="102" t="s">
        <v>423</v>
      </c>
      <c r="D33" s="93">
        <v>1</v>
      </c>
      <c r="E33" s="92" t="s">
        <v>401</v>
      </c>
      <c r="F33" s="92" t="s">
        <v>402</v>
      </c>
      <c r="G33" s="92" t="s">
        <v>403</v>
      </c>
      <c r="H33" s="92"/>
      <c r="I33" s="26" t="s">
        <v>380</v>
      </c>
    </row>
    <row r="34" spans="1:9" ht="28.5" customHeight="1">
      <c r="A34" s="80"/>
      <c r="B34" s="82"/>
      <c r="C34" s="103"/>
      <c r="D34" s="104">
        <v>2</v>
      </c>
      <c r="E34" s="92" t="s">
        <v>404</v>
      </c>
      <c r="F34" s="92" t="s">
        <v>405</v>
      </c>
      <c r="G34" s="92" t="s">
        <v>406</v>
      </c>
      <c r="H34" s="92"/>
      <c r="I34" s="26" t="s">
        <v>424</v>
      </c>
    </row>
    <row r="48" spans="1:9" ht="15" hidden="1" customHeight="1"/>
    <row r="49" ht="15" hidden="1" customHeight="1"/>
    <row r="50" ht="15" hidden="1" customHeight="1"/>
    <row r="51" ht="15" hidden="1" customHeight="1"/>
  </sheetData>
  <mergeCells count="6">
    <mergeCell ref="E13:E17"/>
    <mergeCell ref="A1:B1"/>
    <mergeCell ref="A10:A17"/>
    <mergeCell ref="B10:B17"/>
    <mergeCell ref="C10:C17"/>
    <mergeCell ref="D13:D17"/>
  </mergeCells>
  <conditionalFormatting sqref="A3:S3">
    <cfRule type="expression" dxfId="204" priority="2">
      <formula>IF($B3="Subsystem", 1, 0)</formula>
    </cfRule>
    <cfRule type="expression" dxfId="203" priority="3">
      <formula>IF($B3="Assembly", 1, 0)</formula>
    </cfRule>
    <cfRule type="expression" dxfId="202" priority="4">
      <formula>IF($B3="System", 1, 0)</formula>
    </cfRule>
    <cfRule type="expression" dxfId="201" priority="5">
      <formula>IF($B3="SoS", 1, 0)</formula>
    </cfRule>
    <cfRule type="expression" dxfId="200" priority="6">
      <formula>IF($B3="Segment", 1, 0)</formula>
    </cfRule>
    <cfRule type="expression" dxfId="199" priority="7">
      <formula>IF($B3="SEITPM", 1, 0)</formula>
    </cfRule>
  </conditionalFormatting>
  <hyperlinks>
    <hyperlink ref="A1" location="'Table of contents'!A1" display="` Table of Contents" xr:uid="{00000000-0004-0000-0400-000000000000}"/>
  </hyperlink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38"/>
  <sheetViews>
    <sheetView showGridLines="0" zoomScaleNormal="100" workbookViewId="0">
      <pane xSplit="2" ySplit="4" topLeftCell="C31" activePane="bottomRight" state="frozen"/>
      <selection pane="topRight" activeCell="C1" sqref="C1"/>
      <selection pane="bottomLeft" activeCell="A5" sqref="A5"/>
      <selection pane="bottomRight" activeCell="D47" sqref="D47"/>
    </sheetView>
  </sheetViews>
  <sheetFormatPr defaultColWidth="8.7109375" defaultRowHeight="15"/>
  <cols>
    <col min="1" max="1" width="10" customWidth="1"/>
    <col min="2" max="2" width="43" customWidth="1"/>
    <col min="3" max="4" width="14" customWidth="1"/>
    <col min="5" max="7" width="12" customWidth="1"/>
    <col min="8" max="8" width="14" customWidth="1"/>
    <col min="9" max="10" width="12" customWidth="1"/>
  </cols>
  <sheetData>
    <row r="1" spans="1:10" ht="27.75" customHeight="1">
      <c r="A1" s="355" t="s">
        <v>425</v>
      </c>
      <c r="B1" s="355"/>
      <c r="C1" s="355"/>
      <c r="D1" s="355"/>
      <c r="E1" s="355"/>
      <c r="F1" s="355"/>
      <c r="G1" s="355"/>
      <c r="H1" s="355"/>
      <c r="I1" s="355"/>
      <c r="J1" s="355"/>
    </row>
    <row r="2" spans="1:10" ht="39.75" customHeight="1">
      <c r="A2" s="105" t="s">
        <v>58</v>
      </c>
      <c r="B2" s="356" t="s">
        <v>426</v>
      </c>
      <c r="C2" s="356"/>
      <c r="D2" s="356"/>
      <c r="E2" s="356"/>
      <c r="F2" s="356"/>
      <c r="G2" s="356"/>
      <c r="H2" s="356"/>
      <c r="I2" s="356"/>
      <c r="J2" s="356"/>
    </row>
    <row r="4" spans="1:10" ht="30" customHeight="1">
      <c r="A4" s="107" t="s">
        <v>427</v>
      </c>
      <c r="B4" s="107" t="s">
        <v>428</v>
      </c>
      <c r="C4" s="108" t="s">
        <v>429</v>
      </c>
      <c r="D4" s="107" t="s">
        <v>430</v>
      </c>
      <c r="E4" s="107" t="s">
        <v>431</v>
      </c>
      <c r="F4" s="107" t="s">
        <v>432</v>
      </c>
      <c r="G4" s="107" t="s">
        <v>433</v>
      </c>
      <c r="H4" s="107" t="s">
        <v>434</v>
      </c>
    </row>
    <row r="5" spans="1:10" ht="14.25" customHeight="1">
      <c r="A5" s="109" t="s">
        <v>435</v>
      </c>
      <c r="B5" s="109" t="s">
        <v>436</v>
      </c>
      <c r="C5" s="110" t="s">
        <v>437</v>
      </c>
      <c r="D5" s="110" t="s">
        <v>438</v>
      </c>
      <c r="E5" s="110" t="s">
        <v>439</v>
      </c>
      <c r="F5" s="110" t="s">
        <v>439</v>
      </c>
      <c r="G5" s="110" t="s">
        <v>439</v>
      </c>
      <c r="H5" s="110" t="s">
        <v>439</v>
      </c>
    </row>
    <row r="6" spans="1:10" ht="14.25" customHeight="1">
      <c r="A6" s="109" t="s">
        <v>439</v>
      </c>
      <c r="B6" s="109" t="s">
        <v>440</v>
      </c>
      <c r="C6" s="110" t="s">
        <v>439</v>
      </c>
      <c r="D6" s="110" t="s">
        <v>439</v>
      </c>
      <c r="E6" s="110" t="s">
        <v>439</v>
      </c>
      <c r="F6" s="110" t="s">
        <v>439</v>
      </c>
      <c r="G6" s="110" t="s">
        <v>439</v>
      </c>
      <c r="H6" s="110" t="s">
        <v>439</v>
      </c>
    </row>
    <row r="7" spans="1:10" ht="14.25" customHeight="1">
      <c r="A7" s="111" t="s">
        <v>441</v>
      </c>
      <c r="B7" s="111" t="s">
        <v>442</v>
      </c>
      <c r="C7" s="110" t="s">
        <v>441</v>
      </c>
      <c r="D7" s="110" t="s">
        <v>441</v>
      </c>
      <c r="E7" s="110" t="s">
        <v>441</v>
      </c>
      <c r="F7" s="110" t="s">
        <v>441</v>
      </c>
      <c r="G7" s="110" t="s">
        <v>441</v>
      </c>
      <c r="H7" s="110" t="s">
        <v>441</v>
      </c>
    </row>
    <row r="8" spans="1:10" ht="14.25" customHeight="1">
      <c r="A8" s="111" t="s">
        <v>443</v>
      </c>
      <c r="B8" s="111" t="s">
        <v>444</v>
      </c>
      <c r="C8" s="110" t="s">
        <v>443</v>
      </c>
      <c r="D8" s="110" t="s">
        <v>443</v>
      </c>
      <c r="E8" s="110" t="s">
        <v>443</v>
      </c>
      <c r="F8" s="110" t="s">
        <v>443</v>
      </c>
      <c r="G8" s="110" t="s">
        <v>443</v>
      </c>
      <c r="H8" s="110" t="s">
        <v>443</v>
      </c>
    </row>
    <row r="9" spans="1:10" ht="14.25" customHeight="1">
      <c r="A9" s="111" t="s">
        <v>445</v>
      </c>
      <c r="B9" s="111" t="s">
        <v>446</v>
      </c>
      <c r="C9" s="110" t="s">
        <v>445</v>
      </c>
      <c r="D9" s="110" t="s">
        <v>445</v>
      </c>
      <c r="E9" s="110" t="s">
        <v>445</v>
      </c>
      <c r="F9" s="110" t="s">
        <v>445</v>
      </c>
      <c r="G9" s="110" t="s">
        <v>445</v>
      </c>
      <c r="H9" s="110" t="s">
        <v>445</v>
      </c>
    </row>
    <row r="10" spans="1:10" ht="14.25" customHeight="1">
      <c r="A10" s="109" t="s">
        <v>447</v>
      </c>
      <c r="B10" s="109" t="s">
        <v>448</v>
      </c>
      <c r="C10" s="110" t="s">
        <v>447</v>
      </c>
      <c r="D10" s="110" t="s">
        <v>447</v>
      </c>
      <c r="E10" s="110" t="s">
        <v>447</v>
      </c>
      <c r="F10" s="110" t="s">
        <v>447</v>
      </c>
      <c r="G10" s="110" t="s">
        <v>447</v>
      </c>
      <c r="H10" s="110" t="s">
        <v>447</v>
      </c>
    </row>
    <row r="11" spans="1:10" ht="27.75" customHeight="1">
      <c r="A11" s="112" t="s">
        <v>449</v>
      </c>
      <c r="B11" s="112" t="s">
        <v>450</v>
      </c>
      <c r="C11" s="113" t="s">
        <v>449</v>
      </c>
      <c r="D11" s="113" t="s">
        <v>449</v>
      </c>
      <c r="E11" s="113" t="s">
        <v>449</v>
      </c>
      <c r="F11" s="113" t="s">
        <v>449</v>
      </c>
      <c r="G11" s="113" t="s">
        <v>449</v>
      </c>
      <c r="H11" s="113" t="s">
        <v>449</v>
      </c>
    </row>
    <row r="12" spans="1:10" ht="14.25" customHeight="1">
      <c r="A12" s="111" t="s">
        <v>451</v>
      </c>
      <c r="B12" s="111" t="s">
        <v>452</v>
      </c>
      <c r="C12" s="110" t="s">
        <v>451</v>
      </c>
      <c r="D12" s="110" t="s">
        <v>451</v>
      </c>
      <c r="E12" s="110" t="s">
        <v>451</v>
      </c>
      <c r="F12" s="110" t="s">
        <v>451</v>
      </c>
      <c r="G12" s="110" t="s">
        <v>451</v>
      </c>
      <c r="H12" s="110" t="s">
        <v>451</v>
      </c>
    </row>
    <row r="13" spans="1:10" ht="14.25" customHeight="1">
      <c r="A13" s="111" t="s">
        <v>453</v>
      </c>
      <c r="B13" s="111" t="s">
        <v>454</v>
      </c>
      <c r="C13" s="110" t="s">
        <v>453</v>
      </c>
      <c r="D13" s="110" t="s">
        <v>453</v>
      </c>
      <c r="E13" s="110" t="s">
        <v>453</v>
      </c>
      <c r="F13" s="110" t="s">
        <v>453</v>
      </c>
      <c r="G13" s="110" t="s">
        <v>453</v>
      </c>
      <c r="H13" s="110" t="s">
        <v>453</v>
      </c>
    </row>
    <row r="14" spans="1:10" ht="14.25" customHeight="1">
      <c r="A14" s="111" t="s">
        <v>455</v>
      </c>
      <c r="B14" s="111" t="s">
        <v>456</v>
      </c>
      <c r="C14" s="110" t="s">
        <v>455</v>
      </c>
      <c r="D14" s="110" t="s">
        <v>455</v>
      </c>
      <c r="E14" s="110" t="s">
        <v>455</v>
      </c>
      <c r="F14" s="110" t="s">
        <v>455</v>
      </c>
      <c r="G14" s="110" t="s">
        <v>455</v>
      </c>
      <c r="H14" s="110" t="s">
        <v>455</v>
      </c>
    </row>
    <row r="15" spans="1:10" ht="14.25" customHeight="1">
      <c r="A15" s="111" t="s">
        <v>457</v>
      </c>
      <c r="B15" s="111" t="s">
        <v>458</v>
      </c>
      <c r="C15" s="110" t="s">
        <v>457</v>
      </c>
      <c r="D15" s="110" t="s">
        <v>457</v>
      </c>
      <c r="E15" s="110" t="s">
        <v>457</v>
      </c>
      <c r="F15" s="110" t="s">
        <v>457</v>
      </c>
      <c r="G15" s="110" t="s">
        <v>457</v>
      </c>
      <c r="H15" s="110" t="s">
        <v>457</v>
      </c>
    </row>
    <row r="16" spans="1:10" ht="14.25" customHeight="1">
      <c r="A16" s="111" t="s">
        <v>459</v>
      </c>
      <c r="B16" s="111" t="s">
        <v>460</v>
      </c>
      <c r="C16" s="110" t="s">
        <v>459</v>
      </c>
      <c r="D16" s="110" t="s">
        <v>459</v>
      </c>
      <c r="E16" s="110" t="s">
        <v>459</v>
      </c>
      <c r="F16" s="110" t="s">
        <v>459</v>
      </c>
      <c r="G16" s="110" t="s">
        <v>459</v>
      </c>
      <c r="H16" s="110" t="s">
        <v>459</v>
      </c>
    </row>
    <row r="17" spans="1:8" ht="14.25" customHeight="1">
      <c r="A17" s="111" t="s">
        <v>461</v>
      </c>
      <c r="B17" s="111" t="s">
        <v>462</v>
      </c>
      <c r="C17" s="110" t="s">
        <v>461</v>
      </c>
      <c r="D17" s="110" t="s">
        <v>461</v>
      </c>
      <c r="E17" s="110" t="s">
        <v>461</v>
      </c>
      <c r="F17" s="110" t="s">
        <v>461</v>
      </c>
      <c r="G17" s="110" t="s">
        <v>461</v>
      </c>
      <c r="H17" s="110" t="s">
        <v>461</v>
      </c>
    </row>
    <row r="18" spans="1:8" ht="14.25" customHeight="1">
      <c r="A18" s="112" t="s">
        <v>463</v>
      </c>
      <c r="B18" s="112" t="s">
        <v>464</v>
      </c>
      <c r="C18" s="113" t="s">
        <v>463</v>
      </c>
      <c r="D18" s="113" t="s">
        <v>463</v>
      </c>
      <c r="E18" s="113" t="s">
        <v>463</v>
      </c>
      <c r="F18" s="113" t="s">
        <v>463</v>
      </c>
      <c r="G18" s="113" t="s">
        <v>463</v>
      </c>
      <c r="H18" s="113" t="s">
        <v>463</v>
      </c>
    </row>
    <row r="19" spans="1:8" ht="14.25" customHeight="1">
      <c r="A19" s="111" t="s">
        <v>465</v>
      </c>
      <c r="B19" s="111" t="s">
        <v>466</v>
      </c>
      <c r="C19" s="110" t="s">
        <v>465</v>
      </c>
      <c r="D19" s="110" t="s">
        <v>465</v>
      </c>
      <c r="E19" s="110" t="s">
        <v>465</v>
      </c>
      <c r="F19" s="110" t="s">
        <v>465</v>
      </c>
      <c r="G19" s="110" t="s">
        <v>465</v>
      </c>
      <c r="H19" s="110" t="s">
        <v>465</v>
      </c>
    </row>
    <row r="20" spans="1:8" ht="14.25" customHeight="1">
      <c r="A20" s="111" t="s">
        <v>467</v>
      </c>
      <c r="B20" s="111" t="s">
        <v>468</v>
      </c>
      <c r="C20" s="110" t="s">
        <v>467</v>
      </c>
      <c r="D20" s="110" t="s">
        <v>467</v>
      </c>
      <c r="E20" s="110" t="s">
        <v>467</v>
      </c>
      <c r="F20" s="110" t="s">
        <v>467</v>
      </c>
      <c r="G20" s="110" t="s">
        <v>467</v>
      </c>
      <c r="H20" s="110" t="s">
        <v>467</v>
      </c>
    </row>
    <row r="21" spans="1:8" ht="14.25" customHeight="1">
      <c r="A21" s="111" t="s">
        <v>469</v>
      </c>
      <c r="B21" s="111" t="s">
        <v>470</v>
      </c>
      <c r="C21" s="110" t="s">
        <v>469</v>
      </c>
      <c r="D21" s="110" t="s">
        <v>469</v>
      </c>
      <c r="E21" s="110" t="s">
        <v>469</v>
      </c>
      <c r="F21" s="110" t="s">
        <v>469</v>
      </c>
      <c r="G21" s="110" t="s">
        <v>469</v>
      </c>
      <c r="H21" s="110" t="s">
        <v>469</v>
      </c>
    </row>
    <row r="22" spans="1:8" ht="14.25" customHeight="1">
      <c r="A22" s="109" t="s">
        <v>471</v>
      </c>
      <c r="B22" s="109" t="s">
        <v>472</v>
      </c>
      <c r="C22" s="110" t="s">
        <v>471</v>
      </c>
      <c r="D22" s="110" t="s">
        <v>471</v>
      </c>
      <c r="E22" s="110" t="s">
        <v>471</v>
      </c>
      <c r="F22" s="110" t="s">
        <v>471</v>
      </c>
      <c r="G22" s="111"/>
      <c r="H22" s="111"/>
    </row>
    <row r="23" spans="1:8" ht="14.25" customHeight="1">
      <c r="A23" s="111" t="s">
        <v>473</v>
      </c>
      <c r="B23" s="111" t="s">
        <v>474</v>
      </c>
      <c r="C23" s="111"/>
      <c r="D23" s="110" t="s">
        <v>473</v>
      </c>
      <c r="E23" s="110" t="s">
        <v>473</v>
      </c>
      <c r="F23" s="110" t="s">
        <v>473</v>
      </c>
      <c r="G23" s="111"/>
      <c r="H23" s="111"/>
    </row>
    <row r="24" spans="1:8" ht="14.25" customHeight="1">
      <c r="A24" s="111" t="s">
        <v>475</v>
      </c>
      <c r="B24" s="111" t="s">
        <v>476</v>
      </c>
      <c r="C24" s="111"/>
      <c r="D24" s="111"/>
      <c r="E24" s="110" t="s">
        <v>475</v>
      </c>
      <c r="F24" s="110" t="s">
        <v>475</v>
      </c>
      <c r="G24" s="110" t="s">
        <v>475</v>
      </c>
      <c r="H24" s="111"/>
    </row>
    <row r="25" spans="1:8" ht="14.25" customHeight="1">
      <c r="A25" s="109" t="s">
        <v>477</v>
      </c>
      <c r="B25" s="109" t="s">
        <v>478</v>
      </c>
      <c r="C25" s="110" t="s">
        <v>477</v>
      </c>
      <c r="D25" s="110" t="s">
        <v>477</v>
      </c>
      <c r="E25" s="110" t="s">
        <v>477</v>
      </c>
      <c r="F25" s="110" t="s">
        <v>477</v>
      </c>
      <c r="G25" s="110" t="s">
        <v>477</v>
      </c>
      <c r="H25" s="110" t="s">
        <v>477</v>
      </c>
    </row>
    <row r="26" spans="1:8" ht="14.25" customHeight="1">
      <c r="A26" s="111" t="s">
        <v>479</v>
      </c>
      <c r="B26" s="111" t="s">
        <v>480</v>
      </c>
      <c r="C26" s="110" t="s">
        <v>479</v>
      </c>
      <c r="D26" s="110" t="s">
        <v>479</v>
      </c>
      <c r="E26" s="110" t="s">
        <v>479</v>
      </c>
      <c r="F26" s="110" t="s">
        <v>479</v>
      </c>
      <c r="G26" s="110" t="s">
        <v>479</v>
      </c>
      <c r="H26" s="110" t="s">
        <v>479</v>
      </c>
    </row>
    <row r="27" spans="1:8" ht="14.25" customHeight="1">
      <c r="A27" s="111" t="s">
        <v>481</v>
      </c>
      <c r="B27" s="111" t="s">
        <v>482</v>
      </c>
      <c r="C27" s="110" t="s">
        <v>481</v>
      </c>
      <c r="D27" s="110" t="s">
        <v>481</v>
      </c>
      <c r="E27" s="110" t="s">
        <v>481</v>
      </c>
      <c r="F27" s="110" t="s">
        <v>481</v>
      </c>
      <c r="G27" s="110" t="s">
        <v>481</v>
      </c>
      <c r="H27" s="110" t="s">
        <v>481</v>
      </c>
    </row>
    <row r="28" spans="1:8" ht="14.25" customHeight="1">
      <c r="A28" s="109" t="s">
        <v>483</v>
      </c>
      <c r="B28" s="109" t="s">
        <v>484</v>
      </c>
      <c r="C28" s="110" t="s">
        <v>483</v>
      </c>
      <c r="D28" s="110" t="s">
        <v>483</v>
      </c>
      <c r="E28" s="110" t="s">
        <v>483</v>
      </c>
      <c r="F28" s="110" t="s">
        <v>483</v>
      </c>
      <c r="G28" s="110" t="s">
        <v>483</v>
      </c>
      <c r="H28" s="110" t="s">
        <v>483</v>
      </c>
    </row>
    <row r="29" spans="1:8" ht="14.25" customHeight="1">
      <c r="A29" s="111" t="s">
        <v>485</v>
      </c>
      <c r="B29" s="111" t="s">
        <v>486</v>
      </c>
      <c r="C29" s="111"/>
      <c r="D29" s="110" t="s">
        <v>485</v>
      </c>
      <c r="E29" s="110" t="s">
        <v>485</v>
      </c>
      <c r="F29" s="110" t="s">
        <v>485</v>
      </c>
      <c r="G29" s="110" t="s">
        <v>485</v>
      </c>
      <c r="H29" s="110" t="s">
        <v>485</v>
      </c>
    </row>
    <row r="30" spans="1:8" ht="14.25" customHeight="1">
      <c r="A30" s="111" t="s">
        <v>487</v>
      </c>
      <c r="B30" s="111" t="s">
        <v>488</v>
      </c>
      <c r="C30" s="111"/>
      <c r="D30" s="111"/>
      <c r="E30" s="110" t="s">
        <v>487</v>
      </c>
      <c r="F30" s="110" t="s">
        <v>487</v>
      </c>
      <c r="G30" s="110" t="s">
        <v>487</v>
      </c>
      <c r="H30" s="110" t="s">
        <v>487</v>
      </c>
    </row>
    <row r="31" spans="1:8" ht="27.75" customHeight="1">
      <c r="A31" s="109" t="s">
        <v>489</v>
      </c>
      <c r="B31" s="109" t="s">
        <v>490</v>
      </c>
      <c r="C31" s="111"/>
      <c r="D31" s="110" t="s">
        <v>489</v>
      </c>
      <c r="E31" s="110" t="s">
        <v>489</v>
      </c>
      <c r="F31" s="110" t="s">
        <v>489</v>
      </c>
      <c r="G31" s="110" t="s">
        <v>489</v>
      </c>
      <c r="H31" s="111"/>
    </row>
    <row r="32" spans="1:8" ht="14.25" customHeight="1">
      <c r="A32" s="111" t="s">
        <v>491</v>
      </c>
      <c r="B32" s="111" t="s">
        <v>492</v>
      </c>
      <c r="C32" s="111"/>
      <c r="D32" s="110" t="s">
        <v>491</v>
      </c>
      <c r="E32" s="110" t="s">
        <v>491</v>
      </c>
      <c r="F32" s="111"/>
      <c r="G32" s="111"/>
      <c r="H32" s="111"/>
    </row>
    <row r="33" spans="1:8" ht="14.25" customHeight="1">
      <c r="A33" s="111" t="s">
        <v>493</v>
      </c>
      <c r="B33" s="111" t="s">
        <v>494</v>
      </c>
      <c r="C33" s="111"/>
      <c r="D33" s="110" t="s">
        <v>493</v>
      </c>
      <c r="E33" s="110" t="s">
        <v>493</v>
      </c>
      <c r="F33" s="110" t="s">
        <v>493</v>
      </c>
      <c r="G33" s="111"/>
      <c r="H33" s="111"/>
    </row>
    <row r="34" spans="1:8" ht="14.25" customHeight="1">
      <c r="A34" s="111" t="s">
        <v>495</v>
      </c>
      <c r="B34" s="111" t="s">
        <v>496</v>
      </c>
      <c r="C34" s="111"/>
      <c r="D34" s="111"/>
      <c r="E34" s="111"/>
      <c r="F34" s="110" t="s">
        <v>495</v>
      </c>
      <c r="G34" s="110" t="s">
        <v>495</v>
      </c>
      <c r="H34" s="111"/>
    </row>
    <row r="35" spans="1:8" ht="14.25" customHeight="1">
      <c r="A35" s="109" t="s">
        <v>497</v>
      </c>
      <c r="B35" s="109" t="s">
        <v>498</v>
      </c>
      <c r="C35" s="111"/>
      <c r="D35" s="111"/>
      <c r="E35" s="111"/>
      <c r="F35" s="111"/>
      <c r="G35" s="110" t="s">
        <v>497</v>
      </c>
      <c r="H35" s="110" t="s">
        <v>497</v>
      </c>
    </row>
    <row r="36" spans="1:8" ht="14.25" customHeight="1">
      <c r="A36" s="111" t="s">
        <v>499</v>
      </c>
      <c r="B36" s="111" t="s">
        <v>500</v>
      </c>
      <c r="C36" s="111"/>
      <c r="D36" s="111"/>
      <c r="E36" s="111"/>
      <c r="F36" s="111"/>
      <c r="G36" s="110" t="s">
        <v>499</v>
      </c>
      <c r="H36" s="110" t="s">
        <v>499</v>
      </c>
    </row>
    <row r="37" spans="1:8" ht="14.25" customHeight="1">
      <c r="A37" s="111" t="s">
        <v>501</v>
      </c>
      <c r="B37" s="111" t="s">
        <v>502</v>
      </c>
      <c r="C37" s="111"/>
      <c r="D37" s="111"/>
      <c r="E37" s="111"/>
      <c r="F37" s="111"/>
      <c r="G37" s="110" t="s">
        <v>501</v>
      </c>
      <c r="H37" s="110" t="s">
        <v>501</v>
      </c>
    </row>
    <row r="38" spans="1:8" ht="14.25" customHeight="1">
      <c r="A38" s="114"/>
    </row>
  </sheetData>
  <mergeCells count="2">
    <mergeCell ref="A1:J1"/>
    <mergeCell ref="B2:J2"/>
  </mergeCells>
  <pageMargins left="0.2" right="0.2" top="0.3" bottom="0.3"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08"/>
  <sheetViews>
    <sheetView zoomScale="98" zoomScaleNormal="98" workbookViewId="0"/>
  </sheetViews>
  <sheetFormatPr defaultColWidth="8.7109375" defaultRowHeight="15"/>
  <cols>
    <col min="1" max="1" width="4.140625" customWidth="1"/>
    <col min="3" max="3" width="5.7109375" customWidth="1"/>
    <col min="4" max="4" width="75.85546875" customWidth="1"/>
    <col min="5" max="5" width="11.42578125" customWidth="1"/>
    <col min="6" max="6" width="24.28515625" customWidth="1"/>
    <col min="7" max="7" width="16.140625" customWidth="1"/>
    <col min="8" max="8" width="11.42578125" customWidth="1"/>
    <col min="10" max="10" width="130.5703125" customWidth="1"/>
    <col min="14" max="14" width="24.28515625" customWidth="1"/>
  </cols>
  <sheetData>
    <row r="1" spans="1:15" ht="14.25" customHeight="1">
      <c r="A1" s="4" t="s">
        <v>56</v>
      </c>
      <c r="B1" s="4"/>
      <c r="C1" s="4"/>
    </row>
    <row r="3" spans="1:15" ht="30.75" customHeight="1">
      <c r="A3" s="18" t="s">
        <v>503</v>
      </c>
      <c r="B3" s="44"/>
      <c r="C3" s="20"/>
      <c r="D3" s="20"/>
      <c r="E3" s="20"/>
      <c r="F3" s="20"/>
      <c r="G3" s="20"/>
      <c r="H3" s="20"/>
      <c r="I3" s="20"/>
      <c r="J3" s="20"/>
      <c r="K3" s="20"/>
      <c r="L3" s="20"/>
      <c r="M3" s="45"/>
      <c r="N3" s="45"/>
      <c r="O3" s="45"/>
    </row>
    <row r="4" spans="1:15" ht="14.25" customHeight="1">
      <c r="A4" t="s">
        <v>504</v>
      </c>
      <c r="B4" s="17"/>
      <c r="M4" s="45"/>
      <c r="N4" s="45"/>
      <c r="O4" s="45"/>
    </row>
    <row r="5" spans="1:15" ht="14.25" customHeight="1">
      <c r="B5" t="s">
        <v>505</v>
      </c>
    </row>
    <row r="6" spans="1:15" ht="14.25" customHeight="1">
      <c r="E6" t="s">
        <v>506</v>
      </c>
    </row>
    <row r="8" spans="1:15" ht="14.25" customHeight="1">
      <c r="A8" s="23" t="s">
        <v>507</v>
      </c>
      <c r="B8" s="23" t="s">
        <v>508</v>
      </c>
      <c r="C8" s="23" t="s">
        <v>509</v>
      </c>
      <c r="D8" s="26" t="s">
        <v>510</v>
      </c>
      <c r="E8" s="26" t="s">
        <v>511</v>
      </c>
      <c r="F8" s="26" t="s">
        <v>512</v>
      </c>
      <c r="G8" s="26" t="s">
        <v>513</v>
      </c>
      <c r="H8" s="101" t="s">
        <v>514</v>
      </c>
      <c r="J8" t="s">
        <v>515</v>
      </c>
      <c r="N8" t="s">
        <v>512</v>
      </c>
    </row>
    <row r="9" spans="1:15" ht="14.25" customHeight="1">
      <c r="A9" s="23">
        <v>1</v>
      </c>
      <c r="B9" s="23">
        <v>-1</v>
      </c>
      <c r="C9" s="23">
        <v>1</v>
      </c>
      <c r="D9" s="26" t="s">
        <v>516</v>
      </c>
      <c r="E9" s="115"/>
      <c r="F9" s="26" t="s">
        <v>517</v>
      </c>
      <c r="G9" s="26" t="s">
        <v>518</v>
      </c>
      <c r="J9" t="str">
        <f t="shared" ref="J9:J72" si="0">"datatable["&amp;A9-1&amp;"] = new Array(""" &amp; A9 &amp;""",""" &amp; B9 &amp;""",""" &amp; D9 &amp; """,""" &amp; C9&amp;""","""&amp;""&amp;G9&amp;""");"</f>
        <v>datatable[0] = new Array("1","-1","Space Missions","1","Box.png");</v>
      </c>
      <c r="N9" t="s">
        <v>517</v>
      </c>
    </row>
    <row r="10" spans="1:15" ht="14.25" customHeight="1">
      <c r="A10" s="23">
        <v>2</v>
      </c>
      <c r="B10" s="23">
        <f>A9</f>
        <v>1</v>
      </c>
      <c r="C10" s="23">
        <v>2</v>
      </c>
      <c r="D10" s="26" t="s">
        <v>519</v>
      </c>
      <c r="E10" s="115"/>
      <c r="F10" s="26" t="s">
        <v>520</v>
      </c>
      <c r="G10" s="26" t="s">
        <v>521</v>
      </c>
      <c r="J10" t="str">
        <f t="shared" si="0"/>
        <v>datatable[1] = new Array("2","1","EO SAR Missions","2","EO.png");</v>
      </c>
      <c r="N10" t="s">
        <v>520</v>
      </c>
    </row>
    <row r="11" spans="1:15" ht="14.25" customHeight="1">
      <c r="A11" s="23">
        <f t="shared" ref="A11:A74" si="1">A10+1</f>
        <v>3</v>
      </c>
      <c r="B11" s="23">
        <f>A10</f>
        <v>2</v>
      </c>
      <c r="C11" s="23">
        <v>3</v>
      </c>
      <c r="D11" s="26" t="s">
        <v>522</v>
      </c>
      <c r="E11" s="115"/>
      <c r="F11" s="26" t="s">
        <v>523</v>
      </c>
      <c r="G11" s="26" t="s">
        <v>524</v>
      </c>
      <c r="J11" t="str">
        <f t="shared" si="0"/>
        <v>datatable[2] = new Array("3","2","Radarsat Portfolio","3","Pouch.png");</v>
      </c>
      <c r="N11" t="s">
        <v>523</v>
      </c>
    </row>
    <row r="12" spans="1:15" ht="14.25" customHeight="1">
      <c r="A12" s="23">
        <f t="shared" si="1"/>
        <v>4</v>
      </c>
      <c r="B12" s="23">
        <f>A$6</f>
        <v>0</v>
      </c>
      <c r="C12" s="23">
        <v>4</v>
      </c>
      <c r="D12" s="26" t="s">
        <v>525</v>
      </c>
      <c r="E12" s="115"/>
      <c r="F12" s="26" t="s">
        <v>526</v>
      </c>
      <c r="G12" s="26" t="s">
        <v>527</v>
      </c>
      <c r="J12" t="str">
        <f t="shared" si="0"/>
        <v>datatable[3] = new Array("4","0","Radarsat 1","4","Satellite.png");</v>
      </c>
      <c r="N12" t="s">
        <v>526</v>
      </c>
    </row>
    <row r="13" spans="1:15" ht="14.25" customHeight="1">
      <c r="A13" s="23">
        <f t="shared" si="1"/>
        <v>5</v>
      </c>
      <c r="B13" s="23">
        <f>A$6</f>
        <v>0</v>
      </c>
      <c r="C13" s="23">
        <v>4</v>
      </c>
      <c r="D13" s="26" t="s">
        <v>528</v>
      </c>
      <c r="E13" s="115"/>
      <c r="F13" s="26" t="s">
        <v>526</v>
      </c>
      <c r="G13" s="26" t="s">
        <v>527</v>
      </c>
      <c r="J13" t="str">
        <f t="shared" si="0"/>
        <v>datatable[4] = new Array("5","0","Radarsat 2","4","Satellite.png");</v>
      </c>
      <c r="N13" t="s">
        <v>529</v>
      </c>
    </row>
    <row r="14" spans="1:15" ht="14.25" customHeight="1">
      <c r="A14" s="23">
        <f t="shared" si="1"/>
        <v>6</v>
      </c>
      <c r="B14" s="23">
        <f>A$6</f>
        <v>0</v>
      </c>
      <c r="C14" s="23">
        <v>4</v>
      </c>
      <c r="D14" s="26" t="s">
        <v>530</v>
      </c>
      <c r="E14" s="115"/>
      <c r="F14" s="26" t="s">
        <v>526</v>
      </c>
      <c r="G14" s="26" t="s">
        <v>527</v>
      </c>
      <c r="J14" t="str">
        <f t="shared" si="0"/>
        <v>datatable[5] = new Array("6","0","Radarsat Constellation Mission","4","Satellite.png");</v>
      </c>
      <c r="N14" t="s">
        <v>531</v>
      </c>
    </row>
    <row r="15" spans="1:15" ht="14.25" customHeight="1">
      <c r="A15" s="23">
        <f t="shared" si="1"/>
        <v>7</v>
      </c>
      <c r="B15" s="23">
        <f>A$6</f>
        <v>0</v>
      </c>
      <c r="C15" s="23">
        <v>4</v>
      </c>
      <c r="D15" s="26" t="s">
        <v>532</v>
      </c>
      <c r="E15" s="116">
        <v>1</v>
      </c>
      <c r="F15" s="26" t="s">
        <v>526</v>
      </c>
      <c r="G15" s="26" t="s">
        <v>527</v>
      </c>
      <c r="J15" t="str">
        <f t="shared" si="0"/>
        <v>datatable[6] = new Array("7","0","Radarsat+ Replenishment","4","Satellite.png");</v>
      </c>
      <c r="N15" t="s">
        <v>533</v>
      </c>
    </row>
    <row r="16" spans="1:15" ht="14.25" customHeight="1">
      <c r="A16" s="23">
        <f t="shared" si="1"/>
        <v>8</v>
      </c>
      <c r="B16" s="23">
        <f>A$6</f>
        <v>0</v>
      </c>
      <c r="C16" s="23">
        <v>4</v>
      </c>
      <c r="D16" s="26" t="s">
        <v>534</v>
      </c>
      <c r="E16" s="116"/>
      <c r="F16" s="26" t="s">
        <v>526</v>
      </c>
      <c r="G16" s="26" t="s">
        <v>527</v>
      </c>
      <c r="J16" t="str">
        <f t="shared" si="0"/>
        <v>datatable[7] = new Array("8","0","Radarsat+ Next Generation","4","Satellite.png");</v>
      </c>
      <c r="N16" t="s">
        <v>535</v>
      </c>
    </row>
    <row r="17" spans="1:14" ht="14.25" customHeight="1">
      <c r="A17" s="23">
        <f t="shared" si="1"/>
        <v>9</v>
      </c>
      <c r="B17" s="23">
        <f t="shared" ref="B17:B22" si="2">A$10</f>
        <v>2</v>
      </c>
      <c r="C17" s="23">
        <v>5</v>
      </c>
      <c r="D17" s="26" t="s">
        <v>536</v>
      </c>
      <c r="E17" s="116"/>
      <c r="F17" s="26" t="s">
        <v>529</v>
      </c>
      <c r="G17" s="26" t="s">
        <v>537</v>
      </c>
      <c r="J17" t="str">
        <f t="shared" si="0"/>
        <v>datatable[8] = new Array("9","2","Analysis Scenario 1: RCM Proxy","5","Scenario.png");</v>
      </c>
      <c r="N17" t="s">
        <v>538</v>
      </c>
    </row>
    <row r="18" spans="1:14" ht="14.25" customHeight="1">
      <c r="A18" s="23">
        <f t="shared" si="1"/>
        <v>10</v>
      </c>
      <c r="B18" s="23">
        <f t="shared" si="2"/>
        <v>2</v>
      </c>
      <c r="C18" s="23">
        <v>5</v>
      </c>
      <c r="D18" s="26" t="s">
        <v>539</v>
      </c>
      <c r="E18" s="116"/>
      <c r="F18" s="26" t="s">
        <v>529</v>
      </c>
      <c r="G18" s="26" t="s">
        <v>537</v>
      </c>
      <c r="J18" t="str">
        <f t="shared" si="0"/>
        <v>datatable[9] = new Array("10","2","Analysis Scenario 2: RCM+","5","Scenario.png");</v>
      </c>
      <c r="N18" t="s">
        <v>540</v>
      </c>
    </row>
    <row r="19" spans="1:14" ht="14.25" customHeight="1">
      <c r="A19" s="23">
        <f t="shared" si="1"/>
        <v>11</v>
      </c>
      <c r="B19" s="23">
        <f t="shared" si="2"/>
        <v>2</v>
      </c>
      <c r="C19" s="23">
        <v>5</v>
      </c>
      <c r="D19" s="26" t="s">
        <v>541</v>
      </c>
      <c r="E19" s="116"/>
      <c r="F19" s="26" t="s">
        <v>529</v>
      </c>
      <c r="G19" s="26" t="s">
        <v>537</v>
      </c>
      <c r="J19" t="str">
        <f t="shared" si="0"/>
        <v>datatable[10] = new Array("11","2","Analysis Scenario 3: Airbus concept","5","Scenario.png");</v>
      </c>
      <c r="N19" t="s">
        <v>542</v>
      </c>
    </row>
    <row r="20" spans="1:14" ht="14.25" customHeight="1">
      <c r="A20" s="23">
        <f t="shared" si="1"/>
        <v>12</v>
      </c>
      <c r="B20" s="23">
        <f t="shared" si="2"/>
        <v>2</v>
      </c>
      <c r="C20" s="23">
        <v>5</v>
      </c>
      <c r="D20" s="26" t="s">
        <v>543</v>
      </c>
      <c r="E20" s="116"/>
      <c r="F20" s="26" t="s">
        <v>529</v>
      </c>
      <c r="G20" s="26" t="s">
        <v>537</v>
      </c>
      <c r="J20" t="str">
        <f t="shared" si="0"/>
        <v>datatable[11] = new Array("12","2","Analysis Scenario 4: MDA Chorus Data Buy","5","Scenario.png");</v>
      </c>
    </row>
    <row r="21" spans="1:14" ht="14.25" customHeight="1">
      <c r="A21" s="23">
        <f t="shared" si="1"/>
        <v>13</v>
      </c>
      <c r="B21" s="23">
        <f t="shared" si="2"/>
        <v>2</v>
      </c>
      <c r="C21" s="23">
        <v>5</v>
      </c>
      <c r="D21" s="26" t="s">
        <v>544</v>
      </c>
      <c r="E21" s="116"/>
      <c r="F21" s="26" t="s">
        <v>529</v>
      </c>
      <c r="G21" s="26" t="s">
        <v>537</v>
      </c>
      <c r="J21" t="str">
        <f t="shared" si="0"/>
        <v>datatable[12] = new Array("13","2","Analysis Scenario 5: MDA Chorus+","5","Scenario.png");</v>
      </c>
    </row>
    <row r="22" spans="1:14" ht="14.25" customHeight="1">
      <c r="A22" s="23">
        <f t="shared" si="1"/>
        <v>14</v>
      </c>
      <c r="B22" s="23">
        <f t="shared" si="2"/>
        <v>2</v>
      </c>
      <c r="C22" s="23">
        <v>5</v>
      </c>
      <c r="D22" s="26" t="s">
        <v>545</v>
      </c>
      <c r="E22" s="116"/>
      <c r="F22" s="26" t="s">
        <v>529</v>
      </c>
      <c r="G22" s="26" t="s">
        <v>537</v>
      </c>
      <c r="J22" t="str">
        <f t="shared" si="0"/>
        <v>datatable[13] = new Array("14","2","Analysis Scenario 6: Airbus Sentinel 2","5","Scenario.png");</v>
      </c>
    </row>
    <row r="23" spans="1:14" ht="14.25" customHeight="1">
      <c r="A23" s="46">
        <f t="shared" si="1"/>
        <v>15</v>
      </c>
      <c r="B23" s="46">
        <f t="shared" ref="B23:B28" si="3">A$16</f>
        <v>8</v>
      </c>
      <c r="C23" s="46">
        <v>6</v>
      </c>
      <c r="D23" s="51" t="s">
        <v>546</v>
      </c>
      <c r="E23" s="117">
        <v>1.1000000000000001</v>
      </c>
      <c r="F23" s="51" t="s">
        <v>531</v>
      </c>
      <c r="G23" s="26" t="s">
        <v>547</v>
      </c>
      <c r="H23" s="26" t="s">
        <v>548</v>
      </c>
      <c r="J23" t="str">
        <f t="shared" si="0"/>
        <v>datatable[14] = new Array("15","8","Government Overhead and Oversight","6","Government.png");</v>
      </c>
    </row>
    <row r="24" spans="1:14" ht="14.25" customHeight="1">
      <c r="A24" s="46">
        <f t="shared" si="1"/>
        <v>16</v>
      </c>
      <c r="B24" s="46">
        <f t="shared" si="3"/>
        <v>8</v>
      </c>
      <c r="C24" s="46">
        <v>6</v>
      </c>
      <c r="D24" s="51" t="s">
        <v>549</v>
      </c>
      <c r="E24" s="117">
        <v>1.2</v>
      </c>
      <c r="F24" s="51" t="s">
        <v>531</v>
      </c>
      <c r="G24" s="26" t="s">
        <v>527</v>
      </c>
      <c r="H24" s="26" t="s">
        <v>550</v>
      </c>
      <c r="J24" t="str">
        <f t="shared" si="0"/>
        <v>datatable[15] = new Array("16","8","Space Segment","6","Satellite.png");</v>
      </c>
    </row>
    <row r="25" spans="1:14" ht="14.25" customHeight="1">
      <c r="A25" s="46">
        <f t="shared" si="1"/>
        <v>17</v>
      </c>
      <c r="B25" s="46">
        <f t="shared" si="3"/>
        <v>8</v>
      </c>
      <c r="C25" s="46">
        <v>6</v>
      </c>
      <c r="D25" s="51" t="s">
        <v>551</v>
      </c>
      <c r="E25" s="117">
        <v>1.3</v>
      </c>
      <c r="F25" s="51" t="s">
        <v>531</v>
      </c>
      <c r="G25" s="26" t="s">
        <v>552</v>
      </c>
      <c r="H25" s="26" t="s">
        <v>553</v>
      </c>
      <c r="J25" t="str">
        <f t="shared" si="0"/>
        <v>datatable[16] = new Array("17","8","Launch Segment","6","Rocket.png");</v>
      </c>
    </row>
    <row r="26" spans="1:14" ht="14.25" customHeight="1">
      <c r="A26" s="46">
        <f t="shared" si="1"/>
        <v>18</v>
      </c>
      <c r="B26" s="46">
        <f t="shared" si="3"/>
        <v>8</v>
      </c>
      <c r="C26" s="46">
        <v>6</v>
      </c>
      <c r="D26" s="51" t="s">
        <v>478</v>
      </c>
      <c r="E26" s="117">
        <v>1.4</v>
      </c>
      <c r="F26" s="51" t="s">
        <v>531</v>
      </c>
      <c r="G26" s="26" t="s">
        <v>554</v>
      </c>
      <c r="H26" s="26" t="s">
        <v>555</v>
      </c>
      <c r="J26" t="str">
        <f t="shared" si="0"/>
        <v>datatable[17] = new Array("18","8","Ground Segment","6","Facility.png");</v>
      </c>
    </row>
    <row r="27" spans="1:14" ht="14.25" customHeight="1">
      <c r="A27" s="46">
        <f t="shared" si="1"/>
        <v>19</v>
      </c>
      <c r="B27" s="46">
        <f t="shared" si="3"/>
        <v>8</v>
      </c>
      <c r="C27" s="46">
        <v>6</v>
      </c>
      <c r="D27" s="51" t="s">
        <v>556</v>
      </c>
      <c r="E27" s="117">
        <v>1.5</v>
      </c>
      <c r="F27" s="51" t="s">
        <v>531</v>
      </c>
      <c r="G27" s="26" t="s">
        <v>557</v>
      </c>
      <c r="H27" s="26" t="s">
        <v>558</v>
      </c>
      <c r="J27" t="str">
        <f t="shared" si="0"/>
        <v>datatable[18] = new Array("19","8","Ops Segment","6","Ops.png");</v>
      </c>
    </row>
    <row r="28" spans="1:14" ht="14.25" customHeight="1">
      <c r="A28" s="46">
        <f t="shared" si="1"/>
        <v>20</v>
      </c>
      <c r="B28" s="46">
        <f t="shared" si="3"/>
        <v>8</v>
      </c>
      <c r="C28" s="46">
        <v>6</v>
      </c>
      <c r="D28" s="51" t="s">
        <v>559</v>
      </c>
      <c r="E28" s="117">
        <v>1.6</v>
      </c>
      <c r="F28" s="51" t="s">
        <v>531</v>
      </c>
      <c r="G28" s="26" t="s">
        <v>560</v>
      </c>
      <c r="H28" s="26" t="s">
        <v>561</v>
      </c>
      <c r="J28" t="str">
        <f t="shared" si="0"/>
        <v>datatable[19] = new Array("20","8","Science Segment","6","Science.png");</v>
      </c>
    </row>
    <row r="29" spans="1:14" ht="14.25" customHeight="1">
      <c r="A29" s="118">
        <f t="shared" si="1"/>
        <v>21</v>
      </c>
      <c r="B29" s="118">
        <f>A$18</f>
        <v>10</v>
      </c>
      <c r="C29" s="118">
        <v>7</v>
      </c>
      <c r="D29" s="119" t="s">
        <v>562</v>
      </c>
      <c r="E29" s="120" t="s">
        <v>441</v>
      </c>
      <c r="F29" s="120" t="s">
        <v>533</v>
      </c>
      <c r="G29" s="26" t="s">
        <v>547</v>
      </c>
      <c r="J29" t="str">
        <f t="shared" si="0"/>
        <v>datatable[20] = new Array("21","10","Gov't Oversight (Salaries and EBP)","7","Government.png");</v>
      </c>
    </row>
    <row r="30" spans="1:14" ht="14.25" customHeight="1">
      <c r="A30" s="118">
        <f t="shared" si="1"/>
        <v>22</v>
      </c>
      <c r="B30" s="118">
        <f>A$18</f>
        <v>10</v>
      </c>
      <c r="C30" s="118">
        <v>7</v>
      </c>
      <c r="D30" s="119" t="s">
        <v>563</v>
      </c>
      <c r="E30" s="120" t="s">
        <v>443</v>
      </c>
      <c r="F30" s="120" t="s">
        <v>533</v>
      </c>
      <c r="G30" s="26" t="s">
        <v>547</v>
      </c>
      <c r="J30" t="str">
        <f t="shared" si="0"/>
        <v>datatable[21] = new Array("22","10","Government Overhead","7","Government.png");</v>
      </c>
    </row>
    <row r="31" spans="1:14" ht="14.25" customHeight="1">
      <c r="A31" s="118">
        <f t="shared" si="1"/>
        <v>23</v>
      </c>
      <c r="B31" s="118">
        <f>A29</f>
        <v>21</v>
      </c>
      <c r="C31" s="118">
        <v>8</v>
      </c>
      <c r="D31" s="119" t="s">
        <v>564</v>
      </c>
      <c r="E31" s="120" t="s">
        <v>565</v>
      </c>
      <c r="F31" s="120" t="s">
        <v>535</v>
      </c>
      <c r="G31" s="26" t="s">
        <v>547</v>
      </c>
      <c r="J31" t="str">
        <f t="shared" si="0"/>
        <v>datatable[22] = new Array("23","21","CSA Oversight","8","Government.png");</v>
      </c>
    </row>
    <row r="32" spans="1:14" ht="14.25" customHeight="1">
      <c r="A32" s="118">
        <f t="shared" si="1"/>
        <v>24</v>
      </c>
      <c r="B32" s="118">
        <f>A29</f>
        <v>21</v>
      </c>
      <c r="C32" s="118">
        <v>8</v>
      </c>
      <c r="D32" s="119" t="s">
        <v>566</v>
      </c>
      <c r="E32" s="120" t="s">
        <v>567</v>
      </c>
      <c r="F32" s="120" t="s">
        <v>535</v>
      </c>
      <c r="G32" s="26" t="s">
        <v>547</v>
      </c>
      <c r="J32" t="str">
        <f t="shared" si="0"/>
        <v>datatable[23] = new Array("24","21","OGD Oversight","8","Government.png");</v>
      </c>
    </row>
    <row r="33" spans="1:10" ht="14.25" customHeight="1">
      <c r="A33" s="118">
        <f t="shared" si="1"/>
        <v>25</v>
      </c>
      <c r="B33" s="118">
        <f>A31</f>
        <v>23</v>
      </c>
      <c r="C33" s="118">
        <v>9</v>
      </c>
      <c r="D33" s="119" t="s">
        <v>568</v>
      </c>
      <c r="E33" s="120" t="s">
        <v>569</v>
      </c>
      <c r="F33" s="120" t="s">
        <v>538</v>
      </c>
      <c r="G33" s="26" t="s">
        <v>547</v>
      </c>
      <c r="H33" s="26" t="s">
        <v>570</v>
      </c>
      <c r="J33" t="str">
        <f t="shared" si="0"/>
        <v>datatable[24] = new Array("25","23","CSA Project Team","9","Government.png");</v>
      </c>
    </row>
    <row r="34" spans="1:10" ht="14.25" customHeight="1">
      <c r="A34" s="118">
        <f t="shared" si="1"/>
        <v>26</v>
      </c>
      <c r="B34" s="118">
        <f>A31</f>
        <v>23</v>
      </c>
      <c r="C34" s="118">
        <v>9</v>
      </c>
      <c r="D34" s="119" t="s">
        <v>571</v>
      </c>
      <c r="E34" s="120" t="s">
        <v>572</v>
      </c>
      <c r="F34" s="120" t="s">
        <v>538</v>
      </c>
      <c r="G34" s="26" t="s">
        <v>547</v>
      </c>
      <c r="H34" s="26" t="s">
        <v>573</v>
      </c>
      <c r="J34" t="str">
        <f t="shared" si="0"/>
        <v>datatable[25] = new Array("26","23","CSA Internal Services","9","Government.png");</v>
      </c>
    </row>
    <row r="35" spans="1:10" ht="14.25" customHeight="1">
      <c r="A35" s="118">
        <f t="shared" si="1"/>
        <v>27</v>
      </c>
      <c r="B35" s="118">
        <f>A32</f>
        <v>24</v>
      </c>
      <c r="C35" s="118">
        <v>9</v>
      </c>
      <c r="D35" s="119" t="s">
        <v>574</v>
      </c>
      <c r="E35" s="120" t="s">
        <v>575</v>
      </c>
      <c r="F35" s="120" t="s">
        <v>538</v>
      </c>
      <c r="G35" s="26" t="s">
        <v>547</v>
      </c>
      <c r="J35" t="str">
        <f t="shared" si="0"/>
        <v>datatable[26] = new Array("27","24","OGD Internal Services by MOU","9","Government.png");</v>
      </c>
    </row>
    <row r="36" spans="1:10" ht="14.25" customHeight="1">
      <c r="A36" s="118">
        <f t="shared" si="1"/>
        <v>28</v>
      </c>
      <c r="B36" s="118">
        <f>A32</f>
        <v>24</v>
      </c>
      <c r="C36" s="118">
        <v>9</v>
      </c>
      <c r="D36" s="119" t="s">
        <v>576</v>
      </c>
      <c r="E36" s="120" t="s">
        <v>577</v>
      </c>
      <c r="F36" s="120" t="s">
        <v>538</v>
      </c>
      <c r="G36" s="26" t="s">
        <v>547</v>
      </c>
      <c r="J36" t="str">
        <f t="shared" si="0"/>
        <v>datatable[27] = new Array("28","24","OGD User Departments by MOU (RAM portion)","9","Government.png");</v>
      </c>
    </row>
    <row r="37" spans="1:10" ht="14.25" customHeight="1">
      <c r="A37" s="118">
        <f t="shared" si="1"/>
        <v>29</v>
      </c>
      <c r="B37" s="118">
        <f>A$29</f>
        <v>21</v>
      </c>
      <c r="C37" s="118">
        <v>10</v>
      </c>
      <c r="D37" s="119" t="s">
        <v>578</v>
      </c>
      <c r="E37" s="120" t="s">
        <v>579</v>
      </c>
      <c r="F37" s="120" t="s">
        <v>540</v>
      </c>
      <c r="G37" s="26" t="s">
        <v>547</v>
      </c>
      <c r="J37" t="str">
        <f t="shared" si="0"/>
        <v>datatable[28] = new Array("29","21","Shared Services","10","Government.png");</v>
      </c>
    </row>
    <row r="38" spans="1:10" ht="14.25" customHeight="1">
      <c r="A38" s="118">
        <f t="shared" si="1"/>
        <v>30</v>
      </c>
      <c r="B38" s="118">
        <f>A$29</f>
        <v>21</v>
      </c>
      <c r="C38" s="118">
        <v>10</v>
      </c>
      <c r="D38" s="119" t="s">
        <v>580</v>
      </c>
      <c r="E38" s="120" t="s">
        <v>581</v>
      </c>
      <c r="F38" s="120" t="s">
        <v>540</v>
      </c>
      <c r="G38" s="26" t="s">
        <v>547</v>
      </c>
      <c r="J38" t="str">
        <f t="shared" si="0"/>
        <v>datatable[29] = new Array("30","21","SPAC","10","Government.png");</v>
      </c>
    </row>
    <row r="39" spans="1:10" ht="14.25" customHeight="1">
      <c r="A39" s="118">
        <f t="shared" si="1"/>
        <v>31</v>
      </c>
      <c r="B39" s="118">
        <f>A$29</f>
        <v>21</v>
      </c>
      <c r="C39" s="118">
        <v>10</v>
      </c>
      <c r="D39" s="119" t="s">
        <v>582</v>
      </c>
      <c r="E39" s="120" t="s">
        <v>583</v>
      </c>
      <c r="F39" s="120" t="s">
        <v>540</v>
      </c>
      <c r="G39" s="26" t="s">
        <v>547</v>
      </c>
      <c r="J39" t="str">
        <f t="shared" si="0"/>
        <v>datatable[30] = new Array("31","21","Justice Canada","10","Government.png");</v>
      </c>
    </row>
    <row r="40" spans="1:10" ht="14.25" customHeight="1">
      <c r="A40" s="118">
        <f t="shared" si="1"/>
        <v>32</v>
      </c>
      <c r="B40" s="118">
        <f>A$31</f>
        <v>23</v>
      </c>
      <c r="C40" s="118">
        <v>10</v>
      </c>
      <c r="D40" s="119" t="s">
        <v>584</v>
      </c>
      <c r="E40" s="120" t="s">
        <v>585</v>
      </c>
      <c r="F40" s="120" t="s">
        <v>540</v>
      </c>
      <c r="G40" s="26" t="s">
        <v>547</v>
      </c>
      <c r="J40" t="str">
        <f t="shared" si="0"/>
        <v>datatable[31] = new Array("32","23","ECCC","10","Government.png");</v>
      </c>
    </row>
    <row r="41" spans="1:10" ht="14.25" customHeight="1">
      <c r="A41" s="118">
        <f t="shared" si="1"/>
        <v>33</v>
      </c>
      <c r="B41" s="118">
        <f>A$31</f>
        <v>23</v>
      </c>
      <c r="C41" s="118">
        <v>10</v>
      </c>
      <c r="D41" s="119" t="s">
        <v>586</v>
      </c>
      <c r="E41" s="120" t="s">
        <v>587</v>
      </c>
      <c r="F41" s="120" t="s">
        <v>540</v>
      </c>
      <c r="G41" s="26" t="s">
        <v>547</v>
      </c>
      <c r="J41" t="str">
        <f t="shared" si="0"/>
        <v>datatable[32] = new Array("33","23","NRCAN","10","Government.png");</v>
      </c>
    </row>
    <row r="42" spans="1:10" ht="14.25" customHeight="1">
      <c r="A42" s="118">
        <f t="shared" si="1"/>
        <v>34</v>
      </c>
      <c r="B42" s="118">
        <f>A$31</f>
        <v>23</v>
      </c>
      <c r="C42" s="118">
        <v>10</v>
      </c>
      <c r="D42" s="119" t="s">
        <v>588</v>
      </c>
      <c r="E42" s="120" t="s">
        <v>589</v>
      </c>
      <c r="F42" s="120" t="s">
        <v>540</v>
      </c>
      <c r="G42" s="26" t="s">
        <v>547</v>
      </c>
      <c r="J42" t="str">
        <f t="shared" si="0"/>
        <v>datatable[33] = new Array("34","23","DND","10","Government.png");</v>
      </c>
    </row>
    <row r="43" spans="1:10" ht="14.25" customHeight="1">
      <c r="A43" s="118">
        <f t="shared" si="1"/>
        <v>35</v>
      </c>
      <c r="B43" s="118">
        <f>A33</f>
        <v>25</v>
      </c>
      <c r="C43" s="118">
        <v>11</v>
      </c>
      <c r="D43" s="119" t="s">
        <v>590</v>
      </c>
      <c r="E43" s="120" t="s">
        <v>591</v>
      </c>
      <c r="F43" s="120" t="s">
        <v>542</v>
      </c>
      <c r="G43" s="26" t="s">
        <v>547</v>
      </c>
      <c r="J43" t="str">
        <f t="shared" si="0"/>
        <v>datatable[34] = new Array("35","25","RAM per Person per FY and Phase","11","Government.png");</v>
      </c>
    </row>
    <row r="44" spans="1:10" ht="14.25" customHeight="1">
      <c r="A44" s="118">
        <f t="shared" si="1"/>
        <v>36</v>
      </c>
      <c r="B44" s="118">
        <f>A$33</f>
        <v>25</v>
      </c>
      <c r="C44" s="118">
        <v>11</v>
      </c>
      <c r="D44" s="119" t="s">
        <v>592</v>
      </c>
      <c r="E44" s="120" t="s">
        <v>593</v>
      </c>
      <c r="F44" s="120" t="s">
        <v>542</v>
      </c>
      <c r="G44" s="26" t="s">
        <v>547</v>
      </c>
      <c r="J44" t="str">
        <f t="shared" si="0"/>
        <v>datatable[35] = new Array("36","25","PSPC Procurement Services","11","Government.png");</v>
      </c>
    </row>
    <row r="45" spans="1:10" ht="14.25" customHeight="1">
      <c r="A45" s="118">
        <f t="shared" si="1"/>
        <v>37</v>
      </c>
      <c r="B45" s="118">
        <f>A$33</f>
        <v>25</v>
      </c>
      <c r="C45" s="118">
        <v>11</v>
      </c>
      <c r="D45" s="119" t="s">
        <v>594</v>
      </c>
      <c r="E45" s="120" t="s">
        <v>595</v>
      </c>
      <c r="F45" s="120" t="s">
        <v>542</v>
      </c>
      <c r="G45" s="26" t="s">
        <v>547</v>
      </c>
      <c r="J45" t="str">
        <f t="shared" si="0"/>
        <v>datatable[36] = new Array("37","25","PSPC Fairness Monitor","11","Government.png");</v>
      </c>
    </row>
    <row r="46" spans="1:10" ht="14.25" customHeight="1">
      <c r="A46" s="118">
        <f t="shared" si="1"/>
        <v>38</v>
      </c>
      <c r="B46" s="118">
        <f>A39</f>
        <v>31</v>
      </c>
      <c r="C46" s="118">
        <v>11</v>
      </c>
      <c r="D46" s="119" t="s">
        <v>596</v>
      </c>
      <c r="E46" s="120" t="s">
        <v>597</v>
      </c>
      <c r="F46" s="120" t="s">
        <v>542</v>
      </c>
      <c r="G46" s="26" t="s">
        <v>547</v>
      </c>
      <c r="J46" t="str">
        <f t="shared" si="0"/>
        <v>datatable[37] = new Array("38","31","Legal Services","11","Government.png");</v>
      </c>
    </row>
    <row r="47" spans="1:10" ht="14.25" customHeight="1">
      <c r="A47" s="118">
        <f t="shared" si="1"/>
        <v>39</v>
      </c>
      <c r="B47" s="118">
        <f>A30</f>
        <v>22</v>
      </c>
      <c r="C47" s="118">
        <v>8</v>
      </c>
      <c r="D47" s="119" t="s">
        <v>598</v>
      </c>
      <c r="E47" s="120" t="s">
        <v>599</v>
      </c>
      <c r="F47" s="120" t="s">
        <v>535</v>
      </c>
      <c r="G47" s="26" t="s">
        <v>547</v>
      </c>
      <c r="J47" t="str">
        <f t="shared" si="0"/>
        <v>datatable[38] = new Array("39","22","CSA Overhead","8","Government.png");</v>
      </c>
    </row>
    <row r="48" spans="1:10" ht="14.25" customHeight="1">
      <c r="A48" s="118">
        <f t="shared" si="1"/>
        <v>40</v>
      </c>
      <c r="B48" s="118">
        <f t="shared" ref="B48:B57" si="4">A$42</f>
        <v>34</v>
      </c>
      <c r="C48" s="118">
        <v>9</v>
      </c>
      <c r="D48" s="120" t="s">
        <v>600</v>
      </c>
      <c r="E48" s="120" t="s">
        <v>601</v>
      </c>
      <c r="F48" s="120" t="s">
        <v>538</v>
      </c>
      <c r="G48" s="26" t="s">
        <v>547</v>
      </c>
      <c r="J48" t="str">
        <f t="shared" si="0"/>
        <v>datatable[39] = new Array("40","34","IS Management Overhead ","9","Government.png");</v>
      </c>
    </row>
    <row r="49" spans="1:10" ht="14.25" customHeight="1">
      <c r="A49" s="118">
        <f t="shared" si="1"/>
        <v>41</v>
      </c>
      <c r="B49" s="118">
        <f t="shared" si="4"/>
        <v>34</v>
      </c>
      <c r="C49" s="118">
        <v>9</v>
      </c>
      <c r="D49" s="120" t="s">
        <v>602</v>
      </c>
      <c r="E49" s="120" t="s">
        <v>603</v>
      </c>
      <c r="F49" s="120" t="s">
        <v>538</v>
      </c>
      <c r="G49" s="26" t="s">
        <v>547</v>
      </c>
      <c r="J49" t="str">
        <f t="shared" si="0"/>
        <v>datatable[40] = new Array("41","34","Management Consulting Services","9","Government.png");</v>
      </c>
    </row>
    <row r="50" spans="1:10" ht="14.25" customHeight="1">
      <c r="A50" s="118">
        <f t="shared" si="1"/>
        <v>42</v>
      </c>
      <c r="B50" s="118">
        <f t="shared" si="4"/>
        <v>34</v>
      </c>
      <c r="C50" s="118">
        <v>9</v>
      </c>
      <c r="D50" s="120" t="s">
        <v>604</v>
      </c>
      <c r="E50" s="120" t="s">
        <v>605</v>
      </c>
      <c r="F50" s="120" t="s">
        <v>538</v>
      </c>
      <c r="G50" s="26" t="s">
        <v>547</v>
      </c>
      <c r="J50" t="str">
        <f t="shared" si="0"/>
        <v>datatable[41] = new Array("42","34","Temporary Help","9","Government.png");</v>
      </c>
    </row>
    <row r="51" spans="1:10" ht="14.25" customHeight="1">
      <c r="A51" s="118">
        <f t="shared" si="1"/>
        <v>43</v>
      </c>
      <c r="B51" s="118">
        <f t="shared" si="4"/>
        <v>34</v>
      </c>
      <c r="C51" s="118">
        <v>9</v>
      </c>
      <c r="D51" s="120" t="s">
        <v>606</v>
      </c>
      <c r="E51" s="120" t="s">
        <v>607</v>
      </c>
      <c r="F51" s="120" t="s">
        <v>538</v>
      </c>
      <c r="G51" s="26" t="s">
        <v>547</v>
      </c>
      <c r="H51" s="26" t="s">
        <v>608</v>
      </c>
      <c r="J51" t="str">
        <f t="shared" si="0"/>
        <v>datatable[42] = new Array("43","34","Students","9","Government.png");</v>
      </c>
    </row>
    <row r="52" spans="1:10" ht="14.25" customHeight="1">
      <c r="A52" s="118">
        <f t="shared" si="1"/>
        <v>44</v>
      </c>
      <c r="B52" s="118">
        <f t="shared" si="4"/>
        <v>34</v>
      </c>
      <c r="C52" s="118">
        <v>9</v>
      </c>
      <c r="D52" s="120" t="s">
        <v>609</v>
      </c>
      <c r="E52" s="120" t="s">
        <v>610</v>
      </c>
      <c r="F52" s="120" t="s">
        <v>538</v>
      </c>
      <c r="G52" s="26" t="s">
        <v>547</v>
      </c>
      <c r="H52" s="26" t="s">
        <v>611</v>
      </c>
      <c r="J52" t="str">
        <f t="shared" si="0"/>
        <v>datatable[43] = new Array("44","34","Government Travel &amp; Living","9","Government.png");</v>
      </c>
    </row>
    <row r="53" spans="1:10" ht="14.25" customHeight="1">
      <c r="A53" s="118">
        <f t="shared" si="1"/>
        <v>45</v>
      </c>
      <c r="B53" s="118">
        <f t="shared" si="4"/>
        <v>34</v>
      </c>
      <c r="C53" s="118">
        <v>9</v>
      </c>
      <c r="D53" s="120" t="s">
        <v>612</v>
      </c>
      <c r="E53" s="120" t="s">
        <v>613</v>
      </c>
      <c r="F53" s="120" t="s">
        <v>538</v>
      </c>
      <c r="G53" s="26" t="s">
        <v>547</v>
      </c>
      <c r="H53" s="26" t="s">
        <v>614</v>
      </c>
      <c r="J53" t="str">
        <f t="shared" si="0"/>
        <v>datatable[44] = new Array("45","34","Translation","9","Government.png");</v>
      </c>
    </row>
    <row r="54" spans="1:10" ht="14.25" customHeight="1">
      <c r="A54" s="118">
        <f t="shared" si="1"/>
        <v>46</v>
      </c>
      <c r="B54" s="118">
        <f t="shared" si="4"/>
        <v>34</v>
      </c>
      <c r="C54" s="118">
        <v>9</v>
      </c>
      <c r="D54" s="120" t="s">
        <v>615</v>
      </c>
      <c r="E54" s="120" t="s">
        <v>616</v>
      </c>
      <c r="F54" s="120" t="s">
        <v>538</v>
      </c>
      <c r="G54" s="26" t="s">
        <v>547</v>
      </c>
      <c r="H54" s="26" t="s">
        <v>617</v>
      </c>
      <c r="J54" t="str">
        <f t="shared" si="0"/>
        <v>datatable[45] = new Array("46","34","Shipping","9","Government.png");</v>
      </c>
    </row>
    <row r="55" spans="1:10" ht="14.25" customHeight="1">
      <c r="A55" s="118">
        <f t="shared" si="1"/>
        <v>47</v>
      </c>
      <c r="B55" s="118">
        <f t="shared" si="4"/>
        <v>34</v>
      </c>
      <c r="C55" s="118">
        <v>9</v>
      </c>
      <c r="D55" s="120" t="s">
        <v>618</v>
      </c>
      <c r="E55" s="120" t="s">
        <v>619</v>
      </c>
      <c r="F55" s="120" t="s">
        <v>538</v>
      </c>
      <c r="G55" s="26" t="s">
        <v>547</v>
      </c>
      <c r="H55" s="26" t="s">
        <v>620</v>
      </c>
      <c r="J55" t="str">
        <f t="shared" si="0"/>
        <v>datatable[46] = new Array("47","34","Software Licenses","9","Government.png");</v>
      </c>
    </row>
    <row r="56" spans="1:10" ht="14.25" customHeight="1">
      <c r="A56" s="118">
        <f t="shared" si="1"/>
        <v>48</v>
      </c>
      <c r="B56" s="118">
        <f t="shared" si="4"/>
        <v>34</v>
      </c>
      <c r="C56" s="118">
        <v>9</v>
      </c>
      <c r="D56" s="120" t="s">
        <v>621</v>
      </c>
      <c r="E56" s="120" t="s">
        <v>622</v>
      </c>
      <c r="F56" s="120" t="s">
        <v>538</v>
      </c>
      <c r="G56" s="26" t="s">
        <v>547</v>
      </c>
      <c r="H56" s="26" t="s">
        <v>623</v>
      </c>
      <c r="J56" t="str">
        <f t="shared" si="0"/>
        <v>datatable[47] = new Array("48","34","Public Outreach and STEM initiatives","9","Government.png");</v>
      </c>
    </row>
    <row r="57" spans="1:10" ht="14.25" customHeight="1">
      <c r="A57" s="118">
        <f t="shared" si="1"/>
        <v>49</v>
      </c>
      <c r="B57" s="118">
        <f t="shared" si="4"/>
        <v>34</v>
      </c>
      <c r="C57" s="118">
        <v>9</v>
      </c>
      <c r="D57" s="120" t="s">
        <v>624</v>
      </c>
      <c r="E57" s="120" t="s">
        <v>625</v>
      </c>
      <c r="F57" s="120" t="s">
        <v>538</v>
      </c>
      <c r="G57" s="26" t="s">
        <v>547</v>
      </c>
      <c r="H57" s="26" t="s">
        <v>626</v>
      </c>
      <c r="J57" t="str">
        <f t="shared" si="0"/>
        <v>datatable[48] = new Array("49","34","Other Overhead (Specify)","9","Government.png");</v>
      </c>
    </row>
    <row r="58" spans="1:10" ht="14.25" customHeight="1">
      <c r="A58" s="118">
        <f t="shared" si="1"/>
        <v>50</v>
      </c>
      <c r="B58" s="118">
        <f>A$44</f>
        <v>36</v>
      </c>
      <c r="C58" s="118">
        <v>10</v>
      </c>
      <c r="D58" s="120" t="s">
        <v>627</v>
      </c>
      <c r="E58" s="120" t="s">
        <v>628</v>
      </c>
      <c r="F58" s="120" t="s">
        <v>540</v>
      </c>
      <c r="G58" s="26" t="s">
        <v>547</v>
      </c>
      <c r="J58" t="str">
        <f t="shared" si="0"/>
        <v>datatable[49] = new Array("50","36","Consultants - Industrial Space Experts","10","Government.png");</v>
      </c>
    </row>
    <row r="59" spans="1:10" ht="14.25" customHeight="1">
      <c r="A59" s="118">
        <f t="shared" si="1"/>
        <v>51</v>
      </c>
      <c r="B59" s="118">
        <f>A$44</f>
        <v>36</v>
      </c>
      <c r="C59" s="118">
        <v>10</v>
      </c>
      <c r="D59" s="120" t="s">
        <v>629</v>
      </c>
      <c r="E59" s="120" t="s">
        <v>630</v>
      </c>
      <c r="F59" s="120" t="s">
        <v>540</v>
      </c>
      <c r="G59" s="26" t="s">
        <v>547</v>
      </c>
      <c r="J59" t="str">
        <f t="shared" si="0"/>
        <v>datatable[50] = new Array("51","36","Consultants - Academia","10","Government.png");</v>
      </c>
    </row>
    <row r="60" spans="1:10" ht="14.25" customHeight="1">
      <c r="A60" s="118">
        <f t="shared" si="1"/>
        <v>52</v>
      </c>
      <c r="B60" s="118">
        <f>A$44</f>
        <v>36</v>
      </c>
      <c r="C60" s="118">
        <v>10</v>
      </c>
      <c r="D60" s="120" t="s">
        <v>631</v>
      </c>
      <c r="E60" s="120" t="s">
        <v>632</v>
      </c>
      <c r="F60" s="120" t="s">
        <v>540</v>
      </c>
      <c r="G60" s="26" t="s">
        <v>547</v>
      </c>
      <c r="J60" t="str">
        <f t="shared" si="0"/>
        <v>datatable[51] = new Array("52","36","Consultants - Non-Space Experts","10","Government.png");</v>
      </c>
    </row>
    <row r="61" spans="1:10" ht="14.25" customHeight="1">
      <c r="A61" s="121">
        <f t="shared" si="1"/>
        <v>53</v>
      </c>
      <c r="B61" s="121">
        <v>12</v>
      </c>
      <c r="C61" s="121">
        <v>6</v>
      </c>
      <c r="D61" s="122" t="s">
        <v>633</v>
      </c>
      <c r="E61" s="122"/>
      <c r="F61" s="123" t="s">
        <v>531</v>
      </c>
      <c r="G61" s="26" t="s">
        <v>634</v>
      </c>
      <c r="J61" t="str">
        <f t="shared" si="0"/>
        <v>datatable[52] = new Array("53","12","Mission SEITPM and Support Equipment","6","SEITPM.png");</v>
      </c>
    </row>
    <row r="62" spans="1:10" ht="14.25" customHeight="1">
      <c r="A62" s="121">
        <f t="shared" si="1"/>
        <v>54</v>
      </c>
      <c r="B62" s="121">
        <f>A$56</f>
        <v>48</v>
      </c>
      <c r="C62" s="121">
        <v>7</v>
      </c>
      <c r="D62" s="122" t="s">
        <v>635</v>
      </c>
      <c r="E62" s="123"/>
      <c r="F62" s="123" t="s">
        <v>533</v>
      </c>
      <c r="G62" s="26" t="s">
        <v>634</v>
      </c>
      <c r="J62" t="str">
        <f t="shared" si="0"/>
        <v>datatable[53] = new Array("54","48","Project Management","7","SEITPM.png");</v>
      </c>
    </row>
    <row r="63" spans="1:10" ht="14.25" customHeight="1">
      <c r="A63" s="121">
        <f t="shared" si="1"/>
        <v>55</v>
      </c>
      <c r="B63" s="121">
        <f>A$56</f>
        <v>48</v>
      </c>
      <c r="C63" s="121">
        <v>7</v>
      </c>
      <c r="D63" s="122" t="s">
        <v>636</v>
      </c>
      <c r="E63" s="123"/>
      <c r="F63" s="123" t="s">
        <v>533</v>
      </c>
      <c r="G63" s="26" t="s">
        <v>634</v>
      </c>
      <c r="J63" t="str">
        <f t="shared" si="0"/>
        <v>datatable[54] = new Array("55","48","Systems Engineering","7","SEITPM.png");</v>
      </c>
    </row>
    <row r="64" spans="1:10" ht="14.25" customHeight="1">
      <c r="A64" s="121">
        <f t="shared" si="1"/>
        <v>56</v>
      </c>
      <c r="B64" s="121">
        <f>A$56</f>
        <v>48</v>
      </c>
      <c r="C64" s="121">
        <v>7</v>
      </c>
      <c r="D64" s="122" t="s">
        <v>637</v>
      </c>
      <c r="E64" s="123"/>
      <c r="F64" s="123" t="s">
        <v>533</v>
      </c>
      <c r="G64" s="26" t="s">
        <v>634</v>
      </c>
      <c r="J64" t="str">
        <f t="shared" si="0"/>
        <v>datatable[55] = new Array("56","48","Mission Assurance","7","SEITPM.png");</v>
      </c>
    </row>
    <row r="65" spans="1:10" ht="14.25" customHeight="1">
      <c r="A65" s="121">
        <f t="shared" si="1"/>
        <v>57</v>
      </c>
      <c r="B65" s="121">
        <f>A$56</f>
        <v>48</v>
      </c>
      <c r="C65" s="121">
        <v>7</v>
      </c>
      <c r="D65" s="122" t="s">
        <v>638</v>
      </c>
      <c r="E65" s="123"/>
      <c r="F65" s="123" t="s">
        <v>533</v>
      </c>
      <c r="G65" s="26" t="s">
        <v>634</v>
      </c>
      <c r="J65" t="str">
        <f t="shared" si="0"/>
        <v>datatable[56] = new Array("57","48","Assembly, Integration and Testing","7","SEITPM.png");</v>
      </c>
    </row>
    <row r="66" spans="1:10" ht="14.25" customHeight="1">
      <c r="A66" s="121">
        <f t="shared" si="1"/>
        <v>58</v>
      </c>
      <c r="B66" s="121">
        <f>A$56</f>
        <v>48</v>
      </c>
      <c r="C66" s="121">
        <v>7</v>
      </c>
      <c r="D66" s="122" t="s">
        <v>639</v>
      </c>
      <c r="E66" s="123"/>
      <c r="F66" s="123" t="s">
        <v>533</v>
      </c>
      <c r="G66" s="26" t="s">
        <v>634</v>
      </c>
      <c r="J66" t="str">
        <f t="shared" si="0"/>
        <v>datatable[57] = new Array("58","48","Support Equipment","7","SEITPM.png");</v>
      </c>
    </row>
    <row r="67" spans="1:10" ht="14.25" customHeight="1">
      <c r="A67" s="124">
        <f t="shared" si="1"/>
        <v>59</v>
      </c>
      <c r="B67" s="124">
        <f>A24</f>
        <v>16</v>
      </c>
      <c r="C67" s="124">
        <v>7</v>
      </c>
      <c r="D67" s="125" t="s">
        <v>640</v>
      </c>
      <c r="E67" s="125"/>
      <c r="F67" s="125" t="s">
        <v>533</v>
      </c>
      <c r="G67" s="26" t="s">
        <v>527</v>
      </c>
      <c r="J67" t="str">
        <f t="shared" si="0"/>
        <v>datatable[58] = new Array("59","16","Space Vehicle 1 … i","7","Satellite.png");</v>
      </c>
    </row>
    <row r="68" spans="1:10" ht="14.25" customHeight="1">
      <c r="A68" s="124">
        <f t="shared" si="1"/>
        <v>60</v>
      </c>
      <c r="B68" s="124">
        <f>A67</f>
        <v>59</v>
      </c>
      <c r="C68" s="124">
        <v>8</v>
      </c>
      <c r="D68" s="125" t="s">
        <v>641</v>
      </c>
      <c r="E68" s="125"/>
      <c r="F68" s="125" t="s">
        <v>535</v>
      </c>
      <c r="G68" s="26" t="s">
        <v>634</v>
      </c>
      <c r="J68" t="str">
        <f t="shared" si="0"/>
        <v>datatable[59] = new Array("60","59","Spacecraft SEITPM and Support Equipment","8","SEITPM.png");</v>
      </c>
    </row>
    <row r="69" spans="1:10" ht="14.25" customHeight="1">
      <c r="A69" s="124">
        <f t="shared" si="1"/>
        <v>61</v>
      </c>
      <c r="B69" s="124">
        <f>A$63</f>
        <v>55</v>
      </c>
      <c r="C69" s="124">
        <v>9</v>
      </c>
      <c r="D69" s="125" t="s">
        <v>635</v>
      </c>
      <c r="E69" s="125"/>
      <c r="F69" s="125" t="s">
        <v>538</v>
      </c>
      <c r="G69" s="26" t="s">
        <v>634</v>
      </c>
      <c r="J69" t="str">
        <f t="shared" si="0"/>
        <v>datatable[60] = new Array("61","55","Project Management","9","SEITPM.png");</v>
      </c>
    </row>
    <row r="70" spans="1:10" ht="14.25" customHeight="1">
      <c r="A70" s="124">
        <f t="shared" si="1"/>
        <v>62</v>
      </c>
      <c r="B70" s="124">
        <f>A$63</f>
        <v>55</v>
      </c>
      <c r="C70" s="124">
        <v>9</v>
      </c>
      <c r="D70" s="125" t="s">
        <v>636</v>
      </c>
      <c r="E70" s="125"/>
      <c r="F70" s="125" t="s">
        <v>538</v>
      </c>
      <c r="G70" s="26" t="s">
        <v>634</v>
      </c>
      <c r="J70" t="str">
        <f t="shared" si="0"/>
        <v>datatable[61] = new Array("62","55","Systems Engineering","9","SEITPM.png");</v>
      </c>
    </row>
    <row r="71" spans="1:10" ht="14.25" customHeight="1">
      <c r="A71" s="124">
        <f t="shared" si="1"/>
        <v>63</v>
      </c>
      <c r="B71" s="124">
        <f>A$63</f>
        <v>55</v>
      </c>
      <c r="C71" s="124">
        <v>9</v>
      </c>
      <c r="D71" s="125" t="s">
        <v>637</v>
      </c>
      <c r="E71" s="125"/>
      <c r="F71" s="125" t="s">
        <v>538</v>
      </c>
      <c r="G71" s="26" t="s">
        <v>634</v>
      </c>
      <c r="J71" t="str">
        <f t="shared" si="0"/>
        <v>datatable[62] = new Array("63","55","Mission Assurance","9","SEITPM.png");</v>
      </c>
    </row>
    <row r="72" spans="1:10" ht="14.25" customHeight="1">
      <c r="A72" s="124">
        <f t="shared" si="1"/>
        <v>64</v>
      </c>
      <c r="B72" s="124">
        <f>A$63</f>
        <v>55</v>
      </c>
      <c r="C72" s="124">
        <v>9</v>
      </c>
      <c r="D72" s="125" t="s">
        <v>638</v>
      </c>
      <c r="E72" s="125"/>
      <c r="F72" s="125" t="s">
        <v>538</v>
      </c>
      <c r="G72" s="26" t="s">
        <v>634</v>
      </c>
      <c r="J72" t="str">
        <f t="shared" si="0"/>
        <v>datatable[63] = new Array("64","55","Assembly, Integration and Testing","9","SEITPM.png");</v>
      </c>
    </row>
    <row r="73" spans="1:10" ht="14.25" customHeight="1">
      <c r="A73" s="124">
        <f t="shared" si="1"/>
        <v>65</v>
      </c>
      <c r="B73" s="124">
        <f>A$63</f>
        <v>55</v>
      </c>
      <c r="C73" s="124">
        <v>9</v>
      </c>
      <c r="D73" s="125" t="s">
        <v>639</v>
      </c>
      <c r="E73" s="125"/>
      <c r="F73" s="125" t="s">
        <v>538</v>
      </c>
      <c r="G73" s="26" t="s">
        <v>634</v>
      </c>
      <c r="J73" t="str">
        <f t="shared" ref="J73:J136" si="5">"datatable["&amp;A73-1&amp;"] = new Array(""" &amp; A73 &amp;""",""" &amp; B73 &amp;""",""" &amp; D73 &amp; """,""" &amp; C73&amp;""","""&amp;""&amp;G73&amp;""");"</f>
        <v>datatable[64] = new Array("65","55","Support Equipment","9","SEITPM.png");</v>
      </c>
    </row>
    <row r="74" spans="1:10" ht="14.25" customHeight="1">
      <c r="A74" s="124">
        <f t="shared" si="1"/>
        <v>66</v>
      </c>
      <c r="B74" s="124">
        <f>A67</f>
        <v>59</v>
      </c>
      <c r="C74" s="124">
        <v>8</v>
      </c>
      <c r="D74" s="125" t="s">
        <v>642</v>
      </c>
      <c r="E74" s="125"/>
      <c r="F74" s="125" t="s">
        <v>535</v>
      </c>
      <c r="G74" s="26" t="s">
        <v>643</v>
      </c>
      <c r="J74" t="str">
        <f t="shared" si="5"/>
        <v>datatable[65] = new Array("66","59","Bus/Platform","8","Widget.png");</v>
      </c>
    </row>
    <row r="75" spans="1:10" ht="14.25" customHeight="1">
      <c r="A75" s="124">
        <f t="shared" ref="A75:A138" si="6">A74+1</f>
        <v>67</v>
      </c>
      <c r="B75" s="124">
        <f>A74</f>
        <v>66</v>
      </c>
      <c r="C75" s="124">
        <v>9</v>
      </c>
      <c r="D75" s="125" t="s">
        <v>644</v>
      </c>
      <c r="E75" s="125"/>
      <c r="F75" s="125" t="s">
        <v>538</v>
      </c>
      <c r="G75" s="26" t="s">
        <v>634</v>
      </c>
      <c r="J75" t="str">
        <f t="shared" si="5"/>
        <v>datatable[66] = new Array("67","66","Platform SEITPM and Support Equipment","9","SEITPM.png");</v>
      </c>
    </row>
    <row r="76" spans="1:10" ht="14.25" customHeight="1">
      <c r="A76" s="124">
        <f t="shared" si="6"/>
        <v>68</v>
      </c>
      <c r="B76" s="124">
        <f>A$70</f>
        <v>62</v>
      </c>
      <c r="C76" s="124">
        <v>10</v>
      </c>
      <c r="D76" s="125" t="s">
        <v>635</v>
      </c>
      <c r="E76" s="125"/>
      <c r="F76" s="125" t="s">
        <v>540</v>
      </c>
      <c r="G76" s="26" t="s">
        <v>634</v>
      </c>
      <c r="J76" t="str">
        <f t="shared" si="5"/>
        <v>datatable[67] = new Array("68","62","Project Management","10","SEITPM.png");</v>
      </c>
    </row>
    <row r="77" spans="1:10" ht="14.25" customHeight="1">
      <c r="A77" s="124">
        <f t="shared" si="6"/>
        <v>69</v>
      </c>
      <c r="B77" s="124">
        <f>A$70</f>
        <v>62</v>
      </c>
      <c r="C77" s="124">
        <v>10</v>
      </c>
      <c r="D77" s="125" t="s">
        <v>636</v>
      </c>
      <c r="E77" s="125"/>
      <c r="F77" s="125" t="s">
        <v>540</v>
      </c>
      <c r="G77" s="26" t="s">
        <v>634</v>
      </c>
      <c r="J77" t="str">
        <f t="shared" si="5"/>
        <v>datatable[68] = new Array("69","62","Systems Engineering","10","SEITPM.png");</v>
      </c>
    </row>
    <row r="78" spans="1:10" ht="14.25" customHeight="1">
      <c r="A78" s="124">
        <f t="shared" si="6"/>
        <v>70</v>
      </c>
      <c r="B78" s="124">
        <f>A$70</f>
        <v>62</v>
      </c>
      <c r="C78" s="124">
        <v>10</v>
      </c>
      <c r="D78" s="125" t="s">
        <v>637</v>
      </c>
      <c r="E78" s="125"/>
      <c r="F78" s="125" t="s">
        <v>540</v>
      </c>
      <c r="G78" s="26" t="s">
        <v>634</v>
      </c>
      <c r="J78" t="str">
        <f t="shared" si="5"/>
        <v>datatable[69] = new Array("70","62","Mission Assurance","10","SEITPM.png");</v>
      </c>
    </row>
    <row r="79" spans="1:10" ht="14.25" customHeight="1">
      <c r="A79" s="124">
        <f t="shared" si="6"/>
        <v>71</v>
      </c>
      <c r="B79" s="124">
        <f>A$70</f>
        <v>62</v>
      </c>
      <c r="C79" s="124">
        <v>10</v>
      </c>
      <c r="D79" s="125" t="s">
        <v>638</v>
      </c>
      <c r="E79" s="125"/>
      <c r="F79" s="125" t="s">
        <v>540</v>
      </c>
      <c r="G79" s="26" t="s">
        <v>634</v>
      </c>
      <c r="J79" t="str">
        <f t="shared" si="5"/>
        <v>datatable[70] = new Array("71","62","Assembly, Integration and Testing","10","SEITPM.png");</v>
      </c>
    </row>
    <row r="80" spans="1:10" ht="14.25" customHeight="1">
      <c r="A80" s="124">
        <f t="shared" si="6"/>
        <v>72</v>
      </c>
      <c r="B80" s="124">
        <f>A$70</f>
        <v>62</v>
      </c>
      <c r="C80" s="124">
        <v>10</v>
      </c>
      <c r="D80" s="125" t="s">
        <v>639</v>
      </c>
      <c r="E80" s="125"/>
      <c r="F80" s="125" t="s">
        <v>540</v>
      </c>
      <c r="G80" s="26" t="s">
        <v>634</v>
      </c>
      <c r="J80" t="str">
        <f t="shared" si="5"/>
        <v>datatable[71] = new Array("72","62","Support Equipment","10","SEITPM.png");</v>
      </c>
    </row>
    <row r="81" spans="1:10" ht="14.25" customHeight="1">
      <c r="A81" s="124">
        <f t="shared" si="6"/>
        <v>73</v>
      </c>
      <c r="B81" s="124">
        <f>A$69</f>
        <v>61</v>
      </c>
      <c r="C81" s="124">
        <v>9</v>
      </c>
      <c r="D81" s="125" t="s">
        <v>645</v>
      </c>
      <c r="E81" s="125"/>
      <c r="F81" s="125" t="s">
        <v>538</v>
      </c>
      <c r="G81" s="26" t="s">
        <v>643</v>
      </c>
      <c r="J81" t="str">
        <f t="shared" si="5"/>
        <v>datatable[72] = new Array("73","61","Structures and Mechanisms Subsystem (SMS)","9","Widget.png");</v>
      </c>
    </row>
    <row r="82" spans="1:10" ht="14.25" customHeight="1">
      <c r="A82" s="124">
        <f t="shared" si="6"/>
        <v>74</v>
      </c>
      <c r="B82" s="124">
        <f>A$76</f>
        <v>68</v>
      </c>
      <c r="C82" s="124">
        <v>10</v>
      </c>
      <c r="D82" s="125" t="s">
        <v>646</v>
      </c>
      <c r="E82" s="125"/>
      <c r="F82" s="125" t="s">
        <v>540</v>
      </c>
      <c r="G82" s="26" t="s">
        <v>634</v>
      </c>
      <c r="J82" t="str">
        <f t="shared" si="5"/>
        <v>datatable[73] = new Array("74","68","Structures and Mechanisms Subsystem SEITPM","10","SEITPM.png");</v>
      </c>
    </row>
    <row r="83" spans="1:10" ht="14.25" customHeight="1">
      <c r="A83" s="124">
        <f t="shared" si="6"/>
        <v>75</v>
      </c>
      <c r="B83" s="124">
        <f>A$77</f>
        <v>69</v>
      </c>
      <c r="C83" s="124">
        <v>11</v>
      </c>
      <c r="D83" s="125" t="s">
        <v>635</v>
      </c>
      <c r="E83" s="125"/>
      <c r="F83" s="125" t="s">
        <v>542</v>
      </c>
      <c r="G83" s="26" t="s">
        <v>634</v>
      </c>
      <c r="J83" t="str">
        <f t="shared" si="5"/>
        <v>datatable[74] = new Array("75","69","Project Management","11","SEITPM.png");</v>
      </c>
    </row>
    <row r="84" spans="1:10" ht="14.25" customHeight="1">
      <c r="A84" s="124">
        <f t="shared" si="6"/>
        <v>76</v>
      </c>
      <c r="B84" s="124">
        <f>A$77</f>
        <v>69</v>
      </c>
      <c r="C84" s="124">
        <v>11</v>
      </c>
      <c r="D84" s="125" t="s">
        <v>636</v>
      </c>
      <c r="E84" s="125"/>
      <c r="F84" s="125" t="s">
        <v>542</v>
      </c>
      <c r="G84" s="26" t="s">
        <v>634</v>
      </c>
      <c r="J84" t="str">
        <f t="shared" si="5"/>
        <v>datatable[75] = new Array("76","69","Systems Engineering","11","SEITPM.png");</v>
      </c>
    </row>
    <row r="85" spans="1:10" ht="14.25" customHeight="1">
      <c r="A85" s="124">
        <f t="shared" si="6"/>
        <v>77</v>
      </c>
      <c r="B85" s="124">
        <f>A$77</f>
        <v>69</v>
      </c>
      <c r="C85" s="124">
        <v>11</v>
      </c>
      <c r="D85" s="125" t="s">
        <v>637</v>
      </c>
      <c r="E85" s="125"/>
      <c r="F85" s="125" t="s">
        <v>542</v>
      </c>
      <c r="G85" s="26" t="s">
        <v>634</v>
      </c>
      <c r="J85" t="str">
        <f t="shared" si="5"/>
        <v>datatable[76] = new Array("77","69","Mission Assurance","11","SEITPM.png");</v>
      </c>
    </row>
    <row r="86" spans="1:10" ht="14.25" customHeight="1">
      <c r="A86" s="124">
        <f t="shared" si="6"/>
        <v>78</v>
      </c>
      <c r="B86" s="124">
        <f>A$77</f>
        <v>69</v>
      </c>
      <c r="C86" s="124">
        <v>11</v>
      </c>
      <c r="D86" s="125" t="s">
        <v>638</v>
      </c>
      <c r="E86" s="125"/>
      <c r="F86" s="125" t="s">
        <v>542</v>
      </c>
      <c r="G86" s="26" t="s">
        <v>634</v>
      </c>
      <c r="J86" t="str">
        <f t="shared" si="5"/>
        <v>datatable[77] = new Array("78","69","Assembly, Integration and Testing","11","SEITPM.png");</v>
      </c>
    </row>
    <row r="87" spans="1:10" ht="14.25" customHeight="1">
      <c r="A87" s="124">
        <f t="shared" si="6"/>
        <v>79</v>
      </c>
      <c r="B87" s="124">
        <f>A$77</f>
        <v>69</v>
      </c>
      <c r="C87" s="124">
        <v>11</v>
      </c>
      <c r="D87" s="125" t="s">
        <v>639</v>
      </c>
      <c r="E87" s="125"/>
      <c r="F87" s="125" t="s">
        <v>542</v>
      </c>
      <c r="G87" s="26" t="s">
        <v>634</v>
      </c>
      <c r="J87" t="str">
        <f t="shared" si="5"/>
        <v>datatable[78] = new Array("79","69","Support Equipment","11","SEITPM.png");</v>
      </c>
    </row>
    <row r="88" spans="1:10" ht="14.25" customHeight="1">
      <c r="A88" s="124">
        <f t="shared" si="6"/>
        <v>80</v>
      </c>
      <c r="B88" s="124">
        <f>A$76</f>
        <v>68</v>
      </c>
      <c r="C88" s="124">
        <v>10</v>
      </c>
      <c r="D88" s="125" t="s">
        <v>647</v>
      </c>
      <c r="E88" s="125"/>
      <c r="F88" s="125" t="s">
        <v>540</v>
      </c>
      <c r="G88" s="26" t="s">
        <v>643</v>
      </c>
      <c r="J88" t="str">
        <f t="shared" si="5"/>
        <v>datatable[79] = new Array("80","68","Primary Structures","10","Widget.png");</v>
      </c>
    </row>
    <row r="89" spans="1:10" ht="14.25" customHeight="1">
      <c r="A89" s="124">
        <f t="shared" si="6"/>
        <v>81</v>
      </c>
      <c r="B89" s="124">
        <f>A$83</f>
        <v>75</v>
      </c>
      <c r="C89" s="124">
        <v>11</v>
      </c>
      <c r="D89" s="125" t="s">
        <v>648</v>
      </c>
      <c r="E89" s="125"/>
      <c r="F89" s="125" t="s">
        <v>542</v>
      </c>
      <c r="G89" s="26" t="s">
        <v>643</v>
      </c>
      <c r="J89" t="str">
        <f t="shared" si="5"/>
        <v>datatable[80] = new Array("81","75","Load Carrying Shell/Truss","11","Widget.png");</v>
      </c>
    </row>
    <row r="90" spans="1:10" ht="14.25" customHeight="1">
      <c r="A90" s="124">
        <f t="shared" si="6"/>
        <v>82</v>
      </c>
      <c r="B90" s="124">
        <f>A$83</f>
        <v>75</v>
      </c>
      <c r="C90" s="124">
        <v>11</v>
      </c>
      <c r="D90" s="125" t="s">
        <v>649</v>
      </c>
      <c r="E90" s="125"/>
      <c r="F90" s="125" t="s">
        <v>542</v>
      </c>
      <c r="G90" s="26" t="s">
        <v>643</v>
      </c>
      <c r="J90" t="str">
        <f t="shared" si="5"/>
        <v>datatable[81] = new Array("82","75","Equipment Compartments","11","Widget.png");</v>
      </c>
    </row>
    <row r="91" spans="1:10" ht="14.25" customHeight="1">
      <c r="A91" s="124">
        <f t="shared" si="6"/>
        <v>83</v>
      </c>
      <c r="B91" s="124">
        <f>A$83</f>
        <v>75</v>
      </c>
      <c r="C91" s="124">
        <v>11</v>
      </c>
      <c r="D91" s="125" t="s">
        <v>650</v>
      </c>
      <c r="E91" s="125"/>
      <c r="F91" s="125" t="s">
        <v>542</v>
      </c>
      <c r="G91" s="26" t="s">
        <v>643</v>
      </c>
      <c r="J91" t="str">
        <f t="shared" si="5"/>
        <v>datatable[82] = new Array("83","75","Booms","11","Widget.png");</v>
      </c>
    </row>
    <row r="92" spans="1:10" ht="14.25" customHeight="1">
      <c r="A92" s="124">
        <f t="shared" si="6"/>
        <v>84</v>
      </c>
      <c r="B92" s="124">
        <f>A$83</f>
        <v>75</v>
      </c>
      <c r="C92" s="124">
        <v>11</v>
      </c>
      <c r="D92" s="125" t="s">
        <v>651</v>
      </c>
      <c r="E92" s="125"/>
      <c r="F92" s="125" t="s">
        <v>542</v>
      </c>
      <c r="G92" s="26" t="s">
        <v>643</v>
      </c>
      <c r="J92" t="str">
        <f t="shared" si="5"/>
        <v>datatable[83] = new Array("84","75","Adapters","11","Widget.png");</v>
      </c>
    </row>
    <row r="93" spans="1:10" ht="14.25" customHeight="1">
      <c r="A93" s="124">
        <f t="shared" si="6"/>
        <v>85</v>
      </c>
      <c r="B93" s="124">
        <f>A$83</f>
        <v>75</v>
      </c>
      <c r="C93" s="124">
        <v>11</v>
      </c>
      <c r="D93" s="125" t="s">
        <v>652</v>
      </c>
      <c r="E93" s="125"/>
      <c r="F93" s="125" t="s">
        <v>542</v>
      </c>
      <c r="G93" s="26" t="s">
        <v>643</v>
      </c>
      <c r="J93" t="str">
        <f t="shared" si="5"/>
        <v>datatable[84] = new Array("85","75","Other Structures (Specify)","11","Widget.png");</v>
      </c>
    </row>
    <row r="94" spans="1:10" ht="14.25" customHeight="1">
      <c r="A94" s="124">
        <f t="shared" si="6"/>
        <v>86</v>
      </c>
      <c r="B94" s="124">
        <f>A$76</f>
        <v>68</v>
      </c>
      <c r="C94" s="124">
        <v>10</v>
      </c>
      <c r="D94" s="125" t="s">
        <v>653</v>
      </c>
      <c r="E94" s="125"/>
      <c r="F94" s="125" t="s">
        <v>540</v>
      </c>
      <c r="G94" s="26" t="s">
        <v>643</v>
      </c>
      <c r="J94" t="str">
        <f t="shared" si="5"/>
        <v>datatable[85] = new Array("86","68","Secondary Structures","10","Widget.png");</v>
      </c>
    </row>
    <row r="95" spans="1:10" ht="14.25" customHeight="1">
      <c r="A95" s="124">
        <f t="shared" si="6"/>
        <v>87</v>
      </c>
      <c r="B95" s="124">
        <f>A$89</f>
        <v>81</v>
      </c>
      <c r="C95" s="124">
        <v>11</v>
      </c>
      <c r="D95" s="125" t="s">
        <v>654</v>
      </c>
      <c r="E95" s="125"/>
      <c r="F95" s="125" t="s">
        <v>542</v>
      </c>
      <c r="G95" s="26" t="s">
        <v>643</v>
      </c>
      <c r="J95" t="str">
        <f t="shared" si="5"/>
        <v>datatable[86] = new Array("87","81","Equipment (Instrument) Mountings","11","Widget.png");</v>
      </c>
    </row>
    <row r="96" spans="1:10" ht="14.25" customHeight="1">
      <c r="A96" s="124">
        <f t="shared" si="6"/>
        <v>88</v>
      </c>
      <c r="B96" s="124">
        <f>A$89</f>
        <v>81</v>
      </c>
      <c r="C96" s="124">
        <v>11</v>
      </c>
      <c r="D96" s="125" t="s">
        <v>655</v>
      </c>
      <c r="E96" s="125"/>
      <c r="F96" s="125" t="s">
        <v>542</v>
      </c>
      <c r="G96" s="26" t="s">
        <v>643</v>
      </c>
      <c r="J96" t="str">
        <f t="shared" si="5"/>
        <v>datatable[87] = new Array("88","81","Ballast Mass","11","Widget.png");</v>
      </c>
    </row>
    <row r="97" spans="1:10" ht="14.25" customHeight="1">
      <c r="A97" s="124">
        <f t="shared" si="6"/>
        <v>89</v>
      </c>
      <c r="B97" s="124">
        <f>A$89</f>
        <v>81</v>
      </c>
      <c r="C97" s="124">
        <v>11</v>
      </c>
      <c r="D97" s="125" t="s">
        <v>656</v>
      </c>
      <c r="E97" s="125"/>
      <c r="F97" s="125" t="s">
        <v>542</v>
      </c>
      <c r="G97" s="26" t="s">
        <v>643</v>
      </c>
      <c r="J97" t="str">
        <f t="shared" si="5"/>
        <v>datatable[88] = new Array("89","81","Other Secondary Structures (Specify)","11","Widget.png");</v>
      </c>
    </row>
    <row r="98" spans="1:10" ht="14.25" customHeight="1">
      <c r="A98" s="124">
        <f t="shared" si="6"/>
        <v>90</v>
      </c>
      <c r="B98" s="124">
        <f>A$76</f>
        <v>68</v>
      </c>
      <c r="C98" s="124">
        <v>10</v>
      </c>
      <c r="D98" s="125" t="s">
        <v>657</v>
      </c>
      <c r="E98" s="125"/>
      <c r="F98" s="125" t="s">
        <v>540</v>
      </c>
      <c r="G98" s="26" t="s">
        <v>643</v>
      </c>
      <c r="J98" t="str">
        <f t="shared" si="5"/>
        <v>datatable[89] = new Array("90","68","Mechanisms and Pyrotechnics","10","Widget.png");</v>
      </c>
    </row>
    <row r="99" spans="1:10" ht="14.25" customHeight="1">
      <c r="A99" s="124">
        <f t="shared" si="6"/>
        <v>91</v>
      </c>
      <c r="B99" s="124">
        <f>A$93</f>
        <v>85</v>
      </c>
      <c r="C99" s="124">
        <v>11</v>
      </c>
      <c r="D99" s="125" t="s">
        <v>658</v>
      </c>
      <c r="E99" s="125"/>
      <c r="F99" s="125" t="s">
        <v>542</v>
      </c>
      <c r="G99" s="26" t="s">
        <v>643</v>
      </c>
      <c r="J99" t="str">
        <f t="shared" si="5"/>
        <v>datatable[90] = new Array("91","85","Positioning","11","Widget.png");</v>
      </c>
    </row>
    <row r="100" spans="1:10" ht="14.25" customHeight="1">
      <c r="A100" s="124">
        <f t="shared" si="6"/>
        <v>92</v>
      </c>
      <c r="B100" s="124">
        <f>A$93</f>
        <v>85</v>
      </c>
      <c r="C100" s="124">
        <v>11</v>
      </c>
      <c r="D100" s="125" t="s">
        <v>659</v>
      </c>
      <c r="E100" s="125"/>
      <c r="F100" s="125" t="s">
        <v>542</v>
      </c>
      <c r="G100" s="26" t="s">
        <v>643</v>
      </c>
      <c r="J100" t="str">
        <f t="shared" si="5"/>
        <v>datatable[91] = new Array("92","85","Deployment and Storage Equipment","11","Widget.png");</v>
      </c>
    </row>
    <row r="101" spans="1:10" ht="14.25" customHeight="1">
      <c r="A101" s="124">
        <f t="shared" si="6"/>
        <v>93</v>
      </c>
      <c r="B101" s="124">
        <f>A$93</f>
        <v>85</v>
      </c>
      <c r="C101" s="124">
        <v>11</v>
      </c>
      <c r="D101" s="125" t="s">
        <v>660</v>
      </c>
      <c r="E101" s="125"/>
      <c r="F101" s="125" t="s">
        <v>542</v>
      </c>
      <c r="G101" s="26" t="s">
        <v>643</v>
      </c>
      <c r="J101" t="str">
        <f t="shared" si="5"/>
        <v>datatable[92] = new Array("93","85","Docking Mechanisms","11","Widget.png");</v>
      </c>
    </row>
    <row r="102" spans="1:10" ht="14.25" customHeight="1">
      <c r="A102" s="124">
        <f t="shared" si="6"/>
        <v>94</v>
      </c>
      <c r="B102" s="124">
        <f>A$93</f>
        <v>85</v>
      </c>
      <c r="C102" s="124">
        <v>11</v>
      </c>
      <c r="D102" s="125" t="s">
        <v>661</v>
      </c>
      <c r="E102" s="125"/>
      <c r="F102" s="125" t="s">
        <v>542</v>
      </c>
      <c r="G102" s="26" t="s">
        <v>643</v>
      </c>
      <c r="J102" t="str">
        <f t="shared" si="5"/>
        <v>datatable[93] = new Array("94","85","Other Mechanisms (Specify)","11","Widget.png");</v>
      </c>
    </row>
    <row r="103" spans="1:10" ht="14.25" customHeight="1">
      <c r="A103" s="124">
        <f t="shared" si="6"/>
        <v>95</v>
      </c>
      <c r="B103" s="124">
        <f>A$93</f>
        <v>85</v>
      </c>
      <c r="C103" s="124">
        <v>11</v>
      </c>
      <c r="D103" s="125" t="s">
        <v>662</v>
      </c>
      <c r="E103" s="125"/>
      <c r="F103" s="125" t="s">
        <v>542</v>
      </c>
      <c r="G103" s="26" t="s">
        <v>643</v>
      </c>
      <c r="J103" t="str">
        <f t="shared" si="5"/>
        <v>datatable[94] = new Array("95","85","Pyrotechnics","11","Widget.png");</v>
      </c>
    </row>
    <row r="104" spans="1:10" ht="14.25" customHeight="1">
      <c r="A104" s="124">
        <f t="shared" si="6"/>
        <v>96</v>
      </c>
      <c r="B104" s="124">
        <f>A$76</f>
        <v>68</v>
      </c>
      <c r="C104" s="124">
        <v>10</v>
      </c>
      <c r="D104" s="125" t="s">
        <v>663</v>
      </c>
      <c r="E104" s="125"/>
      <c r="F104" s="125" t="s">
        <v>540</v>
      </c>
      <c r="G104" s="26" t="s">
        <v>643</v>
      </c>
      <c r="J104" t="str">
        <f t="shared" si="5"/>
        <v>datatable[95] = new Array("96","68","SMS Other (Specify)","10","Widget.png");</v>
      </c>
    </row>
    <row r="105" spans="1:10" ht="14.25" customHeight="1">
      <c r="A105" s="124">
        <f t="shared" si="6"/>
        <v>97</v>
      </c>
      <c r="B105" s="124">
        <f>A$69</f>
        <v>61</v>
      </c>
      <c r="C105" s="124">
        <v>9</v>
      </c>
      <c r="D105" s="125" t="s">
        <v>664</v>
      </c>
      <c r="E105" s="125"/>
      <c r="F105" s="125" t="s">
        <v>538</v>
      </c>
      <c r="G105" s="26" t="s">
        <v>643</v>
      </c>
      <c r="J105" t="str">
        <f t="shared" si="5"/>
        <v>datatable[96] = new Array("97","61","Thermal Control Subsystem (TCS)","9","Widget.png");</v>
      </c>
    </row>
    <row r="106" spans="1:10" ht="14.25" customHeight="1">
      <c r="A106" s="124">
        <f t="shared" si="6"/>
        <v>98</v>
      </c>
      <c r="B106" s="124">
        <f>A$100</f>
        <v>92</v>
      </c>
      <c r="C106" s="124">
        <v>10</v>
      </c>
      <c r="D106" s="125" t="s">
        <v>665</v>
      </c>
      <c r="E106" s="125"/>
      <c r="F106" s="125" t="s">
        <v>540</v>
      </c>
      <c r="G106" s="26" t="s">
        <v>634</v>
      </c>
      <c r="J106" t="str">
        <f t="shared" si="5"/>
        <v>datatable[97] = new Array("98","92","Thermal Control Subsystem SEITPM","10","SEITPM.png");</v>
      </c>
    </row>
    <row r="107" spans="1:10" ht="14.25" customHeight="1">
      <c r="A107" s="124">
        <f t="shared" si="6"/>
        <v>99</v>
      </c>
      <c r="B107" s="124">
        <f>A$101</f>
        <v>93</v>
      </c>
      <c r="C107" s="124">
        <v>11</v>
      </c>
      <c r="D107" s="125" t="s">
        <v>635</v>
      </c>
      <c r="E107" s="125"/>
      <c r="F107" s="125" t="s">
        <v>542</v>
      </c>
      <c r="G107" s="26" t="s">
        <v>634</v>
      </c>
      <c r="J107" t="str">
        <f t="shared" si="5"/>
        <v>datatable[98] = new Array("99","93","Project Management","11","SEITPM.png");</v>
      </c>
    </row>
    <row r="108" spans="1:10" ht="14.25" customHeight="1">
      <c r="A108" s="124">
        <f t="shared" si="6"/>
        <v>100</v>
      </c>
      <c r="B108" s="124">
        <f>A$101</f>
        <v>93</v>
      </c>
      <c r="C108" s="124">
        <v>11</v>
      </c>
      <c r="D108" s="125" t="s">
        <v>636</v>
      </c>
      <c r="E108" s="125"/>
      <c r="F108" s="125" t="s">
        <v>542</v>
      </c>
      <c r="G108" s="26" t="s">
        <v>634</v>
      </c>
      <c r="J108" t="str">
        <f t="shared" si="5"/>
        <v>datatable[99] = new Array("100","93","Systems Engineering","11","SEITPM.png");</v>
      </c>
    </row>
    <row r="109" spans="1:10" ht="14.25" customHeight="1">
      <c r="A109" s="124">
        <f t="shared" si="6"/>
        <v>101</v>
      </c>
      <c r="B109" s="124">
        <f>A$101</f>
        <v>93</v>
      </c>
      <c r="C109" s="124">
        <v>11</v>
      </c>
      <c r="D109" s="125" t="s">
        <v>637</v>
      </c>
      <c r="E109" s="125"/>
      <c r="F109" s="125" t="s">
        <v>542</v>
      </c>
      <c r="G109" s="26" t="s">
        <v>634</v>
      </c>
      <c r="J109" t="str">
        <f t="shared" si="5"/>
        <v>datatable[100] = new Array("101","93","Mission Assurance","11","SEITPM.png");</v>
      </c>
    </row>
    <row r="110" spans="1:10" ht="14.25" customHeight="1">
      <c r="A110" s="124">
        <f t="shared" si="6"/>
        <v>102</v>
      </c>
      <c r="B110" s="124">
        <f>A$101</f>
        <v>93</v>
      </c>
      <c r="C110" s="124">
        <v>11</v>
      </c>
      <c r="D110" s="125" t="s">
        <v>638</v>
      </c>
      <c r="E110" s="125"/>
      <c r="F110" s="125" t="s">
        <v>542</v>
      </c>
      <c r="G110" s="26" t="s">
        <v>634</v>
      </c>
      <c r="J110" t="str">
        <f t="shared" si="5"/>
        <v>datatable[101] = new Array("102","93","Assembly, Integration and Testing","11","SEITPM.png");</v>
      </c>
    </row>
    <row r="111" spans="1:10" ht="14.25" customHeight="1">
      <c r="A111" s="124">
        <f t="shared" si="6"/>
        <v>103</v>
      </c>
      <c r="B111" s="124">
        <f>A$101</f>
        <v>93</v>
      </c>
      <c r="C111" s="124">
        <v>11</v>
      </c>
      <c r="D111" s="125" t="s">
        <v>639</v>
      </c>
      <c r="E111" s="125"/>
      <c r="F111" s="125" t="s">
        <v>542</v>
      </c>
      <c r="G111" s="26" t="s">
        <v>634</v>
      </c>
      <c r="J111" t="str">
        <f t="shared" si="5"/>
        <v>datatable[102] = new Array("103","93","Support Equipment","11","SEITPM.png");</v>
      </c>
    </row>
    <row r="112" spans="1:10" ht="14.25" customHeight="1">
      <c r="A112" s="124">
        <f t="shared" si="6"/>
        <v>104</v>
      </c>
      <c r="B112" s="124">
        <f>A$100</f>
        <v>92</v>
      </c>
      <c r="C112" s="124">
        <v>10</v>
      </c>
      <c r="D112" s="125" t="s">
        <v>666</v>
      </c>
      <c r="E112" s="125"/>
      <c r="F112" s="125" t="s">
        <v>540</v>
      </c>
      <c r="G112" s="26" t="s">
        <v>643</v>
      </c>
      <c r="J112" t="str">
        <f t="shared" si="5"/>
        <v>datatable[103] = new Array("104","92","Active Devices","10","Widget.png");</v>
      </c>
    </row>
    <row r="113" spans="1:10" ht="14.25" customHeight="1">
      <c r="A113" s="124">
        <f t="shared" si="6"/>
        <v>105</v>
      </c>
      <c r="B113" s="124">
        <f>A$107</f>
        <v>99</v>
      </c>
      <c r="C113" s="124">
        <v>11</v>
      </c>
      <c r="D113" s="125" t="s">
        <v>667</v>
      </c>
      <c r="E113" s="125"/>
      <c r="F113" s="125" t="s">
        <v>542</v>
      </c>
      <c r="G113" s="26" t="s">
        <v>643</v>
      </c>
      <c r="J113" t="str">
        <f t="shared" si="5"/>
        <v>datatable[104] = new Array("105","99","Cryogenic Devices","11","Widget.png");</v>
      </c>
    </row>
    <row r="114" spans="1:10" ht="14.25" customHeight="1">
      <c r="A114" s="124">
        <f t="shared" si="6"/>
        <v>106</v>
      </c>
      <c r="B114" s="124">
        <f>A$107</f>
        <v>99</v>
      </c>
      <c r="C114" s="124">
        <v>11</v>
      </c>
      <c r="D114" s="125" t="s">
        <v>668</v>
      </c>
      <c r="E114" s="125"/>
      <c r="F114" s="125" t="s">
        <v>542</v>
      </c>
      <c r="G114" s="26" t="s">
        <v>643</v>
      </c>
      <c r="J114" t="str">
        <f t="shared" si="5"/>
        <v>datatable[105] = new Array("106","99","Liquid Loops","11","Widget.png");</v>
      </c>
    </row>
    <row r="115" spans="1:10" ht="14.25" customHeight="1">
      <c r="A115" s="124">
        <f t="shared" si="6"/>
        <v>107</v>
      </c>
      <c r="B115" s="124">
        <f>A$107</f>
        <v>99</v>
      </c>
      <c r="C115" s="124">
        <v>11</v>
      </c>
      <c r="D115" s="125" t="s">
        <v>669</v>
      </c>
      <c r="E115" s="125"/>
      <c r="F115" s="125" t="s">
        <v>542</v>
      </c>
      <c r="G115" s="26" t="s">
        <v>643</v>
      </c>
      <c r="J115" t="str">
        <f t="shared" si="5"/>
        <v>datatable[106] = new Array("107","99","Electric Coolers","11","Widget.png");</v>
      </c>
    </row>
    <row r="116" spans="1:10" ht="14.25" customHeight="1">
      <c r="A116" s="124">
        <f t="shared" si="6"/>
        <v>108</v>
      </c>
      <c r="B116" s="124">
        <f>A$107</f>
        <v>99</v>
      </c>
      <c r="C116" s="124">
        <v>11</v>
      </c>
      <c r="D116" s="125" t="s">
        <v>670</v>
      </c>
      <c r="E116" s="125"/>
      <c r="F116" s="125" t="s">
        <v>542</v>
      </c>
      <c r="G116" s="26" t="s">
        <v>643</v>
      </c>
      <c r="J116" t="str">
        <f t="shared" si="5"/>
        <v>datatable[107] = new Array("108","99","Heaters, Thermistors, and Thermostats","11","Widget.png");</v>
      </c>
    </row>
    <row r="117" spans="1:10" ht="14.25" customHeight="1">
      <c r="A117" s="124">
        <f t="shared" si="6"/>
        <v>109</v>
      </c>
      <c r="B117" s="124">
        <f>A$107</f>
        <v>99</v>
      </c>
      <c r="C117" s="124">
        <v>11</v>
      </c>
      <c r="D117" s="125" t="s">
        <v>671</v>
      </c>
      <c r="E117" s="125"/>
      <c r="F117" s="125" t="s">
        <v>542</v>
      </c>
      <c r="G117" s="26" t="s">
        <v>643</v>
      </c>
      <c r="J117" t="str">
        <f t="shared" si="5"/>
        <v>datatable[108] = new Array("109","99","Other Active Devices (Specify)","11","Widget.png");</v>
      </c>
    </row>
    <row r="118" spans="1:10" ht="14.25" customHeight="1">
      <c r="A118" s="124">
        <f t="shared" si="6"/>
        <v>110</v>
      </c>
      <c r="B118" s="124">
        <f>A$100</f>
        <v>92</v>
      </c>
      <c r="C118" s="124">
        <v>10</v>
      </c>
      <c r="D118" s="125" t="s">
        <v>672</v>
      </c>
      <c r="E118" s="125"/>
      <c r="F118" s="125" t="s">
        <v>540</v>
      </c>
      <c r="G118" s="26" t="s">
        <v>643</v>
      </c>
      <c r="J118" t="str">
        <f t="shared" si="5"/>
        <v>datatable[109] = new Array("110","92","Passive Devices","10","Widget.png");</v>
      </c>
    </row>
    <row r="119" spans="1:10" ht="14.25" customHeight="1">
      <c r="A119" s="124">
        <f t="shared" si="6"/>
        <v>111</v>
      </c>
      <c r="B119" s="124">
        <f t="shared" ref="B119:B128" si="7">A$113</f>
        <v>105</v>
      </c>
      <c r="C119" s="124">
        <v>11</v>
      </c>
      <c r="D119" s="125" t="s">
        <v>673</v>
      </c>
      <c r="E119" s="125"/>
      <c r="F119" s="125" t="s">
        <v>542</v>
      </c>
      <c r="G119" s="26" t="s">
        <v>643</v>
      </c>
      <c r="J119" t="str">
        <f t="shared" si="5"/>
        <v>datatable[110] = new Array("111","105","Radiator Panel/Fins","11","Widget.png");</v>
      </c>
    </row>
    <row r="120" spans="1:10" ht="14.25" customHeight="1">
      <c r="A120" s="124">
        <f t="shared" si="6"/>
        <v>112</v>
      </c>
      <c r="B120" s="124">
        <f t="shared" si="7"/>
        <v>105</v>
      </c>
      <c r="C120" s="124">
        <v>11</v>
      </c>
      <c r="D120" s="125" t="s">
        <v>674</v>
      </c>
      <c r="E120" s="125"/>
      <c r="F120" s="125" t="s">
        <v>542</v>
      </c>
      <c r="G120" s="26" t="s">
        <v>643</v>
      </c>
      <c r="J120" t="str">
        <f t="shared" si="5"/>
        <v>datatable[111] = new Array("112","105","Coatings","11","Widget.png");</v>
      </c>
    </row>
    <row r="121" spans="1:10" ht="14.25" customHeight="1">
      <c r="A121" s="124">
        <f t="shared" si="6"/>
        <v>113</v>
      </c>
      <c r="B121" s="124">
        <f t="shared" si="7"/>
        <v>105</v>
      </c>
      <c r="C121" s="124">
        <v>11</v>
      </c>
      <c r="D121" s="125" t="s">
        <v>675</v>
      </c>
      <c r="E121" s="125"/>
      <c r="F121" s="125" t="s">
        <v>542</v>
      </c>
      <c r="G121" s="26" t="s">
        <v>643</v>
      </c>
      <c r="J121" t="str">
        <f t="shared" si="5"/>
        <v>datatable[112] = new Array("113","105","Heat Pipes","11","Widget.png");</v>
      </c>
    </row>
    <row r="122" spans="1:10" ht="14.25" customHeight="1">
      <c r="A122" s="124">
        <f t="shared" si="6"/>
        <v>114</v>
      </c>
      <c r="B122" s="124">
        <f t="shared" si="7"/>
        <v>105</v>
      </c>
      <c r="C122" s="124">
        <v>11</v>
      </c>
      <c r="D122" s="125" t="s">
        <v>676</v>
      </c>
      <c r="E122" s="125"/>
      <c r="F122" s="125" t="s">
        <v>542</v>
      </c>
      <c r="G122" s="26" t="s">
        <v>643</v>
      </c>
      <c r="J122" t="str">
        <f t="shared" si="5"/>
        <v>datatable[113] = new Array("114","105","Insulation","11","Widget.png");</v>
      </c>
    </row>
    <row r="123" spans="1:10" ht="14.25" customHeight="1">
      <c r="A123" s="124">
        <f t="shared" si="6"/>
        <v>115</v>
      </c>
      <c r="B123" s="124">
        <f t="shared" si="7"/>
        <v>105</v>
      </c>
      <c r="C123" s="124">
        <v>11</v>
      </c>
      <c r="D123" s="125" t="s">
        <v>677</v>
      </c>
      <c r="E123" s="125"/>
      <c r="F123" s="125" t="s">
        <v>542</v>
      </c>
      <c r="G123" s="26" t="s">
        <v>643</v>
      </c>
      <c r="J123" t="str">
        <f t="shared" si="5"/>
        <v>datatable[114] = new Array("115","105","Conductive Structures","11","Widget.png");</v>
      </c>
    </row>
    <row r="124" spans="1:10" ht="14.25" customHeight="1">
      <c r="A124" s="124">
        <f t="shared" si="6"/>
        <v>116</v>
      </c>
      <c r="B124" s="124">
        <f t="shared" si="7"/>
        <v>105</v>
      </c>
      <c r="C124" s="124">
        <v>11</v>
      </c>
      <c r="D124" s="125" t="s">
        <v>678</v>
      </c>
      <c r="E124" s="125"/>
      <c r="F124" s="125" t="s">
        <v>542</v>
      </c>
      <c r="G124" s="26" t="s">
        <v>643</v>
      </c>
      <c r="J124" t="str">
        <f t="shared" si="5"/>
        <v>datatable[115] = new Array("116","105","Heat Activated Structures","11","Widget.png");</v>
      </c>
    </row>
    <row r="125" spans="1:10" ht="14.25" customHeight="1">
      <c r="A125" s="124">
        <f t="shared" si="6"/>
        <v>117</v>
      </c>
      <c r="B125" s="124">
        <f t="shared" si="7"/>
        <v>105</v>
      </c>
      <c r="C125" s="124">
        <v>11</v>
      </c>
      <c r="D125" s="125" t="s">
        <v>679</v>
      </c>
      <c r="E125" s="125"/>
      <c r="F125" s="125" t="s">
        <v>542</v>
      </c>
      <c r="G125" s="26" t="s">
        <v>643</v>
      </c>
      <c r="J125" t="str">
        <f t="shared" si="5"/>
        <v>datatable[116] = new Array("117","105","Sun Shields","11","Widget.png");</v>
      </c>
    </row>
    <row r="126" spans="1:10" ht="14.25" customHeight="1">
      <c r="A126" s="124">
        <f t="shared" si="6"/>
        <v>118</v>
      </c>
      <c r="B126" s="124">
        <f t="shared" si="7"/>
        <v>105</v>
      </c>
      <c r="C126" s="124">
        <v>11</v>
      </c>
      <c r="D126" s="125" t="s">
        <v>680</v>
      </c>
      <c r="E126" s="125"/>
      <c r="F126" s="125" t="s">
        <v>542</v>
      </c>
      <c r="G126" s="26" t="s">
        <v>643</v>
      </c>
      <c r="J126" t="str">
        <f t="shared" si="5"/>
        <v>datatable[117] = new Array("118","105","Second Surface Mirrors","11","Widget.png");</v>
      </c>
    </row>
    <row r="127" spans="1:10" ht="14.25" customHeight="1">
      <c r="A127" s="124">
        <f t="shared" si="6"/>
        <v>119</v>
      </c>
      <c r="B127" s="124">
        <f t="shared" si="7"/>
        <v>105</v>
      </c>
      <c r="C127" s="124">
        <v>11</v>
      </c>
      <c r="D127" s="125" t="s">
        <v>681</v>
      </c>
      <c r="E127" s="125"/>
      <c r="F127" s="125" t="s">
        <v>542</v>
      </c>
      <c r="G127" s="26" t="s">
        <v>643</v>
      </c>
      <c r="J127" t="str">
        <f t="shared" si="5"/>
        <v>datatable[118] = new Array("119","105","Shutters and Louvers","11","Widget.png");</v>
      </c>
    </row>
    <row r="128" spans="1:10" ht="14.25" customHeight="1">
      <c r="A128" s="124">
        <f t="shared" si="6"/>
        <v>120</v>
      </c>
      <c r="B128" s="124">
        <f t="shared" si="7"/>
        <v>105</v>
      </c>
      <c r="C128" s="124">
        <v>11</v>
      </c>
      <c r="D128" s="125" t="s">
        <v>682</v>
      </c>
      <c r="E128" s="125"/>
      <c r="F128" s="125" t="s">
        <v>542</v>
      </c>
      <c r="G128" s="26" t="s">
        <v>643</v>
      </c>
      <c r="J128" t="str">
        <f t="shared" si="5"/>
        <v>datatable[119] = new Array("120","105","Other Passive Devices (Specify)","11","Widget.png");</v>
      </c>
    </row>
    <row r="129" spans="1:10" ht="14.25" customHeight="1">
      <c r="A129" s="124">
        <f t="shared" si="6"/>
        <v>121</v>
      </c>
      <c r="B129" s="124">
        <f>A$100</f>
        <v>92</v>
      </c>
      <c r="C129" s="124">
        <v>10</v>
      </c>
      <c r="D129" s="125" t="s">
        <v>683</v>
      </c>
      <c r="E129" s="125"/>
      <c r="F129" s="125" t="s">
        <v>540</v>
      </c>
      <c r="G129" s="26" t="s">
        <v>643</v>
      </c>
      <c r="J129" t="str">
        <f t="shared" si="5"/>
        <v>datatable[120] = new Array("121","92","TCS Other (Specify)","10","Widget.png");</v>
      </c>
    </row>
    <row r="130" spans="1:10" ht="14.25" customHeight="1">
      <c r="A130" s="124">
        <f t="shared" si="6"/>
        <v>122</v>
      </c>
      <c r="B130" s="124">
        <f>A$69</f>
        <v>61</v>
      </c>
      <c r="C130" s="124">
        <v>9</v>
      </c>
      <c r="D130" s="125" t="s">
        <v>684</v>
      </c>
      <c r="E130" s="125"/>
      <c r="F130" s="125" t="s">
        <v>538</v>
      </c>
      <c r="G130" s="26" t="s">
        <v>643</v>
      </c>
      <c r="J130" t="str">
        <f t="shared" si="5"/>
        <v>datatable[121] = new Array("122","61","Electric Power Subsystem (EPS)","9","Widget.png");</v>
      </c>
    </row>
    <row r="131" spans="1:10" ht="14.25" customHeight="1">
      <c r="A131" s="124">
        <f t="shared" si="6"/>
        <v>123</v>
      </c>
      <c r="B131" s="124">
        <f>A$125</f>
        <v>117</v>
      </c>
      <c r="C131" s="124">
        <v>10</v>
      </c>
      <c r="D131" s="125" t="s">
        <v>685</v>
      </c>
      <c r="E131" s="125"/>
      <c r="F131" s="125" t="s">
        <v>540</v>
      </c>
      <c r="G131" s="26" t="s">
        <v>634</v>
      </c>
      <c r="J131" t="str">
        <f t="shared" si="5"/>
        <v>datatable[122] = new Array("123","117","Electric Power Subsystem SEITPM","10","SEITPM.png");</v>
      </c>
    </row>
    <row r="132" spans="1:10" ht="14.25" customHeight="1">
      <c r="A132" s="124">
        <f t="shared" si="6"/>
        <v>124</v>
      </c>
      <c r="B132" s="124">
        <f>A$126</f>
        <v>118</v>
      </c>
      <c r="C132" s="124">
        <v>11</v>
      </c>
      <c r="D132" s="125" t="s">
        <v>635</v>
      </c>
      <c r="E132" s="125"/>
      <c r="F132" s="125" t="s">
        <v>542</v>
      </c>
      <c r="G132" s="26" t="s">
        <v>634</v>
      </c>
      <c r="J132" t="str">
        <f t="shared" si="5"/>
        <v>datatable[123] = new Array("124","118","Project Management","11","SEITPM.png");</v>
      </c>
    </row>
    <row r="133" spans="1:10" ht="14.25" customHeight="1">
      <c r="A133" s="124">
        <f t="shared" si="6"/>
        <v>125</v>
      </c>
      <c r="B133" s="124">
        <f>A$126</f>
        <v>118</v>
      </c>
      <c r="C133" s="124">
        <v>11</v>
      </c>
      <c r="D133" s="125" t="s">
        <v>636</v>
      </c>
      <c r="E133" s="125"/>
      <c r="F133" s="125" t="s">
        <v>542</v>
      </c>
      <c r="G133" s="26" t="s">
        <v>634</v>
      </c>
      <c r="J133" t="str">
        <f t="shared" si="5"/>
        <v>datatable[124] = new Array("125","118","Systems Engineering","11","SEITPM.png");</v>
      </c>
    </row>
    <row r="134" spans="1:10" ht="14.25" customHeight="1">
      <c r="A134" s="124">
        <f t="shared" si="6"/>
        <v>126</v>
      </c>
      <c r="B134" s="124">
        <f>A$126</f>
        <v>118</v>
      </c>
      <c r="C134" s="124">
        <v>11</v>
      </c>
      <c r="D134" s="125" t="s">
        <v>637</v>
      </c>
      <c r="E134" s="125"/>
      <c r="F134" s="125" t="s">
        <v>542</v>
      </c>
      <c r="G134" s="26" t="s">
        <v>634</v>
      </c>
      <c r="J134" t="str">
        <f t="shared" si="5"/>
        <v>datatable[125] = new Array("126","118","Mission Assurance","11","SEITPM.png");</v>
      </c>
    </row>
    <row r="135" spans="1:10" ht="14.25" customHeight="1">
      <c r="A135" s="124">
        <f t="shared" si="6"/>
        <v>127</v>
      </c>
      <c r="B135" s="124">
        <f>A$126</f>
        <v>118</v>
      </c>
      <c r="C135" s="124">
        <v>11</v>
      </c>
      <c r="D135" s="125" t="s">
        <v>638</v>
      </c>
      <c r="E135" s="125"/>
      <c r="F135" s="125" t="s">
        <v>542</v>
      </c>
      <c r="G135" s="26" t="s">
        <v>634</v>
      </c>
      <c r="J135" t="str">
        <f t="shared" si="5"/>
        <v>datatable[126] = new Array("127","118","Assembly, Integration and Testing","11","SEITPM.png");</v>
      </c>
    </row>
    <row r="136" spans="1:10" ht="14.25" customHeight="1">
      <c r="A136" s="124">
        <f t="shared" si="6"/>
        <v>128</v>
      </c>
      <c r="B136" s="124">
        <f>A$126</f>
        <v>118</v>
      </c>
      <c r="C136" s="124">
        <v>11</v>
      </c>
      <c r="D136" s="125" t="s">
        <v>639</v>
      </c>
      <c r="E136" s="125"/>
      <c r="F136" s="125" t="s">
        <v>542</v>
      </c>
      <c r="G136" s="26" t="s">
        <v>634</v>
      </c>
      <c r="J136" t="str">
        <f t="shared" si="5"/>
        <v>datatable[127] = new Array("128","118","Support Equipment","11","SEITPM.png");</v>
      </c>
    </row>
    <row r="137" spans="1:10" ht="14.25" customHeight="1">
      <c r="A137" s="124">
        <f t="shared" si="6"/>
        <v>129</v>
      </c>
      <c r="B137" s="124">
        <f>A$125</f>
        <v>117</v>
      </c>
      <c r="C137" s="124">
        <v>10</v>
      </c>
      <c r="D137" s="125" t="s">
        <v>686</v>
      </c>
      <c r="E137" s="125"/>
      <c r="F137" s="125" t="s">
        <v>540</v>
      </c>
      <c r="G137" s="26" t="s">
        <v>643</v>
      </c>
      <c r="J137" t="str">
        <f t="shared" ref="J137:J200" si="8">"datatable["&amp;A137-1&amp;"] = new Array(""" &amp; A137 &amp;""",""" &amp; B137 &amp;""",""" &amp; D137 &amp; """,""" &amp; C137&amp;""","""&amp;""&amp;G137&amp;""");"</f>
        <v>datatable[128] = new Array("129","117","Electrical Power Generation","10","Widget.png");</v>
      </c>
    </row>
    <row r="138" spans="1:10" ht="14.25" customHeight="1">
      <c r="A138" s="124">
        <f t="shared" si="6"/>
        <v>130</v>
      </c>
      <c r="B138" s="124">
        <f t="shared" ref="B138:B143" si="9">A$132</f>
        <v>124</v>
      </c>
      <c r="C138" s="124">
        <v>11</v>
      </c>
      <c r="D138" s="125" t="s">
        <v>687</v>
      </c>
      <c r="E138" s="125"/>
      <c r="F138" s="125" t="s">
        <v>542</v>
      </c>
      <c r="G138" s="26" t="s">
        <v>643</v>
      </c>
      <c r="J138" t="str">
        <f t="shared" si="8"/>
        <v>datatable[129] = new Array("130","124","Solar Array","11","Widget.png");</v>
      </c>
    </row>
    <row r="139" spans="1:10" ht="14.25" customHeight="1">
      <c r="A139" s="124">
        <f t="shared" ref="A139:A202" si="10">A138+1</f>
        <v>131</v>
      </c>
      <c r="B139" s="124">
        <f t="shared" si="9"/>
        <v>124</v>
      </c>
      <c r="C139" s="124">
        <v>11</v>
      </c>
      <c r="D139" s="125" t="s">
        <v>688</v>
      </c>
      <c r="E139" s="125"/>
      <c r="F139" s="125" t="s">
        <v>542</v>
      </c>
      <c r="G139" s="26" t="s">
        <v>643</v>
      </c>
      <c r="J139" t="str">
        <f t="shared" si="8"/>
        <v>datatable[130] = new Array("131","124","Solar Array Positioner","11","Widget.png");</v>
      </c>
    </row>
    <row r="140" spans="1:10" ht="14.25" customHeight="1">
      <c r="A140" s="124">
        <f t="shared" si="10"/>
        <v>132</v>
      </c>
      <c r="B140" s="124">
        <f t="shared" si="9"/>
        <v>124</v>
      </c>
      <c r="C140" s="124">
        <v>11</v>
      </c>
      <c r="D140" s="125" t="s">
        <v>689</v>
      </c>
      <c r="E140" s="125"/>
      <c r="F140" s="125" t="s">
        <v>542</v>
      </c>
      <c r="G140" s="26" t="s">
        <v>643</v>
      </c>
      <c r="J140" t="str">
        <f t="shared" si="8"/>
        <v>datatable[131] = new Array("132","124","Radioisotope Thermionic Generator","11","Widget.png");</v>
      </c>
    </row>
    <row r="141" spans="1:10" ht="14.25" customHeight="1">
      <c r="A141" s="124">
        <f t="shared" si="10"/>
        <v>133</v>
      </c>
      <c r="B141" s="124">
        <f t="shared" si="9"/>
        <v>124</v>
      </c>
      <c r="C141" s="124">
        <v>11</v>
      </c>
      <c r="D141" s="125" t="s">
        <v>690</v>
      </c>
      <c r="E141" s="125"/>
      <c r="F141" s="125" t="s">
        <v>542</v>
      </c>
      <c r="G141" s="26" t="s">
        <v>643</v>
      </c>
      <c r="J141" t="str">
        <f t="shared" si="8"/>
        <v>datatable[132] = new Array("133","124","Chemical (Fuel Cells)","11","Widget.png");</v>
      </c>
    </row>
    <row r="142" spans="1:10" ht="14.25" customHeight="1">
      <c r="A142" s="124">
        <f t="shared" si="10"/>
        <v>134</v>
      </c>
      <c r="B142" s="124">
        <f t="shared" si="9"/>
        <v>124</v>
      </c>
      <c r="C142" s="124">
        <v>11</v>
      </c>
      <c r="D142" s="125" t="s">
        <v>691</v>
      </c>
      <c r="E142" s="125"/>
      <c r="F142" s="125" t="s">
        <v>542</v>
      </c>
      <c r="G142" s="26" t="s">
        <v>643</v>
      </c>
      <c r="J142" t="str">
        <f t="shared" si="8"/>
        <v>datatable[133] = new Array("134","124","Auxiliary Power Units","11","Widget.png");</v>
      </c>
    </row>
    <row r="143" spans="1:10" ht="14.25" customHeight="1">
      <c r="A143" s="124">
        <f t="shared" si="10"/>
        <v>135</v>
      </c>
      <c r="B143" s="124">
        <f t="shared" si="9"/>
        <v>124</v>
      </c>
      <c r="C143" s="124">
        <v>11</v>
      </c>
      <c r="D143" s="125" t="s">
        <v>692</v>
      </c>
      <c r="E143" s="125"/>
      <c r="F143" s="125" t="s">
        <v>542</v>
      </c>
      <c r="G143" s="26" t="s">
        <v>643</v>
      </c>
      <c r="J143" t="str">
        <f t="shared" si="8"/>
        <v>datatable[134] = new Array("135","124","Other Power Sources","11","Widget.png");</v>
      </c>
    </row>
    <row r="144" spans="1:10" ht="14.25" customHeight="1">
      <c r="A144" s="124">
        <f t="shared" si="10"/>
        <v>136</v>
      </c>
      <c r="B144" s="124">
        <f>A$125</f>
        <v>117</v>
      </c>
      <c r="C144" s="124">
        <v>10</v>
      </c>
      <c r="D144" s="125" t="s">
        <v>693</v>
      </c>
      <c r="E144" s="125"/>
      <c r="F144" s="125" t="s">
        <v>540</v>
      </c>
      <c r="G144" s="26" t="s">
        <v>643</v>
      </c>
      <c r="J144" t="str">
        <f t="shared" si="8"/>
        <v>datatable[135] = new Array("136","117","Electrical Power Conditioning","10","Widget.png");</v>
      </c>
    </row>
    <row r="145" spans="1:10" ht="14.25" customHeight="1">
      <c r="A145" s="124">
        <f t="shared" si="10"/>
        <v>137</v>
      </c>
      <c r="B145" s="124">
        <f t="shared" ref="B145:B151" si="11">A$139</f>
        <v>131</v>
      </c>
      <c r="C145" s="124">
        <v>11</v>
      </c>
      <c r="D145" s="125" t="s">
        <v>694</v>
      </c>
      <c r="E145" s="125"/>
      <c r="F145" s="125" t="s">
        <v>542</v>
      </c>
      <c r="G145" s="26" t="s">
        <v>643</v>
      </c>
      <c r="J145" t="str">
        <f t="shared" si="8"/>
        <v>datatable[136] = new Array("137","131","Power Control Electronics","11","Widget.png");</v>
      </c>
    </row>
    <row r="146" spans="1:10" ht="14.25" customHeight="1">
      <c r="A146" s="124">
        <f t="shared" si="10"/>
        <v>138</v>
      </c>
      <c r="B146" s="124">
        <f t="shared" si="11"/>
        <v>131</v>
      </c>
      <c r="C146" s="124">
        <v>11</v>
      </c>
      <c r="D146" s="125" t="s">
        <v>695</v>
      </c>
      <c r="E146" s="125"/>
      <c r="F146" s="125" t="s">
        <v>542</v>
      </c>
      <c r="G146" s="26" t="s">
        <v>643</v>
      </c>
      <c r="J146" t="str">
        <f t="shared" si="8"/>
        <v>datatable[137] = new Array("138","131","Power Conversion Electronics","11","Widget.png");</v>
      </c>
    </row>
    <row r="147" spans="1:10" ht="14.25" customHeight="1">
      <c r="A147" s="124">
        <f t="shared" si="10"/>
        <v>139</v>
      </c>
      <c r="B147" s="124">
        <f t="shared" si="11"/>
        <v>131</v>
      </c>
      <c r="C147" s="124">
        <v>11</v>
      </c>
      <c r="D147" s="125" t="s">
        <v>696</v>
      </c>
      <c r="E147" s="125"/>
      <c r="F147" s="125" t="s">
        <v>542</v>
      </c>
      <c r="G147" s="26" t="s">
        <v>643</v>
      </c>
      <c r="J147" t="str">
        <f t="shared" si="8"/>
        <v>datatable[138] = new Array("139","131","Power Dissipation Devices","11","Widget.png");</v>
      </c>
    </row>
    <row r="148" spans="1:10" ht="14.25" customHeight="1">
      <c r="A148" s="124">
        <f t="shared" si="10"/>
        <v>140</v>
      </c>
      <c r="B148" s="124">
        <f t="shared" si="11"/>
        <v>131</v>
      </c>
      <c r="C148" s="124">
        <v>11</v>
      </c>
      <c r="D148" s="125" t="s">
        <v>697</v>
      </c>
      <c r="E148" s="125"/>
      <c r="F148" s="125" t="s">
        <v>542</v>
      </c>
      <c r="G148" s="26" t="s">
        <v>643</v>
      </c>
      <c r="J148" t="str">
        <f t="shared" si="8"/>
        <v>datatable[139] = new Array("140","131","Power Distribution Electronics","11","Widget.png");</v>
      </c>
    </row>
    <row r="149" spans="1:10" ht="14.25" customHeight="1">
      <c r="A149" s="124">
        <f t="shared" si="10"/>
        <v>141</v>
      </c>
      <c r="B149" s="124">
        <f t="shared" si="11"/>
        <v>131</v>
      </c>
      <c r="C149" s="124">
        <v>11</v>
      </c>
      <c r="D149" s="125" t="s">
        <v>698</v>
      </c>
      <c r="E149" s="125"/>
      <c r="F149" s="125" t="s">
        <v>542</v>
      </c>
      <c r="G149" s="26" t="s">
        <v>643</v>
      </c>
      <c r="J149" t="str">
        <f t="shared" si="8"/>
        <v>datatable[140] = new Array("141","131","Power Switching Electronics","11","Widget.png");</v>
      </c>
    </row>
    <row r="150" spans="1:10" ht="14.25" customHeight="1">
      <c r="A150" s="124">
        <f t="shared" si="10"/>
        <v>142</v>
      </c>
      <c r="B150" s="124">
        <f t="shared" si="11"/>
        <v>131</v>
      </c>
      <c r="C150" s="124">
        <v>11</v>
      </c>
      <c r="D150" s="125" t="s">
        <v>699</v>
      </c>
      <c r="E150" s="125"/>
      <c r="F150" s="125" t="s">
        <v>542</v>
      </c>
      <c r="G150" s="26" t="s">
        <v>643</v>
      </c>
      <c r="J150" t="str">
        <f t="shared" si="8"/>
        <v>datatable[141] = new Array("142","131","Power Regulation Electronics","11","Widget.png");</v>
      </c>
    </row>
    <row r="151" spans="1:10" ht="14.25" customHeight="1">
      <c r="A151" s="124">
        <f t="shared" si="10"/>
        <v>143</v>
      </c>
      <c r="B151" s="124">
        <f t="shared" si="11"/>
        <v>131</v>
      </c>
      <c r="C151" s="124">
        <v>11</v>
      </c>
      <c r="D151" s="125" t="s">
        <v>700</v>
      </c>
      <c r="E151" s="125"/>
      <c r="F151" s="125" t="s">
        <v>542</v>
      </c>
      <c r="G151" s="26" t="s">
        <v>643</v>
      </c>
      <c r="J151" t="str">
        <f t="shared" si="8"/>
        <v>datatable[142] = new Array("143","131","Other Power Conditioning Devices (Specify)","11","Widget.png");</v>
      </c>
    </row>
    <row r="152" spans="1:10" ht="14.25" customHeight="1">
      <c r="A152" s="124">
        <f t="shared" si="10"/>
        <v>144</v>
      </c>
      <c r="B152" s="124">
        <f>A$125</f>
        <v>117</v>
      </c>
      <c r="C152" s="124">
        <v>10</v>
      </c>
      <c r="D152" s="125" t="s">
        <v>701</v>
      </c>
      <c r="E152" s="125"/>
      <c r="F152" s="125" t="s">
        <v>540</v>
      </c>
      <c r="G152" s="26" t="s">
        <v>643</v>
      </c>
      <c r="J152" t="str">
        <f t="shared" si="8"/>
        <v>datatable[143] = new Array("144","117","Electrical Power Storage","10","Widget.png");</v>
      </c>
    </row>
    <row r="153" spans="1:10" ht="14.25" customHeight="1">
      <c r="A153" s="124">
        <f t="shared" si="10"/>
        <v>145</v>
      </c>
      <c r="B153" s="124">
        <f>A$147</f>
        <v>139</v>
      </c>
      <c r="C153" s="124">
        <v>11</v>
      </c>
      <c r="D153" s="125" t="s">
        <v>702</v>
      </c>
      <c r="E153" s="125"/>
      <c r="F153" s="125" t="s">
        <v>542</v>
      </c>
      <c r="G153" s="26" t="s">
        <v>643</v>
      </c>
      <c r="J153" t="str">
        <f t="shared" si="8"/>
        <v>datatable[144] = new Array("145","139","Rechargeable Batteries","11","Widget.png");</v>
      </c>
    </row>
    <row r="154" spans="1:10" ht="14.25" customHeight="1">
      <c r="A154" s="124">
        <f t="shared" si="10"/>
        <v>146</v>
      </c>
      <c r="B154" s="124">
        <f>A$147</f>
        <v>139</v>
      </c>
      <c r="C154" s="124">
        <v>11</v>
      </c>
      <c r="D154" s="125" t="s">
        <v>703</v>
      </c>
      <c r="E154" s="125"/>
      <c r="F154" s="125" t="s">
        <v>542</v>
      </c>
      <c r="G154" s="26" t="s">
        <v>643</v>
      </c>
      <c r="J154" t="str">
        <f t="shared" si="8"/>
        <v>datatable[145] = new Array("146","139","Charge Control Electronics","11","Widget.png");</v>
      </c>
    </row>
    <row r="155" spans="1:10" ht="14.25" customHeight="1">
      <c r="A155" s="124">
        <f t="shared" si="10"/>
        <v>147</v>
      </c>
      <c r="B155" s="124">
        <f>A$147</f>
        <v>139</v>
      </c>
      <c r="C155" s="124">
        <v>11</v>
      </c>
      <c r="D155" s="125" t="s">
        <v>704</v>
      </c>
      <c r="E155" s="125"/>
      <c r="F155" s="125" t="s">
        <v>542</v>
      </c>
      <c r="G155" s="26" t="s">
        <v>643</v>
      </c>
      <c r="J155" t="str">
        <f t="shared" si="8"/>
        <v>datatable[146] = new Array("147","139","Other Electrical Power Storage Devices (Specify)","11","Widget.png");</v>
      </c>
    </row>
    <row r="156" spans="1:10" ht="14.25" customHeight="1">
      <c r="A156" s="124">
        <f t="shared" si="10"/>
        <v>148</v>
      </c>
      <c r="B156" s="124">
        <f>A$125</f>
        <v>117</v>
      </c>
      <c r="C156" s="124">
        <v>10</v>
      </c>
      <c r="D156" s="125" t="s">
        <v>705</v>
      </c>
      <c r="E156" s="125"/>
      <c r="F156" s="125" t="s">
        <v>540</v>
      </c>
      <c r="G156" s="26" t="s">
        <v>643</v>
      </c>
      <c r="J156" t="str">
        <f t="shared" si="8"/>
        <v>datatable[147] = new Array("148","117","Harnesses and Cables","10","Widget.png");</v>
      </c>
    </row>
    <row r="157" spans="1:10" ht="14.25" customHeight="1">
      <c r="A157" s="124">
        <f t="shared" si="10"/>
        <v>149</v>
      </c>
      <c r="B157" s="124">
        <f>A$125</f>
        <v>117</v>
      </c>
      <c r="C157" s="124">
        <v>10</v>
      </c>
      <c r="D157" s="125" t="s">
        <v>706</v>
      </c>
      <c r="E157" s="125"/>
      <c r="F157" s="125" t="s">
        <v>540</v>
      </c>
      <c r="G157" s="26" t="s">
        <v>643</v>
      </c>
      <c r="J157" t="str">
        <f t="shared" si="8"/>
        <v>datatable[148] = new Array("149","117","EPS Other (Specify)","10","Widget.png");</v>
      </c>
    </row>
    <row r="158" spans="1:10" ht="14.25" customHeight="1">
      <c r="A158" s="124">
        <f t="shared" si="10"/>
        <v>150</v>
      </c>
      <c r="B158" s="124">
        <f>A$69</f>
        <v>61</v>
      </c>
      <c r="C158" s="124">
        <v>9</v>
      </c>
      <c r="D158" s="125" t="s">
        <v>707</v>
      </c>
      <c r="E158" s="125"/>
      <c r="F158" s="125" t="s">
        <v>538</v>
      </c>
      <c r="G158" s="26" t="s">
        <v>643</v>
      </c>
      <c r="J158" t="str">
        <f t="shared" si="8"/>
        <v>datatable[149] = new Array("150","61","Attitude Control Subsystem (ACS)","9","Widget.png");</v>
      </c>
    </row>
    <row r="159" spans="1:10" ht="14.25" customHeight="1">
      <c r="A159" s="124">
        <f t="shared" si="10"/>
        <v>151</v>
      </c>
      <c r="B159" s="124">
        <f>A$153</f>
        <v>145</v>
      </c>
      <c r="C159" s="124">
        <v>10</v>
      </c>
      <c r="D159" s="125" t="s">
        <v>708</v>
      </c>
      <c r="E159" s="125"/>
      <c r="F159" s="125" t="s">
        <v>540</v>
      </c>
      <c r="G159" s="26" t="s">
        <v>634</v>
      </c>
      <c r="J159" t="str">
        <f t="shared" si="8"/>
        <v>datatable[150] = new Array("151","145","Attitude Control Subsystem SEITPM","10","SEITPM.png");</v>
      </c>
    </row>
    <row r="160" spans="1:10" ht="14.25" customHeight="1">
      <c r="A160" s="124">
        <f t="shared" si="10"/>
        <v>152</v>
      </c>
      <c r="B160" s="124">
        <f>A$154</f>
        <v>146</v>
      </c>
      <c r="C160" s="124">
        <v>11</v>
      </c>
      <c r="D160" s="125" t="s">
        <v>635</v>
      </c>
      <c r="E160" s="125"/>
      <c r="F160" s="125" t="s">
        <v>542</v>
      </c>
      <c r="G160" s="26" t="s">
        <v>634</v>
      </c>
      <c r="J160" t="str">
        <f t="shared" si="8"/>
        <v>datatable[151] = new Array("152","146","Project Management","11","SEITPM.png");</v>
      </c>
    </row>
    <row r="161" spans="1:10" ht="14.25" customHeight="1">
      <c r="A161" s="124">
        <f t="shared" si="10"/>
        <v>153</v>
      </c>
      <c r="B161" s="124">
        <f>A$154</f>
        <v>146</v>
      </c>
      <c r="C161" s="124">
        <v>11</v>
      </c>
      <c r="D161" s="125" t="s">
        <v>636</v>
      </c>
      <c r="E161" s="125"/>
      <c r="F161" s="125" t="s">
        <v>542</v>
      </c>
      <c r="G161" s="26" t="s">
        <v>634</v>
      </c>
      <c r="J161" t="str">
        <f t="shared" si="8"/>
        <v>datatable[152] = new Array("153","146","Systems Engineering","11","SEITPM.png");</v>
      </c>
    </row>
    <row r="162" spans="1:10" ht="14.25" customHeight="1">
      <c r="A162" s="124">
        <f t="shared" si="10"/>
        <v>154</v>
      </c>
      <c r="B162" s="124">
        <f>A$154</f>
        <v>146</v>
      </c>
      <c r="C162" s="124">
        <v>11</v>
      </c>
      <c r="D162" s="125" t="s">
        <v>637</v>
      </c>
      <c r="E162" s="125"/>
      <c r="F162" s="125" t="s">
        <v>542</v>
      </c>
      <c r="G162" s="26" t="s">
        <v>634</v>
      </c>
      <c r="J162" t="str">
        <f t="shared" si="8"/>
        <v>datatable[153] = new Array("154","146","Mission Assurance","11","SEITPM.png");</v>
      </c>
    </row>
    <row r="163" spans="1:10" ht="14.25" customHeight="1">
      <c r="A163" s="124">
        <f t="shared" si="10"/>
        <v>155</v>
      </c>
      <c r="B163" s="124">
        <f>A$154</f>
        <v>146</v>
      </c>
      <c r="C163" s="124">
        <v>11</v>
      </c>
      <c r="D163" s="125" t="s">
        <v>638</v>
      </c>
      <c r="E163" s="125"/>
      <c r="F163" s="125" t="s">
        <v>542</v>
      </c>
      <c r="G163" s="26" t="s">
        <v>634</v>
      </c>
      <c r="J163" t="str">
        <f t="shared" si="8"/>
        <v>datatable[154] = new Array("155","146","Assembly, Integration and Testing","11","SEITPM.png");</v>
      </c>
    </row>
    <row r="164" spans="1:10" ht="14.25" customHeight="1">
      <c r="A164" s="124">
        <f t="shared" si="10"/>
        <v>156</v>
      </c>
      <c r="B164" s="124">
        <f>A$154</f>
        <v>146</v>
      </c>
      <c r="C164" s="124">
        <v>11</v>
      </c>
      <c r="D164" s="125" t="s">
        <v>639</v>
      </c>
      <c r="E164" s="125"/>
      <c r="F164" s="125" t="s">
        <v>542</v>
      </c>
      <c r="G164" s="26" t="s">
        <v>634</v>
      </c>
      <c r="J164" t="str">
        <f t="shared" si="8"/>
        <v>datatable[155] = new Array("156","146","Support Equipment","11","SEITPM.png");</v>
      </c>
    </row>
    <row r="165" spans="1:10" ht="14.25" customHeight="1">
      <c r="A165" s="124">
        <f t="shared" si="10"/>
        <v>157</v>
      </c>
      <c r="B165" s="124">
        <f>A$153</f>
        <v>145</v>
      </c>
      <c r="C165" s="124">
        <v>10</v>
      </c>
      <c r="D165" s="125" t="s">
        <v>709</v>
      </c>
      <c r="E165" s="125"/>
      <c r="F165" s="125" t="s">
        <v>540</v>
      </c>
      <c r="G165" s="26" t="s">
        <v>643</v>
      </c>
      <c r="J165" t="str">
        <f t="shared" si="8"/>
        <v>datatable[156] = new Array("157","145","Attitude Determination","10","Widget.png");</v>
      </c>
    </row>
    <row r="166" spans="1:10" ht="14.25" customHeight="1">
      <c r="A166" s="124">
        <f t="shared" si="10"/>
        <v>158</v>
      </c>
      <c r="B166" s="124">
        <f t="shared" ref="B166:B178" si="12">A$160</f>
        <v>152</v>
      </c>
      <c r="C166" s="124">
        <v>11</v>
      </c>
      <c r="D166" s="125" t="s">
        <v>710</v>
      </c>
      <c r="E166" s="125"/>
      <c r="F166" s="125" t="s">
        <v>542</v>
      </c>
      <c r="G166" s="26" t="s">
        <v>643</v>
      </c>
      <c r="J166" t="str">
        <f t="shared" si="8"/>
        <v>datatable[157] = new Array("158","152","Earth (Horizon) Sensors","11","Widget.png");</v>
      </c>
    </row>
    <row r="167" spans="1:10" ht="14.25" customHeight="1">
      <c r="A167" s="124">
        <f t="shared" si="10"/>
        <v>159</v>
      </c>
      <c r="B167" s="124">
        <f t="shared" si="12"/>
        <v>152</v>
      </c>
      <c r="C167" s="124">
        <v>11</v>
      </c>
      <c r="D167" s="125" t="s">
        <v>711</v>
      </c>
      <c r="E167" s="125"/>
      <c r="F167" s="125" t="s">
        <v>542</v>
      </c>
      <c r="G167" s="26" t="s">
        <v>643</v>
      </c>
      <c r="J167" t="str">
        <f t="shared" si="8"/>
        <v>datatable[158] = new Array("159","152","Sun Sensors","11","Widget.png");</v>
      </c>
    </row>
    <row r="168" spans="1:10" ht="14.25" customHeight="1">
      <c r="A168" s="124">
        <f t="shared" si="10"/>
        <v>160</v>
      </c>
      <c r="B168" s="124">
        <f t="shared" si="12"/>
        <v>152</v>
      </c>
      <c r="C168" s="124">
        <v>11</v>
      </c>
      <c r="D168" s="125" t="s">
        <v>712</v>
      </c>
      <c r="E168" s="125"/>
      <c r="F168" s="125" t="s">
        <v>542</v>
      </c>
      <c r="G168" s="26" t="s">
        <v>643</v>
      </c>
      <c r="J168" t="str">
        <f t="shared" si="8"/>
        <v>datatable[159] = new Array("160","152","Star Tracker/Sensors","11","Widget.png");</v>
      </c>
    </row>
    <row r="169" spans="1:10" ht="14.25" customHeight="1">
      <c r="A169" s="124">
        <f t="shared" si="10"/>
        <v>161</v>
      </c>
      <c r="B169" s="124">
        <f t="shared" si="12"/>
        <v>152</v>
      </c>
      <c r="C169" s="124">
        <v>11</v>
      </c>
      <c r="D169" s="125" t="s">
        <v>713</v>
      </c>
      <c r="E169" s="125"/>
      <c r="F169" s="125" t="s">
        <v>542</v>
      </c>
      <c r="G169" s="26" t="s">
        <v>643</v>
      </c>
      <c r="J169" t="str">
        <f t="shared" si="8"/>
        <v>datatable[160] = new Array("161","152","Global Positioning System (GPS) Receiver","11","Widget.png");</v>
      </c>
    </row>
    <row r="170" spans="1:10" ht="14.25" customHeight="1">
      <c r="A170" s="124">
        <f t="shared" si="10"/>
        <v>162</v>
      </c>
      <c r="B170" s="124">
        <f t="shared" si="12"/>
        <v>152</v>
      </c>
      <c r="C170" s="124">
        <v>11</v>
      </c>
      <c r="D170" s="125" t="s">
        <v>714</v>
      </c>
      <c r="E170" s="125"/>
      <c r="F170" s="125" t="s">
        <v>542</v>
      </c>
      <c r="G170" s="26" t="s">
        <v>643</v>
      </c>
      <c r="J170" t="str">
        <f t="shared" si="8"/>
        <v>datatable[161] = new Array("162","152","Imagers","11","Widget.png");</v>
      </c>
    </row>
    <row r="171" spans="1:10" ht="14.25" customHeight="1">
      <c r="A171" s="124">
        <f t="shared" si="10"/>
        <v>163</v>
      </c>
      <c r="B171" s="124">
        <f t="shared" si="12"/>
        <v>152</v>
      </c>
      <c r="C171" s="124">
        <v>11</v>
      </c>
      <c r="D171" s="125" t="s">
        <v>715</v>
      </c>
      <c r="E171" s="125"/>
      <c r="F171" s="125" t="s">
        <v>542</v>
      </c>
      <c r="G171" s="26" t="s">
        <v>643</v>
      </c>
      <c r="J171" t="str">
        <f t="shared" si="8"/>
        <v>datatable[162] = new Array("163","152","Magnetometers","11","Widget.png");</v>
      </c>
    </row>
    <row r="172" spans="1:10" ht="14.25" customHeight="1">
      <c r="A172" s="124">
        <f t="shared" si="10"/>
        <v>164</v>
      </c>
      <c r="B172" s="124">
        <f t="shared" si="12"/>
        <v>152</v>
      </c>
      <c r="C172" s="124">
        <v>11</v>
      </c>
      <c r="D172" s="125" t="s">
        <v>716</v>
      </c>
      <c r="E172" s="125"/>
      <c r="F172" s="125" t="s">
        <v>542</v>
      </c>
      <c r="G172" s="26" t="s">
        <v>643</v>
      </c>
      <c r="J172" t="str">
        <f t="shared" si="8"/>
        <v>datatable[163] = new Array("164","152","Altimeters","11","Widget.png");</v>
      </c>
    </row>
    <row r="173" spans="1:10" ht="14.25" customHeight="1">
      <c r="A173" s="124">
        <f t="shared" si="10"/>
        <v>165</v>
      </c>
      <c r="B173" s="124">
        <f t="shared" si="12"/>
        <v>152</v>
      </c>
      <c r="C173" s="124">
        <v>11</v>
      </c>
      <c r="D173" s="125" t="s">
        <v>717</v>
      </c>
      <c r="E173" s="125"/>
      <c r="F173" s="125" t="s">
        <v>542</v>
      </c>
      <c r="G173" s="26" t="s">
        <v>643</v>
      </c>
      <c r="J173" t="str">
        <f t="shared" si="8"/>
        <v>datatable[164] = new Array("165","152","Inertial Reference Unit (IRU)/Inertial Measurement Unit (IMU)","11","Widget.png");</v>
      </c>
    </row>
    <row r="174" spans="1:10" ht="14.25" customHeight="1">
      <c r="A174" s="124">
        <f t="shared" si="10"/>
        <v>166</v>
      </c>
      <c r="B174" s="124">
        <f t="shared" si="12"/>
        <v>152</v>
      </c>
      <c r="C174" s="124">
        <v>11</v>
      </c>
      <c r="D174" s="125" t="s">
        <v>718</v>
      </c>
      <c r="E174" s="125"/>
      <c r="F174" s="125" t="s">
        <v>542</v>
      </c>
      <c r="G174" s="26" t="s">
        <v>643</v>
      </c>
      <c r="J174" t="str">
        <f t="shared" si="8"/>
        <v>datatable[165] = new Array("166","152","Radar","11","Widget.png");</v>
      </c>
    </row>
    <row r="175" spans="1:10" ht="14.25" customHeight="1">
      <c r="A175" s="124">
        <f t="shared" si="10"/>
        <v>167</v>
      </c>
      <c r="B175" s="124">
        <f t="shared" si="12"/>
        <v>152</v>
      </c>
      <c r="C175" s="124">
        <v>11</v>
      </c>
      <c r="D175" s="125" t="s">
        <v>719</v>
      </c>
      <c r="E175" s="125"/>
      <c r="F175" s="125" t="s">
        <v>542</v>
      </c>
      <c r="G175" s="26" t="s">
        <v>643</v>
      </c>
      <c r="J175" t="str">
        <f t="shared" si="8"/>
        <v>datatable[166] = new Array("167","152","Rate Gyros","11","Widget.png");</v>
      </c>
    </row>
    <row r="176" spans="1:10" ht="14.25" customHeight="1">
      <c r="A176" s="124">
        <f t="shared" si="10"/>
        <v>168</v>
      </c>
      <c r="B176" s="124">
        <f t="shared" si="12"/>
        <v>152</v>
      </c>
      <c r="C176" s="124">
        <v>11</v>
      </c>
      <c r="D176" s="125" t="s">
        <v>720</v>
      </c>
      <c r="E176" s="125"/>
      <c r="F176" s="125" t="s">
        <v>542</v>
      </c>
      <c r="G176" s="26" t="s">
        <v>643</v>
      </c>
      <c r="J176" t="str">
        <f t="shared" si="8"/>
        <v>datatable[167] = new Array("168","152","Accelerometers","11","Widget.png");</v>
      </c>
    </row>
    <row r="177" spans="1:10" ht="14.25" customHeight="1">
      <c r="A177" s="124">
        <f t="shared" si="10"/>
        <v>169</v>
      </c>
      <c r="B177" s="124">
        <f t="shared" si="12"/>
        <v>152</v>
      </c>
      <c r="C177" s="124">
        <v>11</v>
      </c>
      <c r="D177" s="125" t="s">
        <v>721</v>
      </c>
      <c r="E177" s="125"/>
      <c r="F177" s="125" t="s">
        <v>542</v>
      </c>
      <c r="G177" s="26" t="s">
        <v>643</v>
      </c>
      <c r="J177" t="str">
        <f t="shared" si="8"/>
        <v>datatable[168] = new Array("169","152","Bearing and Power Transfer Assembly","11","Widget.png");</v>
      </c>
    </row>
    <row r="178" spans="1:10" ht="14.25" customHeight="1">
      <c r="A178" s="124">
        <f t="shared" si="10"/>
        <v>170</v>
      </c>
      <c r="B178" s="124">
        <f t="shared" si="12"/>
        <v>152</v>
      </c>
      <c r="C178" s="124">
        <v>11</v>
      </c>
      <c r="D178" s="125" t="s">
        <v>722</v>
      </c>
      <c r="E178" s="125"/>
      <c r="F178" s="125" t="s">
        <v>542</v>
      </c>
      <c r="G178" s="26" t="s">
        <v>643</v>
      </c>
      <c r="J178" t="str">
        <f t="shared" si="8"/>
        <v>datatable[169] = new Array("170","152","Other Attitude Determination Devices (Specify)","11","Widget.png");</v>
      </c>
    </row>
    <row r="179" spans="1:10" ht="14.25" customHeight="1">
      <c r="A179" s="124">
        <f t="shared" si="10"/>
        <v>171</v>
      </c>
      <c r="B179" s="124">
        <f>A$153</f>
        <v>145</v>
      </c>
      <c r="C179" s="124">
        <v>10</v>
      </c>
      <c r="D179" s="125" t="s">
        <v>723</v>
      </c>
      <c r="E179" s="125"/>
      <c r="F179" s="125" t="s">
        <v>540</v>
      </c>
      <c r="G179" s="26" t="s">
        <v>643</v>
      </c>
      <c r="J179" t="str">
        <f t="shared" si="8"/>
        <v>datatable[170] = new Array("171","145","Attitude Control","10","Widget.png");</v>
      </c>
    </row>
    <row r="180" spans="1:10" ht="14.25" customHeight="1">
      <c r="A180" s="124">
        <f t="shared" si="10"/>
        <v>172</v>
      </c>
      <c r="B180" s="124">
        <f t="shared" ref="B180:B187" si="13">A$174</f>
        <v>166</v>
      </c>
      <c r="C180" s="124">
        <v>11</v>
      </c>
      <c r="D180" s="125" t="s">
        <v>724</v>
      </c>
      <c r="E180" s="125"/>
      <c r="F180" s="125" t="s">
        <v>542</v>
      </c>
      <c r="G180" s="26" t="s">
        <v>643</v>
      </c>
      <c r="J180" t="str">
        <f t="shared" si="8"/>
        <v>datatable[171] = new Array("172","166","Reaction Wheel","11","Widget.png");</v>
      </c>
    </row>
    <row r="181" spans="1:10" ht="14.25" customHeight="1">
      <c r="A181" s="124">
        <f t="shared" si="10"/>
        <v>173</v>
      </c>
      <c r="B181" s="124">
        <f t="shared" si="13"/>
        <v>166</v>
      </c>
      <c r="C181" s="124">
        <v>11</v>
      </c>
      <c r="D181" s="125" t="s">
        <v>725</v>
      </c>
      <c r="E181" s="125"/>
      <c r="F181" s="125" t="s">
        <v>542</v>
      </c>
      <c r="G181" s="26" t="s">
        <v>643</v>
      </c>
      <c r="J181" t="str">
        <f t="shared" si="8"/>
        <v>datatable[172] = new Array("173","166","Momentum Wheel","11","Widget.png");</v>
      </c>
    </row>
    <row r="182" spans="1:10" ht="14.25" customHeight="1">
      <c r="A182" s="124">
        <f t="shared" si="10"/>
        <v>174</v>
      </c>
      <c r="B182" s="124">
        <f t="shared" si="13"/>
        <v>166</v>
      </c>
      <c r="C182" s="124">
        <v>11</v>
      </c>
      <c r="D182" s="125" t="s">
        <v>726</v>
      </c>
      <c r="E182" s="125"/>
      <c r="F182" s="125" t="s">
        <v>542</v>
      </c>
      <c r="G182" s="26" t="s">
        <v>643</v>
      </c>
      <c r="J182" t="str">
        <f t="shared" si="8"/>
        <v>datatable[173] = new Array("174","166","Control Moment Gyro","11","Widget.png");</v>
      </c>
    </row>
    <row r="183" spans="1:10" ht="14.25" customHeight="1">
      <c r="A183" s="124">
        <f t="shared" si="10"/>
        <v>175</v>
      </c>
      <c r="B183" s="124">
        <f t="shared" si="13"/>
        <v>166</v>
      </c>
      <c r="C183" s="124">
        <v>11</v>
      </c>
      <c r="D183" s="125" t="s">
        <v>727</v>
      </c>
      <c r="E183" s="125"/>
      <c r="F183" s="125" t="s">
        <v>542</v>
      </c>
      <c r="G183" s="26" t="s">
        <v>643</v>
      </c>
      <c r="J183" t="str">
        <f t="shared" si="8"/>
        <v>datatable[174] = new Array("175","166","Other Energy Storage Devices","11","Widget.png");</v>
      </c>
    </row>
    <row r="184" spans="1:10" ht="14.25" customHeight="1">
      <c r="A184" s="124">
        <f t="shared" si="10"/>
        <v>176</v>
      </c>
      <c r="B184" s="124">
        <f t="shared" si="13"/>
        <v>166</v>
      </c>
      <c r="C184" s="124">
        <v>11</v>
      </c>
      <c r="D184" s="125" t="s">
        <v>728</v>
      </c>
      <c r="E184" s="125"/>
      <c r="F184" s="125" t="s">
        <v>542</v>
      </c>
      <c r="G184" s="26" t="s">
        <v>643</v>
      </c>
      <c r="J184" t="str">
        <f t="shared" si="8"/>
        <v>datatable[175] = new Array("176","166","Magnetic Control Devices","11","Widget.png");</v>
      </c>
    </row>
    <row r="185" spans="1:10" ht="14.25" customHeight="1">
      <c r="A185" s="124">
        <f t="shared" si="10"/>
        <v>177</v>
      </c>
      <c r="B185" s="124">
        <f t="shared" si="13"/>
        <v>166</v>
      </c>
      <c r="C185" s="124">
        <v>11</v>
      </c>
      <c r="D185" s="125" t="s">
        <v>729</v>
      </c>
      <c r="E185" s="125"/>
      <c r="F185" s="125" t="s">
        <v>542</v>
      </c>
      <c r="G185" s="26" t="s">
        <v>643</v>
      </c>
      <c r="J185" t="str">
        <f t="shared" si="8"/>
        <v>datatable[176] = new Array("177","166","Spin Control Devices","11","Widget.png");</v>
      </c>
    </row>
    <row r="186" spans="1:10" ht="14.25" customHeight="1">
      <c r="A186" s="124">
        <f t="shared" si="10"/>
        <v>178</v>
      </c>
      <c r="B186" s="124">
        <f t="shared" si="13"/>
        <v>166</v>
      </c>
      <c r="C186" s="124">
        <v>11</v>
      </c>
      <c r="D186" s="125" t="s">
        <v>730</v>
      </c>
      <c r="E186" s="125"/>
      <c r="F186" s="125" t="s">
        <v>542</v>
      </c>
      <c r="G186" s="26" t="s">
        <v>643</v>
      </c>
      <c r="J186" t="str">
        <f t="shared" si="8"/>
        <v>datatable[177] = new Array("178","166","Control Electronics","11","Widget.png");</v>
      </c>
    </row>
    <row r="187" spans="1:10" ht="14.25" customHeight="1">
      <c r="A187" s="124">
        <f t="shared" si="10"/>
        <v>179</v>
      </c>
      <c r="B187" s="124">
        <f t="shared" si="13"/>
        <v>166</v>
      </c>
      <c r="C187" s="124">
        <v>11</v>
      </c>
      <c r="D187" s="125" t="s">
        <v>731</v>
      </c>
      <c r="E187" s="125"/>
      <c r="F187" s="125" t="s">
        <v>542</v>
      </c>
      <c r="G187" s="26" t="s">
        <v>643</v>
      </c>
      <c r="J187" t="str">
        <f t="shared" si="8"/>
        <v>datatable[178] = new Array("179","166","Other Attitude Control Devices (Specify)","11","Widget.png");</v>
      </c>
    </row>
    <row r="188" spans="1:10" ht="14.25" customHeight="1">
      <c r="A188" s="124">
        <f t="shared" si="10"/>
        <v>180</v>
      </c>
      <c r="B188" s="124">
        <f>A$153</f>
        <v>145</v>
      </c>
      <c r="C188" s="124">
        <v>10</v>
      </c>
      <c r="D188" s="125" t="s">
        <v>732</v>
      </c>
      <c r="E188" s="125"/>
      <c r="F188" s="125" t="s">
        <v>540</v>
      </c>
      <c r="G188" s="26" t="s">
        <v>643</v>
      </c>
      <c r="J188" t="str">
        <f t="shared" si="8"/>
        <v>datatable[179] = new Array("180","145","ACS Other (Specify)","10","Widget.png");</v>
      </c>
    </row>
    <row r="189" spans="1:10" ht="14.25" customHeight="1">
      <c r="A189" s="124">
        <f t="shared" si="10"/>
        <v>181</v>
      </c>
      <c r="B189" s="124">
        <f>A$69</f>
        <v>61</v>
      </c>
      <c r="C189" s="124">
        <v>9</v>
      </c>
      <c r="D189" s="125" t="s">
        <v>733</v>
      </c>
      <c r="E189" s="125"/>
      <c r="F189" s="125" t="s">
        <v>538</v>
      </c>
      <c r="G189" s="26" t="s">
        <v>643</v>
      </c>
      <c r="J189" t="str">
        <f t="shared" si="8"/>
        <v>datatable[180] = new Array("181","61","Propulsion Subsystem","9","Widget.png");</v>
      </c>
    </row>
    <row r="190" spans="1:10" ht="14.25" customHeight="1">
      <c r="A190" s="124">
        <f t="shared" si="10"/>
        <v>182</v>
      </c>
      <c r="B190" s="124">
        <f>A$184</f>
        <v>176</v>
      </c>
      <c r="C190" s="124">
        <v>10</v>
      </c>
      <c r="D190" s="125" t="s">
        <v>734</v>
      </c>
      <c r="E190" s="125"/>
      <c r="F190" s="125" t="s">
        <v>540</v>
      </c>
      <c r="G190" s="26" t="s">
        <v>634</v>
      </c>
      <c r="J190" t="str">
        <f t="shared" si="8"/>
        <v>datatable[181] = new Array("182","176","Propulsion Subsystem SEITPM","10","SEITPM.png");</v>
      </c>
    </row>
    <row r="191" spans="1:10" ht="14.25" customHeight="1">
      <c r="A191" s="124">
        <f t="shared" si="10"/>
        <v>183</v>
      </c>
      <c r="B191" s="124">
        <f>A$185</f>
        <v>177</v>
      </c>
      <c r="C191" s="124">
        <v>11</v>
      </c>
      <c r="D191" s="125" t="s">
        <v>635</v>
      </c>
      <c r="E191" s="125"/>
      <c r="F191" s="125" t="s">
        <v>542</v>
      </c>
      <c r="G191" s="26" t="s">
        <v>634</v>
      </c>
      <c r="J191" t="str">
        <f t="shared" si="8"/>
        <v>datatable[182] = new Array("183","177","Project Management","11","SEITPM.png");</v>
      </c>
    </row>
    <row r="192" spans="1:10" ht="14.25" customHeight="1">
      <c r="A192" s="124">
        <f t="shared" si="10"/>
        <v>184</v>
      </c>
      <c r="B192" s="124">
        <f>A$185</f>
        <v>177</v>
      </c>
      <c r="C192" s="124">
        <v>11</v>
      </c>
      <c r="D192" s="125" t="s">
        <v>636</v>
      </c>
      <c r="E192" s="125"/>
      <c r="F192" s="125" t="s">
        <v>542</v>
      </c>
      <c r="G192" s="26" t="s">
        <v>634</v>
      </c>
      <c r="J192" t="str">
        <f t="shared" si="8"/>
        <v>datatable[183] = new Array("184","177","Systems Engineering","11","SEITPM.png");</v>
      </c>
    </row>
    <row r="193" spans="1:10" ht="14.25" customHeight="1">
      <c r="A193" s="124">
        <f t="shared" si="10"/>
        <v>185</v>
      </c>
      <c r="B193" s="124">
        <f>A$185</f>
        <v>177</v>
      </c>
      <c r="C193" s="124">
        <v>11</v>
      </c>
      <c r="D193" s="125" t="s">
        <v>637</v>
      </c>
      <c r="E193" s="125"/>
      <c r="F193" s="125" t="s">
        <v>542</v>
      </c>
      <c r="G193" s="26" t="s">
        <v>634</v>
      </c>
      <c r="J193" t="str">
        <f t="shared" si="8"/>
        <v>datatable[184] = new Array("185","177","Mission Assurance","11","SEITPM.png");</v>
      </c>
    </row>
    <row r="194" spans="1:10" ht="14.25" customHeight="1">
      <c r="A194" s="124">
        <f t="shared" si="10"/>
        <v>186</v>
      </c>
      <c r="B194" s="124">
        <f>A$185</f>
        <v>177</v>
      </c>
      <c r="C194" s="124">
        <v>11</v>
      </c>
      <c r="D194" s="125" t="s">
        <v>638</v>
      </c>
      <c r="E194" s="125"/>
      <c r="F194" s="125" t="s">
        <v>542</v>
      </c>
      <c r="G194" s="26" t="s">
        <v>634</v>
      </c>
      <c r="J194" t="str">
        <f t="shared" si="8"/>
        <v>datatable[185] = new Array("186","177","Assembly, Integration and Testing","11","SEITPM.png");</v>
      </c>
    </row>
    <row r="195" spans="1:10" ht="14.25" customHeight="1">
      <c r="A195" s="124">
        <f t="shared" si="10"/>
        <v>187</v>
      </c>
      <c r="B195" s="124">
        <f>A$185</f>
        <v>177</v>
      </c>
      <c r="C195" s="124">
        <v>11</v>
      </c>
      <c r="D195" s="125" t="s">
        <v>639</v>
      </c>
      <c r="E195" s="125"/>
      <c r="F195" s="125" t="s">
        <v>542</v>
      </c>
      <c r="G195" s="26" t="s">
        <v>634</v>
      </c>
      <c r="J195" t="str">
        <f t="shared" si="8"/>
        <v>datatable[186] = new Array("187","177","Support Equipment","11","SEITPM.png");</v>
      </c>
    </row>
    <row r="196" spans="1:10" ht="14.25" customHeight="1">
      <c r="A196" s="124">
        <f t="shared" si="10"/>
        <v>188</v>
      </c>
      <c r="B196" s="124">
        <f>A$184</f>
        <v>176</v>
      </c>
      <c r="C196" s="124">
        <v>10</v>
      </c>
      <c r="D196" s="125" t="s">
        <v>735</v>
      </c>
      <c r="E196" s="125"/>
      <c r="F196" s="125" t="s">
        <v>540</v>
      </c>
      <c r="G196" s="26" t="s">
        <v>643</v>
      </c>
      <c r="J196" t="str">
        <f t="shared" si="8"/>
        <v>datatable[187] = new Array("188","176","Tanks","10","Widget.png");</v>
      </c>
    </row>
    <row r="197" spans="1:10" ht="14.25" customHeight="1">
      <c r="A197" s="124">
        <f t="shared" si="10"/>
        <v>189</v>
      </c>
      <c r="B197" s="124">
        <f t="shared" ref="B197:B202" si="14">A$191</f>
        <v>183</v>
      </c>
      <c r="C197" s="124">
        <v>11</v>
      </c>
      <c r="D197" s="125" t="s">
        <v>736</v>
      </c>
      <c r="E197" s="125"/>
      <c r="F197" s="125" t="s">
        <v>542</v>
      </c>
      <c r="G197" s="26" t="s">
        <v>643</v>
      </c>
      <c r="J197" t="str">
        <f t="shared" si="8"/>
        <v>datatable[188] = new Array("189","183","Oxidizer Tanks","11","Widget.png");</v>
      </c>
    </row>
    <row r="198" spans="1:10" ht="14.25" customHeight="1">
      <c r="A198" s="124">
        <f t="shared" si="10"/>
        <v>190</v>
      </c>
      <c r="B198" s="124">
        <f t="shared" si="14"/>
        <v>183</v>
      </c>
      <c r="C198" s="124">
        <v>11</v>
      </c>
      <c r="D198" s="125" t="s">
        <v>737</v>
      </c>
      <c r="E198" s="125"/>
      <c r="F198" s="125" t="s">
        <v>542</v>
      </c>
      <c r="G198" s="26" t="s">
        <v>643</v>
      </c>
      <c r="J198" t="str">
        <f t="shared" si="8"/>
        <v>datatable[189] = new Array("190","183","Fuel Tanks","11","Widget.png");</v>
      </c>
    </row>
    <row r="199" spans="1:10" ht="14.25" customHeight="1">
      <c r="A199" s="124">
        <f t="shared" si="10"/>
        <v>191</v>
      </c>
      <c r="B199" s="124">
        <f t="shared" si="14"/>
        <v>183</v>
      </c>
      <c r="C199" s="124">
        <v>11</v>
      </c>
      <c r="D199" s="125" t="s">
        <v>738</v>
      </c>
      <c r="E199" s="125"/>
      <c r="F199" s="125" t="s">
        <v>542</v>
      </c>
      <c r="G199" s="26" t="s">
        <v>643</v>
      </c>
      <c r="J199" t="str">
        <f t="shared" si="8"/>
        <v>datatable[190] = new Array("191","183","Propellant Tanks","11","Widget.png");</v>
      </c>
    </row>
    <row r="200" spans="1:10" ht="14.25" customHeight="1">
      <c r="A200" s="124">
        <f t="shared" si="10"/>
        <v>192</v>
      </c>
      <c r="B200" s="124">
        <f t="shared" si="14"/>
        <v>183</v>
      </c>
      <c r="C200" s="124">
        <v>11</v>
      </c>
      <c r="D200" s="125" t="s">
        <v>739</v>
      </c>
      <c r="E200" s="125"/>
      <c r="F200" s="125" t="s">
        <v>542</v>
      </c>
      <c r="G200" s="26" t="s">
        <v>643</v>
      </c>
      <c r="J200" t="str">
        <f t="shared" si="8"/>
        <v>datatable[191] = new Array("192","183","Pressurance Tanks","11","Widget.png");</v>
      </c>
    </row>
    <row r="201" spans="1:10" ht="14.25" customHeight="1">
      <c r="A201" s="124">
        <f t="shared" si="10"/>
        <v>193</v>
      </c>
      <c r="B201" s="124">
        <f t="shared" si="14"/>
        <v>183</v>
      </c>
      <c r="C201" s="124">
        <v>11</v>
      </c>
      <c r="D201" s="125" t="s">
        <v>740</v>
      </c>
      <c r="E201" s="125"/>
      <c r="F201" s="125" t="s">
        <v>542</v>
      </c>
      <c r="G201" s="26" t="s">
        <v>643</v>
      </c>
      <c r="J201" t="str">
        <f t="shared" ref="J201:J264" si="15">"datatable["&amp;A201-1&amp;"] = new Array(""" &amp; A201 &amp;""",""" &amp; B201 &amp;""",""" &amp; D201 &amp; """,""" &amp; C201&amp;""","""&amp;""&amp;G201&amp;""");"</f>
        <v>datatable[192] = new Array("193","183","Plumbing","11","Widget.png");</v>
      </c>
    </row>
    <row r="202" spans="1:10" ht="14.25" customHeight="1">
      <c r="A202" s="124">
        <f t="shared" si="10"/>
        <v>194</v>
      </c>
      <c r="B202" s="124">
        <f t="shared" si="14"/>
        <v>183</v>
      </c>
      <c r="C202" s="124">
        <v>11</v>
      </c>
      <c r="D202" s="125" t="s">
        <v>741</v>
      </c>
      <c r="E202" s="125"/>
      <c r="F202" s="125" t="s">
        <v>542</v>
      </c>
      <c r="G202" s="26" t="s">
        <v>643</v>
      </c>
      <c r="J202" t="str">
        <f t="shared" si="15"/>
        <v>datatable[193] = new Array("194","183","Other Tanks (Specify)","11","Widget.png");</v>
      </c>
    </row>
    <row r="203" spans="1:10" ht="14.25" customHeight="1">
      <c r="A203" s="124">
        <f t="shared" ref="A203:A266" si="16">A202+1</f>
        <v>195</v>
      </c>
      <c r="B203" s="124">
        <f>A$184</f>
        <v>176</v>
      </c>
      <c r="C203" s="124">
        <v>10</v>
      </c>
      <c r="D203" s="125" t="s">
        <v>742</v>
      </c>
      <c r="E203" s="125"/>
      <c r="F203" s="125" t="s">
        <v>540</v>
      </c>
      <c r="G203" s="26" t="s">
        <v>643</v>
      </c>
      <c r="J203" t="str">
        <f t="shared" si="15"/>
        <v>datatable[194] = new Array("195","176","Maneuvering Thrusters","10","Widget.png");</v>
      </c>
    </row>
    <row r="204" spans="1:10" ht="14.25" customHeight="1">
      <c r="A204" s="124">
        <f t="shared" si="16"/>
        <v>196</v>
      </c>
      <c r="B204" s="124">
        <f t="shared" ref="B204:B209" si="17">A$198</f>
        <v>190</v>
      </c>
      <c r="C204" s="124">
        <v>11</v>
      </c>
      <c r="D204" s="125" t="s">
        <v>743</v>
      </c>
      <c r="E204" s="125"/>
      <c r="F204" s="125" t="s">
        <v>542</v>
      </c>
      <c r="G204" s="26" t="s">
        <v>643</v>
      </c>
      <c r="J204" t="str">
        <f t="shared" si="15"/>
        <v>datatable[195] = new Array("196","190","Bipropellant","11","Widget.png");</v>
      </c>
    </row>
    <row r="205" spans="1:10" ht="14.25" customHeight="1">
      <c r="A205" s="124">
        <f t="shared" si="16"/>
        <v>197</v>
      </c>
      <c r="B205" s="124">
        <f t="shared" si="17"/>
        <v>190</v>
      </c>
      <c r="C205" s="124">
        <v>11</v>
      </c>
      <c r="D205" s="125" t="s">
        <v>744</v>
      </c>
      <c r="E205" s="125"/>
      <c r="F205" s="125" t="s">
        <v>542</v>
      </c>
      <c r="G205" s="26" t="s">
        <v>643</v>
      </c>
      <c r="J205" t="str">
        <f t="shared" si="15"/>
        <v>datatable[196] = new Array("197","190","Monopropellant","11","Widget.png");</v>
      </c>
    </row>
    <row r="206" spans="1:10" ht="14.25" customHeight="1">
      <c r="A206" s="124">
        <f t="shared" si="16"/>
        <v>198</v>
      </c>
      <c r="B206" s="124">
        <f t="shared" si="17"/>
        <v>190</v>
      </c>
      <c r="C206" s="124">
        <v>11</v>
      </c>
      <c r="D206" s="125" t="s">
        <v>745</v>
      </c>
      <c r="E206" s="125"/>
      <c r="F206" s="125" t="s">
        <v>542</v>
      </c>
      <c r="G206" s="26" t="s">
        <v>643</v>
      </c>
      <c r="J206" t="str">
        <f t="shared" si="15"/>
        <v>datatable[197] = new Array("198","190","Solar Electric","11","Widget.png");</v>
      </c>
    </row>
    <row r="207" spans="1:10" ht="14.25" customHeight="1">
      <c r="A207" s="124">
        <f t="shared" si="16"/>
        <v>199</v>
      </c>
      <c r="B207" s="124">
        <f t="shared" si="17"/>
        <v>190</v>
      </c>
      <c r="C207" s="124">
        <v>11</v>
      </c>
      <c r="D207" s="125" t="s">
        <v>746</v>
      </c>
      <c r="E207" s="125"/>
      <c r="F207" s="125" t="s">
        <v>542</v>
      </c>
      <c r="G207" s="26" t="s">
        <v>643</v>
      </c>
      <c r="J207" t="str">
        <f t="shared" si="15"/>
        <v>datatable[198] = new Array("199","190","Ion","11","Widget.png");</v>
      </c>
    </row>
    <row r="208" spans="1:10" ht="14.25" customHeight="1">
      <c r="A208" s="124">
        <f t="shared" si="16"/>
        <v>200</v>
      </c>
      <c r="B208" s="124">
        <f t="shared" si="17"/>
        <v>190</v>
      </c>
      <c r="C208" s="124">
        <v>11</v>
      </c>
      <c r="D208" s="125" t="s">
        <v>747</v>
      </c>
      <c r="E208" s="125"/>
      <c r="F208" s="125" t="s">
        <v>542</v>
      </c>
      <c r="G208" s="26" t="s">
        <v>643</v>
      </c>
      <c r="J208" t="str">
        <f t="shared" si="15"/>
        <v>datatable[199] = new Array("200","190","Cold Gas","11","Widget.png");</v>
      </c>
    </row>
    <row r="209" spans="1:10" ht="14.25" customHeight="1">
      <c r="A209" s="124">
        <f t="shared" si="16"/>
        <v>201</v>
      </c>
      <c r="B209" s="124">
        <f t="shared" si="17"/>
        <v>190</v>
      </c>
      <c r="C209" s="124">
        <v>11</v>
      </c>
      <c r="D209" s="125" t="s">
        <v>748</v>
      </c>
      <c r="E209" s="125"/>
      <c r="F209" s="125" t="s">
        <v>542</v>
      </c>
      <c r="G209" s="26" t="s">
        <v>643</v>
      </c>
      <c r="J209" t="str">
        <f t="shared" si="15"/>
        <v>datatable[200] = new Array("201","190","Other Maneuvering Thrusters (Specify)","11","Widget.png");</v>
      </c>
    </row>
    <row r="210" spans="1:10" ht="14.25" customHeight="1">
      <c r="A210" s="124">
        <f t="shared" si="16"/>
        <v>202</v>
      </c>
      <c r="B210" s="124">
        <f>A$184</f>
        <v>176</v>
      </c>
      <c r="C210" s="124">
        <v>10</v>
      </c>
      <c r="D210" s="125" t="s">
        <v>749</v>
      </c>
      <c r="E210" s="125"/>
      <c r="F210" s="125" t="s">
        <v>540</v>
      </c>
      <c r="G210" s="26" t="s">
        <v>643</v>
      </c>
      <c r="J210" t="str">
        <f t="shared" si="15"/>
        <v>datatable[201] = new Array("202","176","Translation Thrusters","10","Widget.png");</v>
      </c>
    </row>
    <row r="211" spans="1:10" ht="14.25" customHeight="1">
      <c r="A211" s="124">
        <f t="shared" si="16"/>
        <v>203</v>
      </c>
      <c r="B211" s="124">
        <f t="shared" ref="B211:B216" si="18">A$205</f>
        <v>197</v>
      </c>
      <c r="C211" s="124">
        <v>11</v>
      </c>
      <c r="D211" s="125" t="s">
        <v>743</v>
      </c>
      <c r="E211" s="125"/>
      <c r="F211" s="125" t="s">
        <v>542</v>
      </c>
      <c r="G211" s="26" t="s">
        <v>643</v>
      </c>
      <c r="J211" t="str">
        <f t="shared" si="15"/>
        <v>datatable[202] = new Array("203","197","Bipropellant","11","Widget.png");</v>
      </c>
    </row>
    <row r="212" spans="1:10" ht="14.25" customHeight="1">
      <c r="A212" s="124">
        <f t="shared" si="16"/>
        <v>204</v>
      </c>
      <c r="B212" s="124">
        <f t="shared" si="18"/>
        <v>197</v>
      </c>
      <c r="C212" s="124">
        <v>11</v>
      </c>
      <c r="D212" s="125" t="s">
        <v>744</v>
      </c>
      <c r="E212" s="125"/>
      <c r="F212" s="125" t="s">
        <v>542</v>
      </c>
      <c r="G212" s="26" t="s">
        <v>643</v>
      </c>
      <c r="J212" t="str">
        <f t="shared" si="15"/>
        <v>datatable[203] = new Array("204","197","Monopropellant","11","Widget.png");</v>
      </c>
    </row>
    <row r="213" spans="1:10" ht="14.25" customHeight="1">
      <c r="A213" s="124">
        <f t="shared" si="16"/>
        <v>205</v>
      </c>
      <c r="B213" s="124">
        <f t="shared" si="18"/>
        <v>197</v>
      </c>
      <c r="C213" s="124">
        <v>11</v>
      </c>
      <c r="D213" s="125" t="s">
        <v>745</v>
      </c>
      <c r="E213" s="125"/>
      <c r="F213" s="125" t="s">
        <v>542</v>
      </c>
      <c r="G213" s="26" t="s">
        <v>643</v>
      </c>
      <c r="J213" t="str">
        <f t="shared" si="15"/>
        <v>datatable[204] = new Array("205","197","Solar Electric","11","Widget.png");</v>
      </c>
    </row>
    <row r="214" spans="1:10" ht="14.25" customHeight="1">
      <c r="A214" s="124">
        <f t="shared" si="16"/>
        <v>206</v>
      </c>
      <c r="B214" s="124">
        <f t="shared" si="18"/>
        <v>197</v>
      </c>
      <c r="C214" s="124">
        <v>11</v>
      </c>
      <c r="D214" s="125" t="s">
        <v>746</v>
      </c>
      <c r="E214" s="125"/>
      <c r="F214" s="125" t="s">
        <v>542</v>
      </c>
      <c r="G214" s="26" t="s">
        <v>643</v>
      </c>
      <c r="J214" t="str">
        <f t="shared" si="15"/>
        <v>datatable[205] = new Array("206","197","Ion","11","Widget.png");</v>
      </c>
    </row>
    <row r="215" spans="1:10" ht="14.25" customHeight="1">
      <c r="A215" s="124">
        <f t="shared" si="16"/>
        <v>207</v>
      </c>
      <c r="B215" s="124">
        <f t="shared" si="18"/>
        <v>197</v>
      </c>
      <c r="C215" s="124">
        <v>11</v>
      </c>
      <c r="D215" s="125" t="s">
        <v>747</v>
      </c>
      <c r="E215" s="125"/>
      <c r="F215" s="125" t="s">
        <v>542</v>
      </c>
      <c r="G215" s="26" t="s">
        <v>643</v>
      </c>
      <c r="J215" t="str">
        <f t="shared" si="15"/>
        <v>datatable[206] = new Array("207","197","Cold Gas","11","Widget.png");</v>
      </c>
    </row>
    <row r="216" spans="1:10" ht="14.25" customHeight="1">
      <c r="A216" s="124">
        <f t="shared" si="16"/>
        <v>208</v>
      </c>
      <c r="B216" s="124">
        <f t="shared" si="18"/>
        <v>197</v>
      </c>
      <c r="C216" s="124">
        <v>11</v>
      </c>
      <c r="D216" s="125" t="s">
        <v>750</v>
      </c>
      <c r="E216" s="125"/>
      <c r="F216" s="125" t="s">
        <v>542</v>
      </c>
      <c r="G216" s="26" t="s">
        <v>643</v>
      </c>
      <c r="J216" t="str">
        <f t="shared" si="15"/>
        <v>datatable[207] = new Array("208","197","Other Translation Thrusters (Specify)","11","Widget.png");</v>
      </c>
    </row>
    <row r="217" spans="1:10" ht="14.25" customHeight="1">
      <c r="A217" s="124">
        <f t="shared" si="16"/>
        <v>209</v>
      </c>
      <c r="B217" s="124">
        <f>A$184</f>
        <v>176</v>
      </c>
      <c r="C217" s="124">
        <v>10</v>
      </c>
      <c r="D217" s="125" t="s">
        <v>751</v>
      </c>
      <c r="E217" s="125"/>
      <c r="F217" s="125" t="s">
        <v>540</v>
      </c>
      <c r="G217" s="26" t="s">
        <v>643</v>
      </c>
      <c r="J217" t="str">
        <f t="shared" si="15"/>
        <v>datatable[208] = new Array("209","176","Propellant","10","Widget.png");</v>
      </c>
    </row>
    <row r="218" spans="1:10" ht="14.25" customHeight="1">
      <c r="A218" s="124">
        <f t="shared" si="16"/>
        <v>210</v>
      </c>
      <c r="B218" s="124">
        <f>A$212</f>
        <v>204</v>
      </c>
      <c r="C218" s="124">
        <v>11</v>
      </c>
      <c r="D218" s="125" t="s">
        <v>752</v>
      </c>
      <c r="E218" s="125"/>
      <c r="F218" s="125" t="s">
        <v>542</v>
      </c>
      <c r="G218" s="26" t="s">
        <v>643</v>
      </c>
      <c r="J218" t="str">
        <f t="shared" si="15"/>
        <v>datatable[209] = new Array("210","204","Solid Propellant","11","Widget.png");</v>
      </c>
    </row>
    <row r="219" spans="1:10" ht="14.25" customHeight="1">
      <c r="A219" s="124">
        <f t="shared" si="16"/>
        <v>211</v>
      </c>
      <c r="B219" s="124">
        <f>A$212</f>
        <v>204</v>
      </c>
      <c r="C219" s="124">
        <v>11</v>
      </c>
      <c r="D219" s="125" t="s">
        <v>753</v>
      </c>
      <c r="E219" s="125"/>
      <c r="F219" s="125" t="s">
        <v>542</v>
      </c>
      <c r="G219" s="26" t="s">
        <v>643</v>
      </c>
      <c r="J219" t="str">
        <f t="shared" si="15"/>
        <v>datatable[210] = new Array("211","204","Liquid Propellant","11","Widget.png");</v>
      </c>
    </row>
    <row r="220" spans="1:10" ht="14.25" customHeight="1">
      <c r="A220" s="124">
        <f t="shared" si="16"/>
        <v>212</v>
      </c>
      <c r="B220" s="124">
        <f>A$212</f>
        <v>204</v>
      </c>
      <c r="C220" s="124">
        <v>11</v>
      </c>
      <c r="D220" s="125" t="s">
        <v>754</v>
      </c>
      <c r="E220" s="125"/>
      <c r="F220" s="125" t="s">
        <v>542</v>
      </c>
      <c r="G220" s="26" t="s">
        <v>643</v>
      </c>
      <c r="J220" t="str">
        <f t="shared" si="15"/>
        <v>datatable[211] = new Array("212","204","Prussurant Propellant","11","Widget.png");</v>
      </c>
    </row>
    <row r="221" spans="1:10" ht="14.25" customHeight="1">
      <c r="A221" s="124">
        <f t="shared" si="16"/>
        <v>213</v>
      </c>
      <c r="B221" s="124">
        <f>A$212</f>
        <v>204</v>
      </c>
      <c r="C221" s="124">
        <v>11</v>
      </c>
      <c r="D221" s="125" t="s">
        <v>755</v>
      </c>
      <c r="E221" s="125"/>
      <c r="F221" s="125" t="s">
        <v>542</v>
      </c>
      <c r="G221" s="26" t="s">
        <v>643</v>
      </c>
      <c r="J221" t="str">
        <f t="shared" si="15"/>
        <v>datatable[212] = new Array("213","204","Other Propellant (Specify)","11","Widget.png");</v>
      </c>
    </row>
    <row r="222" spans="1:10" ht="14.25" customHeight="1">
      <c r="A222" s="124">
        <f t="shared" si="16"/>
        <v>214</v>
      </c>
      <c r="B222" s="124">
        <f>A$184</f>
        <v>176</v>
      </c>
      <c r="C222" s="124">
        <v>11</v>
      </c>
      <c r="D222" s="125" t="s">
        <v>756</v>
      </c>
      <c r="E222" s="125"/>
      <c r="F222" s="125" t="s">
        <v>542</v>
      </c>
      <c r="G222" s="26" t="s">
        <v>643</v>
      </c>
      <c r="J222" t="str">
        <f t="shared" si="15"/>
        <v>datatable[213] = new Array("214","176","Solid Rocket Motors","11","Widget.png");</v>
      </c>
    </row>
    <row r="223" spans="1:10" ht="14.25" customHeight="1">
      <c r="A223" s="124">
        <f t="shared" si="16"/>
        <v>215</v>
      </c>
      <c r="B223" s="124">
        <f>A$184</f>
        <v>176</v>
      </c>
      <c r="C223" s="124">
        <v>11</v>
      </c>
      <c r="D223" s="125" t="s">
        <v>757</v>
      </c>
      <c r="E223" s="125"/>
      <c r="F223" s="125" t="s">
        <v>542</v>
      </c>
      <c r="G223" s="26" t="s">
        <v>643</v>
      </c>
      <c r="J223" t="str">
        <f t="shared" si="15"/>
        <v>datatable[214] = new Array("215","176","Power Electronics","11","Widget.png");</v>
      </c>
    </row>
    <row r="224" spans="1:10" ht="14.25" customHeight="1">
      <c r="A224" s="124">
        <f t="shared" si="16"/>
        <v>216</v>
      </c>
      <c r="B224" s="124">
        <f>A$184</f>
        <v>176</v>
      </c>
      <c r="C224" s="124">
        <v>11</v>
      </c>
      <c r="D224" s="125" t="s">
        <v>758</v>
      </c>
      <c r="E224" s="125"/>
      <c r="F224" s="125" t="s">
        <v>542</v>
      </c>
      <c r="G224" s="26" t="s">
        <v>643</v>
      </c>
      <c r="J224" t="str">
        <f t="shared" si="15"/>
        <v>datatable[215] = new Array("216","176","Propulsion Other (Specify)","11","Widget.png");</v>
      </c>
    </row>
    <row r="225" spans="1:10" ht="14.25" customHeight="1">
      <c r="A225" s="124">
        <f t="shared" si="16"/>
        <v>217</v>
      </c>
      <c r="B225" s="124">
        <f>A$69</f>
        <v>61</v>
      </c>
      <c r="C225" s="124">
        <v>9</v>
      </c>
      <c r="D225" s="125" t="s">
        <v>759</v>
      </c>
      <c r="E225" s="125"/>
      <c r="F225" s="125" t="s">
        <v>538</v>
      </c>
      <c r="G225" s="26" t="s">
        <v>643</v>
      </c>
      <c r="J225" t="str">
        <f t="shared" si="15"/>
        <v>datatable[216] = new Array("217","61","Telemetry, Tracking, and Command Subsystem (TT&amp;C)","9","Widget.png");</v>
      </c>
    </row>
    <row r="226" spans="1:10" ht="14.25" customHeight="1">
      <c r="A226" s="124">
        <f t="shared" si="16"/>
        <v>218</v>
      </c>
      <c r="B226" s="124">
        <f>A$220</f>
        <v>212</v>
      </c>
      <c r="C226" s="124">
        <v>10</v>
      </c>
      <c r="D226" s="125" t="s">
        <v>760</v>
      </c>
      <c r="E226" s="125"/>
      <c r="F226" s="125" t="s">
        <v>540</v>
      </c>
      <c r="G226" s="26" t="s">
        <v>634</v>
      </c>
      <c r="J226" t="str">
        <f t="shared" si="15"/>
        <v>datatable[217] = new Array("218","212","TT&amp;C Subsystem SEITPM","10","SEITPM.png");</v>
      </c>
    </row>
    <row r="227" spans="1:10" ht="14.25" customHeight="1">
      <c r="A227" s="124">
        <f t="shared" si="16"/>
        <v>219</v>
      </c>
      <c r="B227" s="124">
        <f>A$221</f>
        <v>213</v>
      </c>
      <c r="C227" s="124">
        <v>11</v>
      </c>
      <c r="D227" s="125" t="s">
        <v>635</v>
      </c>
      <c r="E227" s="125"/>
      <c r="F227" s="125" t="s">
        <v>542</v>
      </c>
      <c r="G227" s="26" t="s">
        <v>634</v>
      </c>
      <c r="J227" t="str">
        <f t="shared" si="15"/>
        <v>datatable[218] = new Array("219","213","Project Management","11","SEITPM.png");</v>
      </c>
    </row>
    <row r="228" spans="1:10" ht="14.25" customHeight="1">
      <c r="A228" s="124">
        <f t="shared" si="16"/>
        <v>220</v>
      </c>
      <c r="B228" s="124">
        <f>A$221</f>
        <v>213</v>
      </c>
      <c r="C228" s="124">
        <v>11</v>
      </c>
      <c r="D228" s="125" t="s">
        <v>636</v>
      </c>
      <c r="E228" s="125"/>
      <c r="F228" s="125" t="s">
        <v>542</v>
      </c>
      <c r="G228" s="26" t="s">
        <v>634</v>
      </c>
      <c r="J228" t="str">
        <f t="shared" si="15"/>
        <v>datatable[219] = new Array("220","213","Systems Engineering","11","SEITPM.png");</v>
      </c>
    </row>
    <row r="229" spans="1:10" ht="14.25" customHeight="1">
      <c r="A229" s="124">
        <f t="shared" si="16"/>
        <v>221</v>
      </c>
      <c r="B229" s="124">
        <f>A$221</f>
        <v>213</v>
      </c>
      <c r="C229" s="124">
        <v>11</v>
      </c>
      <c r="D229" s="125" t="s">
        <v>637</v>
      </c>
      <c r="E229" s="125"/>
      <c r="F229" s="125" t="s">
        <v>542</v>
      </c>
      <c r="G229" s="26" t="s">
        <v>634</v>
      </c>
      <c r="J229" t="str">
        <f t="shared" si="15"/>
        <v>datatable[220] = new Array("221","213","Mission Assurance","11","SEITPM.png");</v>
      </c>
    </row>
    <row r="230" spans="1:10" ht="14.25" customHeight="1">
      <c r="A230" s="124">
        <f t="shared" si="16"/>
        <v>222</v>
      </c>
      <c r="B230" s="124">
        <f>A$221</f>
        <v>213</v>
      </c>
      <c r="C230" s="124">
        <v>11</v>
      </c>
      <c r="D230" s="125" t="s">
        <v>638</v>
      </c>
      <c r="E230" s="125"/>
      <c r="F230" s="125" t="s">
        <v>542</v>
      </c>
      <c r="G230" s="26" t="s">
        <v>634</v>
      </c>
      <c r="J230" t="str">
        <f t="shared" si="15"/>
        <v>datatable[221] = new Array("222","213","Assembly, Integration and Testing","11","SEITPM.png");</v>
      </c>
    </row>
    <row r="231" spans="1:10" ht="14.25" customHeight="1">
      <c r="A231" s="124">
        <f t="shared" si="16"/>
        <v>223</v>
      </c>
      <c r="B231" s="124">
        <f>A$221</f>
        <v>213</v>
      </c>
      <c r="C231" s="124">
        <v>11</v>
      </c>
      <c r="D231" s="125" t="s">
        <v>639</v>
      </c>
      <c r="E231" s="125"/>
      <c r="F231" s="125" t="s">
        <v>542</v>
      </c>
      <c r="G231" s="26" t="s">
        <v>634</v>
      </c>
      <c r="J231" t="str">
        <f t="shared" si="15"/>
        <v>datatable[222] = new Array("223","213","Support Equipment","11","SEITPM.png");</v>
      </c>
    </row>
    <row r="232" spans="1:10" ht="14.25" customHeight="1">
      <c r="A232" s="124">
        <f t="shared" si="16"/>
        <v>224</v>
      </c>
      <c r="B232" s="124">
        <f>A$220</f>
        <v>212</v>
      </c>
      <c r="C232" s="124">
        <v>10</v>
      </c>
      <c r="D232" s="125" t="s">
        <v>761</v>
      </c>
      <c r="E232" s="125"/>
      <c r="F232" s="125" t="s">
        <v>540</v>
      </c>
      <c r="G232" s="26" t="s">
        <v>643</v>
      </c>
      <c r="J232" t="str">
        <f t="shared" si="15"/>
        <v>datatable[223] = new Array("224","212","Antennas","10","Widget.png");</v>
      </c>
    </row>
    <row r="233" spans="1:10" ht="14.25" customHeight="1">
      <c r="A233" s="124">
        <f t="shared" si="16"/>
        <v>225</v>
      </c>
      <c r="B233" s="124">
        <f t="shared" ref="B233:B239" si="19">A$227</f>
        <v>219</v>
      </c>
      <c r="C233" s="124">
        <v>11</v>
      </c>
      <c r="D233" s="125" t="s">
        <v>762</v>
      </c>
      <c r="E233" s="125"/>
      <c r="F233" s="125" t="s">
        <v>542</v>
      </c>
      <c r="G233" s="26" t="s">
        <v>643</v>
      </c>
      <c r="J233" t="str">
        <f t="shared" si="15"/>
        <v>datatable[224] = new Array("225","219","Omnidirectional","11","Widget.png");</v>
      </c>
    </row>
    <row r="234" spans="1:10" ht="14.25" customHeight="1">
      <c r="A234" s="124">
        <f t="shared" si="16"/>
        <v>226</v>
      </c>
      <c r="B234" s="124">
        <f t="shared" si="19"/>
        <v>219</v>
      </c>
      <c r="C234" s="124">
        <v>11</v>
      </c>
      <c r="D234" s="125" t="s">
        <v>763</v>
      </c>
      <c r="E234" s="125"/>
      <c r="F234" s="125" t="s">
        <v>542</v>
      </c>
      <c r="G234" s="26" t="s">
        <v>643</v>
      </c>
      <c r="J234" t="str">
        <f t="shared" si="15"/>
        <v>datatable[225] = new Array("226","219","Spiral","11","Widget.png");</v>
      </c>
    </row>
    <row r="235" spans="1:10" ht="14.25" customHeight="1">
      <c r="A235" s="124">
        <f t="shared" si="16"/>
        <v>227</v>
      </c>
      <c r="B235" s="124">
        <f t="shared" si="19"/>
        <v>219</v>
      </c>
      <c r="C235" s="124">
        <v>11</v>
      </c>
      <c r="D235" s="125" t="s">
        <v>764</v>
      </c>
      <c r="E235" s="125"/>
      <c r="F235" s="125" t="s">
        <v>542</v>
      </c>
      <c r="G235" s="26" t="s">
        <v>643</v>
      </c>
      <c r="J235" t="str">
        <f t="shared" si="15"/>
        <v>datatable[226] = new Array("227","219","Horn","11","Widget.png");</v>
      </c>
    </row>
    <row r="236" spans="1:10" ht="14.25" customHeight="1">
      <c r="A236" s="124">
        <f t="shared" si="16"/>
        <v>228</v>
      </c>
      <c r="B236" s="124">
        <f t="shared" si="19"/>
        <v>219</v>
      </c>
      <c r="C236" s="124">
        <v>11</v>
      </c>
      <c r="D236" s="125" t="s">
        <v>765</v>
      </c>
      <c r="E236" s="125"/>
      <c r="F236" s="125" t="s">
        <v>542</v>
      </c>
      <c r="G236" s="26" t="s">
        <v>643</v>
      </c>
      <c r="J236" t="str">
        <f t="shared" si="15"/>
        <v>datatable[227] = new Array("228","219","Patch","11","Widget.png");</v>
      </c>
    </row>
    <row r="237" spans="1:10" ht="14.25" customHeight="1">
      <c r="A237" s="124">
        <f t="shared" si="16"/>
        <v>229</v>
      </c>
      <c r="B237" s="124">
        <f t="shared" si="19"/>
        <v>219</v>
      </c>
      <c r="C237" s="124">
        <v>11</v>
      </c>
      <c r="D237" s="125" t="s">
        <v>766</v>
      </c>
      <c r="E237" s="125"/>
      <c r="F237" s="125" t="s">
        <v>542</v>
      </c>
      <c r="G237" s="26" t="s">
        <v>643</v>
      </c>
      <c r="J237" t="str">
        <f t="shared" si="15"/>
        <v>datatable[228] = new Array("229","219","Parabolic","11","Widget.png");</v>
      </c>
    </row>
    <row r="238" spans="1:10" ht="14.25" customHeight="1">
      <c r="A238" s="124">
        <f t="shared" si="16"/>
        <v>230</v>
      </c>
      <c r="B238" s="124">
        <f t="shared" si="19"/>
        <v>219</v>
      </c>
      <c r="C238" s="124">
        <v>11</v>
      </c>
      <c r="D238" s="125" t="s">
        <v>767</v>
      </c>
      <c r="E238" s="125"/>
      <c r="F238" s="125" t="s">
        <v>542</v>
      </c>
      <c r="G238" s="26" t="s">
        <v>643</v>
      </c>
      <c r="J238" t="str">
        <f t="shared" si="15"/>
        <v>datatable[229] = new Array("230","219","Phased Array","11","Widget.png");</v>
      </c>
    </row>
    <row r="239" spans="1:10" ht="14.25" customHeight="1">
      <c r="A239" s="124">
        <f t="shared" si="16"/>
        <v>231</v>
      </c>
      <c r="B239" s="124">
        <f t="shared" si="19"/>
        <v>219</v>
      </c>
      <c r="C239" s="124">
        <v>11</v>
      </c>
      <c r="D239" s="125" t="s">
        <v>768</v>
      </c>
      <c r="E239" s="125"/>
      <c r="F239" s="125" t="s">
        <v>542</v>
      </c>
      <c r="G239" s="26" t="s">
        <v>643</v>
      </c>
      <c r="J239" t="str">
        <f t="shared" si="15"/>
        <v>datatable[230] = new Array("231","219","Other Antennas (Specify)","11","Widget.png");</v>
      </c>
    </row>
    <row r="240" spans="1:10" ht="14.25" customHeight="1">
      <c r="A240" s="124">
        <f t="shared" si="16"/>
        <v>232</v>
      </c>
      <c r="B240" s="124">
        <f>A$220</f>
        <v>212</v>
      </c>
      <c r="C240" s="124">
        <v>10</v>
      </c>
      <c r="D240" s="125" t="s">
        <v>769</v>
      </c>
      <c r="E240" s="125"/>
      <c r="F240" s="125" t="s">
        <v>540</v>
      </c>
      <c r="G240" s="26" t="s">
        <v>643</v>
      </c>
      <c r="J240" t="str">
        <f t="shared" si="15"/>
        <v>datatable[231] = new Array("232","212","Waveguides/Routers","10","Widget.png");</v>
      </c>
    </row>
    <row r="241" spans="1:10" ht="14.25" customHeight="1">
      <c r="A241" s="124">
        <f t="shared" si="16"/>
        <v>233</v>
      </c>
      <c r="B241" s="124">
        <f t="shared" ref="B241:B249" si="20">A$235</f>
        <v>227</v>
      </c>
      <c r="C241" s="124">
        <v>11</v>
      </c>
      <c r="D241" s="125" t="s">
        <v>770</v>
      </c>
      <c r="E241" s="125"/>
      <c r="F241" s="125" t="s">
        <v>542</v>
      </c>
      <c r="G241" s="26" t="s">
        <v>643</v>
      </c>
      <c r="J241" t="str">
        <f t="shared" si="15"/>
        <v>datatable[232] = new Array("233","227","Diplexers","11","Widget.png");</v>
      </c>
    </row>
    <row r="242" spans="1:10" ht="14.25" customHeight="1">
      <c r="A242" s="124">
        <f t="shared" si="16"/>
        <v>234</v>
      </c>
      <c r="B242" s="124">
        <f t="shared" si="20"/>
        <v>227</v>
      </c>
      <c r="C242" s="124">
        <v>11</v>
      </c>
      <c r="D242" s="125" t="s">
        <v>771</v>
      </c>
      <c r="E242" s="125"/>
      <c r="F242" s="125" t="s">
        <v>542</v>
      </c>
      <c r="G242" s="26" t="s">
        <v>643</v>
      </c>
      <c r="J242" t="str">
        <f t="shared" si="15"/>
        <v>datatable[233] = new Array("234","227","Triplexers","11","Widget.png");</v>
      </c>
    </row>
    <row r="243" spans="1:10" ht="14.25" customHeight="1">
      <c r="A243" s="124">
        <f t="shared" si="16"/>
        <v>235</v>
      </c>
      <c r="B243" s="124">
        <f t="shared" si="20"/>
        <v>227</v>
      </c>
      <c r="C243" s="124">
        <v>11</v>
      </c>
      <c r="D243" s="125" t="s">
        <v>772</v>
      </c>
      <c r="E243" s="125"/>
      <c r="F243" s="125" t="s">
        <v>542</v>
      </c>
      <c r="G243" s="26" t="s">
        <v>643</v>
      </c>
      <c r="J243" t="str">
        <f t="shared" si="15"/>
        <v>datatable[234] = new Array("235","227","Multiplexers","11","Widget.png");</v>
      </c>
    </row>
    <row r="244" spans="1:10" ht="14.25" customHeight="1">
      <c r="A244" s="124">
        <f t="shared" si="16"/>
        <v>236</v>
      </c>
      <c r="B244" s="124">
        <f t="shared" si="20"/>
        <v>227</v>
      </c>
      <c r="C244" s="124">
        <v>11</v>
      </c>
      <c r="D244" s="125" t="s">
        <v>773</v>
      </c>
      <c r="E244" s="125"/>
      <c r="F244" s="125" t="s">
        <v>542</v>
      </c>
      <c r="G244" s="26" t="s">
        <v>643</v>
      </c>
      <c r="J244" t="str">
        <f t="shared" si="15"/>
        <v>datatable[235] = new Array("236","227","Multicouplers","11","Widget.png");</v>
      </c>
    </row>
    <row r="245" spans="1:10" ht="14.25" customHeight="1">
      <c r="A245" s="124">
        <f t="shared" si="16"/>
        <v>237</v>
      </c>
      <c r="B245" s="124">
        <f t="shared" si="20"/>
        <v>227</v>
      </c>
      <c r="C245" s="124">
        <v>11</v>
      </c>
      <c r="D245" s="125" t="s">
        <v>774</v>
      </c>
      <c r="E245" s="125"/>
      <c r="F245" s="125" t="s">
        <v>542</v>
      </c>
      <c r="G245" s="26" t="s">
        <v>643</v>
      </c>
      <c r="J245" t="str">
        <f t="shared" si="15"/>
        <v>datatable[236] = new Array("237","227","Coaxial Switches","11","Widget.png");</v>
      </c>
    </row>
    <row r="246" spans="1:10" ht="14.25" customHeight="1">
      <c r="A246" s="124">
        <f t="shared" si="16"/>
        <v>238</v>
      </c>
      <c r="B246" s="124">
        <f t="shared" si="20"/>
        <v>227</v>
      </c>
      <c r="C246" s="124">
        <v>11</v>
      </c>
      <c r="D246" s="125" t="s">
        <v>775</v>
      </c>
      <c r="E246" s="125"/>
      <c r="F246" s="125" t="s">
        <v>542</v>
      </c>
      <c r="G246" s="26" t="s">
        <v>643</v>
      </c>
      <c r="J246" t="str">
        <f t="shared" si="15"/>
        <v>datatable[237] = new Array("238","227","RF Switches","11","Widget.png");</v>
      </c>
    </row>
    <row r="247" spans="1:10" ht="14.25" customHeight="1">
      <c r="A247" s="124">
        <f t="shared" si="16"/>
        <v>239</v>
      </c>
      <c r="B247" s="124">
        <f t="shared" si="20"/>
        <v>227</v>
      </c>
      <c r="C247" s="124">
        <v>11</v>
      </c>
      <c r="D247" s="125" t="s">
        <v>776</v>
      </c>
      <c r="E247" s="125"/>
      <c r="F247" s="125" t="s">
        <v>542</v>
      </c>
      <c r="G247" s="26" t="s">
        <v>643</v>
      </c>
      <c r="J247" t="str">
        <f t="shared" si="15"/>
        <v>datatable[238] = new Array("239","227","Filters","11","Widget.png");</v>
      </c>
    </row>
    <row r="248" spans="1:10" ht="14.25" customHeight="1">
      <c r="A248" s="124">
        <f t="shared" si="16"/>
        <v>240</v>
      </c>
      <c r="B248" s="124">
        <f t="shared" si="20"/>
        <v>227</v>
      </c>
      <c r="C248" s="124">
        <v>11</v>
      </c>
      <c r="D248" s="125" t="s">
        <v>777</v>
      </c>
      <c r="E248" s="125"/>
      <c r="F248" s="125" t="s">
        <v>542</v>
      </c>
      <c r="G248" s="26" t="s">
        <v>643</v>
      </c>
      <c r="J248" t="str">
        <f t="shared" si="15"/>
        <v>datatable[239] = new Array("240","227","Waveguides","11","Widget.png");</v>
      </c>
    </row>
    <row r="249" spans="1:10" ht="14.25" customHeight="1">
      <c r="A249" s="124">
        <f t="shared" si="16"/>
        <v>241</v>
      </c>
      <c r="B249" s="124">
        <f t="shared" si="20"/>
        <v>227</v>
      </c>
      <c r="C249" s="124">
        <v>11</v>
      </c>
      <c r="D249" s="125" t="s">
        <v>778</v>
      </c>
      <c r="E249" s="125"/>
      <c r="F249" s="125" t="s">
        <v>542</v>
      </c>
      <c r="G249" s="26" t="s">
        <v>643</v>
      </c>
      <c r="J249" t="str">
        <f t="shared" si="15"/>
        <v>datatable[240] = new Array("241","227","Other Routers (Specify)","11","Widget.png");</v>
      </c>
    </row>
    <row r="250" spans="1:10" ht="14.25" customHeight="1">
      <c r="A250" s="124">
        <f t="shared" si="16"/>
        <v>242</v>
      </c>
      <c r="B250" s="124">
        <f>A$220</f>
        <v>212</v>
      </c>
      <c r="C250" s="124">
        <v>10</v>
      </c>
      <c r="D250" s="125" t="s">
        <v>779</v>
      </c>
      <c r="E250" s="125"/>
      <c r="F250" s="125" t="s">
        <v>540</v>
      </c>
      <c r="G250" s="26" t="s">
        <v>643</v>
      </c>
      <c r="J250" t="str">
        <f t="shared" si="15"/>
        <v>datatable[241] = new Array("242","212","Radio Frequency Equipment","10","Widget.png");</v>
      </c>
    </row>
    <row r="251" spans="1:10" ht="14.25" customHeight="1">
      <c r="A251" s="124">
        <f t="shared" si="16"/>
        <v>243</v>
      </c>
      <c r="B251" s="124">
        <f t="shared" ref="B251:B264" si="21">A$245</f>
        <v>237</v>
      </c>
      <c r="C251" s="124">
        <v>11</v>
      </c>
      <c r="D251" s="125" t="s">
        <v>780</v>
      </c>
      <c r="E251" s="125"/>
      <c r="F251" s="125" t="s">
        <v>542</v>
      </c>
      <c r="G251" s="26" t="s">
        <v>643</v>
      </c>
      <c r="J251" t="str">
        <f t="shared" si="15"/>
        <v>datatable[242] = new Array("243","237","Amplifiers","11","Widget.png");</v>
      </c>
    </row>
    <row r="252" spans="1:10" ht="14.25" customHeight="1">
      <c r="A252" s="124">
        <f t="shared" si="16"/>
        <v>244</v>
      </c>
      <c r="B252" s="124">
        <f t="shared" si="21"/>
        <v>237</v>
      </c>
      <c r="C252" s="124">
        <v>11</v>
      </c>
      <c r="D252" s="125" t="s">
        <v>781</v>
      </c>
      <c r="E252" s="125"/>
      <c r="F252" s="125" t="s">
        <v>542</v>
      </c>
      <c r="G252" s="26" t="s">
        <v>643</v>
      </c>
      <c r="J252" t="str">
        <f t="shared" si="15"/>
        <v>datatable[243] = new Array("244","237","Receivers","11","Widget.png");</v>
      </c>
    </row>
    <row r="253" spans="1:10" ht="14.25" customHeight="1">
      <c r="A253" s="124">
        <f t="shared" si="16"/>
        <v>245</v>
      </c>
      <c r="B253" s="124">
        <f t="shared" si="21"/>
        <v>237</v>
      </c>
      <c r="C253" s="124">
        <v>11</v>
      </c>
      <c r="D253" s="125" t="s">
        <v>782</v>
      </c>
      <c r="E253" s="125"/>
      <c r="F253" s="125" t="s">
        <v>542</v>
      </c>
      <c r="G253" s="26" t="s">
        <v>643</v>
      </c>
      <c r="J253" t="str">
        <f t="shared" si="15"/>
        <v>datatable[244] = new Array("245","237","Transmitters","11","Widget.png");</v>
      </c>
    </row>
    <row r="254" spans="1:10" ht="14.25" customHeight="1">
      <c r="A254" s="124">
        <f t="shared" si="16"/>
        <v>246</v>
      </c>
      <c r="B254" s="124">
        <f t="shared" si="21"/>
        <v>237</v>
      </c>
      <c r="C254" s="124">
        <v>11</v>
      </c>
      <c r="D254" s="125" t="s">
        <v>783</v>
      </c>
      <c r="E254" s="125"/>
      <c r="F254" s="125" t="s">
        <v>542</v>
      </c>
      <c r="G254" s="26" t="s">
        <v>643</v>
      </c>
      <c r="J254" t="str">
        <f t="shared" si="15"/>
        <v>datatable[245] = new Array("246","237","Transceivers","11","Widget.png");</v>
      </c>
    </row>
    <row r="255" spans="1:10" ht="14.25" customHeight="1">
      <c r="A255" s="124">
        <f t="shared" si="16"/>
        <v>247</v>
      </c>
      <c r="B255" s="124">
        <f t="shared" si="21"/>
        <v>237</v>
      </c>
      <c r="C255" s="124">
        <v>11</v>
      </c>
      <c r="D255" s="125" t="s">
        <v>784</v>
      </c>
      <c r="E255" s="125"/>
      <c r="F255" s="125" t="s">
        <v>542</v>
      </c>
      <c r="G255" s="26" t="s">
        <v>643</v>
      </c>
      <c r="J255" t="str">
        <f t="shared" si="15"/>
        <v>datatable[246] = new Array("247","237","Transponders","11","Widget.png");</v>
      </c>
    </row>
    <row r="256" spans="1:10" ht="14.25" customHeight="1">
      <c r="A256" s="124">
        <f t="shared" si="16"/>
        <v>248</v>
      </c>
      <c r="B256" s="124">
        <f t="shared" si="21"/>
        <v>237</v>
      </c>
      <c r="C256" s="124">
        <v>11</v>
      </c>
      <c r="D256" s="125" t="s">
        <v>785</v>
      </c>
      <c r="E256" s="125"/>
      <c r="F256" s="125" t="s">
        <v>542</v>
      </c>
      <c r="G256" s="26" t="s">
        <v>643</v>
      </c>
      <c r="J256" t="str">
        <f t="shared" si="15"/>
        <v>datatable[247] = new Array("248","237","Modulators","11","Widget.png");</v>
      </c>
    </row>
    <row r="257" spans="1:10" ht="14.25" customHeight="1">
      <c r="A257" s="124">
        <f t="shared" si="16"/>
        <v>249</v>
      </c>
      <c r="B257" s="124">
        <f t="shared" si="21"/>
        <v>237</v>
      </c>
      <c r="C257" s="124">
        <v>11</v>
      </c>
      <c r="D257" s="125" t="s">
        <v>786</v>
      </c>
      <c r="E257" s="125"/>
      <c r="F257" s="125" t="s">
        <v>542</v>
      </c>
      <c r="G257" s="26" t="s">
        <v>643</v>
      </c>
      <c r="J257" t="str">
        <f t="shared" si="15"/>
        <v>datatable[248] = new Array("249","237","Demodulators","11","Widget.png");</v>
      </c>
    </row>
    <row r="258" spans="1:10" ht="14.25" customHeight="1">
      <c r="A258" s="124">
        <f t="shared" si="16"/>
        <v>250</v>
      </c>
      <c r="B258" s="124">
        <f t="shared" si="21"/>
        <v>237</v>
      </c>
      <c r="C258" s="124">
        <v>11</v>
      </c>
      <c r="D258" s="125" t="s">
        <v>787</v>
      </c>
      <c r="E258" s="125"/>
      <c r="F258" s="125" t="s">
        <v>542</v>
      </c>
      <c r="G258" s="26" t="s">
        <v>643</v>
      </c>
      <c r="J258" t="str">
        <f t="shared" si="15"/>
        <v>datatable[249] = new Array("250","237","Modems","11","Widget.png");</v>
      </c>
    </row>
    <row r="259" spans="1:10" ht="14.25" customHeight="1">
      <c r="A259" s="124">
        <f t="shared" si="16"/>
        <v>251</v>
      </c>
      <c r="B259" s="124">
        <f t="shared" si="21"/>
        <v>237</v>
      </c>
      <c r="C259" s="124">
        <v>11</v>
      </c>
      <c r="D259" s="125" t="s">
        <v>788</v>
      </c>
      <c r="E259" s="125"/>
      <c r="F259" s="125" t="s">
        <v>542</v>
      </c>
      <c r="G259" s="26" t="s">
        <v>643</v>
      </c>
      <c r="J259" t="str">
        <f t="shared" si="15"/>
        <v>datatable[250] = new Array("251","237","Traveling Wave Tube Assemblies","11","Widget.png");</v>
      </c>
    </row>
    <row r="260" spans="1:10" ht="14.25" customHeight="1">
      <c r="A260" s="124">
        <f t="shared" si="16"/>
        <v>252</v>
      </c>
      <c r="B260" s="124">
        <f t="shared" si="21"/>
        <v>237</v>
      </c>
      <c r="C260" s="124">
        <v>11</v>
      </c>
      <c r="D260" s="125" t="s">
        <v>789</v>
      </c>
      <c r="E260" s="125"/>
      <c r="F260" s="125" t="s">
        <v>542</v>
      </c>
      <c r="G260" s="26" t="s">
        <v>643</v>
      </c>
      <c r="J260" t="str">
        <f t="shared" si="15"/>
        <v>datatable[251] = new Array("252","237","Solid State Power Amplifiers","11","Widget.png");</v>
      </c>
    </row>
    <row r="261" spans="1:10" ht="14.25" customHeight="1">
      <c r="A261" s="124">
        <f t="shared" si="16"/>
        <v>253</v>
      </c>
      <c r="B261" s="124">
        <f t="shared" si="21"/>
        <v>237</v>
      </c>
      <c r="C261" s="124">
        <v>11</v>
      </c>
      <c r="D261" s="125" t="s">
        <v>713</v>
      </c>
      <c r="E261" s="125"/>
      <c r="F261" s="125" t="s">
        <v>542</v>
      </c>
      <c r="G261" s="26" t="s">
        <v>643</v>
      </c>
      <c r="J261" t="str">
        <f t="shared" si="15"/>
        <v>datatable[252] = new Array("253","237","Global Positioning System (GPS) Receiver","11","Widget.png");</v>
      </c>
    </row>
    <row r="262" spans="1:10" ht="14.25" customHeight="1">
      <c r="A262" s="124">
        <f t="shared" si="16"/>
        <v>254</v>
      </c>
      <c r="B262" s="124">
        <f t="shared" si="21"/>
        <v>237</v>
      </c>
      <c r="C262" s="124">
        <v>11</v>
      </c>
      <c r="D262" s="125" t="s">
        <v>790</v>
      </c>
      <c r="E262" s="125"/>
      <c r="F262" s="125" t="s">
        <v>542</v>
      </c>
      <c r="G262" s="26" t="s">
        <v>643</v>
      </c>
      <c r="J262" t="str">
        <f t="shared" si="15"/>
        <v>datatable[253] = new Array("254","237","Downconverters","11","Widget.png");</v>
      </c>
    </row>
    <row r="263" spans="1:10" ht="14.25" customHeight="1">
      <c r="A263" s="124">
        <f t="shared" si="16"/>
        <v>255</v>
      </c>
      <c r="B263" s="124">
        <f t="shared" si="21"/>
        <v>237</v>
      </c>
      <c r="C263" s="124">
        <v>11</v>
      </c>
      <c r="D263" s="125" t="s">
        <v>791</v>
      </c>
      <c r="E263" s="125"/>
      <c r="F263" s="125" t="s">
        <v>542</v>
      </c>
      <c r="G263" s="26" t="s">
        <v>643</v>
      </c>
      <c r="J263" t="str">
        <f t="shared" si="15"/>
        <v>datatable[254] = new Array("255","237","Upconverters","11","Widget.png");</v>
      </c>
    </row>
    <row r="264" spans="1:10" ht="14.25" customHeight="1">
      <c r="A264" s="124">
        <f t="shared" si="16"/>
        <v>256</v>
      </c>
      <c r="B264" s="124">
        <f t="shared" si="21"/>
        <v>237</v>
      </c>
      <c r="C264" s="124">
        <v>11</v>
      </c>
      <c r="D264" s="125" t="s">
        <v>792</v>
      </c>
      <c r="E264" s="125"/>
      <c r="F264" s="125" t="s">
        <v>542</v>
      </c>
      <c r="G264" s="26" t="s">
        <v>643</v>
      </c>
      <c r="J264" t="str">
        <f t="shared" si="15"/>
        <v>datatable[255] = new Array("256","237","Other RF Equipment (Specify)","11","Widget.png");</v>
      </c>
    </row>
    <row r="265" spans="1:10" ht="14.25" customHeight="1">
      <c r="A265" s="124">
        <f t="shared" si="16"/>
        <v>257</v>
      </c>
      <c r="B265" s="124">
        <f>A$220</f>
        <v>212</v>
      </c>
      <c r="C265" s="124">
        <v>10</v>
      </c>
      <c r="D265" s="125" t="s">
        <v>793</v>
      </c>
      <c r="E265" s="125"/>
      <c r="F265" s="125" t="s">
        <v>540</v>
      </c>
      <c r="G265" s="26" t="s">
        <v>643</v>
      </c>
      <c r="J265" t="str">
        <f t="shared" ref="J265:J328" si="22">"datatable["&amp;A265-1&amp;"] = new Array(""" &amp; A265 &amp;""",""" &amp; B265 &amp;""",""" &amp; D265 &amp; """,""" &amp; C265&amp;""","""&amp;""&amp;G265&amp;""");"</f>
        <v>datatable[256] = new Array("257","212","Command and Data Handling (C&amp;DH)","10","Widget.png");</v>
      </c>
    </row>
    <row r="266" spans="1:10" ht="14.25" customHeight="1">
      <c r="A266" s="124">
        <f t="shared" si="16"/>
        <v>258</v>
      </c>
      <c r="B266" s="124">
        <f t="shared" ref="B266:B281" si="23">A$260</f>
        <v>252</v>
      </c>
      <c r="C266" s="124">
        <v>11</v>
      </c>
      <c r="D266" s="125" t="s">
        <v>794</v>
      </c>
      <c r="E266" s="125"/>
      <c r="F266" s="125" t="s">
        <v>542</v>
      </c>
      <c r="G266" s="26" t="s">
        <v>643</v>
      </c>
      <c r="J266" t="str">
        <f t="shared" si="22"/>
        <v>datatable[257] = new Array("258","252","Processors","11","Widget.png");</v>
      </c>
    </row>
    <row r="267" spans="1:10" ht="14.25" customHeight="1">
      <c r="A267" s="124">
        <f t="shared" ref="A267:A330" si="24">A266+1</f>
        <v>259</v>
      </c>
      <c r="B267" s="124">
        <f t="shared" si="23"/>
        <v>252</v>
      </c>
      <c r="C267" s="124">
        <v>11</v>
      </c>
      <c r="D267" s="125" t="s">
        <v>795</v>
      </c>
      <c r="E267" s="125"/>
      <c r="F267" s="125" t="s">
        <v>542</v>
      </c>
      <c r="G267" s="26" t="s">
        <v>643</v>
      </c>
      <c r="J267" t="str">
        <f t="shared" si="22"/>
        <v>datatable[258] = new Array("259","252","Solid State Memory","11","Widget.png");</v>
      </c>
    </row>
    <row r="268" spans="1:10" ht="14.25" customHeight="1">
      <c r="A268" s="124">
        <f t="shared" si="24"/>
        <v>260</v>
      </c>
      <c r="B268" s="124">
        <f t="shared" si="23"/>
        <v>252</v>
      </c>
      <c r="C268" s="124">
        <v>11</v>
      </c>
      <c r="D268" s="125" t="s">
        <v>796</v>
      </c>
      <c r="E268" s="125"/>
      <c r="F268" s="125" t="s">
        <v>542</v>
      </c>
      <c r="G268" s="26" t="s">
        <v>643</v>
      </c>
      <c r="J268" t="str">
        <f t="shared" si="22"/>
        <v>datatable[259] = new Array("260","252","Decoders","11","Widget.png");</v>
      </c>
    </row>
    <row r="269" spans="1:10" ht="14.25" customHeight="1">
      <c r="A269" s="124">
        <f t="shared" si="24"/>
        <v>261</v>
      </c>
      <c r="B269" s="124">
        <f t="shared" si="23"/>
        <v>252</v>
      </c>
      <c r="C269" s="124">
        <v>11</v>
      </c>
      <c r="D269" s="125" t="s">
        <v>797</v>
      </c>
      <c r="E269" s="125"/>
      <c r="F269" s="125" t="s">
        <v>542</v>
      </c>
      <c r="G269" s="26" t="s">
        <v>643</v>
      </c>
      <c r="J269" t="str">
        <f t="shared" si="22"/>
        <v>datatable[260] = new Array("261","252","Command Units","11","Widget.png");</v>
      </c>
    </row>
    <row r="270" spans="1:10" ht="14.25" customHeight="1">
      <c r="A270" s="124">
        <f t="shared" si="24"/>
        <v>262</v>
      </c>
      <c r="B270" s="124">
        <f t="shared" si="23"/>
        <v>252</v>
      </c>
      <c r="C270" s="124">
        <v>11</v>
      </c>
      <c r="D270" s="125" t="s">
        <v>798</v>
      </c>
      <c r="E270" s="125"/>
      <c r="F270" s="125" t="s">
        <v>542</v>
      </c>
      <c r="G270" s="26" t="s">
        <v>643</v>
      </c>
      <c r="J270" t="str">
        <f t="shared" si="22"/>
        <v>datatable[261] = new Array("262","252","Telemetry Units","11","Widget.png");</v>
      </c>
    </row>
    <row r="271" spans="1:10" ht="14.25" customHeight="1">
      <c r="A271" s="124">
        <f t="shared" si="24"/>
        <v>263</v>
      </c>
      <c r="B271" s="124">
        <f t="shared" si="23"/>
        <v>252</v>
      </c>
      <c r="C271" s="124">
        <v>11</v>
      </c>
      <c r="D271" s="125" t="s">
        <v>799</v>
      </c>
      <c r="E271" s="125"/>
      <c r="F271" s="125" t="s">
        <v>542</v>
      </c>
      <c r="G271" s="26" t="s">
        <v>643</v>
      </c>
      <c r="J271" t="str">
        <f t="shared" si="22"/>
        <v>datatable[262] = new Array("263","252","Command Sequencers","11","Widget.png");</v>
      </c>
    </row>
    <row r="272" spans="1:10" ht="14.25" customHeight="1">
      <c r="A272" s="124">
        <f t="shared" si="24"/>
        <v>264</v>
      </c>
      <c r="B272" s="124">
        <f t="shared" si="23"/>
        <v>252</v>
      </c>
      <c r="C272" s="124">
        <v>11</v>
      </c>
      <c r="D272" s="125" t="s">
        <v>800</v>
      </c>
      <c r="E272" s="125"/>
      <c r="F272" s="125" t="s">
        <v>542</v>
      </c>
      <c r="G272" s="26" t="s">
        <v>643</v>
      </c>
      <c r="J272" t="str">
        <f t="shared" si="22"/>
        <v>datatable[263] = new Array("264","252","Timing Units","11","Widget.png");</v>
      </c>
    </row>
    <row r="273" spans="1:10" ht="14.25" customHeight="1">
      <c r="A273" s="124">
        <f t="shared" si="24"/>
        <v>265</v>
      </c>
      <c r="B273" s="124">
        <f t="shared" si="23"/>
        <v>252</v>
      </c>
      <c r="C273" s="124">
        <v>11</v>
      </c>
      <c r="D273" s="125" t="s">
        <v>801</v>
      </c>
      <c r="E273" s="125"/>
      <c r="F273" s="125" t="s">
        <v>542</v>
      </c>
      <c r="G273" s="26" t="s">
        <v>643</v>
      </c>
      <c r="J273" t="str">
        <f t="shared" si="22"/>
        <v>datatable[264] = new Array("265","252","Frequency Generators","11","Widget.png");</v>
      </c>
    </row>
    <row r="274" spans="1:10" ht="14.25" customHeight="1">
      <c r="A274" s="124">
        <f t="shared" si="24"/>
        <v>266</v>
      </c>
      <c r="B274" s="124">
        <f t="shared" si="23"/>
        <v>252</v>
      </c>
      <c r="C274" s="124">
        <v>11</v>
      </c>
      <c r="D274" s="125" t="s">
        <v>802</v>
      </c>
      <c r="E274" s="125"/>
      <c r="F274" s="125" t="s">
        <v>542</v>
      </c>
      <c r="G274" s="26" t="s">
        <v>643</v>
      </c>
      <c r="J274" t="str">
        <f t="shared" si="22"/>
        <v>datatable[265] = new Array("266","252","Signal Conditioners","11","Widget.png");</v>
      </c>
    </row>
    <row r="275" spans="1:10" ht="14.25" customHeight="1">
      <c r="A275" s="124">
        <f t="shared" si="24"/>
        <v>267</v>
      </c>
      <c r="B275" s="124">
        <f t="shared" si="23"/>
        <v>252</v>
      </c>
      <c r="C275" s="124">
        <v>11</v>
      </c>
      <c r="D275" s="125" t="s">
        <v>803</v>
      </c>
      <c r="E275" s="125"/>
      <c r="F275" s="125" t="s">
        <v>542</v>
      </c>
      <c r="G275" s="26" t="s">
        <v>643</v>
      </c>
      <c r="J275" t="str">
        <f t="shared" si="22"/>
        <v>datatable[266] = new Array("267","252","Data Switches","11","Widget.png");</v>
      </c>
    </row>
    <row r="276" spans="1:10" ht="14.25" customHeight="1">
      <c r="A276" s="124">
        <f t="shared" si="24"/>
        <v>268</v>
      </c>
      <c r="B276" s="124">
        <f t="shared" si="23"/>
        <v>252</v>
      </c>
      <c r="C276" s="124">
        <v>11</v>
      </c>
      <c r="D276" s="125" t="s">
        <v>804</v>
      </c>
      <c r="E276" s="125"/>
      <c r="F276" s="125" t="s">
        <v>542</v>
      </c>
      <c r="G276" s="26" t="s">
        <v>643</v>
      </c>
      <c r="J276" t="str">
        <f t="shared" si="22"/>
        <v>datatable[267] = new Array("268","252","Communication Security","11","Widget.png");</v>
      </c>
    </row>
    <row r="277" spans="1:10" ht="14.25" customHeight="1">
      <c r="A277" s="124">
        <f t="shared" si="24"/>
        <v>269</v>
      </c>
      <c r="B277" s="124">
        <f t="shared" si="23"/>
        <v>252</v>
      </c>
      <c r="C277" s="124">
        <v>11</v>
      </c>
      <c r="D277" s="125" t="s">
        <v>805</v>
      </c>
      <c r="E277" s="125"/>
      <c r="F277" s="125" t="s">
        <v>542</v>
      </c>
      <c r="G277" s="26" t="s">
        <v>643</v>
      </c>
      <c r="J277" t="str">
        <f t="shared" si="22"/>
        <v>datatable[268] = new Array("269","252","Interface Units","11","Widget.png");</v>
      </c>
    </row>
    <row r="278" spans="1:10" ht="14.25" customHeight="1">
      <c r="A278" s="124">
        <f t="shared" si="24"/>
        <v>270</v>
      </c>
      <c r="B278" s="124">
        <f t="shared" si="23"/>
        <v>252</v>
      </c>
      <c r="C278" s="124">
        <v>11</v>
      </c>
      <c r="D278" s="125" t="s">
        <v>806</v>
      </c>
      <c r="E278" s="125"/>
      <c r="F278" s="125" t="s">
        <v>542</v>
      </c>
      <c r="G278" s="26" t="s">
        <v>643</v>
      </c>
      <c r="J278" t="str">
        <f t="shared" si="22"/>
        <v>datatable[269] = new Array("270","252","Tape Recorders","11","Widget.png");</v>
      </c>
    </row>
    <row r="279" spans="1:10" ht="14.25" customHeight="1">
      <c r="A279" s="124">
        <f t="shared" si="24"/>
        <v>271</v>
      </c>
      <c r="B279" s="124">
        <f t="shared" si="23"/>
        <v>252</v>
      </c>
      <c r="C279" s="124">
        <v>11</v>
      </c>
      <c r="D279" s="125" t="s">
        <v>807</v>
      </c>
      <c r="E279" s="125"/>
      <c r="F279" s="125" t="s">
        <v>542</v>
      </c>
      <c r="G279" s="26" t="s">
        <v>643</v>
      </c>
      <c r="J279" t="str">
        <f t="shared" si="22"/>
        <v>datatable[270] = new Array("271","252","Disk Recorders","11","Widget.png");</v>
      </c>
    </row>
    <row r="280" spans="1:10" ht="14.25" customHeight="1">
      <c r="A280" s="124">
        <f t="shared" si="24"/>
        <v>272</v>
      </c>
      <c r="B280" s="124">
        <f t="shared" si="23"/>
        <v>252</v>
      </c>
      <c r="C280" s="124">
        <v>11</v>
      </c>
      <c r="D280" s="125" t="s">
        <v>808</v>
      </c>
      <c r="E280" s="125"/>
      <c r="F280" s="125" t="s">
        <v>542</v>
      </c>
      <c r="G280" s="26" t="s">
        <v>643</v>
      </c>
      <c r="J280" t="str">
        <f t="shared" si="22"/>
        <v>datatable[271] = new Array("272","252","Command Sensor or Situational Awareness Sensors","11","Widget.png");</v>
      </c>
    </row>
    <row r="281" spans="1:10" ht="14.25" customHeight="1">
      <c r="A281" s="124">
        <f t="shared" si="24"/>
        <v>273</v>
      </c>
      <c r="B281" s="124">
        <f t="shared" si="23"/>
        <v>252</v>
      </c>
      <c r="C281" s="124">
        <v>11</v>
      </c>
      <c r="D281" s="125" t="s">
        <v>809</v>
      </c>
      <c r="E281" s="125"/>
      <c r="F281" s="125" t="s">
        <v>542</v>
      </c>
      <c r="G281" s="26" t="s">
        <v>643</v>
      </c>
      <c r="J281" t="str">
        <f t="shared" si="22"/>
        <v>datatable[272] = new Array("273","252","Other C&amp;DH (Specify)","11","Widget.png");</v>
      </c>
    </row>
    <row r="282" spans="1:10" ht="14.25" customHeight="1">
      <c r="A282" s="124">
        <f t="shared" si="24"/>
        <v>274</v>
      </c>
      <c r="B282" s="124">
        <f>A$220</f>
        <v>212</v>
      </c>
      <c r="C282" s="124">
        <v>10</v>
      </c>
      <c r="D282" s="125" t="s">
        <v>810</v>
      </c>
      <c r="E282" s="125"/>
      <c r="F282" s="125" t="s">
        <v>540</v>
      </c>
      <c r="G282" s="26" t="s">
        <v>643</v>
      </c>
      <c r="J282" t="str">
        <f t="shared" si="22"/>
        <v>datatable[273] = new Array("274","212","TT&amp;C Other (Specify)","10","Widget.png");</v>
      </c>
    </row>
    <row r="283" spans="1:10" ht="14.25" customHeight="1">
      <c r="A283" s="124">
        <f t="shared" si="24"/>
        <v>275</v>
      </c>
      <c r="B283" s="124">
        <f>A$69</f>
        <v>61</v>
      </c>
      <c r="C283" s="124">
        <v>9</v>
      </c>
      <c r="D283" s="125" t="s">
        <v>811</v>
      </c>
      <c r="E283" s="125"/>
      <c r="F283" s="125" t="s">
        <v>538</v>
      </c>
      <c r="G283" s="26" t="s">
        <v>643</v>
      </c>
      <c r="J283" t="str">
        <f t="shared" si="22"/>
        <v>datatable[274] = new Array("275","61","Bus Flight Software","9","Widget.png");</v>
      </c>
    </row>
    <row r="284" spans="1:10" ht="14.25" customHeight="1">
      <c r="A284" s="124">
        <f t="shared" si="24"/>
        <v>276</v>
      </c>
      <c r="B284" s="124">
        <f>A283</f>
        <v>275</v>
      </c>
      <c r="C284" s="124">
        <v>10</v>
      </c>
      <c r="D284" s="125" t="s">
        <v>812</v>
      </c>
      <c r="E284" s="125"/>
      <c r="F284" s="125" t="s">
        <v>540</v>
      </c>
      <c r="G284" s="26" t="s">
        <v>634</v>
      </c>
      <c r="J284" t="str">
        <f t="shared" si="22"/>
        <v>datatable[275] = new Array("276","275","Bus FSW Subsystem SEITPM","10","SEITPM.png");</v>
      </c>
    </row>
    <row r="285" spans="1:10" ht="14.25" customHeight="1">
      <c r="A285" s="124">
        <f t="shared" si="24"/>
        <v>277</v>
      </c>
      <c r="B285" s="124">
        <f>A$279</f>
        <v>271</v>
      </c>
      <c r="C285" s="124">
        <v>11</v>
      </c>
      <c r="D285" s="125" t="s">
        <v>635</v>
      </c>
      <c r="E285" s="125"/>
      <c r="F285" s="125" t="s">
        <v>542</v>
      </c>
      <c r="G285" s="26" t="s">
        <v>634</v>
      </c>
      <c r="J285" t="str">
        <f t="shared" si="22"/>
        <v>datatable[276] = new Array("277","271","Project Management","11","SEITPM.png");</v>
      </c>
    </row>
    <row r="286" spans="1:10" ht="14.25" customHeight="1">
      <c r="A286" s="124">
        <f t="shared" si="24"/>
        <v>278</v>
      </c>
      <c r="B286" s="124">
        <f>A$279</f>
        <v>271</v>
      </c>
      <c r="C286" s="124">
        <v>11</v>
      </c>
      <c r="D286" s="125" t="s">
        <v>636</v>
      </c>
      <c r="E286" s="125"/>
      <c r="F286" s="125" t="s">
        <v>542</v>
      </c>
      <c r="G286" s="26" t="s">
        <v>634</v>
      </c>
      <c r="J286" t="str">
        <f t="shared" si="22"/>
        <v>datatable[277] = new Array("278","271","Systems Engineering","11","SEITPM.png");</v>
      </c>
    </row>
    <row r="287" spans="1:10" ht="14.25" customHeight="1">
      <c r="A287" s="124">
        <f t="shared" si="24"/>
        <v>279</v>
      </c>
      <c r="B287" s="124">
        <f>A$279</f>
        <v>271</v>
      </c>
      <c r="C287" s="124">
        <v>11</v>
      </c>
      <c r="D287" s="125" t="s">
        <v>637</v>
      </c>
      <c r="E287" s="125"/>
      <c r="F287" s="125" t="s">
        <v>542</v>
      </c>
      <c r="G287" s="26" t="s">
        <v>634</v>
      </c>
      <c r="J287" t="str">
        <f t="shared" si="22"/>
        <v>datatable[278] = new Array("279","271","Mission Assurance","11","SEITPM.png");</v>
      </c>
    </row>
    <row r="288" spans="1:10" ht="14.25" customHeight="1">
      <c r="A288" s="124">
        <f t="shared" si="24"/>
        <v>280</v>
      </c>
      <c r="B288" s="124">
        <f>A$279</f>
        <v>271</v>
      </c>
      <c r="C288" s="124">
        <v>11</v>
      </c>
      <c r="D288" s="125" t="s">
        <v>638</v>
      </c>
      <c r="E288" s="125"/>
      <c r="F288" s="125" t="s">
        <v>542</v>
      </c>
      <c r="G288" s="26" t="s">
        <v>634</v>
      </c>
      <c r="J288" t="str">
        <f t="shared" si="22"/>
        <v>datatable[279] = new Array("280","271","Assembly, Integration and Testing","11","SEITPM.png");</v>
      </c>
    </row>
    <row r="289" spans="1:10" ht="14.25" customHeight="1">
      <c r="A289" s="124">
        <f t="shared" si="24"/>
        <v>281</v>
      </c>
      <c r="B289" s="124">
        <f>A$279</f>
        <v>271</v>
      </c>
      <c r="C289" s="124">
        <v>11</v>
      </c>
      <c r="D289" s="125" t="s">
        <v>639</v>
      </c>
      <c r="E289" s="125"/>
      <c r="F289" s="125" t="s">
        <v>542</v>
      </c>
      <c r="G289" s="26" t="s">
        <v>634</v>
      </c>
      <c r="J289" t="str">
        <f t="shared" si="22"/>
        <v>datatable[280] = new Array("281","271","Support Equipment","11","SEITPM.png");</v>
      </c>
    </row>
    <row r="290" spans="1:10" ht="14.25" customHeight="1">
      <c r="A290" s="124">
        <f t="shared" si="24"/>
        <v>282</v>
      </c>
      <c r="B290" s="124">
        <f>A$278</f>
        <v>270</v>
      </c>
      <c r="C290" s="124">
        <v>11</v>
      </c>
      <c r="D290" s="125" t="s">
        <v>813</v>
      </c>
      <c r="E290" s="125"/>
      <c r="F290" s="125" t="s">
        <v>542</v>
      </c>
      <c r="G290" s="26" t="s">
        <v>643</v>
      </c>
      <c r="J290" t="str">
        <f t="shared" si="22"/>
        <v>datatable[281] = new Array("282","270","Thermal Control Software","11","Widget.png");</v>
      </c>
    </row>
    <row r="291" spans="1:10" ht="14.25" customHeight="1">
      <c r="A291" s="124">
        <f t="shared" si="24"/>
        <v>283</v>
      </c>
      <c r="B291" s="124">
        <f>A$278</f>
        <v>270</v>
      </c>
      <c r="C291" s="124">
        <v>11</v>
      </c>
      <c r="D291" s="125" t="s">
        <v>814</v>
      </c>
      <c r="E291" s="125"/>
      <c r="F291" s="125" t="s">
        <v>542</v>
      </c>
      <c r="G291" s="26" t="s">
        <v>643</v>
      </c>
      <c r="J291" t="str">
        <f t="shared" si="22"/>
        <v>datatable[282] = new Array("283","270","Electrical Power Software","11","Widget.png");</v>
      </c>
    </row>
    <row r="292" spans="1:10" ht="14.25" customHeight="1">
      <c r="A292" s="124">
        <f t="shared" si="24"/>
        <v>284</v>
      </c>
      <c r="B292" s="124">
        <f>A$278</f>
        <v>270</v>
      </c>
      <c r="C292" s="124">
        <v>11</v>
      </c>
      <c r="D292" s="125" t="s">
        <v>815</v>
      </c>
      <c r="E292" s="125"/>
      <c r="F292" s="125" t="s">
        <v>542</v>
      </c>
      <c r="G292" s="26" t="s">
        <v>643</v>
      </c>
      <c r="J292" t="str">
        <f t="shared" si="22"/>
        <v>datatable[283] = new Array("284","270","Attitude Control Software","11","Widget.png");</v>
      </c>
    </row>
    <row r="293" spans="1:10" ht="14.25" customHeight="1">
      <c r="A293" s="124">
        <f t="shared" si="24"/>
        <v>285</v>
      </c>
      <c r="B293" s="124">
        <f>A$278</f>
        <v>270</v>
      </c>
      <c r="C293" s="124">
        <v>11</v>
      </c>
      <c r="D293" s="125" t="s">
        <v>816</v>
      </c>
      <c r="E293" s="125"/>
      <c r="F293" s="125" t="s">
        <v>542</v>
      </c>
      <c r="G293" s="26" t="s">
        <v>643</v>
      </c>
      <c r="J293" t="str">
        <f t="shared" si="22"/>
        <v>datatable[284] = new Array("285","270","Telemetry, Tracking, and Command Software","11","Widget.png");</v>
      </c>
    </row>
    <row r="294" spans="1:10" ht="14.25" customHeight="1">
      <c r="A294" s="124">
        <f t="shared" si="24"/>
        <v>286</v>
      </c>
      <c r="B294" s="124">
        <f>A$278</f>
        <v>270</v>
      </c>
      <c r="C294" s="124">
        <v>11</v>
      </c>
      <c r="D294" s="125" t="s">
        <v>817</v>
      </c>
      <c r="E294" s="125"/>
      <c r="F294" s="125" t="s">
        <v>542</v>
      </c>
      <c r="G294" s="26" t="s">
        <v>643</v>
      </c>
      <c r="J294" t="str">
        <f t="shared" si="22"/>
        <v>datatable[285] = new Array("286","270","Other Flight Software (Specify)","11","Widget.png");</v>
      </c>
    </row>
    <row r="295" spans="1:10" ht="14.25" customHeight="1">
      <c r="A295" s="126">
        <f t="shared" si="24"/>
        <v>287</v>
      </c>
      <c r="B295" s="126">
        <f>A67</f>
        <v>59</v>
      </c>
      <c r="C295" s="126">
        <v>8</v>
      </c>
      <c r="D295" s="127" t="s">
        <v>818</v>
      </c>
      <c r="E295" s="127"/>
      <c r="F295" s="127" t="s">
        <v>535</v>
      </c>
      <c r="G295" s="50" t="s">
        <v>634</v>
      </c>
      <c r="J295" t="str">
        <f t="shared" si="22"/>
        <v>datatable[286] = new Array("287","59","SEITPM and Support Equipment (If Applicable for Integration of Multiple Payloads)","8","SEITPM.png");</v>
      </c>
    </row>
    <row r="296" spans="1:10" ht="14.25" customHeight="1">
      <c r="A296" s="126">
        <f t="shared" si="24"/>
        <v>288</v>
      </c>
      <c r="B296" s="126">
        <f>A$290</f>
        <v>282</v>
      </c>
      <c r="C296" s="126">
        <v>9</v>
      </c>
      <c r="D296" s="127" t="s">
        <v>635</v>
      </c>
      <c r="E296" s="127"/>
      <c r="F296" s="128" t="s">
        <v>538</v>
      </c>
      <c r="G296" s="26" t="s">
        <v>634</v>
      </c>
      <c r="J296" t="str">
        <f t="shared" si="22"/>
        <v>datatable[287] = new Array("288","282","Project Management","9","SEITPM.png");</v>
      </c>
    </row>
    <row r="297" spans="1:10" ht="14.25" customHeight="1">
      <c r="A297" s="126">
        <f t="shared" si="24"/>
        <v>289</v>
      </c>
      <c r="B297" s="126">
        <f>A$290</f>
        <v>282</v>
      </c>
      <c r="C297" s="126">
        <v>9</v>
      </c>
      <c r="D297" s="127" t="s">
        <v>636</v>
      </c>
      <c r="E297" s="127"/>
      <c r="F297" s="128" t="s">
        <v>538</v>
      </c>
      <c r="G297" s="26" t="s">
        <v>634</v>
      </c>
      <c r="J297" t="str">
        <f t="shared" si="22"/>
        <v>datatable[288] = new Array("289","282","Systems Engineering","9","SEITPM.png");</v>
      </c>
    </row>
    <row r="298" spans="1:10" ht="14.25" customHeight="1">
      <c r="A298" s="126">
        <f t="shared" si="24"/>
        <v>290</v>
      </c>
      <c r="B298" s="126">
        <f>A$290</f>
        <v>282</v>
      </c>
      <c r="C298" s="126">
        <v>9</v>
      </c>
      <c r="D298" s="127" t="s">
        <v>637</v>
      </c>
      <c r="E298" s="127"/>
      <c r="F298" s="128" t="s">
        <v>538</v>
      </c>
      <c r="G298" s="26" t="s">
        <v>634</v>
      </c>
      <c r="J298" t="str">
        <f t="shared" si="22"/>
        <v>datatable[289] = new Array("290","282","Mission Assurance","9","SEITPM.png");</v>
      </c>
    </row>
    <row r="299" spans="1:10" ht="14.25" customHeight="1">
      <c r="A299" s="129">
        <f t="shared" si="24"/>
        <v>291</v>
      </c>
      <c r="B299" s="129">
        <f>A$290</f>
        <v>282</v>
      </c>
      <c r="C299" s="129">
        <v>9</v>
      </c>
      <c r="D299" s="130" t="s">
        <v>638</v>
      </c>
      <c r="E299" s="130"/>
      <c r="F299" s="131" t="s">
        <v>538</v>
      </c>
      <c r="G299" s="63" t="s">
        <v>634</v>
      </c>
      <c r="J299" t="str">
        <f t="shared" si="22"/>
        <v>datatable[290] = new Array("291","282","Assembly, Integration and Testing","9","SEITPM.png");</v>
      </c>
    </row>
    <row r="300" spans="1:10" ht="14.25" customHeight="1">
      <c r="A300" s="126">
        <f t="shared" si="24"/>
        <v>292</v>
      </c>
      <c r="B300" s="126">
        <f>A$290</f>
        <v>282</v>
      </c>
      <c r="C300" s="126">
        <v>9</v>
      </c>
      <c r="D300" s="127" t="s">
        <v>639</v>
      </c>
      <c r="E300" s="127"/>
      <c r="F300" s="128" t="s">
        <v>538</v>
      </c>
      <c r="G300" s="26" t="s">
        <v>634</v>
      </c>
      <c r="J300" t="str">
        <f t="shared" si="22"/>
        <v>datatable[291] = new Array("292","282","Support Equipment","9","SEITPM.png");</v>
      </c>
    </row>
    <row r="301" spans="1:10" ht="14.25" customHeight="1">
      <c r="A301" s="132">
        <f t="shared" si="24"/>
        <v>293</v>
      </c>
      <c r="B301" s="132">
        <f>A67</f>
        <v>59</v>
      </c>
      <c r="C301" s="132">
        <v>8</v>
      </c>
      <c r="D301" s="133" t="s">
        <v>819</v>
      </c>
      <c r="E301" s="133"/>
      <c r="F301" s="133" t="s">
        <v>535</v>
      </c>
      <c r="G301" s="26" t="s">
        <v>643</v>
      </c>
      <c r="J301" t="str">
        <f t="shared" si="22"/>
        <v>datatable[292] = new Array("293","59","Payload 1 … n (Specify)","8","Widget.png");</v>
      </c>
    </row>
    <row r="302" spans="1:10" ht="14.25" customHeight="1">
      <c r="A302" s="126">
        <f t="shared" si="24"/>
        <v>294</v>
      </c>
      <c r="B302" s="126">
        <f>A301</f>
        <v>293</v>
      </c>
      <c r="C302" s="126">
        <v>9</v>
      </c>
      <c r="D302" s="127" t="s">
        <v>820</v>
      </c>
      <c r="E302" s="127"/>
      <c r="F302" s="128" t="s">
        <v>538</v>
      </c>
      <c r="G302" s="26" t="s">
        <v>634</v>
      </c>
      <c r="J302" t="str">
        <f t="shared" si="22"/>
        <v>datatable[293] = new Array("294","293","Payload 1 SEITPM and Support Equipment","9","SEITPM.png");</v>
      </c>
    </row>
    <row r="303" spans="1:10" ht="14.25" customHeight="1">
      <c r="A303" s="134">
        <f t="shared" si="24"/>
        <v>295</v>
      </c>
      <c r="B303" s="134">
        <f>A$297</f>
        <v>289</v>
      </c>
      <c r="C303" s="134">
        <v>10</v>
      </c>
      <c r="D303" s="135" t="s">
        <v>635</v>
      </c>
      <c r="E303" s="136"/>
      <c r="F303" s="136" t="s">
        <v>540</v>
      </c>
      <c r="G303" s="82" t="s">
        <v>634</v>
      </c>
      <c r="J303" t="str">
        <f t="shared" si="22"/>
        <v>datatable[294] = new Array("295","289","Project Management","10","SEITPM.png");</v>
      </c>
    </row>
    <row r="304" spans="1:10" ht="14.25" customHeight="1">
      <c r="A304" s="126">
        <f t="shared" si="24"/>
        <v>296</v>
      </c>
      <c r="B304" s="126">
        <f>A$297</f>
        <v>289</v>
      </c>
      <c r="C304" s="126">
        <v>10</v>
      </c>
      <c r="D304" s="127" t="s">
        <v>636</v>
      </c>
      <c r="E304" s="128"/>
      <c r="F304" s="128" t="s">
        <v>540</v>
      </c>
      <c r="G304" s="26" t="s">
        <v>634</v>
      </c>
      <c r="J304" t="str">
        <f t="shared" si="22"/>
        <v>datatable[295] = new Array("296","289","Systems Engineering","10","SEITPM.png");</v>
      </c>
    </row>
    <row r="305" spans="1:10" ht="14.25" customHeight="1">
      <c r="A305" s="126">
        <f t="shared" si="24"/>
        <v>297</v>
      </c>
      <c r="B305" s="126">
        <f>A$297</f>
        <v>289</v>
      </c>
      <c r="C305" s="126">
        <v>10</v>
      </c>
      <c r="D305" s="127" t="s">
        <v>637</v>
      </c>
      <c r="E305" s="128"/>
      <c r="F305" s="128" t="s">
        <v>540</v>
      </c>
      <c r="G305" s="26" t="s">
        <v>634</v>
      </c>
      <c r="J305" t="str">
        <f t="shared" si="22"/>
        <v>datatable[296] = new Array("297","289","Mission Assurance","10","SEITPM.png");</v>
      </c>
    </row>
    <row r="306" spans="1:10" ht="14.25" customHeight="1">
      <c r="A306" s="126">
        <f t="shared" si="24"/>
        <v>298</v>
      </c>
      <c r="B306" s="126">
        <f>A$297</f>
        <v>289</v>
      </c>
      <c r="C306" s="126">
        <v>10</v>
      </c>
      <c r="D306" s="127" t="s">
        <v>638</v>
      </c>
      <c r="E306" s="128"/>
      <c r="F306" s="128" t="s">
        <v>540</v>
      </c>
      <c r="G306" s="26" t="s">
        <v>634</v>
      </c>
      <c r="J306" t="str">
        <f t="shared" si="22"/>
        <v>datatable[297] = new Array("298","289","Assembly, Integration and Testing","10","SEITPM.png");</v>
      </c>
    </row>
    <row r="307" spans="1:10" ht="14.25" customHeight="1">
      <c r="A307" s="129">
        <f t="shared" si="24"/>
        <v>299</v>
      </c>
      <c r="B307" s="129">
        <f>A$297</f>
        <v>289</v>
      </c>
      <c r="C307" s="129">
        <v>10</v>
      </c>
      <c r="D307" s="130" t="s">
        <v>639</v>
      </c>
      <c r="E307" s="131"/>
      <c r="F307" s="131" t="s">
        <v>540</v>
      </c>
      <c r="G307" s="63" t="s">
        <v>634</v>
      </c>
      <c r="J307" t="str">
        <f t="shared" si="22"/>
        <v>datatable[298] = new Array("299","289","Support Equipment","10","SEITPM.png");</v>
      </c>
    </row>
    <row r="308" spans="1:10" ht="14.25" customHeight="1">
      <c r="A308" s="126">
        <f t="shared" si="24"/>
        <v>300</v>
      </c>
      <c r="B308" s="126">
        <f>A$296</f>
        <v>288</v>
      </c>
      <c r="C308" s="126">
        <v>9</v>
      </c>
      <c r="D308" s="127" t="s">
        <v>821</v>
      </c>
      <c r="E308" s="128"/>
      <c r="F308" s="127" t="s">
        <v>538</v>
      </c>
      <c r="G308" s="26" t="s">
        <v>643</v>
      </c>
      <c r="J308" t="str">
        <f t="shared" si="22"/>
        <v>datatable[299] = new Array("300","288","Payload 1 Structures and Mechanisms Subsystem","9","Widget.png");</v>
      </c>
    </row>
    <row r="309" spans="1:10" ht="14.25" customHeight="1">
      <c r="A309" s="134">
        <f t="shared" si="24"/>
        <v>301</v>
      </c>
      <c r="B309" s="134">
        <f>A$303</f>
        <v>295</v>
      </c>
      <c r="C309" s="134">
        <v>10</v>
      </c>
      <c r="D309" s="136" t="s">
        <v>822</v>
      </c>
      <c r="E309" s="136"/>
      <c r="F309" s="136" t="s">
        <v>540</v>
      </c>
      <c r="G309" s="82" t="s">
        <v>634</v>
      </c>
      <c r="J309" t="str">
        <f t="shared" si="22"/>
        <v>datatable[300] = new Array("301","295","Structures and Mechanims Subsystem SEITPM","10","SEITPM.png");</v>
      </c>
    </row>
    <row r="310" spans="1:10" ht="14.25" customHeight="1">
      <c r="A310" s="126">
        <f t="shared" si="24"/>
        <v>302</v>
      </c>
      <c r="B310" s="126">
        <f>A$304</f>
        <v>296</v>
      </c>
      <c r="C310" s="126">
        <v>11</v>
      </c>
      <c r="D310" s="128" t="s">
        <v>635</v>
      </c>
      <c r="E310" s="128"/>
      <c r="F310" s="128" t="s">
        <v>542</v>
      </c>
      <c r="G310" s="26" t="s">
        <v>634</v>
      </c>
      <c r="J310" t="str">
        <f t="shared" si="22"/>
        <v>datatable[301] = new Array("302","296","Project Management","11","SEITPM.png");</v>
      </c>
    </row>
    <row r="311" spans="1:10" ht="14.25" customHeight="1">
      <c r="A311" s="126">
        <f t="shared" si="24"/>
        <v>303</v>
      </c>
      <c r="B311" s="126">
        <f>A$304</f>
        <v>296</v>
      </c>
      <c r="C311" s="126">
        <v>11</v>
      </c>
      <c r="D311" s="128" t="s">
        <v>636</v>
      </c>
      <c r="E311" s="128"/>
      <c r="F311" s="128" t="s">
        <v>542</v>
      </c>
      <c r="G311" s="26" t="s">
        <v>634</v>
      </c>
      <c r="J311" t="str">
        <f t="shared" si="22"/>
        <v>datatable[302] = new Array("303","296","Systems Engineering","11","SEITPM.png");</v>
      </c>
    </row>
    <row r="312" spans="1:10" ht="14.25" customHeight="1">
      <c r="A312" s="126">
        <f t="shared" si="24"/>
        <v>304</v>
      </c>
      <c r="B312" s="126">
        <f>A$304</f>
        <v>296</v>
      </c>
      <c r="C312" s="126">
        <v>11</v>
      </c>
      <c r="D312" s="128" t="s">
        <v>637</v>
      </c>
      <c r="E312" s="128"/>
      <c r="F312" s="128" t="s">
        <v>542</v>
      </c>
      <c r="G312" s="26" t="s">
        <v>634</v>
      </c>
      <c r="J312" t="str">
        <f t="shared" si="22"/>
        <v>datatable[303] = new Array("304","296","Mission Assurance","11","SEITPM.png");</v>
      </c>
    </row>
    <row r="313" spans="1:10" ht="14.25" customHeight="1">
      <c r="A313" s="126">
        <f t="shared" si="24"/>
        <v>305</v>
      </c>
      <c r="B313" s="126">
        <f>A$304</f>
        <v>296</v>
      </c>
      <c r="C313" s="126">
        <v>11</v>
      </c>
      <c r="D313" s="128" t="s">
        <v>638</v>
      </c>
      <c r="E313" s="128"/>
      <c r="F313" s="128" t="s">
        <v>542</v>
      </c>
      <c r="G313" s="26" t="s">
        <v>634</v>
      </c>
      <c r="J313" t="str">
        <f t="shared" si="22"/>
        <v>datatable[304] = new Array("305","296","Assembly, Integration and Testing","11","SEITPM.png");</v>
      </c>
    </row>
    <row r="314" spans="1:10" ht="14.25" customHeight="1">
      <c r="A314" s="126">
        <f t="shared" si="24"/>
        <v>306</v>
      </c>
      <c r="B314" s="126">
        <f>A$304</f>
        <v>296</v>
      </c>
      <c r="C314" s="126">
        <v>11</v>
      </c>
      <c r="D314" s="128" t="s">
        <v>639</v>
      </c>
      <c r="E314" s="128"/>
      <c r="F314" s="128" t="s">
        <v>542</v>
      </c>
      <c r="G314" s="26" t="s">
        <v>634</v>
      </c>
      <c r="J314" t="str">
        <f t="shared" si="22"/>
        <v>datatable[305] = new Array("306","296","Support Equipment","11","SEITPM.png");</v>
      </c>
    </row>
    <row r="315" spans="1:10" ht="14.25" customHeight="1">
      <c r="A315" s="126">
        <f t="shared" si="24"/>
        <v>307</v>
      </c>
      <c r="B315" s="126">
        <f>A$303</f>
        <v>295</v>
      </c>
      <c r="C315" s="126">
        <v>10</v>
      </c>
      <c r="D315" s="127" t="s">
        <v>823</v>
      </c>
      <c r="E315" s="128"/>
      <c r="F315" s="128" t="s">
        <v>540</v>
      </c>
      <c r="G315" s="26" t="s">
        <v>643</v>
      </c>
      <c r="J315" t="str">
        <f t="shared" si="22"/>
        <v>datatable[306] = new Array("307","295","Structures","10","Widget.png");</v>
      </c>
    </row>
    <row r="316" spans="1:10" ht="14.25" customHeight="1">
      <c r="A316" s="126">
        <f t="shared" si="24"/>
        <v>308</v>
      </c>
      <c r="B316" s="126">
        <f>A$303</f>
        <v>295</v>
      </c>
      <c r="C316" s="126">
        <v>10</v>
      </c>
      <c r="D316" s="127" t="s">
        <v>657</v>
      </c>
      <c r="E316" s="128"/>
      <c r="F316" s="128" t="s">
        <v>540</v>
      </c>
      <c r="G316" s="26" t="s">
        <v>643</v>
      </c>
      <c r="J316" t="str">
        <f t="shared" si="22"/>
        <v>datatable[307] = new Array("308","295","Mechanisms and Pyrotechnics","10","Widget.png");</v>
      </c>
    </row>
    <row r="317" spans="1:10" ht="14.25" customHeight="1">
      <c r="A317" s="129">
        <f t="shared" si="24"/>
        <v>309</v>
      </c>
      <c r="B317" s="129">
        <f>A$303</f>
        <v>295</v>
      </c>
      <c r="C317" s="129">
        <v>10</v>
      </c>
      <c r="D317" s="130" t="s">
        <v>824</v>
      </c>
      <c r="E317" s="131"/>
      <c r="F317" s="131" t="s">
        <v>540</v>
      </c>
      <c r="G317" s="26" t="s">
        <v>643</v>
      </c>
      <c r="J317" t="str">
        <f t="shared" si="22"/>
        <v>datatable[308] = new Array("309","295","Structures and Mechanisms Other (Specify)","10","Widget.png");</v>
      </c>
    </row>
    <row r="318" spans="1:10" ht="14.25" customHeight="1">
      <c r="A318" s="126">
        <f t="shared" si="24"/>
        <v>310</v>
      </c>
      <c r="B318" s="126">
        <f>A$296</f>
        <v>288</v>
      </c>
      <c r="C318" s="126">
        <v>9</v>
      </c>
      <c r="D318" s="127" t="s">
        <v>825</v>
      </c>
      <c r="E318" s="128"/>
      <c r="F318" s="127" t="s">
        <v>538</v>
      </c>
      <c r="G318" s="26" t="s">
        <v>643</v>
      </c>
      <c r="J318" t="str">
        <f t="shared" si="22"/>
        <v>datatable[309] = new Array("310","288","Payload 1 Thermal Control  Subsystem","9","Widget.png");</v>
      </c>
    </row>
    <row r="319" spans="1:10" ht="14.25" customHeight="1">
      <c r="A319" s="134">
        <f t="shared" si="24"/>
        <v>311</v>
      </c>
      <c r="B319" s="134">
        <f>A318</f>
        <v>310</v>
      </c>
      <c r="C319" s="134">
        <v>10</v>
      </c>
      <c r="D319" s="136" t="s">
        <v>826</v>
      </c>
      <c r="E319" s="136"/>
      <c r="F319" s="136" t="s">
        <v>540</v>
      </c>
      <c r="G319" s="82" t="s">
        <v>634</v>
      </c>
      <c r="J319" t="str">
        <f t="shared" si="22"/>
        <v>datatable[310] = new Array("311","310","Thermal Control  Subsystem SEITPM","10","SEITPM.png");</v>
      </c>
    </row>
    <row r="320" spans="1:10" ht="14.25" customHeight="1">
      <c r="A320" s="126">
        <f t="shared" si="24"/>
        <v>312</v>
      </c>
      <c r="B320" s="126">
        <f>A$314</f>
        <v>306</v>
      </c>
      <c r="C320" s="126">
        <v>11</v>
      </c>
      <c r="D320" s="128" t="s">
        <v>635</v>
      </c>
      <c r="E320" s="128"/>
      <c r="F320" s="128" t="s">
        <v>542</v>
      </c>
      <c r="G320" s="26" t="s">
        <v>634</v>
      </c>
      <c r="J320" t="str">
        <f t="shared" si="22"/>
        <v>datatable[311] = new Array("312","306","Project Management","11","SEITPM.png");</v>
      </c>
    </row>
    <row r="321" spans="1:10" ht="14.25" customHeight="1">
      <c r="A321" s="126">
        <f t="shared" si="24"/>
        <v>313</v>
      </c>
      <c r="B321" s="126">
        <f>A$314</f>
        <v>306</v>
      </c>
      <c r="C321" s="126">
        <v>11</v>
      </c>
      <c r="D321" s="128" t="s">
        <v>636</v>
      </c>
      <c r="E321" s="128"/>
      <c r="F321" s="128" t="s">
        <v>542</v>
      </c>
      <c r="G321" s="26" t="s">
        <v>634</v>
      </c>
      <c r="J321" t="str">
        <f t="shared" si="22"/>
        <v>datatable[312] = new Array("313","306","Systems Engineering","11","SEITPM.png");</v>
      </c>
    </row>
    <row r="322" spans="1:10" ht="14.25" customHeight="1">
      <c r="A322" s="126">
        <f t="shared" si="24"/>
        <v>314</v>
      </c>
      <c r="B322" s="126">
        <f>A$314</f>
        <v>306</v>
      </c>
      <c r="C322" s="126">
        <v>11</v>
      </c>
      <c r="D322" s="128" t="s">
        <v>637</v>
      </c>
      <c r="E322" s="128"/>
      <c r="F322" s="128" t="s">
        <v>542</v>
      </c>
      <c r="G322" s="26" t="s">
        <v>634</v>
      </c>
      <c r="J322" t="str">
        <f t="shared" si="22"/>
        <v>datatable[313] = new Array("314","306","Mission Assurance","11","SEITPM.png");</v>
      </c>
    </row>
    <row r="323" spans="1:10" ht="14.25" customHeight="1">
      <c r="A323" s="126">
        <f t="shared" si="24"/>
        <v>315</v>
      </c>
      <c r="B323" s="126">
        <f>A$314</f>
        <v>306</v>
      </c>
      <c r="C323" s="126">
        <v>11</v>
      </c>
      <c r="D323" s="128" t="s">
        <v>638</v>
      </c>
      <c r="E323" s="128"/>
      <c r="F323" s="128" t="s">
        <v>542</v>
      </c>
      <c r="G323" s="26" t="s">
        <v>634</v>
      </c>
      <c r="J323" t="str">
        <f t="shared" si="22"/>
        <v>datatable[314] = new Array("315","306","Assembly, Integration and Testing","11","SEITPM.png");</v>
      </c>
    </row>
    <row r="324" spans="1:10" ht="14.25" customHeight="1">
      <c r="A324" s="126">
        <f t="shared" si="24"/>
        <v>316</v>
      </c>
      <c r="B324" s="126">
        <f>A$314</f>
        <v>306</v>
      </c>
      <c r="C324" s="126">
        <v>11</v>
      </c>
      <c r="D324" s="128" t="s">
        <v>639</v>
      </c>
      <c r="E324" s="128"/>
      <c r="F324" s="128" t="s">
        <v>542</v>
      </c>
      <c r="G324" s="26" t="s">
        <v>634</v>
      </c>
      <c r="J324" t="str">
        <f t="shared" si="22"/>
        <v>datatable[315] = new Array("316","306","Support Equipment","11","SEITPM.png");</v>
      </c>
    </row>
    <row r="325" spans="1:10" ht="14.25" customHeight="1">
      <c r="A325" s="126">
        <f t="shared" si="24"/>
        <v>317</v>
      </c>
      <c r="B325" s="126">
        <f t="shared" ref="B325:B331" si="25">A324</f>
        <v>316</v>
      </c>
      <c r="C325" s="126">
        <v>10</v>
      </c>
      <c r="D325" s="127" t="s">
        <v>667</v>
      </c>
      <c r="E325" s="128"/>
      <c r="F325" s="128" t="s">
        <v>540</v>
      </c>
      <c r="G325" s="26" t="s">
        <v>643</v>
      </c>
      <c r="J325" t="str">
        <f t="shared" si="22"/>
        <v>datatable[316] = new Array("317","316","Cryogenic Devices","10","Widget.png");</v>
      </c>
    </row>
    <row r="326" spans="1:10" ht="14.25" customHeight="1">
      <c r="A326" s="126">
        <f t="shared" si="24"/>
        <v>318</v>
      </c>
      <c r="B326" s="126">
        <f t="shared" si="25"/>
        <v>317</v>
      </c>
      <c r="C326" s="126">
        <v>10</v>
      </c>
      <c r="D326" s="127" t="s">
        <v>668</v>
      </c>
      <c r="E326" s="128"/>
      <c r="F326" s="128" t="s">
        <v>540</v>
      </c>
      <c r="G326" s="26" t="s">
        <v>643</v>
      </c>
      <c r="J326" t="str">
        <f t="shared" si="22"/>
        <v>datatable[317] = new Array("318","317","Liquid Loops","10","Widget.png");</v>
      </c>
    </row>
    <row r="327" spans="1:10" ht="14.25" customHeight="1">
      <c r="A327" s="126">
        <f t="shared" si="24"/>
        <v>319</v>
      </c>
      <c r="B327" s="126">
        <f t="shared" si="25"/>
        <v>318</v>
      </c>
      <c r="C327" s="126">
        <v>10</v>
      </c>
      <c r="D327" s="127" t="s">
        <v>669</v>
      </c>
      <c r="E327" s="128"/>
      <c r="F327" s="128" t="s">
        <v>540</v>
      </c>
      <c r="G327" s="26" t="s">
        <v>643</v>
      </c>
      <c r="J327" t="str">
        <f t="shared" si="22"/>
        <v>datatable[318] = new Array("319","318","Electric Coolers","10","Widget.png");</v>
      </c>
    </row>
    <row r="328" spans="1:10" ht="14.25" customHeight="1">
      <c r="A328" s="126">
        <f t="shared" si="24"/>
        <v>320</v>
      </c>
      <c r="B328" s="126">
        <f t="shared" si="25"/>
        <v>319</v>
      </c>
      <c r="C328" s="126">
        <v>10</v>
      </c>
      <c r="D328" s="127" t="s">
        <v>827</v>
      </c>
      <c r="E328" s="128"/>
      <c r="F328" s="128" t="s">
        <v>540</v>
      </c>
      <c r="G328" s="26" t="s">
        <v>643</v>
      </c>
      <c r="J328" t="str">
        <f t="shared" si="22"/>
        <v>datatable[319] = new Array("320","319","Electric heaters, Thermisters, and Thermostats","10","Widget.png");</v>
      </c>
    </row>
    <row r="329" spans="1:10" ht="14.25" customHeight="1">
      <c r="A329" s="126">
        <f t="shared" si="24"/>
        <v>321</v>
      </c>
      <c r="B329" s="126">
        <f t="shared" si="25"/>
        <v>320</v>
      </c>
      <c r="C329" s="126">
        <v>10</v>
      </c>
      <c r="D329" s="127" t="s">
        <v>672</v>
      </c>
      <c r="E329" s="128"/>
      <c r="F329" s="128" t="s">
        <v>540</v>
      </c>
      <c r="G329" s="26" t="s">
        <v>643</v>
      </c>
      <c r="J329" t="str">
        <f t="shared" ref="J329:J392" si="26">"datatable["&amp;A329-1&amp;"] = new Array(""" &amp; A329 &amp;""",""" &amp; B329 &amp;""",""" &amp; D329 &amp; """,""" &amp; C329&amp;""","""&amp;""&amp;G329&amp;""");"</f>
        <v>datatable[320] = new Array("321","320","Passive Devices","10","Widget.png");</v>
      </c>
    </row>
    <row r="330" spans="1:10" ht="14.25" customHeight="1">
      <c r="A330" s="126">
        <f t="shared" si="24"/>
        <v>322</v>
      </c>
      <c r="B330" s="126">
        <f t="shared" si="25"/>
        <v>321</v>
      </c>
      <c r="C330" s="126">
        <v>10</v>
      </c>
      <c r="D330" s="127" t="s">
        <v>679</v>
      </c>
      <c r="E330" s="128"/>
      <c r="F330" s="128" t="s">
        <v>540</v>
      </c>
      <c r="G330" s="26" t="s">
        <v>643</v>
      </c>
      <c r="J330" t="str">
        <f t="shared" si="26"/>
        <v>datatable[321] = new Array("322","321","Sun Shields","10","Widget.png");</v>
      </c>
    </row>
    <row r="331" spans="1:10" ht="14.25" customHeight="1">
      <c r="A331" s="129">
        <f t="shared" ref="A331:A388" si="27">A330+1</f>
        <v>323</v>
      </c>
      <c r="B331" s="129">
        <f t="shared" si="25"/>
        <v>322</v>
      </c>
      <c r="C331" s="129">
        <v>10</v>
      </c>
      <c r="D331" s="130" t="s">
        <v>828</v>
      </c>
      <c r="E331" s="131"/>
      <c r="F331" s="131" t="s">
        <v>540</v>
      </c>
      <c r="G331" s="26" t="s">
        <v>643</v>
      </c>
      <c r="J331" t="str">
        <f t="shared" si="26"/>
        <v>datatable[322] = new Array("323","322","Thermal Control Other (Specify)","10","Widget.png");</v>
      </c>
    </row>
    <row r="332" spans="1:10" ht="14.25" customHeight="1">
      <c r="A332" s="126">
        <f t="shared" si="27"/>
        <v>324</v>
      </c>
      <c r="B332" s="126">
        <f>A$296</f>
        <v>288</v>
      </c>
      <c r="C332" s="126">
        <v>9</v>
      </c>
      <c r="D332" s="127" t="s">
        <v>829</v>
      </c>
      <c r="E332" s="128"/>
      <c r="F332" s="127" t="s">
        <v>538</v>
      </c>
      <c r="G332" s="26" t="s">
        <v>643</v>
      </c>
      <c r="J332" t="str">
        <f t="shared" si="26"/>
        <v>datatable[323] = new Array("324","288","Payload 1 Electrical Power Subsystem","9","Widget.png");</v>
      </c>
    </row>
    <row r="333" spans="1:10" ht="14.25" customHeight="1">
      <c r="A333" s="134">
        <f t="shared" si="27"/>
        <v>325</v>
      </c>
      <c r="B333" s="134">
        <f>A$327</f>
        <v>319</v>
      </c>
      <c r="C333" s="134">
        <v>10</v>
      </c>
      <c r="D333" s="136" t="s">
        <v>830</v>
      </c>
      <c r="E333" s="136"/>
      <c r="F333" s="136" t="s">
        <v>540</v>
      </c>
      <c r="G333" s="82" t="s">
        <v>634</v>
      </c>
      <c r="J333" t="str">
        <f t="shared" si="26"/>
        <v>datatable[324] = new Array("325","319","Electrical Power Subsystem SEITPM","10","SEITPM.png");</v>
      </c>
    </row>
    <row r="334" spans="1:10" ht="14.25" customHeight="1">
      <c r="A334" s="134">
        <f t="shared" si="27"/>
        <v>326</v>
      </c>
      <c r="B334" s="126">
        <f>A$328</f>
        <v>320</v>
      </c>
      <c r="C334" s="126">
        <v>11</v>
      </c>
      <c r="D334" s="128" t="s">
        <v>635</v>
      </c>
      <c r="E334" s="128"/>
      <c r="F334" s="128" t="s">
        <v>542</v>
      </c>
      <c r="G334" s="26" t="s">
        <v>634</v>
      </c>
      <c r="J334" t="str">
        <f t="shared" si="26"/>
        <v>datatable[325] = new Array("326","320","Project Management","11","SEITPM.png");</v>
      </c>
    </row>
    <row r="335" spans="1:10" ht="14.25" customHeight="1">
      <c r="A335" s="134">
        <f t="shared" si="27"/>
        <v>327</v>
      </c>
      <c r="B335" s="126">
        <f>A$328</f>
        <v>320</v>
      </c>
      <c r="C335" s="126">
        <v>11</v>
      </c>
      <c r="D335" s="128" t="s">
        <v>636</v>
      </c>
      <c r="E335" s="128"/>
      <c r="F335" s="128" t="s">
        <v>542</v>
      </c>
      <c r="G335" s="26" t="s">
        <v>634</v>
      </c>
      <c r="J335" t="str">
        <f t="shared" si="26"/>
        <v>datatable[326] = new Array("327","320","Systems Engineering","11","SEITPM.png");</v>
      </c>
    </row>
    <row r="336" spans="1:10" ht="14.25" customHeight="1">
      <c r="A336" s="134">
        <f t="shared" si="27"/>
        <v>328</v>
      </c>
      <c r="B336" s="126">
        <f>A$328</f>
        <v>320</v>
      </c>
      <c r="C336" s="126">
        <v>11</v>
      </c>
      <c r="D336" s="128" t="s">
        <v>637</v>
      </c>
      <c r="E336" s="128"/>
      <c r="F336" s="128" t="s">
        <v>542</v>
      </c>
      <c r="G336" s="26" t="s">
        <v>634</v>
      </c>
      <c r="J336" t="str">
        <f t="shared" si="26"/>
        <v>datatable[327] = new Array("328","320","Mission Assurance","11","SEITPM.png");</v>
      </c>
    </row>
    <row r="337" spans="1:10" ht="14.25" customHeight="1">
      <c r="A337" s="134">
        <f t="shared" si="27"/>
        <v>329</v>
      </c>
      <c r="B337" s="126">
        <f>A$328</f>
        <v>320</v>
      </c>
      <c r="C337" s="126">
        <v>11</v>
      </c>
      <c r="D337" s="128" t="s">
        <v>638</v>
      </c>
      <c r="E337" s="128"/>
      <c r="F337" s="128" t="s">
        <v>542</v>
      </c>
      <c r="G337" s="26" t="s">
        <v>634</v>
      </c>
      <c r="J337" t="str">
        <f t="shared" si="26"/>
        <v>datatable[328] = new Array("329","320","Assembly, Integration and Testing","11","SEITPM.png");</v>
      </c>
    </row>
    <row r="338" spans="1:10" ht="14.25" customHeight="1">
      <c r="A338" s="134">
        <f t="shared" si="27"/>
        <v>330</v>
      </c>
      <c r="B338" s="126">
        <f>A$328</f>
        <v>320</v>
      </c>
      <c r="C338" s="126">
        <v>11</v>
      </c>
      <c r="D338" s="128" t="s">
        <v>639</v>
      </c>
      <c r="E338" s="128"/>
      <c r="F338" s="128" t="s">
        <v>542</v>
      </c>
      <c r="G338" s="26" t="s">
        <v>634</v>
      </c>
      <c r="J338" t="str">
        <f t="shared" si="26"/>
        <v>datatable[329] = new Array("330","320","Support Equipment","11","SEITPM.png");</v>
      </c>
    </row>
    <row r="339" spans="1:10" ht="14.25" customHeight="1">
      <c r="A339" s="134">
        <f t="shared" si="27"/>
        <v>331</v>
      </c>
      <c r="B339" s="126">
        <f>A$327</f>
        <v>319</v>
      </c>
      <c r="C339" s="126">
        <v>10</v>
      </c>
      <c r="D339" s="127" t="s">
        <v>831</v>
      </c>
      <c r="E339" s="128"/>
      <c r="F339" s="128" t="s">
        <v>540</v>
      </c>
      <c r="G339" s="26" t="s">
        <v>643</v>
      </c>
      <c r="J339" t="str">
        <f t="shared" si="26"/>
        <v>datatable[330] = new Array("331","319","Power Sources","10","Widget.png");</v>
      </c>
    </row>
    <row r="340" spans="1:10" ht="14.25" customHeight="1">
      <c r="A340" s="134">
        <f t="shared" si="27"/>
        <v>332</v>
      </c>
      <c r="B340" s="126">
        <f>A$327</f>
        <v>319</v>
      </c>
      <c r="C340" s="126">
        <v>10</v>
      </c>
      <c r="D340" s="127" t="s">
        <v>832</v>
      </c>
      <c r="E340" s="128"/>
      <c r="F340" s="128" t="s">
        <v>540</v>
      </c>
      <c r="G340" s="26" t="s">
        <v>643</v>
      </c>
      <c r="J340" t="str">
        <f t="shared" si="26"/>
        <v>datatable[331] = new Array("332","319","Power Control, Switching, and Distribution Electronics","10","Widget.png");</v>
      </c>
    </row>
    <row r="341" spans="1:10" ht="14.25" customHeight="1">
      <c r="A341" s="126">
        <f t="shared" si="27"/>
        <v>333</v>
      </c>
      <c r="B341" s="126">
        <f>A$327</f>
        <v>319</v>
      </c>
      <c r="C341" s="126">
        <v>10</v>
      </c>
      <c r="D341" s="127" t="s">
        <v>833</v>
      </c>
      <c r="E341" s="128"/>
      <c r="F341" s="128" t="s">
        <v>540</v>
      </c>
      <c r="G341" s="26" t="s">
        <v>643</v>
      </c>
      <c r="J341" t="str">
        <f t="shared" si="26"/>
        <v>datatable[332] = new Array("333","319","Power Conditioning, Conversion, and Regulation","10","Widget.png");</v>
      </c>
    </row>
    <row r="342" spans="1:10" ht="14.25" customHeight="1">
      <c r="A342" s="126">
        <f t="shared" si="27"/>
        <v>334</v>
      </c>
      <c r="B342" s="126">
        <f>A$327</f>
        <v>319</v>
      </c>
      <c r="C342" s="126">
        <v>10</v>
      </c>
      <c r="D342" s="127" t="s">
        <v>705</v>
      </c>
      <c r="E342" s="128"/>
      <c r="F342" s="128" t="s">
        <v>540</v>
      </c>
      <c r="G342" s="26" t="s">
        <v>643</v>
      </c>
      <c r="J342" t="str">
        <f t="shared" si="26"/>
        <v>datatable[333] = new Array("334","319","Harnesses and Cables","10","Widget.png");</v>
      </c>
    </row>
    <row r="343" spans="1:10" ht="14.25" customHeight="1">
      <c r="A343" s="126">
        <f t="shared" si="27"/>
        <v>335</v>
      </c>
      <c r="B343" s="126">
        <f>A$327</f>
        <v>319</v>
      </c>
      <c r="C343" s="126">
        <v>10</v>
      </c>
      <c r="D343" s="127" t="s">
        <v>834</v>
      </c>
      <c r="E343" s="128"/>
      <c r="F343" s="128" t="s">
        <v>540</v>
      </c>
      <c r="G343" s="26" t="s">
        <v>643</v>
      </c>
      <c r="J343" t="str">
        <f t="shared" si="26"/>
        <v>datatable[334] = new Array("335","319","Electrical Power Other (Specify)","10","Widget.png");</v>
      </c>
    </row>
    <row r="344" spans="1:10" ht="14.25" customHeight="1">
      <c r="A344" s="126">
        <f t="shared" si="27"/>
        <v>336</v>
      </c>
      <c r="B344" s="126">
        <f>A$296</f>
        <v>288</v>
      </c>
      <c r="C344" s="126">
        <v>9</v>
      </c>
      <c r="D344" s="127" t="s">
        <v>835</v>
      </c>
      <c r="E344" s="128"/>
      <c r="F344" s="127" t="s">
        <v>538</v>
      </c>
      <c r="G344" s="26" t="s">
        <v>643</v>
      </c>
      <c r="J344" t="str">
        <f t="shared" si="26"/>
        <v>datatable[335] = new Array("336","288","Payload 1 Pointing, Command, and Control Interface","9","Widget.png");</v>
      </c>
    </row>
    <row r="345" spans="1:10" ht="14.25" customHeight="1">
      <c r="A345" s="126">
        <f t="shared" si="27"/>
        <v>337</v>
      </c>
      <c r="B345" s="126">
        <f>A344</f>
        <v>336</v>
      </c>
      <c r="C345" s="126">
        <v>10</v>
      </c>
      <c r="D345" s="128" t="s">
        <v>836</v>
      </c>
      <c r="E345" s="128"/>
      <c r="F345" s="128" t="s">
        <v>540</v>
      </c>
      <c r="G345" s="26" t="s">
        <v>634</v>
      </c>
      <c r="J345" t="str">
        <f t="shared" si="26"/>
        <v>datatable[336] = new Array("337","336","Subsystem SEITPM","10","SEITPM.png");</v>
      </c>
    </row>
    <row r="346" spans="1:10" ht="14.25" customHeight="1">
      <c r="A346" s="126">
        <f t="shared" si="27"/>
        <v>338</v>
      </c>
      <c r="B346" s="126">
        <f>A$340</f>
        <v>332</v>
      </c>
      <c r="C346" s="126">
        <v>11</v>
      </c>
      <c r="D346" s="128" t="s">
        <v>635</v>
      </c>
      <c r="E346" s="128"/>
      <c r="F346" s="128" t="s">
        <v>542</v>
      </c>
      <c r="G346" s="26" t="s">
        <v>634</v>
      </c>
      <c r="J346" t="str">
        <f t="shared" si="26"/>
        <v>datatable[337] = new Array("338","332","Project Management","11","SEITPM.png");</v>
      </c>
    </row>
    <row r="347" spans="1:10" ht="14.25" customHeight="1">
      <c r="A347" s="126">
        <f t="shared" si="27"/>
        <v>339</v>
      </c>
      <c r="B347" s="126">
        <f>A$340</f>
        <v>332</v>
      </c>
      <c r="C347" s="126">
        <v>11</v>
      </c>
      <c r="D347" s="128" t="s">
        <v>636</v>
      </c>
      <c r="E347" s="128"/>
      <c r="F347" s="128" t="s">
        <v>542</v>
      </c>
      <c r="G347" s="26" t="s">
        <v>634</v>
      </c>
      <c r="J347" t="str">
        <f t="shared" si="26"/>
        <v>datatable[338] = new Array("339","332","Systems Engineering","11","SEITPM.png");</v>
      </c>
    </row>
    <row r="348" spans="1:10" ht="14.25" customHeight="1">
      <c r="A348" s="126">
        <f t="shared" si="27"/>
        <v>340</v>
      </c>
      <c r="B348" s="126">
        <f>A$340</f>
        <v>332</v>
      </c>
      <c r="C348" s="126">
        <v>11</v>
      </c>
      <c r="D348" s="128" t="s">
        <v>637</v>
      </c>
      <c r="E348" s="128"/>
      <c r="F348" s="128" t="s">
        <v>542</v>
      </c>
      <c r="G348" s="26" t="s">
        <v>634</v>
      </c>
      <c r="J348" t="str">
        <f t="shared" si="26"/>
        <v>datatable[339] = new Array("340","332","Mission Assurance","11","SEITPM.png");</v>
      </c>
    </row>
    <row r="349" spans="1:10" ht="14.25" customHeight="1">
      <c r="A349" s="126">
        <f t="shared" si="27"/>
        <v>341</v>
      </c>
      <c r="B349" s="126">
        <f>A$340</f>
        <v>332</v>
      </c>
      <c r="C349" s="126">
        <v>11</v>
      </c>
      <c r="D349" s="128" t="s">
        <v>638</v>
      </c>
      <c r="E349" s="128"/>
      <c r="F349" s="128" t="s">
        <v>542</v>
      </c>
      <c r="G349" s="26" t="s">
        <v>634</v>
      </c>
      <c r="J349" t="str">
        <f t="shared" si="26"/>
        <v>datatable[340] = new Array("341","332","Assembly, Integration and Testing","11","SEITPM.png");</v>
      </c>
    </row>
    <row r="350" spans="1:10" ht="14.25" customHeight="1">
      <c r="A350" s="126">
        <f t="shared" si="27"/>
        <v>342</v>
      </c>
      <c r="B350" s="126">
        <f>A$340</f>
        <v>332</v>
      </c>
      <c r="C350" s="126">
        <v>11</v>
      </c>
      <c r="D350" s="128" t="s">
        <v>639</v>
      </c>
      <c r="E350" s="128"/>
      <c r="F350" s="128" t="s">
        <v>542</v>
      </c>
      <c r="G350" s="26" t="s">
        <v>634</v>
      </c>
      <c r="J350" t="str">
        <f t="shared" si="26"/>
        <v>datatable[341] = new Array("342","332","Support Equipment","11","SEITPM.png");</v>
      </c>
    </row>
    <row r="351" spans="1:10" ht="14.25" customHeight="1">
      <c r="A351" s="126">
        <f t="shared" si="27"/>
        <v>343</v>
      </c>
      <c r="B351" s="126">
        <f t="shared" ref="B351:B359" si="28">A$339</f>
        <v>331</v>
      </c>
      <c r="C351" s="126">
        <v>10</v>
      </c>
      <c r="D351" s="127" t="s">
        <v>837</v>
      </c>
      <c r="E351" s="128"/>
      <c r="F351" s="128" t="s">
        <v>540</v>
      </c>
      <c r="G351" s="26" t="s">
        <v>643</v>
      </c>
      <c r="J351" t="str">
        <f t="shared" si="26"/>
        <v>datatable[342] = new Array("343","331","Computers and Processors","10","Widget.png");</v>
      </c>
    </row>
    <row r="352" spans="1:10" ht="14.25" customHeight="1">
      <c r="A352" s="126">
        <f t="shared" si="27"/>
        <v>344</v>
      </c>
      <c r="B352" s="126">
        <f t="shared" si="28"/>
        <v>331</v>
      </c>
      <c r="C352" s="126">
        <v>10</v>
      </c>
      <c r="D352" s="127" t="s">
        <v>838</v>
      </c>
      <c r="E352" s="128"/>
      <c r="F352" s="128" t="s">
        <v>540</v>
      </c>
      <c r="G352" s="26" t="s">
        <v>643</v>
      </c>
      <c r="J352" t="str">
        <f t="shared" si="26"/>
        <v>datatable[343] = new Array("344","331","Command/Telemetric Units","10","Widget.png");</v>
      </c>
    </row>
    <row r="353" spans="1:10" ht="14.25" customHeight="1">
      <c r="A353" s="126">
        <f t="shared" si="27"/>
        <v>345</v>
      </c>
      <c r="B353" s="126">
        <f t="shared" si="28"/>
        <v>331</v>
      </c>
      <c r="C353" s="126">
        <v>10</v>
      </c>
      <c r="D353" s="127" t="s">
        <v>730</v>
      </c>
      <c r="E353" s="128"/>
      <c r="F353" s="128" t="s">
        <v>540</v>
      </c>
      <c r="G353" s="26" t="s">
        <v>643</v>
      </c>
      <c r="J353" t="str">
        <f t="shared" si="26"/>
        <v>datatable[344] = new Array("345","331","Control Electronics","10","Widget.png");</v>
      </c>
    </row>
    <row r="354" spans="1:10" ht="14.25" customHeight="1">
      <c r="A354" s="126">
        <f t="shared" si="27"/>
        <v>346</v>
      </c>
      <c r="B354" s="126">
        <f t="shared" si="28"/>
        <v>331</v>
      </c>
      <c r="C354" s="126">
        <v>10</v>
      </c>
      <c r="D354" s="127" t="s">
        <v>839</v>
      </c>
      <c r="E354" s="128"/>
      <c r="F354" s="128" t="s">
        <v>540</v>
      </c>
      <c r="G354" s="26" t="s">
        <v>643</v>
      </c>
      <c r="J354" t="str">
        <f t="shared" si="26"/>
        <v>datatable[345] = new Array("346","331","Pointing Sensors","10","Widget.png");</v>
      </c>
    </row>
    <row r="355" spans="1:10" ht="14.25" customHeight="1">
      <c r="A355" s="126">
        <f t="shared" si="27"/>
        <v>347</v>
      </c>
      <c r="B355" s="126">
        <f t="shared" si="28"/>
        <v>331</v>
      </c>
      <c r="C355" s="126">
        <v>10</v>
      </c>
      <c r="D355" s="127" t="s">
        <v>840</v>
      </c>
      <c r="E355" s="128"/>
      <c r="F355" s="128" t="s">
        <v>540</v>
      </c>
      <c r="G355" s="26" t="s">
        <v>643</v>
      </c>
      <c r="J355" t="str">
        <f t="shared" si="26"/>
        <v>datatable[346] = new Array("347","331","Payload Positioners","10","Widget.png");</v>
      </c>
    </row>
    <row r="356" spans="1:10" ht="14.25" customHeight="1">
      <c r="A356" s="126">
        <f t="shared" si="27"/>
        <v>348</v>
      </c>
      <c r="B356" s="126">
        <f t="shared" si="28"/>
        <v>331</v>
      </c>
      <c r="C356" s="126">
        <v>10</v>
      </c>
      <c r="D356" s="127" t="s">
        <v>841</v>
      </c>
      <c r="E356" s="128"/>
      <c r="F356" s="128" t="s">
        <v>540</v>
      </c>
      <c r="G356" s="26" t="s">
        <v>643</v>
      </c>
      <c r="J356" t="str">
        <f t="shared" si="26"/>
        <v>datatable[347] = new Array("348","331","Security, Encryption, and Decryption Devices","10","Widget.png");</v>
      </c>
    </row>
    <row r="357" spans="1:10" ht="14.25" customHeight="1">
      <c r="A357" s="126">
        <f t="shared" si="27"/>
        <v>349</v>
      </c>
      <c r="B357" s="126">
        <f t="shared" si="28"/>
        <v>331</v>
      </c>
      <c r="C357" s="126">
        <v>10</v>
      </c>
      <c r="D357" s="127" t="s">
        <v>842</v>
      </c>
      <c r="E357" s="128"/>
      <c r="F357" s="128" t="s">
        <v>540</v>
      </c>
      <c r="G357" s="26" t="s">
        <v>643</v>
      </c>
      <c r="J357" t="str">
        <f t="shared" si="26"/>
        <v>datatable[348] = new Array("349","331","Data Storage, handling, and Interface","10","Widget.png");</v>
      </c>
    </row>
    <row r="358" spans="1:10" ht="14.25" customHeight="1">
      <c r="A358" s="126">
        <f t="shared" si="27"/>
        <v>350</v>
      </c>
      <c r="B358" s="126">
        <f t="shared" si="28"/>
        <v>331</v>
      </c>
      <c r="C358" s="126">
        <v>10</v>
      </c>
      <c r="D358" s="127" t="s">
        <v>843</v>
      </c>
      <c r="E358" s="128"/>
      <c r="F358" s="128" t="s">
        <v>540</v>
      </c>
      <c r="G358" s="26" t="s">
        <v>643</v>
      </c>
      <c r="J358" t="str">
        <f t="shared" si="26"/>
        <v>datatable[349] = new Array("350","331","Multifunctional Digital Electronic Boxes","10","Widget.png");</v>
      </c>
    </row>
    <row r="359" spans="1:10" ht="14.25" customHeight="1">
      <c r="A359" s="126">
        <f t="shared" si="27"/>
        <v>351</v>
      </c>
      <c r="B359" s="126">
        <f t="shared" si="28"/>
        <v>331</v>
      </c>
      <c r="C359" s="126">
        <v>10</v>
      </c>
      <c r="D359" s="127" t="s">
        <v>844</v>
      </c>
      <c r="E359" s="128"/>
      <c r="F359" s="128" t="s">
        <v>540</v>
      </c>
      <c r="G359" s="26" t="s">
        <v>643</v>
      </c>
      <c r="J359" t="str">
        <f t="shared" si="26"/>
        <v>datatable[350] = new Array("351","331","Pointing, Command, and Control Interface Other (Specify)","10","Widget.png");</v>
      </c>
    </row>
    <row r="360" spans="1:10" ht="14.25" customHeight="1">
      <c r="A360" s="126">
        <f t="shared" si="27"/>
        <v>352</v>
      </c>
      <c r="B360" s="126">
        <f>A$296</f>
        <v>288</v>
      </c>
      <c r="C360" s="126">
        <v>9</v>
      </c>
      <c r="D360" s="127" t="s">
        <v>845</v>
      </c>
      <c r="E360" s="128"/>
      <c r="F360" s="127" t="s">
        <v>538</v>
      </c>
      <c r="G360" s="26" t="s">
        <v>643</v>
      </c>
      <c r="J360" t="str">
        <f t="shared" si="26"/>
        <v>datatable[351] = new Array("352","288","Payload Signal Electronics","9","Widget.png");</v>
      </c>
    </row>
    <row r="361" spans="1:10" ht="14.25" customHeight="1">
      <c r="A361" s="126">
        <f t="shared" si="27"/>
        <v>353</v>
      </c>
      <c r="B361" s="126">
        <f>A$355</f>
        <v>347</v>
      </c>
      <c r="C361" s="126">
        <v>10</v>
      </c>
      <c r="D361" s="128" t="s">
        <v>836</v>
      </c>
      <c r="E361" s="128"/>
      <c r="F361" s="128" t="s">
        <v>540</v>
      </c>
      <c r="G361" s="26" t="s">
        <v>634</v>
      </c>
      <c r="J361" t="str">
        <f t="shared" si="26"/>
        <v>datatable[352] = new Array("353","347","Subsystem SEITPM","10","SEITPM.png");</v>
      </c>
    </row>
    <row r="362" spans="1:10" ht="14.25" customHeight="1">
      <c r="A362" s="126">
        <f t="shared" si="27"/>
        <v>354</v>
      </c>
      <c r="B362" s="126">
        <f>A$356</f>
        <v>348</v>
      </c>
      <c r="C362" s="126">
        <v>11</v>
      </c>
      <c r="D362" s="128" t="s">
        <v>635</v>
      </c>
      <c r="E362" s="128"/>
      <c r="F362" s="128" t="s">
        <v>542</v>
      </c>
      <c r="G362" s="26" t="s">
        <v>634</v>
      </c>
      <c r="J362" t="str">
        <f t="shared" si="26"/>
        <v>datatable[353] = new Array("354","348","Project Management","11","SEITPM.png");</v>
      </c>
    </row>
    <row r="363" spans="1:10" ht="14.25" customHeight="1">
      <c r="A363" s="126">
        <f t="shared" si="27"/>
        <v>355</v>
      </c>
      <c r="B363" s="126">
        <f>A$356</f>
        <v>348</v>
      </c>
      <c r="C363" s="126">
        <v>11</v>
      </c>
      <c r="D363" s="128" t="s">
        <v>636</v>
      </c>
      <c r="E363" s="128"/>
      <c r="F363" s="128" t="s">
        <v>542</v>
      </c>
      <c r="G363" s="26" t="s">
        <v>634</v>
      </c>
      <c r="J363" t="str">
        <f t="shared" si="26"/>
        <v>datatable[354] = new Array("355","348","Systems Engineering","11","SEITPM.png");</v>
      </c>
    </row>
    <row r="364" spans="1:10" ht="14.25" customHeight="1">
      <c r="A364" s="126">
        <f t="shared" si="27"/>
        <v>356</v>
      </c>
      <c r="B364" s="126">
        <f>A$356</f>
        <v>348</v>
      </c>
      <c r="C364" s="126">
        <v>11</v>
      </c>
      <c r="D364" s="128" t="s">
        <v>637</v>
      </c>
      <c r="E364" s="128"/>
      <c r="F364" s="128" t="s">
        <v>542</v>
      </c>
      <c r="G364" s="26" t="s">
        <v>634</v>
      </c>
      <c r="J364" t="str">
        <f t="shared" si="26"/>
        <v>datatable[355] = new Array("356","348","Mission Assurance","11","SEITPM.png");</v>
      </c>
    </row>
    <row r="365" spans="1:10" ht="14.25" customHeight="1">
      <c r="A365" s="126">
        <f t="shared" si="27"/>
        <v>357</v>
      </c>
      <c r="B365" s="126">
        <f>A$356</f>
        <v>348</v>
      </c>
      <c r="C365" s="126">
        <v>11</v>
      </c>
      <c r="D365" s="128" t="s">
        <v>638</v>
      </c>
      <c r="E365" s="128"/>
      <c r="F365" s="128" t="s">
        <v>542</v>
      </c>
      <c r="G365" s="26" t="s">
        <v>634</v>
      </c>
      <c r="J365" t="str">
        <f t="shared" si="26"/>
        <v>datatable[356] = new Array("357","348","Assembly, Integration and Testing","11","SEITPM.png");</v>
      </c>
    </row>
    <row r="366" spans="1:10" ht="14.25" customHeight="1">
      <c r="A366" s="126">
        <f t="shared" si="27"/>
        <v>358</v>
      </c>
      <c r="B366" s="126">
        <f>A$356</f>
        <v>348</v>
      </c>
      <c r="C366" s="126">
        <v>11</v>
      </c>
      <c r="D366" s="128" t="s">
        <v>639</v>
      </c>
      <c r="E366" s="128"/>
      <c r="F366" s="128" t="s">
        <v>542</v>
      </c>
      <c r="G366" s="26" t="s">
        <v>634</v>
      </c>
      <c r="J366" t="str">
        <f t="shared" si="26"/>
        <v>datatable[357] = new Array("358","348","Support Equipment","11","SEITPM.png");</v>
      </c>
    </row>
    <row r="367" spans="1:10" ht="14.25" customHeight="1">
      <c r="A367" s="126">
        <f t="shared" si="27"/>
        <v>359</v>
      </c>
      <c r="B367" s="126">
        <f t="shared" ref="B367:B376" si="29">A$355</f>
        <v>347</v>
      </c>
      <c r="C367" s="126">
        <v>10</v>
      </c>
      <c r="D367" s="127" t="s">
        <v>846</v>
      </c>
      <c r="E367" s="128"/>
      <c r="F367" s="128" t="s">
        <v>540</v>
      </c>
      <c r="G367" s="26" t="s">
        <v>643</v>
      </c>
      <c r="J367" t="str">
        <f t="shared" si="26"/>
        <v>datatable[358] = new Array("359","347","Passive Signal Flow Control","10","Widget.png");</v>
      </c>
    </row>
    <row r="368" spans="1:10" ht="14.25" customHeight="1">
      <c r="A368" s="126">
        <f t="shared" si="27"/>
        <v>360</v>
      </c>
      <c r="B368" s="126">
        <f t="shared" si="29"/>
        <v>347</v>
      </c>
      <c r="C368" s="126">
        <v>10</v>
      </c>
      <c r="D368" s="127" t="s">
        <v>847</v>
      </c>
      <c r="E368" s="128"/>
      <c r="F368" s="128" t="s">
        <v>540</v>
      </c>
      <c r="G368" s="26" t="s">
        <v>643</v>
      </c>
      <c r="J368" t="str">
        <f t="shared" si="26"/>
        <v>datatable[359] = new Array("360","347","Transmitter/Receiver/Transceiver/Transponder","10","Widget.png");</v>
      </c>
    </row>
    <row r="369" spans="1:10" ht="14.25" customHeight="1">
      <c r="A369" s="126">
        <f t="shared" si="27"/>
        <v>361</v>
      </c>
      <c r="B369" s="126">
        <f t="shared" si="29"/>
        <v>347</v>
      </c>
      <c r="C369" s="126">
        <v>10</v>
      </c>
      <c r="D369" s="127" t="s">
        <v>848</v>
      </c>
      <c r="E369" s="128"/>
      <c r="F369" s="128" t="s">
        <v>540</v>
      </c>
      <c r="G369" s="26" t="s">
        <v>643</v>
      </c>
      <c r="J369" t="str">
        <f t="shared" si="26"/>
        <v>datatable[360] = new Array("361","347","Modulators/Demodulators/Modems","10","Widget.png");</v>
      </c>
    </row>
    <row r="370" spans="1:10" ht="14.25" customHeight="1">
      <c r="A370" s="126">
        <f t="shared" si="27"/>
        <v>362</v>
      </c>
      <c r="B370" s="126">
        <f t="shared" si="29"/>
        <v>347</v>
      </c>
      <c r="C370" s="126">
        <v>10</v>
      </c>
      <c r="D370" s="127" t="s">
        <v>849</v>
      </c>
      <c r="E370" s="128"/>
      <c r="F370" s="128" t="s">
        <v>540</v>
      </c>
      <c r="G370" s="26" t="s">
        <v>643</v>
      </c>
      <c r="J370" t="str">
        <f t="shared" si="26"/>
        <v>datatable[361] = new Array("362","347","Multiplexers/Demultiplexers","10","Widget.png");</v>
      </c>
    </row>
    <row r="371" spans="1:10" ht="14.25" customHeight="1">
      <c r="A371" s="126">
        <f t="shared" si="27"/>
        <v>363</v>
      </c>
      <c r="B371" s="126">
        <f t="shared" si="29"/>
        <v>347</v>
      </c>
      <c r="C371" s="126">
        <v>10</v>
      </c>
      <c r="D371" s="127" t="s">
        <v>780</v>
      </c>
      <c r="E371" s="128"/>
      <c r="F371" s="128" t="s">
        <v>540</v>
      </c>
      <c r="G371" s="26" t="s">
        <v>643</v>
      </c>
      <c r="J371" t="str">
        <f t="shared" si="26"/>
        <v>datatable[362] = new Array("363","347","Amplifiers","10","Widget.png");</v>
      </c>
    </row>
    <row r="372" spans="1:10" ht="14.25" customHeight="1">
      <c r="A372" s="126">
        <f t="shared" si="27"/>
        <v>364</v>
      </c>
      <c r="B372" s="126">
        <f t="shared" si="29"/>
        <v>347</v>
      </c>
      <c r="C372" s="126">
        <v>10</v>
      </c>
      <c r="D372" s="127" t="s">
        <v>850</v>
      </c>
      <c r="E372" s="128"/>
      <c r="F372" s="128" t="s">
        <v>540</v>
      </c>
      <c r="G372" s="26" t="s">
        <v>643</v>
      </c>
      <c r="J372" t="str">
        <f t="shared" si="26"/>
        <v>datatable[363] = new Array("364","347","Frequency Upconverters/Downconverters","10","Widget.png");</v>
      </c>
    </row>
    <row r="373" spans="1:10" ht="14.25" customHeight="1">
      <c r="A373" s="126">
        <f t="shared" si="27"/>
        <v>365</v>
      </c>
      <c r="B373" s="126">
        <f t="shared" si="29"/>
        <v>347</v>
      </c>
      <c r="C373" s="126">
        <v>10</v>
      </c>
      <c r="D373" s="127" t="s">
        <v>851</v>
      </c>
      <c r="E373" s="128"/>
      <c r="F373" s="128" t="s">
        <v>540</v>
      </c>
      <c r="G373" s="26" t="s">
        <v>643</v>
      </c>
      <c r="J373" t="str">
        <f t="shared" si="26"/>
        <v>datatable[364] = new Array("365","347","Frequency and Timing","10","Widget.png");</v>
      </c>
    </row>
    <row r="374" spans="1:10" ht="14.25" customHeight="1">
      <c r="A374" s="126">
        <f t="shared" si="27"/>
        <v>366</v>
      </c>
      <c r="B374" s="126">
        <f t="shared" si="29"/>
        <v>347</v>
      </c>
      <c r="C374" s="126">
        <v>10</v>
      </c>
      <c r="D374" s="127" t="s">
        <v>802</v>
      </c>
      <c r="E374" s="128"/>
      <c r="F374" s="128" t="s">
        <v>540</v>
      </c>
      <c r="G374" s="26" t="s">
        <v>643</v>
      </c>
      <c r="J374" t="str">
        <f t="shared" si="26"/>
        <v>datatable[365] = new Array("366","347","Signal Conditioners","10","Widget.png");</v>
      </c>
    </row>
    <row r="375" spans="1:10" ht="14.25" customHeight="1">
      <c r="A375" s="126">
        <f t="shared" si="27"/>
        <v>367</v>
      </c>
      <c r="B375" s="126">
        <f t="shared" si="29"/>
        <v>347</v>
      </c>
      <c r="C375" s="126">
        <v>10</v>
      </c>
      <c r="D375" s="127" t="s">
        <v>843</v>
      </c>
      <c r="E375" s="128"/>
      <c r="F375" s="128" t="s">
        <v>540</v>
      </c>
      <c r="G375" s="26" t="s">
        <v>643</v>
      </c>
      <c r="J375" t="str">
        <f t="shared" si="26"/>
        <v>datatable[366] = new Array("367","347","Multifunctional Digital Electronic Boxes","10","Widget.png");</v>
      </c>
    </row>
    <row r="376" spans="1:10" ht="14.25" customHeight="1">
      <c r="A376" s="126">
        <f t="shared" si="27"/>
        <v>368</v>
      </c>
      <c r="B376" s="126">
        <f t="shared" si="29"/>
        <v>347</v>
      </c>
      <c r="C376" s="126">
        <v>10</v>
      </c>
      <c r="D376" s="127" t="s">
        <v>852</v>
      </c>
      <c r="E376" s="128"/>
      <c r="F376" s="128" t="s">
        <v>540</v>
      </c>
      <c r="G376" s="26" t="s">
        <v>643</v>
      </c>
      <c r="J376" t="str">
        <f t="shared" si="26"/>
        <v>datatable[367] = new Array("368","347","Signal Electronics Other (Specify)","10","Widget.png");</v>
      </c>
    </row>
    <row r="377" spans="1:10" ht="14.25" customHeight="1">
      <c r="A377" s="126">
        <f t="shared" si="27"/>
        <v>369</v>
      </c>
      <c r="B377" s="126">
        <f>A$296</f>
        <v>288</v>
      </c>
      <c r="C377" s="126">
        <v>9</v>
      </c>
      <c r="D377" s="127" t="s">
        <v>853</v>
      </c>
      <c r="E377" s="128"/>
      <c r="F377" s="127" t="s">
        <v>538</v>
      </c>
      <c r="G377" s="26" t="s">
        <v>643</v>
      </c>
      <c r="J377" t="str">
        <f t="shared" si="26"/>
        <v>datatable[368] = new Array("369","288","Payload 1 Optical Assembly","9","Widget.png");</v>
      </c>
    </row>
    <row r="378" spans="1:10" ht="14.25" customHeight="1">
      <c r="A378" s="126">
        <f t="shared" si="27"/>
        <v>370</v>
      </c>
      <c r="B378" s="126">
        <f>A$372</f>
        <v>364</v>
      </c>
      <c r="C378" s="126">
        <v>10</v>
      </c>
      <c r="D378" s="128" t="s">
        <v>836</v>
      </c>
      <c r="E378" s="128"/>
      <c r="F378" s="128" t="s">
        <v>540</v>
      </c>
      <c r="G378" s="26" t="s">
        <v>634</v>
      </c>
      <c r="J378" t="str">
        <f t="shared" si="26"/>
        <v>datatable[369] = new Array("370","364","Subsystem SEITPM","10","SEITPM.png");</v>
      </c>
    </row>
    <row r="379" spans="1:10" ht="14.25" customHeight="1">
      <c r="A379" s="126">
        <f t="shared" si="27"/>
        <v>371</v>
      </c>
      <c r="B379" s="126">
        <f>A$373</f>
        <v>365</v>
      </c>
      <c r="C379" s="126">
        <v>11</v>
      </c>
      <c r="D379" s="128" t="s">
        <v>635</v>
      </c>
      <c r="E379" s="128"/>
      <c r="F379" s="128" t="s">
        <v>542</v>
      </c>
      <c r="G379" s="26" t="s">
        <v>634</v>
      </c>
      <c r="J379" t="str">
        <f t="shared" si="26"/>
        <v>datatable[370] = new Array("371","365","Project Management","11","SEITPM.png");</v>
      </c>
    </row>
    <row r="380" spans="1:10" ht="14.25" customHeight="1">
      <c r="A380" s="126">
        <f t="shared" si="27"/>
        <v>372</v>
      </c>
      <c r="B380" s="126">
        <f>A$373</f>
        <v>365</v>
      </c>
      <c r="C380" s="126">
        <v>11</v>
      </c>
      <c r="D380" s="128" t="s">
        <v>636</v>
      </c>
      <c r="E380" s="128"/>
      <c r="F380" s="128" t="s">
        <v>542</v>
      </c>
      <c r="G380" s="26" t="s">
        <v>634</v>
      </c>
      <c r="J380" t="str">
        <f t="shared" si="26"/>
        <v>datatable[371] = new Array("372","365","Systems Engineering","11","SEITPM.png");</v>
      </c>
    </row>
    <row r="381" spans="1:10" ht="14.25" customHeight="1">
      <c r="A381" s="126">
        <f t="shared" si="27"/>
        <v>373</v>
      </c>
      <c r="B381" s="126">
        <f>A$373</f>
        <v>365</v>
      </c>
      <c r="C381" s="126">
        <v>11</v>
      </c>
      <c r="D381" s="128" t="s">
        <v>637</v>
      </c>
      <c r="E381" s="128"/>
      <c r="F381" s="128" t="s">
        <v>542</v>
      </c>
      <c r="G381" s="26" t="s">
        <v>634</v>
      </c>
      <c r="J381" t="str">
        <f t="shared" si="26"/>
        <v>datatable[372] = new Array("373","365","Mission Assurance","11","SEITPM.png");</v>
      </c>
    </row>
    <row r="382" spans="1:10" ht="14.25" customHeight="1">
      <c r="A382" s="126">
        <f t="shared" si="27"/>
        <v>374</v>
      </c>
      <c r="B382" s="126">
        <f>A$373</f>
        <v>365</v>
      </c>
      <c r="C382" s="126">
        <v>11</v>
      </c>
      <c r="D382" s="128" t="s">
        <v>638</v>
      </c>
      <c r="E382" s="128"/>
      <c r="F382" s="128" t="s">
        <v>542</v>
      </c>
      <c r="G382" s="26" t="s">
        <v>634</v>
      </c>
      <c r="J382" t="str">
        <f t="shared" si="26"/>
        <v>datatable[373] = new Array("374","365","Assembly, Integration and Testing","11","SEITPM.png");</v>
      </c>
    </row>
    <row r="383" spans="1:10" ht="14.25" customHeight="1">
      <c r="A383" s="126">
        <f t="shared" si="27"/>
        <v>375</v>
      </c>
      <c r="B383" s="126">
        <f>A$373</f>
        <v>365</v>
      </c>
      <c r="C383" s="126">
        <v>11</v>
      </c>
      <c r="D383" s="128" t="s">
        <v>639</v>
      </c>
      <c r="E383" s="128"/>
      <c r="F383" s="128" t="s">
        <v>542</v>
      </c>
      <c r="G383" s="26" t="s">
        <v>634</v>
      </c>
      <c r="J383" t="str">
        <f t="shared" si="26"/>
        <v>datatable[374] = new Array("375","365","Support Equipment","11","SEITPM.png");</v>
      </c>
    </row>
    <row r="384" spans="1:10" ht="14.25" customHeight="1">
      <c r="A384" s="126">
        <f t="shared" si="27"/>
        <v>376</v>
      </c>
      <c r="B384" s="126">
        <f t="shared" ref="B384:B390" si="30">A$372</f>
        <v>364</v>
      </c>
      <c r="C384" s="126">
        <v>10</v>
      </c>
      <c r="D384" s="127" t="s">
        <v>854</v>
      </c>
      <c r="E384" s="128"/>
      <c r="F384" s="128" t="s">
        <v>540</v>
      </c>
      <c r="G384" s="26" t="s">
        <v>643</v>
      </c>
      <c r="J384" t="str">
        <f t="shared" si="26"/>
        <v>datatable[375] = new Array("376","364","Structure/Outerbarrel/Cover","10","Widget.png");</v>
      </c>
    </row>
    <row r="385" spans="1:10" ht="14.25" customHeight="1">
      <c r="A385" s="126">
        <f t="shared" si="27"/>
        <v>377</v>
      </c>
      <c r="B385" s="126">
        <f t="shared" si="30"/>
        <v>364</v>
      </c>
      <c r="C385" s="126">
        <v>10</v>
      </c>
      <c r="D385" s="127" t="s">
        <v>855</v>
      </c>
      <c r="E385" s="128"/>
      <c r="F385" s="128" t="s">
        <v>540</v>
      </c>
      <c r="G385" s="26" t="s">
        <v>643</v>
      </c>
      <c r="J385" t="str">
        <f t="shared" si="26"/>
        <v>datatable[376] = new Array("377","364","Mirrors/Optics","10","Widget.png");</v>
      </c>
    </row>
    <row r="386" spans="1:10" ht="14.25" customHeight="1">
      <c r="A386" s="126">
        <f t="shared" si="27"/>
        <v>378</v>
      </c>
      <c r="B386" s="126">
        <f t="shared" si="30"/>
        <v>364</v>
      </c>
      <c r="C386" s="126">
        <v>10</v>
      </c>
      <c r="D386" s="127" t="s">
        <v>856</v>
      </c>
      <c r="E386" s="128"/>
      <c r="F386" s="128" t="s">
        <v>540</v>
      </c>
      <c r="G386" s="26" t="s">
        <v>643</v>
      </c>
      <c r="J386" t="str">
        <f t="shared" si="26"/>
        <v>datatable[377] = new Array("378","364","Aft Optics Assembly","10","Widget.png");</v>
      </c>
    </row>
    <row r="387" spans="1:10" ht="14.25" customHeight="1">
      <c r="A387" s="126">
        <f t="shared" si="27"/>
        <v>379</v>
      </c>
      <c r="B387" s="126">
        <f t="shared" si="30"/>
        <v>364</v>
      </c>
      <c r="C387" s="126">
        <v>10</v>
      </c>
      <c r="D387" s="127" t="s">
        <v>857</v>
      </c>
      <c r="E387" s="128"/>
      <c r="F387" s="128" t="s">
        <v>540</v>
      </c>
      <c r="G387" s="26" t="s">
        <v>643</v>
      </c>
      <c r="J387" t="str">
        <f t="shared" si="26"/>
        <v>datatable[378] = new Array("379","364","Alignment and Calibration","10","Widget.png");</v>
      </c>
    </row>
    <row r="388" spans="1:10" ht="14.25" customHeight="1">
      <c r="A388" s="126">
        <f t="shared" si="27"/>
        <v>380</v>
      </c>
      <c r="B388" s="126">
        <f t="shared" si="30"/>
        <v>364</v>
      </c>
      <c r="C388" s="126">
        <v>10</v>
      </c>
      <c r="D388" s="127" t="s">
        <v>858</v>
      </c>
      <c r="E388" s="128"/>
      <c r="F388" s="128" t="s">
        <v>540</v>
      </c>
      <c r="G388" s="26" t="s">
        <v>643</v>
      </c>
      <c r="J388" t="str">
        <f t="shared" si="26"/>
        <v>datatable[379] = new Array("380","364","Thermal","10","Widget.png");</v>
      </c>
    </row>
    <row r="389" spans="1:10" ht="14.25" customHeight="1">
      <c r="A389" s="126">
        <f>A381+1</f>
        <v>374</v>
      </c>
      <c r="B389" s="126">
        <f t="shared" si="30"/>
        <v>364</v>
      </c>
      <c r="C389" s="126">
        <v>10</v>
      </c>
      <c r="D389" s="127" t="s">
        <v>730</v>
      </c>
      <c r="E389" s="128"/>
      <c r="F389" s="128" t="s">
        <v>540</v>
      </c>
      <c r="G389" s="26" t="s">
        <v>643</v>
      </c>
      <c r="J389" t="str">
        <f t="shared" si="26"/>
        <v>datatable[373] = new Array("374","364","Control Electronics","10","Widget.png");</v>
      </c>
    </row>
    <row r="390" spans="1:10" ht="14.25" customHeight="1">
      <c r="A390" s="126">
        <f t="shared" ref="A390:A421" si="31">A389+1</f>
        <v>375</v>
      </c>
      <c r="B390" s="126">
        <f t="shared" si="30"/>
        <v>364</v>
      </c>
      <c r="C390" s="126">
        <v>10</v>
      </c>
      <c r="D390" s="127" t="s">
        <v>859</v>
      </c>
      <c r="E390" s="128"/>
      <c r="F390" s="128" t="s">
        <v>540</v>
      </c>
      <c r="G390" s="26" t="s">
        <v>643</v>
      </c>
      <c r="J390" t="str">
        <f t="shared" si="26"/>
        <v>datatable[374] = new Array("375","364","Optical Assembly Other","10","Widget.png");</v>
      </c>
    </row>
    <row r="391" spans="1:10" ht="14.25" customHeight="1">
      <c r="A391" s="126">
        <f t="shared" si="31"/>
        <v>376</v>
      </c>
      <c r="B391" s="126">
        <f>A$296</f>
        <v>288</v>
      </c>
      <c r="C391" s="126">
        <v>9</v>
      </c>
      <c r="D391" s="127" t="s">
        <v>860</v>
      </c>
      <c r="E391" s="128"/>
      <c r="F391" s="127" t="s">
        <v>538</v>
      </c>
      <c r="G391" s="26" t="s">
        <v>643</v>
      </c>
      <c r="J391" t="str">
        <f t="shared" si="26"/>
        <v>datatable[375] = new Array("376","288","Payload 1 Sensor","9","Widget.png");</v>
      </c>
    </row>
    <row r="392" spans="1:10" ht="14.25" customHeight="1">
      <c r="A392" s="126">
        <f t="shared" si="31"/>
        <v>377</v>
      </c>
      <c r="B392" s="126">
        <f>A$386</f>
        <v>378</v>
      </c>
      <c r="C392" s="126">
        <v>10</v>
      </c>
      <c r="D392" s="128" t="s">
        <v>861</v>
      </c>
      <c r="E392" s="128"/>
      <c r="F392" s="128" t="s">
        <v>540</v>
      </c>
      <c r="G392" s="26" t="s">
        <v>634</v>
      </c>
      <c r="J392" t="str">
        <f t="shared" si="26"/>
        <v>datatable[376] = new Array("377","378","Sensor SEITPM","10","SEITPM.png");</v>
      </c>
    </row>
    <row r="393" spans="1:10" ht="14.25" customHeight="1">
      <c r="A393" s="126">
        <f t="shared" si="31"/>
        <v>378</v>
      </c>
      <c r="B393" s="126">
        <f>A$387</f>
        <v>379</v>
      </c>
      <c r="C393" s="126">
        <v>11</v>
      </c>
      <c r="D393" s="128" t="s">
        <v>635</v>
      </c>
      <c r="E393" s="128"/>
      <c r="F393" s="128" t="s">
        <v>542</v>
      </c>
      <c r="G393" s="26" t="s">
        <v>634</v>
      </c>
      <c r="J393" t="str">
        <f t="shared" ref="J393:J456" si="32">"datatable["&amp;A393-1&amp;"] = new Array(""" &amp; A393 &amp;""",""" &amp; B393 &amp;""",""" &amp; D393 &amp; """,""" &amp; C393&amp;""","""&amp;""&amp;G393&amp;""");"</f>
        <v>datatable[377] = new Array("378","379","Project Management","11","SEITPM.png");</v>
      </c>
    </row>
    <row r="394" spans="1:10" ht="14.25" customHeight="1">
      <c r="A394" s="126">
        <f t="shared" si="31"/>
        <v>379</v>
      </c>
      <c r="B394" s="126">
        <f>A$387</f>
        <v>379</v>
      </c>
      <c r="C394" s="126">
        <v>11</v>
      </c>
      <c r="D394" s="128" t="s">
        <v>636</v>
      </c>
      <c r="E394" s="128"/>
      <c r="F394" s="128" t="s">
        <v>542</v>
      </c>
      <c r="G394" s="26" t="s">
        <v>634</v>
      </c>
      <c r="J394" t="str">
        <f t="shared" si="32"/>
        <v>datatable[378] = new Array("379","379","Systems Engineering","11","SEITPM.png");</v>
      </c>
    </row>
    <row r="395" spans="1:10" ht="14.25" customHeight="1">
      <c r="A395" s="126">
        <f t="shared" si="31"/>
        <v>380</v>
      </c>
      <c r="B395" s="126">
        <f>A$387</f>
        <v>379</v>
      </c>
      <c r="C395" s="126">
        <v>11</v>
      </c>
      <c r="D395" s="128" t="s">
        <v>637</v>
      </c>
      <c r="E395" s="128"/>
      <c r="F395" s="128" t="s">
        <v>542</v>
      </c>
      <c r="G395" s="26" t="s">
        <v>634</v>
      </c>
      <c r="J395" t="str">
        <f t="shared" si="32"/>
        <v>datatable[379] = new Array("380","379","Mission Assurance","11","SEITPM.png");</v>
      </c>
    </row>
    <row r="396" spans="1:10" ht="14.25" customHeight="1">
      <c r="A396" s="126">
        <f t="shared" si="31"/>
        <v>381</v>
      </c>
      <c r="B396" s="126">
        <f>A$387</f>
        <v>379</v>
      </c>
      <c r="C396" s="126">
        <v>11</v>
      </c>
      <c r="D396" s="128" t="s">
        <v>638</v>
      </c>
      <c r="E396" s="128"/>
      <c r="F396" s="128" t="s">
        <v>542</v>
      </c>
      <c r="G396" s="26" t="s">
        <v>634</v>
      </c>
      <c r="J396" t="str">
        <f t="shared" si="32"/>
        <v>datatable[380] = new Array("381","379","Assembly, Integration and Testing","11","SEITPM.png");</v>
      </c>
    </row>
    <row r="397" spans="1:10" ht="14.25" customHeight="1">
      <c r="A397" s="126">
        <f t="shared" si="31"/>
        <v>382</v>
      </c>
      <c r="B397" s="126">
        <f>A$387</f>
        <v>379</v>
      </c>
      <c r="C397" s="126">
        <v>11</v>
      </c>
      <c r="D397" s="128" t="s">
        <v>639</v>
      </c>
      <c r="E397" s="128"/>
      <c r="F397" s="128" t="s">
        <v>542</v>
      </c>
      <c r="G397" s="26" t="s">
        <v>634</v>
      </c>
      <c r="J397" t="str">
        <f t="shared" si="32"/>
        <v>datatable[381] = new Array("382","379","Support Equipment","11","SEITPM.png");</v>
      </c>
    </row>
    <row r="398" spans="1:10" ht="14.25" customHeight="1">
      <c r="A398" s="126">
        <f t="shared" si="31"/>
        <v>383</v>
      </c>
      <c r="B398" s="126">
        <f t="shared" ref="B398:B410" si="33">A$386</f>
        <v>378</v>
      </c>
      <c r="C398" s="126">
        <v>10</v>
      </c>
      <c r="D398" s="127" t="s">
        <v>862</v>
      </c>
      <c r="E398" s="128"/>
      <c r="F398" s="128" t="s">
        <v>540</v>
      </c>
      <c r="G398" s="26" t="s">
        <v>643</v>
      </c>
      <c r="J398" t="str">
        <f t="shared" si="32"/>
        <v>datatable[382] = new Array("383","378","Payload Structure","10","Widget.png");</v>
      </c>
    </row>
    <row r="399" spans="1:10" ht="14.25" customHeight="1">
      <c r="A399" s="126">
        <f t="shared" si="31"/>
        <v>384</v>
      </c>
      <c r="B399" s="126">
        <f t="shared" si="33"/>
        <v>378</v>
      </c>
      <c r="C399" s="126">
        <v>10</v>
      </c>
      <c r="D399" s="127" t="s">
        <v>863</v>
      </c>
      <c r="E399" s="128"/>
      <c r="F399" s="128" t="s">
        <v>540</v>
      </c>
      <c r="G399" s="26" t="s">
        <v>643</v>
      </c>
      <c r="J399" t="str">
        <f t="shared" si="32"/>
        <v>datatable[383] = new Array("384","378","Focal Plan Array","10","Widget.png");</v>
      </c>
    </row>
    <row r="400" spans="1:10" ht="14.25" customHeight="1">
      <c r="A400" s="126">
        <f t="shared" si="31"/>
        <v>385</v>
      </c>
      <c r="B400" s="126">
        <f t="shared" si="33"/>
        <v>378</v>
      </c>
      <c r="C400" s="126">
        <v>10</v>
      </c>
      <c r="D400" s="127" t="s">
        <v>864</v>
      </c>
      <c r="E400" s="128"/>
      <c r="F400" s="128" t="s">
        <v>540</v>
      </c>
      <c r="G400" s="26" t="s">
        <v>643</v>
      </c>
      <c r="J400" t="str">
        <f t="shared" si="32"/>
        <v>datatable[384] = new Array("385","378","Sensor Positioners","10","Widget.png");</v>
      </c>
    </row>
    <row r="401" spans="1:10" ht="14.25" customHeight="1">
      <c r="A401" s="126">
        <f t="shared" si="31"/>
        <v>386</v>
      </c>
      <c r="B401" s="126">
        <f t="shared" si="33"/>
        <v>378</v>
      </c>
      <c r="C401" s="126">
        <v>10</v>
      </c>
      <c r="D401" s="127" t="s">
        <v>865</v>
      </c>
      <c r="E401" s="128"/>
      <c r="F401" s="128" t="s">
        <v>540</v>
      </c>
      <c r="G401" s="26" t="s">
        <v>643</v>
      </c>
      <c r="J401" t="str">
        <f t="shared" si="32"/>
        <v>datatable[385] = new Array("386","378","Sensor Electronics","10","Widget.png");</v>
      </c>
    </row>
    <row r="402" spans="1:10" ht="14.25" customHeight="1">
      <c r="A402" s="126">
        <f t="shared" si="31"/>
        <v>387</v>
      </c>
      <c r="B402" s="126">
        <f t="shared" si="33"/>
        <v>378</v>
      </c>
      <c r="C402" s="126">
        <v>10</v>
      </c>
      <c r="D402" s="127" t="s">
        <v>857</v>
      </c>
      <c r="E402" s="128"/>
      <c r="F402" s="128" t="s">
        <v>540</v>
      </c>
      <c r="G402" s="26" t="s">
        <v>643</v>
      </c>
      <c r="J402" t="str">
        <f t="shared" si="32"/>
        <v>datatable[386] = new Array("387","378","Alignment and Calibration","10","Widget.png");</v>
      </c>
    </row>
    <row r="403" spans="1:10" ht="14.25" customHeight="1">
      <c r="A403" s="126">
        <f t="shared" si="31"/>
        <v>388</v>
      </c>
      <c r="B403" s="126">
        <f t="shared" si="33"/>
        <v>378</v>
      </c>
      <c r="C403" s="126">
        <v>10</v>
      </c>
      <c r="D403" s="127" t="s">
        <v>866</v>
      </c>
      <c r="E403" s="128"/>
      <c r="F403" s="128" t="s">
        <v>540</v>
      </c>
      <c r="G403" s="26" t="s">
        <v>643</v>
      </c>
      <c r="J403" t="str">
        <f t="shared" si="32"/>
        <v>datatable[387] = new Array("388","378","Magnetometer","10","Widget.png");</v>
      </c>
    </row>
    <row r="404" spans="1:10" ht="14.25" customHeight="1">
      <c r="A404" s="126">
        <f t="shared" si="31"/>
        <v>389</v>
      </c>
      <c r="B404" s="126">
        <f t="shared" si="33"/>
        <v>378</v>
      </c>
      <c r="C404" s="126">
        <v>10</v>
      </c>
      <c r="D404" s="127" t="s">
        <v>867</v>
      </c>
      <c r="E404" s="128"/>
      <c r="F404" s="128" t="s">
        <v>540</v>
      </c>
      <c r="G404" s="26" t="s">
        <v>643</v>
      </c>
      <c r="J404" t="str">
        <f t="shared" si="32"/>
        <v>datatable[388] = new Array("389","378","Spectrometer","10","Widget.png");</v>
      </c>
    </row>
    <row r="405" spans="1:10" ht="14.25" customHeight="1">
      <c r="A405" s="126">
        <f t="shared" si="31"/>
        <v>390</v>
      </c>
      <c r="B405" s="126">
        <f t="shared" si="33"/>
        <v>378</v>
      </c>
      <c r="C405" s="126">
        <v>10</v>
      </c>
      <c r="D405" s="127" t="s">
        <v>868</v>
      </c>
      <c r="E405" s="128"/>
      <c r="F405" s="128" t="s">
        <v>540</v>
      </c>
      <c r="G405" s="26" t="s">
        <v>643</v>
      </c>
      <c r="J405" t="str">
        <f t="shared" si="32"/>
        <v>datatable[389] = new Array("390","378","Radiometer","10","Widget.png");</v>
      </c>
    </row>
    <row r="406" spans="1:10" ht="14.25" customHeight="1">
      <c r="A406" s="126">
        <f t="shared" si="31"/>
        <v>391</v>
      </c>
      <c r="B406" s="126">
        <f t="shared" si="33"/>
        <v>378</v>
      </c>
      <c r="C406" s="126">
        <v>10</v>
      </c>
      <c r="D406" s="127" t="s">
        <v>869</v>
      </c>
      <c r="E406" s="128"/>
      <c r="F406" s="128" t="s">
        <v>540</v>
      </c>
      <c r="G406" s="26" t="s">
        <v>643</v>
      </c>
      <c r="J406" t="str">
        <f t="shared" si="32"/>
        <v>datatable[390] = new Array("391","378","Camera","10","Widget.png");</v>
      </c>
    </row>
    <row r="407" spans="1:10" ht="14.25" customHeight="1">
      <c r="A407" s="126">
        <f t="shared" si="31"/>
        <v>392</v>
      </c>
      <c r="B407" s="126">
        <f t="shared" si="33"/>
        <v>378</v>
      </c>
      <c r="C407" s="126">
        <v>10</v>
      </c>
      <c r="D407" s="127" t="s">
        <v>870</v>
      </c>
      <c r="E407" s="128"/>
      <c r="F407" s="128" t="s">
        <v>540</v>
      </c>
      <c r="G407" s="26" t="s">
        <v>643</v>
      </c>
      <c r="J407" t="str">
        <f t="shared" si="32"/>
        <v>datatable[391] = new Array("392","378","Sounder","10","Widget.png");</v>
      </c>
    </row>
    <row r="408" spans="1:10" ht="14.25" customHeight="1">
      <c r="A408" s="126">
        <f t="shared" si="31"/>
        <v>393</v>
      </c>
      <c r="B408" s="126">
        <f t="shared" si="33"/>
        <v>378</v>
      </c>
      <c r="C408" s="126">
        <v>10</v>
      </c>
      <c r="D408" s="127" t="s">
        <v>871</v>
      </c>
      <c r="E408" s="128"/>
      <c r="F408" s="128" t="s">
        <v>540</v>
      </c>
      <c r="G408" s="26" t="s">
        <v>643</v>
      </c>
      <c r="J408" t="str">
        <f t="shared" si="32"/>
        <v>datatable[392] = new Array("393","378","Flight Sensor Software","10","Widget.png");</v>
      </c>
    </row>
    <row r="409" spans="1:10" ht="14.25" customHeight="1">
      <c r="A409" s="126">
        <f t="shared" si="31"/>
        <v>394</v>
      </c>
      <c r="B409" s="126">
        <f t="shared" si="33"/>
        <v>378</v>
      </c>
      <c r="C409" s="126">
        <v>10</v>
      </c>
      <c r="D409" s="127" t="s">
        <v>872</v>
      </c>
      <c r="E409" s="128"/>
      <c r="F409" s="128" t="s">
        <v>540</v>
      </c>
      <c r="G409" s="26" t="s">
        <v>643</v>
      </c>
      <c r="J409" t="str">
        <f t="shared" si="32"/>
        <v>datatable[393] = new Array("394","378","Other Sensor Types (Specify)","10","Widget.png");</v>
      </c>
    </row>
    <row r="410" spans="1:10" ht="14.25" customHeight="1">
      <c r="A410" s="126">
        <f t="shared" si="31"/>
        <v>395</v>
      </c>
      <c r="B410" s="126">
        <f t="shared" si="33"/>
        <v>378</v>
      </c>
      <c r="C410" s="126">
        <v>10</v>
      </c>
      <c r="D410" s="127" t="s">
        <v>873</v>
      </c>
      <c r="E410" s="128"/>
      <c r="F410" s="128" t="s">
        <v>540</v>
      </c>
      <c r="G410" s="26" t="s">
        <v>643</v>
      </c>
      <c r="J410" t="str">
        <f t="shared" si="32"/>
        <v>datatable[394] = new Array("395","378","Mission Sensor Other (Specify)","10","Widget.png");</v>
      </c>
    </row>
    <row r="411" spans="1:10" ht="14.25" customHeight="1">
      <c r="A411" s="126">
        <f t="shared" si="31"/>
        <v>396</v>
      </c>
      <c r="B411" s="126">
        <f>A$296</f>
        <v>288</v>
      </c>
      <c r="C411" s="126">
        <v>9</v>
      </c>
      <c r="D411" s="127" t="s">
        <v>874</v>
      </c>
      <c r="E411" s="128"/>
      <c r="F411" s="127" t="s">
        <v>538</v>
      </c>
      <c r="G411" s="26" t="s">
        <v>643</v>
      </c>
      <c r="J411" t="str">
        <f t="shared" si="32"/>
        <v>datatable[395] = new Array("396","288","Payload Flight Software","9","Widget.png");</v>
      </c>
    </row>
    <row r="412" spans="1:10" ht="14.25" customHeight="1">
      <c r="A412" s="126">
        <f t="shared" si="31"/>
        <v>397</v>
      </c>
      <c r="B412" s="126">
        <f>A411</f>
        <v>396</v>
      </c>
      <c r="C412" s="126">
        <v>10</v>
      </c>
      <c r="D412" s="128" t="s">
        <v>875</v>
      </c>
      <c r="E412" s="128"/>
      <c r="F412" s="128" t="s">
        <v>540</v>
      </c>
      <c r="G412" s="26" t="s">
        <v>634</v>
      </c>
      <c r="J412" t="str">
        <f t="shared" si="32"/>
        <v>datatable[396] = new Array("397","396","Payload 1 FSW SEITPM","10","SEITPM.png");</v>
      </c>
    </row>
    <row r="413" spans="1:10" ht="14.25" customHeight="1">
      <c r="A413" s="126">
        <f t="shared" si="31"/>
        <v>398</v>
      </c>
      <c r="B413" s="126">
        <f>A$407</f>
        <v>392</v>
      </c>
      <c r="C413" s="126">
        <v>11</v>
      </c>
      <c r="D413" s="128" t="s">
        <v>635</v>
      </c>
      <c r="E413" s="128"/>
      <c r="F413" s="128" t="s">
        <v>542</v>
      </c>
      <c r="G413" s="26" t="s">
        <v>634</v>
      </c>
      <c r="J413" t="str">
        <f t="shared" si="32"/>
        <v>datatable[397] = new Array("398","392","Project Management","11","SEITPM.png");</v>
      </c>
    </row>
    <row r="414" spans="1:10" ht="14.25" customHeight="1">
      <c r="A414" s="126">
        <f t="shared" si="31"/>
        <v>399</v>
      </c>
      <c r="B414" s="126">
        <f>A$407</f>
        <v>392</v>
      </c>
      <c r="C414" s="126">
        <v>11</v>
      </c>
      <c r="D414" s="128" t="s">
        <v>636</v>
      </c>
      <c r="E414" s="128"/>
      <c r="F414" s="128" t="s">
        <v>542</v>
      </c>
      <c r="G414" s="26" t="s">
        <v>634</v>
      </c>
      <c r="J414" t="str">
        <f t="shared" si="32"/>
        <v>datatable[398] = new Array("399","392","Systems Engineering","11","SEITPM.png");</v>
      </c>
    </row>
    <row r="415" spans="1:10" ht="14.25" customHeight="1">
      <c r="A415" s="126">
        <f t="shared" si="31"/>
        <v>400</v>
      </c>
      <c r="B415" s="126">
        <f>A$407</f>
        <v>392</v>
      </c>
      <c r="C415" s="126">
        <v>11</v>
      </c>
      <c r="D415" s="128" t="s">
        <v>637</v>
      </c>
      <c r="E415" s="128"/>
      <c r="F415" s="128" t="s">
        <v>542</v>
      </c>
      <c r="G415" s="26" t="s">
        <v>634</v>
      </c>
      <c r="J415" t="str">
        <f t="shared" si="32"/>
        <v>datatable[399] = new Array("400","392","Mission Assurance","11","SEITPM.png");</v>
      </c>
    </row>
    <row r="416" spans="1:10" ht="14.25" customHeight="1">
      <c r="A416" s="126">
        <f t="shared" si="31"/>
        <v>401</v>
      </c>
      <c r="B416" s="126">
        <f>A$407</f>
        <v>392</v>
      </c>
      <c r="C416" s="126">
        <v>11</v>
      </c>
      <c r="D416" s="128" t="s">
        <v>638</v>
      </c>
      <c r="E416" s="128"/>
      <c r="F416" s="128" t="s">
        <v>542</v>
      </c>
      <c r="G416" s="26" t="s">
        <v>634</v>
      </c>
      <c r="J416" t="str">
        <f t="shared" si="32"/>
        <v>datatable[400] = new Array("401","392","Assembly, Integration and Testing","11","SEITPM.png");</v>
      </c>
    </row>
    <row r="417" spans="1:10" ht="14.25" customHeight="1">
      <c r="A417" s="126">
        <f t="shared" si="31"/>
        <v>402</v>
      </c>
      <c r="B417" s="126">
        <f>A$407</f>
        <v>392</v>
      </c>
      <c r="C417" s="126">
        <v>11</v>
      </c>
      <c r="D417" s="128" t="s">
        <v>639</v>
      </c>
      <c r="E417" s="128"/>
      <c r="F417" s="128" t="s">
        <v>542</v>
      </c>
      <c r="G417" s="26" t="s">
        <v>634</v>
      </c>
      <c r="J417" t="str">
        <f t="shared" si="32"/>
        <v>datatable[401] = new Array("402","392","Support Equipment","11","SEITPM.png");</v>
      </c>
    </row>
    <row r="418" spans="1:10" ht="14.25" customHeight="1">
      <c r="A418" s="126">
        <f t="shared" si="31"/>
        <v>403</v>
      </c>
      <c r="B418" s="126">
        <f>A411</f>
        <v>396</v>
      </c>
      <c r="C418" s="126">
        <v>10</v>
      </c>
      <c r="D418" s="127" t="s">
        <v>876</v>
      </c>
      <c r="E418" s="128"/>
      <c r="F418" s="128" t="s">
        <v>540</v>
      </c>
      <c r="G418" s="26" t="s">
        <v>643</v>
      </c>
      <c r="J418" t="str">
        <f t="shared" si="32"/>
        <v>datatable[402] = new Array("403","396","CSCI (Specify)","10","Widget.png");</v>
      </c>
    </row>
    <row r="419" spans="1:10" ht="14.25" customHeight="1">
      <c r="A419" s="126">
        <f t="shared" si="31"/>
        <v>404</v>
      </c>
      <c r="B419" s="126">
        <f>A$296</f>
        <v>288</v>
      </c>
      <c r="C419" s="126">
        <v>9</v>
      </c>
      <c r="D419" s="127" t="s">
        <v>877</v>
      </c>
      <c r="E419" s="128"/>
      <c r="F419" s="127" t="s">
        <v>538</v>
      </c>
      <c r="G419" s="26" t="s">
        <v>643</v>
      </c>
      <c r="J419" t="str">
        <f t="shared" si="32"/>
        <v>datatable[403] = new Array("404","288","Payload Antenna 1 … n (Specify)","9","Widget.png");</v>
      </c>
    </row>
    <row r="420" spans="1:10" ht="14.25" customHeight="1">
      <c r="A420" s="126">
        <f t="shared" si="31"/>
        <v>405</v>
      </c>
      <c r="B420" s="126">
        <f>A$414</f>
        <v>399</v>
      </c>
      <c r="C420" s="126">
        <v>10</v>
      </c>
      <c r="D420" s="128" t="s">
        <v>878</v>
      </c>
      <c r="E420" s="128"/>
      <c r="F420" s="128" t="s">
        <v>540</v>
      </c>
      <c r="G420" s="26" t="s">
        <v>634</v>
      </c>
      <c r="J420" t="str">
        <f t="shared" si="32"/>
        <v>datatable[404] = new Array("405","399","Payload 1 Antenna SEITPM","10","SEITPM.png");</v>
      </c>
    </row>
    <row r="421" spans="1:10" ht="14.25" customHeight="1">
      <c r="A421" s="126">
        <f t="shared" si="31"/>
        <v>406</v>
      </c>
      <c r="B421" s="126">
        <f>A$415</f>
        <v>400</v>
      </c>
      <c r="C421" s="126">
        <v>11</v>
      </c>
      <c r="D421" s="128" t="s">
        <v>635</v>
      </c>
      <c r="E421" s="128"/>
      <c r="F421" s="128" t="s">
        <v>542</v>
      </c>
      <c r="G421" s="26" t="s">
        <v>634</v>
      </c>
      <c r="J421" t="str">
        <f t="shared" si="32"/>
        <v>datatable[405] = new Array("406","400","Project Management","11","SEITPM.png");</v>
      </c>
    </row>
    <row r="422" spans="1:10" ht="14.25" customHeight="1">
      <c r="A422" s="126">
        <f t="shared" ref="A422:A453" si="34">A421+1</f>
        <v>407</v>
      </c>
      <c r="B422" s="126">
        <f>A$415</f>
        <v>400</v>
      </c>
      <c r="C422" s="126">
        <v>11</v>
      </c>
      <c r="D422" s="128" t="s">
        <v>636</v>
      </c>
      <c r="E422" s="128"/>
      <c r="F422" s="128" t="s">
        <v>542</v>
      </c>
      <c r="G422" s="26" t="s">
        <v>634</v>
      </c>
      <c r="J422" t="str">
        <f t="shared" si="32"/>
        <v>datatable[406] = new Array("407","400","Systems Engineering","11","SEITPM.png");</v>
      </c>
    </row>
    <row r="423" spans="1:10" ht="14.25" customHeight="1">
      <c r="A423" s="126">
        <f t="shared" si="34"/>
        <v>408</v>
      </c>
      <c r="B423" s="126">
        <f>A$415</f>
        <v>400</v>
      </c>
      <c r="C423" s="126">
        <v>11</v>
      </c>
      <c r="D423" s="128" t="s">
        <v>637</v>
      </c>
      <c r="E423" s="128"/>
      <c r="F423" s="128" t="s">
        <v>542</v>
      </c>
      <c r="G423" s="26" t="s">
        <v>634</v>
      </c>
      <c r="J423" t="str">
        <f t="shared" si="32"/>
        <v>datatable[407] = new Array("408","400","Mission Assurance","11","SEITPM.png");</v>
      </c>
    </row>
    <row r="424" spans="1:10" ht="14.25" customHeight="1">
      <c r="A424" s="126">
        <f t="shared" si="34"/>
        <v>409</v>
      </c>
      <c r="B424" s="126">
        <f>A$415</f>
        <v>400</v>
      </c>
      <c r="C424" s="126">
        <v>11</v>
      </c>
      <c r="D424" s="128" t="s">
        <v>638</v>
      </c>
      <c r="E424" s="128"/>
      <c r="F424" s="128" t="s">
        <v>542</v>
      </c>
      <c r="G424" s="26" t="s">
        <v>634</v>
      </c>
      <c r="J424" t="str">
        <f t="shared" si="32"/>
        <v>datatable[408] = new Array("409","400","Assembly, Integration and Testing","11","SEITPM.png");</v>
      </c>
    </row>
    <row r="425" spans="1:10" ht="14.25" customHeight="1">
      <c r="A425" s="126">
        <f t="shared" si="34"/>
        <v>410</v>
      </c>
      <c r="B425" s="126">
        <f>A$415</f>
        <v>400</v>
      </c>
      <c r="C425" s="126">
        <v>11</v>
      </c>
      <c r="D425" s="128" t="s">
        <v>639</v>
      </c>
      <c r="E425" s="128"/>
      <c r="F425" s="128" t="s">
        <v>542</v>
      </c>
      <c r="G425" s="26" t="s">
        <v>634</v>
      </c>
      <c r="J425" t="str">
        <f t="shared" si="32"/>
        <v>datatable[409] = new Array("410","400","Support Equipment","11","SEITPM.png");</v>
      </c>
    </row>
    <row r="426" spans="1:10" ht="14.25" customHeight="1">
      <c r="A426" s="126">
        <f t="shared" si="34"/>
        <v>411</v>
      </c>
      <c r="B426" s="126">
        <f t="shared" ref="B426:B432" si="35">A$414</f>
        <v>399</v>
      </c>
      <c r="C426" s="126">
        <v>10</v>
      </c>
      <c r="D426" s="127" t="s">
        <v>879</v>
      </c>
      <c r="E426" s="128"/>
      <c r="F426" s="128" t="s">
        <v>540</v>
      </c>
      <c r="G426" s="26" t="s">
        <v>643</v>
      </c>
      <c r="J426" t="str">
        <f t="shared" si="32"/>
        <v>datatable[410] = new Array("411","399","Structures and Mechanisms","10","Widget.png");</v>
      </c>
    </row>
    <row r="427" spans="1:10" ht="14.25" customHeight="1">
      <c r="A427" s="126">
        <f t="shared" si="34"/>
        <v>412</v>
      </c>
      <c r="B427" s="126">
        <f t="shared" si="35"/>
        <v>399</v>
      </c>
      <c r="C427" s="126">
        <v>10</v>
      </c>
      <c r="D427" s="127" t="s">
        <v>880</v>
      </c>
      <c r="E427" s="128"/>
      <c r="F427" s="128" t="s">
        <v>540</v>
      </c>
      <c r="G427" s="26" t="s">
        <v>643</v>
      </c>
      <c r="J427" t="str">
        <f t="shared" si="32"/>
        <v>datatable[411] = new Array("412","399","Antenna Positioners","10","Widget.png");</v>
      </c>
    </row>
    <row r="428" spans="1:10" ht="14.25" customHeight="1">
      <c r="A428" s="126">
        <f t="shared" si="34"/>
        <v>413</v>
      </c>
      <c r="B428" s="126">
        <f t="shared" si="35"/>
        <v>399</v>
      </c>
      <c r="C428" s="126">
        <v>10</v>
      </c>
      <c r="D428" s="127" t="s">
        <v>881</v>
      </c>
      <c r="E428" s="128"/>
      <c r="F428" s="128" t="s">
        <v>540</v>
      </c>
      <c r="G428" s="26" t="s">
        <v>643</v>
      </c>
      <c r="J428" t="str">
        <f t="shared" si="32"/>
        <v>datatable[412] = new Array("413","399","Reflector/Horn","10","Widget.png");</v>
      </c>
    </row>
    <row r="429" spans="1:10" ht="14.25" customHeight="1">
      <c r="A429" s="126">
        <f t="shared" si="34"/>
        <v>414</v>
      </c>
      <c r="B429" s="126">
        <f t="shared" si="35"/>
        <v>399</v>
      </c>
      <c r="C429" s="126">
        <v>10</v>
      </c>
      <c r="D429" s="127" t="s">
        <v>882</v>
      </c>
      <c r="E429" s="128"/>
      <c r="F429" s="128" t="s">
        <v>540</v>
      </c>
      <c r="G429" s="26" t="s">
        <v>643</v>
      </c>
      <c r="J429" t="str">
        <f t="shared" si="32"/>
        <v>datatable[413] = new Array("414","399","Feed","10","Widget.png");</v>
      </c>
    </row>
    <row r="430" spans="1:10" ht="14.25" customHeight="1">
      <c r="A430" s="126">
        <f t="shared" si="34"/>
        <v>415</v>
      </c>
      <c r="B430" s="126">
        <f t="shared" si="35"/>
        <v>399</v>
      </c>
      <c r="C430" s="126">
        <v>10</v>
      </c>
      <c r="D430" s="127" t="s">
        <v>883</v>
      </c>
      <c r="E430" s="128"/>
      <c r="F430" s="128" t="s">
        <v>540</v>
      </c>
      <c r="G430" s="26" t="s">
        <v>643</v>
      </c>
      <c r="J430" t="str">
        <f t="shared" si="32"/>
        <v>datatable[414] = new Array("415","399","Waveguide/Coad/Cabling","10","Widget.png");</v>
      </c>
    </row>
    <row r="431" spans="1:10" ht="14.25" customHeight="1">
      <c r="A431" s="126">
        <f t="shared" si="34"/>
        <v>416</v>
      </c>
      <c r="B431" s="126">
        <f t="shared" si="35"/>
        <v>399</v>
      </c>
      <c r="C431" s="126">
        <v>10</v>
      </c>
      <c r="D431" s="127" t="s">
        <v>884</v>
      </c>
      <c r="E431" s="128"/>
      <c r="F431" s="128" t="s">
        <v>540</v>
      </c>
      <c r="G431" s="26" t="s">
        <v>643</v>
      </c>
      <c r="J431" t="str">
        <f t="shared" si="32"/>
        <v>datatable[415] = new Array("416","399","Transmit/Receive Modules","10","Widget.png");</v>
      </c>
    </row>
    <row r="432" spans="1:10" ht="14.25" customHeight="1">
      <c r="A432" s="126">
        <f t="shared" si="34"/>
        <v>417</v>
      </c>
      <c r="B432" s="126">
        <f t="shared" si="35"/>
        <v>399</v>
      </c>
      <c r="C432" s="126">
        <v>10</v>
      </c>
      <c r="D432" s="127" t="s">
        <v>885</v>
      </c>
      <c r="E432" s="128"/>
      <c r="F432" s="128" t="s">
        <v>540</v>
      </c>
      <c r="G432" s="26" t="s">
        <v>643</v>
      </c>
      <c r="J432" t="str">
        <f t="shared" si="32"/>
        <v>datatable[416] = new Array("417","399","Antenna Other (Specify)","10","Widget.png");</v>
      </c>
    </row>
    <row r="433" spans="1:10" ht="14.25" customHeight="1">
      <c r="A433" s="126">
        <f t="shared" si="34"/>
        <v>418</v>
      </c>
      <c r="B433" s="126">
        <f>A$296</f>
        <v>288</v>
      </c>
      <c r="C433" s="126">
        <v>9</v>
      </c>
      <c r="D433" s="127" t="s">
        <v>886</v>
      </c>
      <c r="E433" s="128"/>
      <c r="F433" s="127" t="s">
        <v>538</v>
      </c>
      <c r="G433" s="26" t="s">
        <v>643</v>
      </c>
      <c r="J433" t="str">
        <f t="shared" si="32"/>
        <v>datatable[417] = new Array("418","288","Payload Other (Specify)","9","Widget.png");</v>
      </c>
    </row>
    <row r="434" spans="1:10" ht="14.25" customHeight="1">
      <c r="A434" s="126">
        <f t="shared" si="34"/>
        <v>419</v>
      </c>
      <c r="B434" s="126">
        <f>A433</f>
        <v>418</v>
      </c>
      <c r="C434" s="126">
        <v>10</v>
      </c>
      <c r="D434" s="127" t="s">
        <v>887</v>
      </c>
      <c r="E434" s="127"/>
      <c r="F434" s="128" t="s">
        <v>540</v>
      </c>
      <c r="G434" s="26" t="s">
        <v>643</v>
      </c>
      <c r="J434" t="str">
        <f t="shared" si="32"/>
        <v>datatable[418] = new Array("419","418","Booster Adapter","10","Widget.png");</v>
      </c>
    </row>
    <row r="435" spans="1:10" ht="14.25" customHeight="1">
      <c r="A435" s="126">
        <f t="shared" si="34"/>
        <v>420</v>
      </c>
      <c r="B435" s="126">
        <f>A433</f>
        <v>418</v>
      </c>
      <c r="C435" s="126">
        <v>10</v>
      </c>
      <c r="D435" s="127" t="s">
        <v>888</v>
      </c>
      <c r="E435" s="127"/>
      <c r="F435" s="128" t="s">
        <v>540</v>
      </c>
      <c r="G435" s="26" t="s">
        <v>643</v>
      </c>
      <c r="J435" t="str">
        <f t="shared" si="32"/>
        <v>datatable[419] = new Array("420","418","Space Vehicle Storage","10","Widget.png");</v>
      </c>
    </row>
    <row r="436" spans="1:10" ht="14.25" customHeight="1">
      <c r="A436" s="126">
        <f t="shared" si="34"/>
        <v>421</v>
      </c>
      <c r="B436" s="126">
        <f>A433</f>
        <v>418</v>
      </c>
      <c r="C436" s="126">
        <v>10</v>
      </c>
      <c r="D436" s="127" t="s">
        <v>889</v>
      </c>
      <c r="E436" s="127"/>
      <c r="F436" s="128" t="s">
        <v>540</v>
      </c>
      <c r="G436" s="26" t="s">
        <v>643</v>
      </c>
      <c r="J436" t="str">
        <f t="shared" si="32"/>
        <v>datatable[420] = new Array("421","418","Space Vehicle Other (Specify)","10","Widget.png");</v>
      </c>
    </row>
    <row r="437" spans="1:10" ht="14.25" customHeight="1">
      <c r="A437" s="124">
        <f t="shared" si="34"/>
        <v>422</v>
      </c>
      <c r="B437" s="124">
        <f>A$20</f>
        <v>12</v>
      </c>
      <c r="C437" s="124">
        <v>7</v>
      </c>
      <c r="D437" s="137" t="s">
        <v>890</v>
      </c>
      <c r="E437" s="137"/>
      <c r="F437" s="125"/>
      <c r="G437" s="26" t="s">
        <v>552</v>
      </c>
      <c r="J437" t="str">
        <f t="shared" si="32"/>
        <v>datatable[421] = new Array("422","12","Launch Systems Integration (LSI)","7","Rocket.png");</v>
      </c>
    </row>
    <row r="438" spans="1:10" ht="14.25" customHeight="1">
      <c r="A438" s="124">
        <f t="shared" si="34"/>
        <v>423</v>
      </c>
      <c r="B438" s="124">
        <f>A$20</f>
        <v>12</v>
      </c>
      <c r="C438" s="124">
        <v>7</v>
      </c>
      <c r="D438" s="137" t="s">
        <v>891</v>
      </c>
      <c r="E438" s="125"/>
      <c r="F438" s="125"/>
      <c r="G438" s="26" t="s">
        <v>552</v>
      </c>
      <c r="J438" t="str">
        <f t="shared" si="32"/>
        <v>datatable[422] = new Array("423","12","Launch Operations","7","Rocket.png");</v>
      </c>
    </row>
    <row r="439" spans="1:10" ht="14.25" customHeight="1">
      <c r="A439" s="124">
        <f t="shared" si="34"/>
        <v>424</v>
      </c>
      <c r="B439" s="124">
        <f>A$20</f>
        <v>12</v>
      </c>
      <c r="C439" s="124">
        <v>7</v>
      </c>
      <c r="D439" s="137" t="s">
        <v>892</v>
      </c>
      <c r="E439" s="125"/>
      <c r="F439" s="125"/>
      <c r="G439" s="26" t="s">
        <v>552</v>
      </c>
      <c r="J439" t="str">
        <f t="shared" si="32"/>
        <v>datatable[423] = new Array("424","12","Launch Operations Support","7","Rocket.png");</v>
      </c>
    </row>
    <row r="440" spans="1:10" ht="14.25" customHeight="1">
      <c r="A440" s="124">
        <f t="shared" si="34"/>
        <v>425</v>
      </c>
      <c r="B440" s="124">
        <f>A$20</f>
        <v>12</v>
      </c>
      <c r="C440" s="124">
        <v>7</v>
      </c>
      <c r="D440" s="137" t="s">
        <v>893</v>
      </c>
      <c r="E440" s="125"/>
      <c r="F440" s="125"/>
      <c r="G440" s="26" t="s">
        <v>552</v>
      </c>
      <c r="J440" t="str">
        <f t="shared" si="32"/>
        <v>datatable[424] = new Array("425","12","Launch Vehicle Services","7","Rocket.png");</v>
      </c>
    </row>
    <row r="441" spans="1:10" ht="14.25" customHeight="1">
      <c r="A441" s="124">
        <f t="shared" si="34"/>
        <v>426</v>
      </c>
      <c r="B441" s="124">
        <f>A$20</f>
        <v>12</v>
      </c>
      <c r="C441" s="124">
        <v>7</v>
      </c>
      <c r="D441" s="137" t="s">
        <v>894</v>
      </c>
      <c r="E441" s="125"/>
      <c r="F441" s="125"/>
      <c r="G441" s="26" t="s">
        <v>552</v>
      </c>
      <c r="J441" t="str">
        <f t="shared" si="32"/>
        <v>datatable[425] = new Array("426","12","Launch Insurance","7","Rocket.png");</v>
      </c>
    </row>
    <row r="442" spans="1:10" ht="14.25" customHeight="1">
      <c r="A442" s="138">
        <f t="shared" si="34"/>
        <v>427</v>
      </c>
      <c r="B442" s="138">
        <f>A$21</f>
        <v>13</v>
      </c>
      <c r="C442" s="138">
        <v>7</v>
      </c>
      <c r="D442" s="139" t="s">
        <v>895</v>
      </c>
      <c r="E442" s="139"/>
      <c r="F442" s="139" t="s">
        <v>540</v>
      </c>
      <c r="G442" s="26" t="s">
        <v>634</v>
      </c>
      <c r="J442" t="str">
        <f t="shared" si="32"/>
        <v>datatable[426] = new Array("427","13","Ground Segment SEITPM","7","SEITPM.png");</v>
      </c>
    </row>
    <row r="443" spans="1:10" ht="14.25" customHeight="1">
      <c r="A443" s="138">
        <f t="shared" si="34"/>
        <v>428</v>
      </c>
      <c r="B443" s="138">
        <f>A$437</f>
        <v>422</v>
      </c>
      <c r="C443" s="138">
        <v>8</v>
      </c>
      <c r="D443" s="139" t="s">
        <v>635</v>
      </c>
      <c r="E443" s="139"/>
      <c r="F443" s="139" t="s">
        <v>542</v>
      </c>
      <c r="G443" s="26" t="s">
        <v>634</v>
      </c>
      <c r="J443" t="str">
        <f t="shared" si="32"/>
        <v>datatable[427] = new Array("428","422","Project Management","8","SEITPM.png");</v>
      </c>
    </row>
    <row r="444" spans="1:10" ht="14.25" customHeight="1">
      <c r="A444" s="138">
        <f t="shared" si="34"/>
        <v>429</v>
      </c>
      <c r="B444" s="138">
        <f>A$437</f>
        <v>422</v>
      </c>
      <c r="C444" s="138">
        <v>8</v>
      </c>
      <c r="D444" s="139" t="s">
        <v>636</v>
      </c>
      <c r="E444" s="139"/>
      <c r="F444" s="139" t="s">
        <v>542</v>
      </c>
      <c r="G444" s="26" t="s">
        <v>634</v>
      </c>
      <c r="J444" t="str">
        <f t="shared" si="32"/>
        <v>datatable[428] = new Array("429","422","Systems Engineering","8","SEITPM.png");</v>
      </c>
    </row>
    <row r="445" spans="1:10" ht="14.25" customHeight="1">
      <c r="A445" s="138">
        <f t="shared" si="34"/>
        <v>430</v>
      </c>
      <c r="B445" s="138">
        <f>A$437</f>
        <v>422</v>
      </c>
      <c r="C445" s="138">
        <v>8</v>
      </c>
      <c r="D445" s="139" t="s">
        <v>637</v>
      </c>
      <c r="E445" s="139"/>
      <c r="F445" s="139" t="s">
        <v>542</v>
      </c>
      <c r="G445" s="26" t="s">
        <v>634</v>
      </c>
      <c r="J445" t="str">
        <f t="shared" si="32"/>
        <v>datatable[429] = new Array("430","422","Mission Assurance","8","SEITPM.png");</v>
      </c>
    </row>
    <row r="446" spans="1:10" ht="14.25" customHeight="1">
      <c r="A446" s="138">
        <f t="shared" si="34"/>
        <v>431</v>
      </c>
      <c r="B446" s="138">
        <f>A$437</f>
        <v>422</v>
      </c>
      <c r="C446" s="138">
        <v>8</v>
      </c>
      <c r="D446" s="139" t="s">
        <v>638</v>
      </c>
      <c r="E446" s="139"/>
      <c r="F446" s="139" t="s">
        <v>542</v>
      </c>
      <c r="G446" s="26" t="s">
        <v>634</v>
      </c>
      <c r="J446" t="str">
        <f t="shared" si="32"/>
        <v>datatable[430] = new Array("431","422","Assembly, Integration and Testing","8","SEITPM.png");</v>
      </c>
    </row>
    <row r="447" spans="1:10" ht="14.25" customHeight="1">
      <c r="A447" s="138">
        <f t="shared" si="34"/>
        <v>432</v>
      </c>
      <c r="B447" s="138">
        <f>A$437</f>
        <v>422</v>
      </c>
      <c r="C447" s="138">
        <v>8</v>
      </c>
      <c r="D447" s="139" t="s">
        <v>639</v>
      </c>
      <c r="E447" s="139"/>
      <c r="F447" s="139" t="s">
        <v>542</v>
      </c>
      <c r="G447" s="26" t="s">
        <v>634</v>
      </c>
      <c r="J447" t="str">
        <f t="shared" si="32"/>
        <v>datatable[431] = new Array("432","422","Support Equipment","8","SEITPM.png");</v>
      </c>
    </row>
    <row r="448" spans="1:10" ht="14.25" customHeight="1">
      <c r="A448" s="138">
        <f t="shared" si="34"/>
        <v>433</v>
      </c>
      <c r="B448" s="138">
        <f>A$21</f>
        <v>13</v>
      </c>
      <c r="C448" s="138">
        <v>7</v>
      </c>
      <c r="D448" s="140" t="s">
        <v>896</v>
      </c>
      <c r="E448" s="139"/>
      <c r="F448" s="139"/>
      <c r="G448" s="26" t="s">
        <v>554</v>
      </c>
      <c r="J448" t="str">
        <f t="shared" si="32"/>
        <v>datatable[432] = new Array("433","13","Mission Control Centers","7","Facility.png");</v>
      </c>
    </row>
    <row r="449" spans="1:10" ht="14.25" customHeight="1">
      <c r="A449" s="138">
        <f t="shared" si="34"/>
        <v>434</v>
      </c>
      <c r="B449" s="138">
        <f>A$21</f>
        <v>13</v>
      </c>
      <c r="C449" s="138">
        <v>7</v>
      </c>
      <c r="D449" s="140" t="s">
        <v>897</v>
      </c>
      <c r="E449" s="139"/>
      <c r="F449" s="139"/>
      <c r="G449" s="26" t="s">
        <v>554</v>
      </c>
      <c r="J449" t="str">
        <f t="shared" si="32"/>
        <v>datatable[433] = new Array("434","13","Science / Data Ops Centers","7","Facility.png");</v>
      </c>
    </row>
    <row r="450" spans="1:10" ht="14.25" customHeight="1">
      <c r="A450" s="138">
        <f t="shared" si="34"/>
        <v>435</v>
      </c>
      <c r="B450" s="138">
        <f>A$21</f>
        <v>13</v>
      </c>
      <c r="C450" s="138">
        <v>7</v>
      </c>
      <c r="D450" s="140" t="s">
        <v>898</v>
      </c>
      <c r="E450" s="139"/>
      <c r="F450" s="139"/>
      <c r="G450" s="26" t="s">
        <v>554</v>
      </c>
      <c r="J450" t="str">
        <f t="shared" si="32"/>
        <v>datatable[434] = new Array("435","13","Terminals and Data Networks – incl Antennas ","7","Facility.png");</v>
      </c>
    </row>
    <row r="451" spans="1:10" ht="14.25" customHeight="1">
      <c r="A451" s="138">
        <f t="shared" si="34"/>
        <v>436</v>
      </c>
      <c r="B451" s="138">
        <f>A$21</f>
        <v>13</v>
      </c>
      <c r="C451" s="138">
        <v>7</v>
      </c>
      <c r="D451" s="140" t="s">
        <v>899</v>
      </c>
      <c r="E451" s="139"/>
      <c r="F451" s="139"/>
      <c r="G451" s="26" t="s">
        <v>554</v>
      </c>
      <c r="J451" t="str">
        <f t="shared" si="32"/>
        <v>datatable[435] = new Array("436","13","Data Distribution &amp; Archival ","7","Facility.png");</v>
      </c>
    </row>
    <row r="452" spans="1:10" ht="14.25" customHeight="1">
      <c r="A452" s="138">
        <f t="shared" si="34"/>
        <v>437</v>
      </c>
      <c r="B452" s="138">
        <f>A$21</f>
        <v>13</v>
      </c>
      <c r="C452" s="138">
        <v>7</v>
      </c>
      <c r="D452" s="140" t="s">
        <v>900</v>
      </c>
      <c r="E452" s="139"/>
      <c r="F452" s="139"/>
      <c r="G452" s="26" t="s">
        <v>554</v>
      </c>
      <c r="J452" t="str">
        <f t="shared" si="32"/>
        <v>datatable[436] = new Array("437","13","Training Facilities ","7","Facility.png");</v>
      </c>
    </row>
    <row r="453" spans="1:10" ht="14.25" customHeight="1">
      <c r="A453" s="138">
        <f t="shared" si="34"/>
        <v>438</v>
      </c>
      <c r="B453" s="138">
        <f>A448</f>
        <v>433</v>
      </c>
      <c r="C453" s="138">
        <v>8</v>
      </c>
      <c r="D453" s="140" t="s">
        <v>901</v>
      </c>
      <c r="E453" s="139"/>
      <c r="F453" s="139"/>
      <c r="G453" s="26" t="s">
        <v>554</v>
      </c>
      <c r="J453" t="str">
        <f t="shared" si="32"/>
        <v>datatable[437] = new Array("438","433","CSA Mission Control","8","Facility.png");</v>
      </c>
    </row>
    <row r="454" spans="1:10" ht="14.25" customHeight="1">
      <c r="A454" s="138">
        <f t="shared" ref="A454:A485" si="36">A453+1</f>
        <v>439</v>
      </c>
      <c r="B454" s="138">
        <f>A453</f>
        <v>438</v>
      </c>
      <c r="C454" s="138">
        <v>9</v>
      </c>
      <c r="D454" s="140" t="s">
        <v>902</v>
      </c>
      <c r="E454" s="139"/>
      <c r="F454" s="139"/>
      <c r="G454" s="26" t="s">
        <v>554</v>
      </c>
      <c r="J454" t="str">
        <f t="shared" si="32"/>
        <v>datatable[438] = new Array("439","438","SatOps Mission Control Complex at JHCSC ","9","Facility.png");</v>
      </c>
    </row>
    <row r="455" spans="1:10" ht="14.25" customHeight="1">
      <c r="A455" s="138">
        <f t="shared" si="36"/>
        <v>440</v>
      </c>
      <c r="B455" s="138">
        <f>A453</f>
        <v>438</v>
      </c>
      <c r="C455" s="138">
        <v>9</v>
      </c>
      <c r="D455" s="140" t="s">
        <v>903</v>
      </c>
      <c r="E455" s="139"/>
      <c r="F455" s="139"/>
      <c r="G455" s="26" t="s">
        <v>554</v>
      </c>
      <c r="J455" t="str">
        <f t="shared" si="32"/>
        <v>datatable[439] = new Array("440","438","ISS Mission Operations Complex","9","Facility.png");</v>
      </c>
    </row>
    <row r="456" spans="1:10" ht="14.25" customHeight="1">
      <c r="A456" s="138">
        <f t="shared" si="36"/>
        <v>441</v>
      </c>
      <c r="B456" s="138">
        <f>A448</f>
        <v>433</v>
      </c>
      <c r="C456" s="138">
        <v>8</v>
      </c>
      <c r="D456" s="140" t="s">
        <v>904</v>
      </c>
      <c r="E456" s="139"/>
      <c r="F456" s="139"/>
      <c r="G456" s="26" t="s">
        <v>554</v>
      </c>
      <c r="J456" t="str">
        <f t="shared" si="32"/>
        <v>datatable[440] = new Array("441","433","NASA Mission Operations Complex","8","Facility.png");</v>
      </c>
    </row>
    <row r="457" spans="1:10" ht="14.25" customHeight="1">
      <c r="A457" s="138">
        <f t="shared" si="36"/>
        <v>442</v>
      </c>
      <c r="B457" s="138">
        <f>A$450</f>
        <v>435</v>
      </c>
      <c r="C457" s="138">
        <v>10</v>
      </c>
      <c r="D457" s="140" t="s">
        <v>905</v>
      </c>
      <c r="E457" s="139"/>
      <c r="F457" s="139"/>
      <c r="G457" s="26" t="s">
        <v>554</v>
      </c>
      <c r="J457" t="str">
        <f t="shared" ref="J457:J506" si="37">"datatable["&amp;A457-1&amp;"] = new Array(""" &amp; A457 &amp;""",""" &amp; B457 &amp;""",""" &amp; D457 &amp; """,""" &amp; C457&amp;""","""&amp;""&amp;G457&amp;""");"</f>
        <v>datatable[441] = new Array("442","435","RMPSR","10","Facility.png");</v>
      </c>
    </row>
    <row r="458" spans="1:10" ht="14.25" customHeight="1">
      <c r="A458" s="138">
        <f t="shared" si="36"/>
        <v>443</v>
      </c>
      <c r="B458" s="138">
        <f>A$450</f>
        <v>435</v>
      </c>
      <c r="C458" s="138">
        <v>10</v>
      </c>
      <c r="D458" s="140" t="s">
        <v>906</v>
      </c>
      <c r="E458" s="139"/>
      <c r="F458" s="139"/>
      <c r="G458" s="26" t="s">
        <v>554</v>
      </c>
      <c r="J458" t="str">
        <f t="shared" si="37"/>
        <v>datatable[442] = new Array("443","435","OEC","10","Facility.png");</v>
      </c>
    </row>
    <row r="459" spans="1:10" ht="14.25" customHeight="1">
      <c r="A459" s="138">
        <f t="shared" si="36"/>
        <v>444</v>
      </c>
      <c r="B459" s="138">
        <f>A$450</f>
        <v>435</v>
      </c>
      <c r="C459" s="138">
        <v>10</v>
      </c>
      <c r="D459" s="140" t="s">
        <v>907</v>
      </c>
      <c r="E459" s="139"/>
      <c r="F459" s="139"/>
      <c r="G459" s="26" t="s">
        <v>554</v>
      </c>
      <c r="J459" t="str">
        <f t="shared" si="37"/>
        <v>datatable[443] = new Array("444","435","PTOC","10","Facility.png");</v>
      </c>
    </row>
    <row r="460" spans="1:10" ht="14.25" customHeight="1">
      <c r="A460" s="138">
        <f t="shared" si="36"/>
        <v>445</v>
      </c>
      <c r="B460" s="138">
        <f>A454</f>
        <v>439</v>
      </c>
      <c r="C460" s="138">
        <v>10</v>
      </c>
      <c r="D460" s="139" t="s">
        <v>908</v>
      </c>
      <c r="E460" s="139"/>
      <c r="F460" s="139" t="s">
        <v>540</v>
      </c>
      <c r="G460" s="26" t="s">
        <v>634</v>
      </c>
      <c r="J460" t="str">
        <f t="shared" si="37"/>
        <v>datatable[444] = new Array("445","439","SatOps Mission control SEITPM","10","SEITPM.png");</v>
      </c>
    </row>
    <row r="461" spans="1:10" ht="14.25" customHeight="1">
      <c r="A461" s="138">
        <f t="shared" si="36"/>
        <v>446</v>
      </c>
      <c r="B461" s="138">
        <f>A$455</f>
        <v>440</v>
      </c>
      <c r="C461" s="138">
        <v>11</v>
      </c>
      <c r="D461" s="139" t="s">
        <v>635</v>
      </c>
      <c r="E461" s="139"/>
      <c r="F461" s="139" t="s">
        <v>542</v>
      </c>
      <c r="G461" s="26" t="s">
        <v>634</v>
      </c>
      <c r="J461" t="str">
        <f t="shared" si="37"/>
        <v>datatable[445] = new Array("446","440","Project Management","11","SEITPM.png");</v>
      </c>
    </row>
    <row r="462" spans="1:10" ht="14.25" customHeight="1">
      <c r="A462" s="138">
        <f t="shared" si="36"/>
        <v>447</v>
      </c>
      <c r="B462" s="138">
        <f>A$455</f>
        <v>440</v>
      </c>
      <c r="C462" s="138">
        <v>11</v>
      </c>
      <c r="D462" s="139" t="s">
        <v>636</v>
      </c>
      <c r="E462" s="139"/>
      <c r="F462" s="139" t="s">
        <v>542</v>
      </c>
      <c r="G462" s="26" t="s">
        <v>634</v>
      </c>
      <c r="J462" t="str">
        <f t="shared" si="37"/>
        <v>datatable[446] = new Array("447","440","Systems Engineering","11","SEITPM.png");</v>
      </c>
    </row>
    <row r="463" spans="1:10" ht="14.25" customHeight="1">
      <c r="A463" s="138">
        <f t="shared" si="36"/>
        <v>448</v>
      </c>
      <c r="B463" s="138">
        <f>A$455</f>
        <v>440</v>
      </c>
      <c r="C463" s="138">
        <v>11</v>
      </c>
      <c r="D463" s="139" t="s">
        <v>637</v>
      </c>
      <c r="E463" s="139"/>
      <c r="F463" s="139" t="s">
        <v>542</v>
      </c>
      <c r="G463" s="26" t="s">
        <v>634</v>
      </c>
      <c r="J463" t="str">
        <f t="shared" si="37"/>
        <v>datatable[447] = new Array("448","440","Mission Assurance","11","SEITPM.png");</v>
      </c>
    </row>
    <row r="464" spans="1:10" ht="14.25" customHeight="1">
      <c r="A464" s="138">
        <f t="shared" si="36"/>
        <v>449</v>
      </c>
      <c r="B464" s="138">
        <f>A$455</f>
        <v>440</v>
      </c>
      <c r="C464" s="138">
        <v>11</v>
      </c>
      <c r="D464" s="139" t="s">
        <v>638</v>
      </c>
      <c r="E464" s="139"/>
      <c r="F464" s="139" t="s">
        <v>542</v>
      </c>
      <c r="G464" s="26" t="s">
        <v>634</v>
      </c>
      <c r="J464" t="str">
        <f t="shared" si="37"/>
        <v>datatable[448] = new Array("449","440","Assembly, Integration and Testing","11","SEITPM.png");</v>
      </c>
    </row>
    <row r="465" spans="1:10" ht="14.25" customHeight="1">
      <c r="A465" s="138">
        <f t="shared" si="36"/>
        <v>450</v>
      </c>
      <c r="B465" s="138">
        <f>A$455</f>
        <v>440</v>
      </c>
      <c r="C465" s="138">
        <v>11</v>
      </c>
      <c r="D465" s="139" t="s">
        <v>639</v>
      </c>
      <c r="E465" s="139"/>
      <c r="F465" s="139" t="s">
        <v>542</v>
      </c>
      <c r="G465" s="26" t="s">
        <v>634</v>
      </c>
      <c r="J465" t="str">
        <f t="shared" si="37"/>
        <v>datatable[449] = new Array("450","440","Support Equipment","11","SEITPM.png");</v>
      </c>
    </row>
    <row r="466" spans="1:10" ht="14.25" customHeight="1">
      <c r="A466" s="138">
        <f t="shared" si="36"/>
        <v>451</v>
      </c>
      <c r="B466" s="138">
        <f>A$449</f>
        <v>434</v>
      </c>
      <c r="C466" s="138">
        <v>10</v>
      </c>
      <c r="D466" s="139" t="s">
        <v>909</v>
      </c>
      <c r="E466" s="139"/>
      <c r="F466" s="139"/>
      <c r="G466" s="26" t="s">
        <v>554</v>
      </c>
      <c r="J466" t="str">
        <f t="shared" si="37"/>
        <v>datatable[450] = new Array("451","434","Hardware Components","10","Facility.png");</v>
      </c>
    </row>
    <row r="467" spans="1:10" ht="14.25" customHeight="1">
      <c r="A467" s="138">
        <f t="shared" si="36"/>
        <v>452</v>
      </c>
      <c r="B467" s="138">
        <f t="shared" ref="B467:B476" si="38">A$461</f>
        <v>446</v>
      </c>
      <c r="C467" s="138">
        <v>11</v>
      </c>
      <c r="D467" s="141" t="s">
        <v>910</v>
      </c>
      <c r="E467" s="139"/>
      <c r="F467" s="139"/>
      <c r="G467" s="26" t="s">
        <v>554</v>
      </c>
      <c r="J467" t="str">
        <f t="shared" si="37"/>
        <v>datatable[451] = new Array("452","446","Workstations","11","Facility.png");</v>
      </c>
    </row>
    <row r="468" spans="1:10" ht="14.25" customHeight="1">
      <c r="A468" s="138">
        <f t="shared" si="36"/>
        <v>453</v>
      </c>
      <c r="B468" s="138">
        <f t="shared" si="38"/>
        <v>446</v>
      </c>
      <c r="C468" s="138">
        <v>11</v>
      </c>
      <c r="D468" s="141" t="s">
        <v>911</v>
      </c>
      <c r="E468" s="139"/>
      <c r="F468" s="139"/>
      <c r="G468" s="26" t="s">
        <v>554</v>
      </c>
      <c r="J468" t="str">
        <f t="shared" si="37"/>
        <v>datatable[452] = new Array("453","446","Servers","11","Facility.png");</v>
      </c>
    </row>
    <row r="469" spans="1:10" ht="14.25" customHeight="1">
      <c r="A469" s="138">
        <f t="shared" si="36"/>
        <v>454</v>
      </c>
      <c r="B469" s="138">
        <f t="shared" si="38"/>
        <v>446</v>
      </c>
      <c r="C469" s="138">
        <v>11</v>
      </c>
      <c r="D469" s="141" t="s">
        <v>912</v>
      </c>
      <c r="E469" s="139"/>
      <c r="F469" s="139"/>
      <c r="G469" s="26" t="s">
        <v>554</v>
      </c>
      <c r="J469" t="str">
        <f t="shared" si="37"/>
        <v>datatable[453] = new Array("454","446","Storage and Archive","11","Facility.png");</v>
      </c>
    </row>
    <row r="470" spans="1:10" ht="14.25" customHeight="1">
      <c r="A470" s="138">
        <f t="shared" si="36"/>
        <v>455</v>
      </c>
      <c r="B470" s="138">
        <f t="shared" si="38"/>
        <v>446</v>
      </c>
      <c r="C470" s="138">
        <v>11</v>
      </c>
      <c r="D470" s="141" t="s">
        <v>913</v>
      </c>
      <c r="E470" s="139"/>
      <c r="F470" s="139"/>
      <c r="G470" s="26" t="s">
        <v>554</v>
      </c>
      <c r="J470" t="str">
        <f t="shared" si="37"/>
        <v>datatable[454] = new Array("455","446","Network Equipment","11","Facility.png");</v>
      </c>
    </row>
    <row r="471" spans="1:10" ht="14.25" customHeight="1">
      <c r="A471" s="138">
        <f t="shared" si="36"/>
        <v>456</v>
      </c>
      <c r="B471" s="138">
        <f t="shared" si="38"/>
        <v>446</v>
      </c>
      <c r="C471" s="138">
        <v>11</v>
      </c>
      <c r="D471" s="141" t="s">
        <v>914</v>
      </c>
      <c r="E471" s="139"/>
      <c r="F471" s="139"/>
      <c r="G471" s="26" t="s">
        <v>554</v>
      </c>
      <c r="J471" t="str">
        <f t="shared" si="37"/>
        <v>datatable[455] = new Array("456","446","Interface Equipment","11","Facility.png");</v>
      </c>
    </row>
    <row r="472" spans="1:10" ht="14.25" customHeight="1">
      <c r="A472" s="138">
        <f t="shared" si="36"/>
        <v>457</v>
      </c>
      <c r="B472" s="138">
        <f t="shared" si="38"/>
        <v>446</v>
      </c>
      <c r="C472" s="138">
        <v>11</v>
      </c>
      <c r="D472" s="141" t="s">
        <v>915</v>
      </c>
      <c r="E472" s="139"/>
      <c r="F472" s="139"/>
      <c r="G472" s="26" t="s">
        <v>554</v>
      </c>
      <c r="J472" t="str">
        <f t="shared" si="37"/>
        <v>datatable[456] = new Array("457","446","Security Encryption/Decryption","11","Facility.png");</v>
      </c>
    </row>
    <row r="473" spans="1:10" ht="14.25" customHeight="1">
      <c r="A473" s="138">
        <f t="shared" si="36"/>
        <v>458</v>
      </c>
      <c r="B473" s="138">
        <f t="shared" si="38"/>
        <v>446</v>
      </c>
      <c r="C473" s="138">
        <v>11</v>
      </c>
      <c r="D473" s="141" t="s">
        <v>916</v>
      </c>
      <c r="E473" s="139"/>
      <c r="F473" s="139"/>
      <c r="G473" s="26" t="s">
        <v>554</v>
      </c>
      <c r="J473" t="str">
        <f t="shared" si="37"/>
        <v>datatable[457] = new Array("458","446","Data Processing","11","Facility.png");</v>
      </c>
    </row>
    <row r="474" spans="1:10" ht="14.25" customHeight="1">
      <c r="A474" s="138">
        <f t="shared" si="36"/>
        <v>459</v>
      </c>
      <c r="B474" s="138">
        <f t="shared" si="38"/>
        <v>446</v>
      </c>
      <c r="C474" s="138">
        <v>11</v>
      </c>
      <c r="D474" s="141" t="s">
        <v>917</v>
      </c>
      <c r="E474" s="139"/>
      <c r="F474" s="139"/>
      <c r="G474" s="26" t="s">
        <v>554</v>
      </c>
      <c r="J474" t="str">
        <f t="shared" si="37"/>
        <v>datatable[458] = new Array("459","446","COTS Hardware Other (Specify)","11","Facility.png");</v>
      </c>
    </row>
    <row r="475" spans="1:10" ht="14.25" customHeight="1">
      <c r="A475" s="138">
        <f t="shared" si="36"/>
        <v>460</v>
      </c>
      <c r="B475" s="138">
        <f t="shared" si="38"/>
        <v>446</v>
      </c>
      <c r="C475" s="138">
        <v>11</v>
      </c>
      <c r="D475" s="141" t="s">
        <v>918</v>
      </c>
      <c r="E475" s="139"/>
      <c r="F475" s="139"/>
      <c r="G475" s="26" t="s">
        <v>554</v>
      </c>
      <c r="J475" t="str">
        <f t="shared" si="37"/>
        <v>datatable[459] = new Array("460","446","Pre-Operations Maintenance (Specify)","11","Facility.png");</v>
      </c>
    </row>
    <row r="476" spans="1:10" ht="14.25" customHeight="1">
      <c r="A476" s="138">
        <f t="shared" si="36"/>
        <v>461</v>
      </c>
      <c r="B476" s="138">
        <f t="shared" si="38"/>
        <v>446</v>
      </c>
      <c r="C476" s="138">
        <v>11</v>
      </c>
      <c r="D476" s="141" t="s">
        <v>919</v>
      </c>
      <c r="E476" s="139"/>
      <c r="F476" s="139"/>
      <c r="G476" s="26" t="s">
        <v>554</v>
      </c>
      <c r="J476" t="str">
        <f t="shared" si="37"/>
        <v>datatable[460] = new Array("461","446","Environments","11","Facility.png");</v>
      </c>
    </row>
    <row r="477" spans="1:10" ht="14.25" customHeight="1">
      <c r="A477" s="138">
        <f t="shared" si="36"/>
        <v>462</v>
      </c>
      <c r="B477" s="138">
        <f>A$449</f>
        <v>434</v>
      </c>
      <c r="C477" s="138">
        <v>10</v>
      </c>
      <c r="D477" s="140" t="s">
        <v>920</v>
      </c>
      <c r="E477" s="139"/>
      <c r="F477" s="139"/>
      <c r="G477" s="26" t="s">
        <v>554</v>
      </c>
      <c r="J477" t="str">
        <f t="shared" si="37"/>
        <v>datatable[461] = new Array("462","434","SatOps GS Software","10","Facility.png");</v>
      </c>
    </row>
    <row r="478" spans="1:10" ht="14.25" customHeight="1">
      <c r="A478" s="138">
        <f t="shared" si="36"/>
        <v>463</v>
      </c>
      <c r="B478" s="138">
        <f>A477</f>
        <v>462</v>
      </c>
      <c r="C478" s="138">
        <v>11</v>
      </c>
      <c r="D478" s="141" t="s">
        <v>921</v>
      </c>
      <c r="E478" s="139"/>
      <c r="F478" s="139"/>
      <c r="G478" s="26" t="s">
        <v>554</v>
      </c>
      <c r="J478" t="str">
        <f t="shared" si="37"/>
        <v>datatable[462] = new Array("463","462","SW CSCI","11","Facility.png");</v>
      </c>
    </row>
    <row r="479" spans="1:10" ht="14.25" customHeight="1">
      <c r="A479" s="138">
        <f t="shared" si="36"/>
        <v>464</v>
      </c>
      <c r="B479" s="138">
        <f>A$444</f>
        <v>429</v>
      </c>
      <c r="C479" s="138">
        <v>8</v>
      </c>
      <c r="D479" s="142" t="s">
        <v>922</v>
      </c>
      <c r="E479" s="139"/>
      <c r="F479" s="139"/>
      <c r="G479" s="26" t="s">
        <v>554</v>
      </c>
      <c r="J479" t="str">
        <f t="shared" si="37"/>
        <v>datatable[463] = new Array("464","429","NASA Science Operations Centers","8","Facility.png");</v>
      </c>
    </row>
    <row r="480" spans="1:10" ht="14.25" customHeight="1">
      <c r="A480" s="138">
        <f t="shared" si="36"/>
        <v>465</v>
      </c>
      <c r="B480" s="138">
        <f>A$444</f>
        <v>429</v>
      </c>
      <c r="C480" s="138">
        <v>8</v>
      </c>
      <c r="D480" s="142" t="s">
        <v>923</v>
      </c>
      <c r="E480" s="139"/>
      <c r="F480" s="139"/>
      <c r="G480" s="26" t="s">
        <v>554</v>
      </c>
      <c r="J480" t="str">
        <f t="shared" si="37"/>
        <v>datatable[464] = new Array("465","429","HPC (High Performance Computing)","8","Facility.png");</v>
      </c>
    </row>
    <row r="481" spans="1:10" ht="14.25" customHeight="1">
      <c r="A481" s="138">
        <f t="shared" si="36"/>
        <v>466</v>
      </c>
      <c r="B481" s="138">
        <f>A$444</f>
        <v>429</v>
      </c>
      <c r="C481" s="138">
        <v>8</v>
      </c>
      <c r="D481" s="142" t="s">
        <v>924</v>
      </c>
      <c r="E481" s="139"/>
      <c r="F481" s="139"/>
      <c r="G481" s="26" t="s">
        <v>554</v>
      </c>
      <c r="J481" t="str">
        <f t="shared" si="37"/>
        <v>datatable[465] = new Array("466","429","Geospace Observatory","8","Facility.png");</v>
      </c>
    </row>
    <row r="482" spans="1:10" ht="14.25" customHeight="1">
      <c r="A482" s="138">
        <f t="shared" si="36"/>
        <v>467</v>
      </c>
      <c r="B482" s="138">
        <f>A$444</f>
        <v>429</v>
      </c>
      <c r="C482" s="138">
        <v>8</v>
      </c>
      <c r="D482" s="142" t="s">
        <v>925</v>
      </c>
      <c r="E482" s="139"/>
      <c r="F482" s="139"/>
      <c r="G482" s="26" t="s">
        <v>554</v>
      </c>
      <c r="J482" t="str">
        <f t="shared" si="37"/>
        <v>datatable[466] = new Array("467","429","Other SODC (specify)","8","Facility.png");</v>
      </c>
    </row>
    <row r="483" spans="1:10" ht="14.25" customHeight="1">
      <c r="A483" s="138">
        <f t="shared" si="36"/>
        <v>468</v>
      </c>
      <c r="B483" s="138">
        <f>A450</f>
        <v>435</v>
      </c>
      <c r="C483" s="138">
        <v>8</v>
      </c>
      <c r="D483" s="142" t="s">
        <v>926</v>
      </c>
      <c r="E483" s="139"/>
      <c r="F483" s="139"/>
      <c r="G483" s="26" t="s">
        <v>554</v>
      </c>
      <c r="J483" t="str">
        <f t="shared" si="37"/>
        <v>datatable[467] = new Array("468","435"," CSA Terminals and Antennas","8","Facility.png");</v>
      </c>
    </row>
    <row r="484" spans="1:10" ht="14.25" customHeight="1">
      <c r="A484" s="138">
        <f t="shared" si="36"/>
        <v>469</v>
      </c>
      <c r="B484" s="138">
        <f>A$478</f>
        <v>463</v>
      </c>
      <c r="C484" s="138">
        <v>9</v>
      </c>
      <c r="D484" s="142" t="s">
        <v>927</v>
      </c>
      <c r="E484" s="139"/>
      <c r="F484" s="139"/>
      <c r="G484" s="26" t="s">
        <v>554</v>
      </c>
      <c r="J484" t="str">
        <f t="shared" si="37"/>
        <v>datatable[468] = new Array("469","463","CSA St-Hubert Antenna","9","Facility.png");</v>
      </c>
    </row>
    <row r="485" spans="1:10" ht="14.25" customHeight="1">
      <c r="A485" s="138">
        <f t="shared" si="36"/>
        <v>470</v>
      </c>
      <c r="B485" s="138">
        <f>A$478</f>
        <v>463</v>
      </c>
      <c r="C485" s="138">
        <v>9</v>
      </c>
      <c r="D485" s="142" t="s">
        <v>928</v>
      </c>
      <c r="E485" s="139"/>
      <c r="F485" s="139"/>
      <c r="G485" s="26" t="s">
        <v>554</v>
      </c>
      <c r="J485" t="str">
        <f t="shared" si="37"/>
        <v>datatable[469] = new Array("470","463","Ferme Yves Bachand Antenna","9","Facility.png");</v>
      </c>
    </row>
    <row r="486" spans="1:10" ht="14.25" customHeight="1">
      <c r="A486" s="138">
        <f t="shared" ref="A486:A506" si="39">A485+1</f>
        <v>471</v>
      </c>
      <c r="B486" s="138">
        <f>A$478</f>
        <v>463</v>
      </c>
      <c r="C486" s="138">
        <v>9</v>
      </c>
      <c r="D486" s="142" t="s">
        <v>929</v>
      </c>
      <c r="E486" s="139"/>
      <c r="F486" s="139"/>
      <c r="G486" s="26" t="s">
        <v>554</v>
      </c>
      <c r="J486" t="str">
        <f t="shared" si="37"/>
        <v>datatable[470] = new Array("471","463","Ferme Beldor Antenna","9","Facility.png");</v>
      </c>
    </row>
    <row r="487" spans="1:10" ht="14.25" customHeight="1">
      <c r="A487" s="138">
        <f t="shared" si="39"/>
        <v>472</v>
      </c>
      <c r="B487" s="138">
        <f>A$478</f>
        <v>463</v>
      </c>
      <c r="C487" s="138">
        <v>9</v>
      </c>
      <c r="D487" s="142" t="s">
        <v>930</v>
      </c>
      <c r="E487" s="139"/>
      <c r="F487" s="139"/>
      <c r="G487" s="26" t="s">
        <v>554</v>
      </c>
      <c r="J487" t="str">
        <f t="shared" si="37"/>
        <v>datatable[471] = new Array("472","463","Transponder","9","Facility.png");</v>
      </c>
    </row>
    <row r="488" spans="1:10" ht="14.25" customHeight="1">
      <c r="A488" s="138">
        <f t="shared" si="39"/>
        <v>473</v>
      </c>
      <c r="B488" s="138">
        <f>A$446</f>
        <v>431</v>
      </c>
      <c r="C488" s="138">
        <v>8</v>
      </c>
      <c r="D488" s="142" t="s">
        <v>931</v>
      </c>
      <c r="E488" s="139"/>
      <c r="F488" s="139"/>
      <c r="G488" s="26" t="s">
        <v>554</v>
      </c>
      <c r="J488" t="str">
        <f t="shared" si="37"/>
        <v>datatable[472] = new Array("473","431","Digital Earth Canada","8","Facility.png");</v>
      </c>
    </row>
    <row r="489" spans="1:10" ht="14.25" customHeight="1">
      <c r="A489" s="138">
        <f t="shared" si="39"/>
        <v>474</v>
      </c>
      <c r="B489" s="138">
        <f>A$446</f>
        <v>431</v>
      </c>
      <c r="C489" s="138">
        <v>8</v>
      </c>
      <c r="D489" s="142" t="s">
        <v>932</v>
      </c>
      <c r="E489" s="139"/>
      <c r="F489" s="139"/>
      <c r="G489" s="26" t="s">
        <v>554</v>
      </c>
      <c r="J489" t="str">
        <f t="shared" si="37"/>
        <v>datatable[473] = new Array("474","431","Federal Geospatial Platform (FGP)","8","Facility.png");</v>
      </c>
    </row>
    <row r="490" spans="1:10" ht="14.25" customHeight="1">
      <c r="A490" s="138">
        <f t="shared" si="39"/>
        <v>475</v>
      </c>
      <c r="B490" s="138">
        <f>A$446</f>
        <v>431</v>
      </c>
      <c r="C490" s="138">
        <v>8</v>
      </c>
      <c r="D490" s="142" t="s">
        <v>933</v>
      </c>
      <c r="E490" s="139"/>
      <c r="F490" s="139"/>
      <c r="G490" s="26" t="s">
        <v>554</v>
      </c>
      <c r="J490" t="str">
        <f t="shared" si="37"/>
        <v>datatable[474] = new Array("475","431","EODMS","8","Facility.png");</v>
      </c>
    </row>
    <row r="491" spans="1:10" ht="14.25" customHeight="1">
      <c r="A491" s="138">
        <f t="shared" si="39"/>
        <v>476</v>
      </c>
      <c r="B491" s="138">
        <f>A$446</f>
        <v>431</v>
      </c>
      <c r="C491" s="138">
        <v>8</v>
      </c>
      <c r="D491" s="142" t="s">
        <v>934</v>
      </c>
      <c r="E491" s="139"/>
      <c r="F491" s="139"/>
      <c r="G491" s="26" t="s">
        <v>554</v>
      </c>
      <c r="J491" t="str">
        <f t="shared" si="37"/>
        <v>datatable[475] = new Array("476","431","Canadian Astronomy Data Centre","8","Facility.png");</v>
      </c>
    </row>
    <row r="492" spans="1:10" ht="14.25" customHeight="1">
      <c r="A492" s="138">
        <f t="shared" si="39"/>
        <v>477</v>
      </c>
      <c r="B492" s="138">
        <f>A$446</f>
        <v>431</v>
      </c>
      <c r="C492" s="138">
        <v>8</v>
      </c>
      <c r="D492" s="142" t="s">
        <v>935</v>
      </c>
      <c r="E492" s="139"/>
      <c r="F492" s="139"/>
      <c r="G492" s="26" t="s">
        <v>554</v>
      </c>
      <c r="J492" t="str">
        <f t="shared" si="37"/>
        <v>datatable[476] = new Array("477","431","NASA Data Distribution &amp; Archival","8","Facility.png");</v>
      </c>
    </row>
    <row r="493" spans="1:10" ht="14.25" customHeight="1">
      <c r="A493" s="138">
        <f t="shared" si="39"/>
        <v>478</v>
      </c>
      <c r="B493" s="138">
        <f>A452</f>
        <v>437</v>
      </c>
      <c r="C493" s="138">
        <v>8</v>
      </c>
      <c r="D493" s="142" t="s">
        <v>936</v>
      </c>
      <c r="E493" s="139"/>
      <c r="F493" s="139"/>
      <c r="G493" s="26" t="s">
        <v>554</v>
      </c>
      <c r="J493" t="str">
        <f t="shared" si="37"/>
        <v>datatable[477] = new Array("478","437","MMLC","8","Facility.png");</v>
      </c>
    </row>
    <row r="494" spans="1:10" ht="14.25" customHeight="1">
      <c r="A494" s="138">
        <f t="shared" si="39"/>
        <v>479</v>
      </c>
      <c r="B494" s="138">
        <f>A452</f>
        <v>437</v>
      </c>
      <c r="C494" s="138">
        <v>8</v>
      </c>
      <c r="D494" s="142" t="s">
        <v>937</v>
      </c>
      <c r="E494" s="139"/>
      <c r="F494" s="139"/>
      <c r="G494" s="26" t="s">
        <v>554</v>
      </c>
      <c r="J494" t="str">
        <f t="shared" si="37"/>
        <v>datatable[478] = new Array("479","437","MOTS","8","Facility.png");</v>
      </c>
    </row>
    <row r="495" spans="1:10" ht="14.25" customHeight="1">
      <c r="A495" s="143">
        <f t="shared" si="39"/>
        <v>480</v>
      </c>
      <c r="B495" s="143">
        <f>A$22</f>
        <v>14</v>
      </c>
      <c r="C495" s="143">
        <v>7</v>
      </c>
      <c r="D495" s="144" t="s">
        <v>938</v>
      </c>
      <c r="E495" s="144"/>
      <c r="F495" s="145"/>
      <c r="G495" s="26" t="s">
        <v>557</v>
      </c>
      <c r="J495" t="str">
        <f t="shared" si="37"/>
        <v>datatable[479] = new Array("480","14","CSA Mission Operations","7","Ops.png");</v>
      </c>
    </row>
    <row r="496" spans="1:10" ht="14.25" customHeight="1">
      <c r="A496" s="143">
        <f t="shared" si="39"/>
        <v>481</v>
      </c>
      <c r="B496" s="143">
        <f>A$490</f>
        <v>475</v>
      </c>
      <c r="C496" s="143">
        <v>8</v>
      </c>
      <c r="D496" s="144" t="s">
        <v>939</v>
      </c>
      <c r="E496" s="144"/>
      <c r="F496" s="145"/>
      <c r="G496" s="26" t="s">
        <v>557</v>
      </c>
      <c r="J496" t="str">
        <f t="shared" si="37"/>
        <v>datatable[480] = new Array("481","475","CSA SatOps","8","Ops.png");</v>
      </c>
    </row>
    <row r="497" spans="1:10" ht="14.25" customHeight="1">
      <c r="A497" s="143">
        <f t="shared" si="39"/>
        <v>482</v>
      </c>
      <c r="B497" s="143">
        <f>A$490</f>
        <v>475</v>
      </c>
      <c r="C497" s="143">
        <v>8</v>
      </c>
      <c r="D497" s="144" t="s">
        <v>940</v>
      </c>
      <c r="E497" s="144"/>
      <c r="F497" s="145"/>
      <c r="G497" s="26" t="s">
        <v>557</v>
      </c>
      <c r="J497" t="str">
        <f t="shared" si="37"/>
        <v>datatable[481] = new Array("482","475","CSA ISS Ops","8","Ops.png");</v>
      </c>
    </row>
    <row r="498" spans="1:10" ht="14.25" customHeight="1">
      <c r="A498" s="143">
        <f t="shared" si="39"/>
        <v>483</v>
      </c>
      <c r="B498" s="143">
        <f>A$490</f>
        <v>475</v>
      </c>
      <c r="C498" s="143">
        <v>8</v>
      </c>
      <c r="D498" s="144" t="s">
        <v>941</v>
      </c>
      <c r="E498" s="144"/>
      <c r="F498" s="145"/>
      <c r="G498" s="26" t="s">
        <v>557</v>
      </c>
      <c r="J498" t="str">
        <f t="shared" si="37"/>
        <v>datatable[482] = new Array("483","475","CSA ISS Sustaining Engineering","8","Ops.png");</v>
      </c>
    </row>
    <row r="499" spans="1:10" ht="14.25" customHeight="1">
      <c r="A499" s="143">
        <f t="shared" si="39"/>
        <v>484</v>
      </c>
      <c r="B499" s="143">
        <f>A$22</f>
        <v>14</v>
      </c>
      <c r="C499" s="143">
        <v>7</v>
      </c>
      <c r="D499" s="144" t="s">
        <v>942</v>
      </c>
      <c r="E499" s="144"/>
      <c r="F499" s="145"/>
      <c r="G499" s="26" t="s">
        <v>557</v>
      </c>
      <c r="J499" t="str">
        <f t="shared" si="37"/>
        <v>datatable[483] = new Array("484","14","NASA Mission Operations","7","Ops.png");</v>
      </c>
    </row>
    <row r="500" spans="1:10" ht="14.25" customHeight="1">
      <c r="A500" s="143">
        <f t="shared" si="39"/>
        <v>485</v>
      </c>
      <c r="B500" s="143">
        <f>A$22</f>
        <v>14</v>
      </c>
      <c r="C500" s="143">
        <v>7</v>
      </c>
      <c r="D500" s="144" t="s">
        <v>943</v>
      </c>
      <c r="E500" s="145"/>
      <c r="F500" s="145"/>
      <c r="G500" s="26" t="s">
        <v>557</v>
      </c>
      <c r="J500" t="str">
        <f t="shared" si="37"/>
        <v>datatable[484] = new Array("485","14","Industry Partners (Specify)","7","Ops.png");</v>
      </c>
    </row>
    <row r="501" spans="1:10" ht="14.25" customHeight="1">
      <c r="A501" s="124">
        <f t="shared" si="39"/>
        <v>486</v>
      </c>
      <c r="B501" s="124">
        <f>A$23</f>
        <v>15</v>
      </c>
      <c r="C501" s="124">
        <v>7</v>
      </c>
      <c r="D501" s="137" t="s">
        <v>944</v>
      </c>
      <c r="E501" s="137"/>
      <c r="F501" s="137"/>
      <c r="G501" s="26" t="s">
        <v>560</v>
      </c>
      <c r="J501" t="str">
        <f t="shared" si="37"/>
        <v>datatable[485] = new Array("486","15","Mission Science Support","7","Science.png");</v>
      </c>
    </row>
    <row r="502" spans="1:10" ht="14.25" customHeight="1">
      <c r="A502" s="124">
        <f t="shared" si="39"/>
        <v>487</v>
      </c>
      <c r="B502" s="124">
        <f>A$496</f>
        <v>481</v>
      </c>
      <c r="C502" s="124">
        <v>8</v>
      </c>
      <c r="D502" s="137" t="s">
        <v>945</v>
      </c>
      <c r="E502" s="125"/>
      <c r="F502" s="137"/>
      <c r="G502" s="26" t="s">
        <v>560</v>
      </c>
      <c r="J502" t="str">
        <f t="shared" si="37"/>
        <v>datatable[486] = new Array("487","481","Science Maturation Studies &amp; User Requirements","8","Science.png");</v>
      </c>
    </row>
    <row r="503" spans="1:10" ht="14.25" customHeight="1">
      <c r="A503" s="124">
        <f t="shared" si="39"/>
        <v>488</v>
      </c>
      <c r="B503" s="124">
        <f>A$496</f>
        <v>481</v>
      </c>
      <c r="C503" s="124">
        <v>8</v>
      </c>
      <c r="D503" s="137" t="s">
        <v>946</v>
      </c>
      <c r="E503" s="137"/>
      <c r="F503" s="125"/>
      <c r="G503" s="26" t="s">
        <v>560</v>
      </c>
      <c r="J503" t="str">
        <f t="shared" si="37"/>
        <v>datatable[487] = new Array("488","481","Science Support for Mission Development","8","Science.png");</v>
      </c>
    </row>
    <row r="504" spans="1:10" ht="14.25" customHeight="1">
      <c r="A504" s="124">
        <f t="shared" si="39"/>
        <v>489</v>
      </c>
      <c r="B504" s="124">
        <f>A$496</f>
        <v>481</v>
      </c>
      <c r="C504" s="124">
        <v>8</v>
      </c>
      <c r="D504" s="137" t="s">
        <v>947</v>
      </c>
      <c r="E504" s="137"/>
      <c r="F504" s="125"/>
      <c r="G504" s="26" t="s">
        <v>560</v>
      </c>
      <c r="J504" t="str">
        <f t="shared" si="37"/>
        <v>datatable[488] = new Array("489","481","Science Support for Commissioning, Including Cal/Val","8","Science.png");</v>
      </c>
    </row>
    <row r="505" spans="1:10" ht="14.25" customHeight="1">
      <c r="A505" s="124">
        <f t="shared" si="39"/>
        <v>490</v>
      </c>
      <c r="B505" s="124">
        <f>A$496</f>
        <v>481</v>
      </c>
      <c r="C505" s="124">
        <v>8</v>
      </c>
      <c r="D505" s="137" t="s">
        <v>948</v>
      </c>
      <c r="E505" s="137"/>
      <c r="F505" s="125"/>
      <c r="G505" s="26" t="s">
        <v>560</v>
      </c>
      <c r="J505" t="str">
        <f t="shared" si="37"/>
        <v>datatable[489] = new Array("490","481","Science Support for Data Handling","8","Science.png");</v>
      </c>
    </row>
    <row r="506" spans="1:10" ht="14.25" customHeight="1">
      <c r="A506" s="124">
        <f t="shared" si="39"/>
        <v>491</v>
      </c>
      <c r="B506" s="124">
        <f>A$23</f>
        <v>15</v>
      </c>
      <c r="C506" s="124">
        <v>7</v>
      </c>
      <c r="D506" s="137" t="s">
        <v>949</v>
      </c>
      <c r="E506" s="137"/>
      <c r="F506" s="125"/>
      <c r="G506" s="26" t="s">
        <v>560</v>
      </c>
      <c r="J506" t="str">
        <f t="shared" si="37"/>
        <v>datatable[490] = new Array("491","15","Science Utilization &amp; Application Development","7","Science.png");</v>
      </c>
    </row>
    <row r="507" spans="1:10" ht="14.25" customHeight="1">
      <c r="A507" s="17"/>
      <c r="B507" s="17"/>
      <c r="C507" s="17"/>
      <c r="D507" s="146"/>
      <c r="E507" s="146"/>
      <c r="F507" s="146"/>
      <c r="G507" s="146"/>
    </row>
    <row r="508" spans="1:10" ht="14.25" customHeight="1">
      <c r="A508" s="17"/>
      <c r="B508" s="17"/>
      <c r="C508" s="17"/>
      <c r="D508" s="146"/>
      <c r="E508" s="146"/>
    </row>
  </sheetData>
  <mergeCells count="1">
    <mergeCell ref="A1:C1"/>
  </mergeCells>
  <conditionalFormatting sqref="A3:O3 B4:O4">
    <cfRule type="expression" dxfId="198" priority="117">
      <formula>IF($B3="Subsystem", 1, 0)</formula>
    </cfRule>
    <cfRule type="expression" dxfId="197" priority="122">
      <formula>IF($B3="SEITPM", 1, 0)</formula>
    </cfRule>
    <cfRule type="expression" dxfId="196" priority="121">
      <formula>IF($B3="Segment", 1, 0)</formula>
    </cfRule>
    <cfRule type="expression" dxfId="195" priority="120">
      <formula>IF($B3="SoS", 1, 0)</formula>
    </cfRule>
    <cfRule type="expression" dxfId="194" priority="119">
      <formula>IF($B3="System", 1, 0)</formula>
    </cfRule>
    <cfRule type="expression" dxfId="193" priority="118">
      <formula>IF($B3="Assembly", 1, 0)</formula>
    </cfRule>
  </conditionalFormatting>
  <conditionalFormatting sqref="D29 D426:D429">
    <cfRule type="expression" dxfId="192" priority="44">
      <formula>OR($B32 = 3)</formula>
    </cfRule>
    <cfRule type="expression" dxfId="191" priority="43">
      <formula>OR($B32 = 4)</formula>
    </cfRule>
    <cfRule type="expression" dxfId="190" priority="46">
      <formula>OR($B32 = 1)</formula>
    </cfRule>
    <cfRule type="expression" dxfId="189" priority="45">
      <formula>OR($B32 = 2)</formula>
    </cfRule>
  </conditionalFormatting>
  <conditionalFormatting sqref="D30 D61:E61 D62:D66 D295:G295 D296:E300 D302:E302 D303:D308 F308 F318 D325:D332 F332 D344 F344 D351:D360 F360 D367:D377 F377 D391 F391 D411 F411 D419 F419 D426:D433 F433 D434:E436 E437 D495:E499 D500 E501:F501 F502 E503:E505 D506:E506 E507:G507 D508:E508">
    <cfRule type="expression" dxfId="188" priority="41">
      <formula>OR($B30 = 1)</formula>
    </cfRule>
    <cfRule type="expression" dxfId="187" priority="40">
      <formula>OR($B30 = 2)</formula>
    </cfRule>
    <cfRule type="expression" dxfId="186" priority="38">
      <formula>OR($B30 = 4)</formula>
    </cfRule>
    <cfRule type="expression" dxfId="185" priority="39">
      <formula>OR($B30 = 3)</formula>
    </cfRule>
  </conditionalFormatting>
  <conditionalFormatting sqref="D31">
    <cfRule type="expression" dxfId="184" priority="56">
      <formula>OR($B29 = 1)</formula>
    </cfRule>
    <cfRule type="expression" dxfId="183" priority="55">
      <formula>OR($B29 = 2)</formula>
    </cfRule>
    <cfRule type="expression" dxfId="182" priority="53">
      <formula>OR($B29 = 4)</formula>
    </cfRule>
    <cfRule type="expression" dxfId="181" priority="52">
      <formula>OR($B29 = 5)</formula>
    </cfRule>
    <cfRule type="expression" dxfId="180" priority="54">
      <formula>OR($B29 = 3)</formula>
    </cfRule>
  </conditionalFormatting>
  <conditionalFormatting sqref="D32">
    <cfRule type="expression" dxfId="179" priority="47">
      <formula>OR($B34 = 5)</formula>
    </cfRule>
    <cfRule type="expression" dxfId="178" priority="51">
      <formula>OR($B34 = 1)</formula>
    </cfRule>
    <cfRule type="expression" dxfId="177" priority="50">
      <formula>OR($B34 = 2)</formula>
    </cfRule>
    <cfRule type="expression" dxfId="176" priority="49">
      <formula>OR($B34 = 3)</formula>
    </cfRule>
    <cfRule type="expression" dxfId="175" priority="48">
      <formula>OR($B34 = 4)</formula>
    </cfRule>
  </conditionalFormatting>
  <conditionalFormatting sqref="D33:D38">
    <cfRule type="expression" dxfId="174" priority="36">
      <formula>OR($B33 = 1)</formula>
    </cfRule>
    <cfRule type="expression" dxfId="173" priority="32">
      <formula>OR($B33 = 5)</formula>
    </cfRule>
    <cfRule type="expression" dxfId="172" priority="33">
      <formula>OR($B33 = 4)</formula>
    </cfRule>
    <cfRule type="expression" dxfId="171" priority="34">
      <formula>OR($B33 = 3)</formula>
    </cfRule>
    <cfRule type="expression" dxfId="170" priority="35">
      <formula>OR($B33 = 2)</formula>
    </cfRule>
  </conditionalFormatting>
  <conditionalFormatting sqref="D39 D437:D441 D501:D505 D507">
    <cfRule type="expression" dxfId="169" priority="57">
      <formula>OR($B40 = 5)</formula>
    </cfRule>
    <cfRule type="expression" dxfId="168" priority="58">
      <formula>OR($B40 = 4)</formula>
    </cfRule>
    <cfRule type="expression" dxfId="167" priority="59">
      <formula>OR($B40 = 3)</formula>
    </cfRule>
    <cfRule type="expression" dxfId="166" priority="60">
      <formula>OR($B40 = 2)</formula>
    </cfRule>
    <cfRule type="expression" dxfId="165" priority="61">
      <formula>OR($B40 = 1)</formula>
    </cfRule>
  </conditionalFormatting>
  <conditionalFormatting sqref="D40:D47">
    <cfRule type="expression" dxfId="164" priority="31">
      <formula>OR($B40 = 1)</formula>
    </cfRule>
    <cfRule type="expression" dxfId="163" priority="30">
      <formula>OR($B40 = 2)</formula>
    </cfRule>
    <cfRule type="expression" dxfId="162" priority="29">
      <formula>OR($B40 = 3)</formula>
    </cfRule>
    <cfRule type="expression" dxfId="161" priority="28">
      <formula>OR($B40 = 4)</formula>
    </cfRule>
    <cfRule type="expression" dxfId="160" priority="27">
      <formula>OR($B40 = 5)</formula>
    </cfRule>
  </conditionalFormatting>
  <conditionalFormatting sqref="D62:D66 D296:E300 D303:D308 D30 D61:E61 D295:G295 D302:E302 F308 F318 D325:D332 F332 D344 F344 D351:D360 F360 D367:D377 F377 D391 F391 D411 F411 D419 F419 D426:D433 F433 D434:E436 E437 D495:E499 D500 E501:F501 F502 E503:E505 D506:E506 E507:G507 D508:E508">
    <cfRule type="expression" dxfId="159" priority="37">
      <formula>OR($B30 = 5)</formula>
    </cfRule>
  </conditionalFormatting>
  <conditionalFormatting sqref="D62:D66">
    <cfRule type="expression" dxfId="158" priority="26">
      <formula>OR(#REF! = 1)</formula>
    </cfRule>
    <cfRule type="expression" dxfId="157" priority="24">
      <formula>OR(#REF! = 3)</formula>
    </cfRule>
    <cfRule type="expression" dxfId="156" priority="23">
      <formula>OR(#REF! = 4)</formula>
    </cfRule>
    <cfRule type="expression" dxfId="155" priority="22">
      <formula>OR(#REF! = 5)</formula>
    </cfRule>
    <cfRule type="expression" dxfId="154" priority="25">
      <formula>OR(#REF! = 2)</formula>
    </cfRule>
  </conditionalFormatting>
  <conditionalFormatting sqref="D296:D300">
    <cfRule type="expression" dxfId="153" priority="21">
      <formula>OR(#REF! = 1)</formula>
    </cfRule>
    <cfRule type="expression" dxfId="152" priority="20">
      <formula>OR(#REF! = 2)</formula>
    </cfRule>
    <cfRule type="expression" dxfId="151" priority="19">
      <formula>OR(#REF! = 3)</formula>
    </cfRule>
    <cfRule type="expression" dxfId="150" priority="18">
      <formula>OR(#REF! = 4)</formula>
    </cfRule>
    <cfRule type="expression" dxfId="149" priority="17">
      <formula>OR(#REF! = 5)</formula>
    </cfRule>
  </conditionalFormatting>
  <conditionalFormatting sqref="D303:D307">
    <cfRule type="expression" dxfId="148" priority="7">
      <formula>OR(#REF! = 5)</formula>
    </cfRule>
    <cfRule type="expression" dxfId="147" priority="8">
      <formula>OR(#REF! = 4)</formula>
    </cfRule>
    <cfRule type="expression" dxfId="146" priority="9">
      <formula>OR(#REF! = 3)</formula>
    </cfRule>
    <cfRule type="expression" dxfId="145" priority="11">
      <formula>OR(#REF! = 1)</formula>
    </cfRule>
    <cfRule type="expression" dxfId="144" priority="10">
      <formula>OR(#REF! = 2)</formula>
    </cfRule>
  </conditionalFormatting>
  <conditionalFormatting sqref="D315:D318">
    <cfRule type="expression" dxfId="143" priority="3">
      <formula>OR($B315 = 4)</formula>
    </cfRule>
    <cfRule type="expression" dxfId="142" priority="4">
      <formula>OR($B315 = 3)</formula>
    </cfRule>
    <cfRule type="expression" dxfId="141" priority="5">
      <formula>OR($B315 = 2)</formula>
    </cfRule>
    <cfRule type="expression" dxfId="140" priority="6">
      <formula>OR($B315 = 1)</formula>
    </cfRule>
    <cfRule type="expression" dxfId="139" priority="2">
      <formula>OR($B315 = 5)</formula>
    </cfRule>
  </conditionalFormatting>
  <conditionalFormatting sqref="D325:D331">
    <cfRule type="expression" dxfId="138" priority="62">
      <formula>OR($B337 = 5)</formula>
    </cfRule>
    <cfRule type="expression" dxfId="137" priority="63">
      <formula>OR($B337 = 4)</formula>
    </cfRule>
    <cfRule type="expression" dxfId="136" priority="64">
      <formula>OR($B337 = 3)</formula>
    </cfRule>
    <cfRule type="expression" dxfId="135" priority="65">
      <formula>OR($B337 = 2)</formula>
    </cfRule>
    <cfRule type="expression" dxfId="134" priority="66">
      <formula>OR($B337 = 1)</formula>
    </cfRule>
  </conditionalFormatting>
  <conditionalFormatting sqref="D339:D343">
    <cfRule type="expression" dxfId="133" priority="67">
      <formula>OR(#REF! = 5)</formula>
    </cfRule>
    <cfRule type="expression" dxfId="132" priority="68">
      <formula>OR(#REF! = 4)</formula>
    </cfRule>
    <cfRule type="expression" dxfId="131" priority="69">
      <formula>OR(#REF! = 3)</formula>
    </cfRule>
    <cfRule type="expression" dxfId="130" priority="70">
      <formula>OR(#REF! = 2)</formula>
    </cfRule>
    <cfRule type="expression" dxfId="129" priority="71">
      <formula>OR(#REF! = 1)</formula>
    </cfRule>
  </conditionalFormatting>
  <conditionalFormatting sqref="D351:D353 D355:D359">
    <cfRule type="expression" dxfId="128" priority="72">
      <formula>OR($B357 = 5)</formula>
    </cfRule>
    <cfRule type="expression" dxfId="127" priority="73">
      <formula>OR($B357 = 4)</formula>
    </cfRule>
    <cfRule type="expression" dxfId="126" priority="74">
      <formula>OR($B357 = 3)</formula>
    </cfRule>
    <cfRule type="expression" dxfId="125" priority="75">
      <formula>OR($B357 = 2)</formula>
    </cfRule>
    <cfRule type="expression" dxfId="124" priority="76">
      <formula>OR($B357 = 1)</formula>
    </cfRule>
  </conditionalFormatting>
  <conditionalFormatting sqref="D354">
    <cfRule type="expression" dxfId="123" priority="77">
      <formula>OR(#REF! = 5)</formula>
    </cfRule>
    <cfRule type="expression" dxfId="122" priority="78">
      <formula>OR(#REF! = 4)</formula>
    </cfRule>
    <cfRule type="expression" dxfId="121" priority="79">
      <formula>OR(#REF! = 3)</formula>
    </cfRule>
    <cfRule type="expression" dxfId="120" priority="80">
      <formula>OR(#REF! = 2)</formula>
    </cfRule>
    <cfRule type="expression" dxfId="119" priority="81">
      <formula>OR(#REF! = 1)</formula>
    </cfRule>
  </conditionalFormatting>
  <conditionalFormatting sqref="D367:D372 D374:D376">
    <cfRule type="expression" dxfId="118" priority="82">
      <formula>OR($B371 = 5)</formula>
    </cfRule>
    <cfRule type="expression" dxfId="117" priority="83">
      <formula>OR($B371 = 4)</formula>
    </cfRule>
    <cfRule type="expression" dxfId="116" priority="84">
      <formula>OR($B371 = 3)</formula>
    </cfRule>
    <cfRule type="expression" dxfId="115" priority="85">
      <formula>OR($B371 = 2)</formula>
    </cfRule>
    <cfRule type="expression" dxfId="114" priority="86">
      <formula>OR($B371 = 1)</formula>
    </cfRule>
  </conditionalFormatting>
  <conditionalFormatting sqref="D373">
    <cfRule type="expression" dxfId="113" priority="87">
      <formula>OR(#REF! = 5)</formula>
    </cfRule>
    <cfRule type="expression" dxfId="112" priority="88">
      <formula>OR(#REF! = 4)</formula>
    </cfRule>
    <cfRule type="expression" dxfId="111" priority="89">
      <formula>OR(#REF! = 3)</formula>
    </cfRule>
    <cfRule type="expression" dxfId="110" priority="90">
      <formula>OR(#REF! = 2)</formula>
    </cfRule>
    <cfRule type="expression" dxfId="109" priority="91">
      <formula>OR(#REF! = 1)</formula>
    </cfRule>
  </conditionalFormatting>
  <conditionalFormatting sqref="D384:D390">
    <cfRule type="expression" dxfId="108" priority="92">
      <formula>OR($B393 = 5)</formula>
    </cfRule>
    <cfRule type="expression" dxfId="107" priority="93">
      <formula>OR($B393 = 4)</formula>
    </cfRule>
    <cfRule type="expression" dxfId="106" priority="94">
      <formula>OR($B393 = 3)</formula>
    </cfRule>
    <cfRule type="expression" dxfId="105" priority="95">
      <formula>OR($B393 = 2)</formula>
    </cfRule>
    <cfRule type="expression" dxfId="104" priority="96">
      <formula>OR($B393 = 1)</formula>
    </cfRule>
  </conditionalFormatting>
  <conditionalFormatting sqref="D398:D403 D405:D410">
    <cfRule type="expression" dxfId="103" priority="98">
      <formula>OR($B405 = 4)</formula>
    </cfRule>
    <cfRule type="expression" dxfId="102" priority="99">
      <formula>OR($B405 = 3)</formula>
    </cfRule>
    <cfRule type="expression" dxfId="101" priority="100">
      <formula>OR($B405 = 2)</formula>
    </cfRule>
    <cfRule type="expression" dxfId="100" priority="101">
      <formula>OR($B405 = 1)</formula>
    </cfRule>
    <cfRule type="expression" dxfId="99" priority="97">
      <formula>OR($B405 = 5)</formula>
    </cfRule>
  </conditionalFormatting>
  <conditionalFormatting sqref="D404">
    <cfRule type="expression" dxfId="98" priority="102">
      <formula>OR(#REF! = 5)</formula>
    </cfRule>
    <cfRule type="expression" dxfId="97" priority="103">
      <formula>OR(#REF! = 4)</formula>
    </cfRule>
    <cfRule type="expression" dxfId="96" priority="104">
      <formula>OR(#REF! = 3)</formula>
    </cfRule>
    <cfRule type="expression" dxfId="95" priority="105">
      <formula>OR(#REF! = 2)</formula>
    </cfRule>
    <cfRule type="expression" dxfId="94" priority="106">
      <formula>OR(#REF! = 1)</formula>
    </cfRule>
  </conditionalFormatting>
  <conditionalFormatting sqref="D418">
    <cfRule type="expression" dxfId="93" priority="108">
      <formula>OR($B423 = 4)</formula>
    </cfRule>
    <cfRule type="expression" dxfId="92" priority="109">
      <formula>OR($B423 = 3)</formula>
    </cfRule>
    <cfRule type="expression" dxfId="91" priority="110">
      <formula>OR($B423 = 2)</formula>
    </cfRule>
    <cfRule type="expression" dxfId="90" priority="111">
      <formula>OR($B423 = 1)</formula>
    </cfRule>
    <cfRule type="expression" dxfId="89" priority="107">
      <formula>OR($B423 = 5)</formula>
    </cfRule>
  </conditionalFormatting>
  <conditionalFormatting sqref="D426:D429 D29">
    <cfRule type="expression" dxfId="88" priority="42">
      <formula>OR($B32 = 5)</formula>
    </cfRule>
  </conditionalFormatting>
  <conditionalFormatting sqref="D430:D432">
    <cfRule type="expression" dxfId="87" priority="112">
      <formula>OR(#REF! = 5)</formula>
    </cfRule>
    <cfRule type="expression" dxfId="86" priority="113">
      <formula>OR(#REF! = 4)</formula>
    </cfRule>
    <cfRule type="expression" dxfId="85" priority="114">
      <formula>OR(#REF! = 3)</formula>
    </cfRule>
    <cfRule type="expression" dxfId="84" priority="116">
      <formula>OR(#REF! = 1)</formula>
    </cfRule>
    <cfRule type="expression" dxfId="83" priority="115">
      <formula>OR(#REF! = 2)</formula>
    </cfRule>
  </conditionalFormatting>
  <conditionalFormatting sqref="D301:F301">
    <cfRule type="expression" dxfId="82" priority="16">
      <formula>OR($B301 = 1)</formula>
    </cfRule>
    <cfRule type="expression" dxfId="81" priority="15">
      <formula>OR($B301 = 2)</formula>
    </cfRule>
    <cfRule type="expression" dxfId="80" priority="14">
      <formula>OR($B301 = 3)</formula>
    </cfRule>
    <cfRule type="expression" dxfId="79" priority="13">
      <formula>OR($B301 = 4)</formula>
    </cfRule>
    <cfRule type="expression" dxfId="78" priority="12">
      <formula>OR($B301 = 5)</formula>
    </cfRule>
  </conditionalFormatting>
  <dataValidations count="1">
    <dataValidation type="list" allowBlank="1" showInputMessage="1" showErrorMessage="1" sqref="F8:F10 F17:F22 F29:F67 D68 F69:F75 D76:D80 F81 D82:D88 D94:D104 F105:F295 D106:D112 D118:D129 D131:D157 D159:D188 D190:D224 D226:D282 D284:D294 D296:D300 F301 E302 D303:D307 F303:F502 D309:D314 D319:D331 D333:D343 D345:D359 D361:D376 D378:D390 D392:D410 D412:D418 D420:D432 D442:D447 D460:D465 D502:D505 D507 F507" xr:uid="{00000000-0002-0000-0600-000000000000}">
      <formula1>Depth2</formula1>
      <formula2>0</formula2>
    </dataValidation>
  </dataValidations>
  <hyperlinks>
    <hyperlink ref="A1" location="'Table of contents'!A1" display="` Table of Contents" xr:uid="{00000000-0004-0000-0600-000000000000}"/>
  </hyperlink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3"/>
  <sheetViews>
    <sheetView topLeftCell="A47" zoomScaleNormal="100" workbookViewId="0">
      <selection sqref="A1:B1"/>
    </sheetView>
  </sheetViews>
  <sheetFormatPr defaultColWidth="8.7109375" defaultRowHeight="15"/>
  <cols>
    <col min="1" max="1" width="12.42578125" customWidth="1"/>
    <col min="2" max="2" width="30.7109375" customWidth="1"/>
    <col min="3" max="3" width="36.42578125" customWidth="1"/>
    <col min="4" max="4" width="73" customWidth="1"/>
    <col min="5" max="5" width="27" customWidth="1"/>
    <col min="6" max="6" width="21.85546875" customWidth="1"/>
    <col min="7" max="14" width="5" customWidth="1"/>
  </cols>
  <sheetData>
    <row r="1" spans="1:14" ht="14.25" customHeight="1">
      <c r="A1" s="4" t="s">
        <v>56</v>
      </c>
      <c r="B1" s="4"/>
      <c r="C1" s="147"/>
    </row>
    <row r="3" spans="1:14" ht="31.5" customHeight="1">
      <c r="A3" s="18" t="s">
        <v>950</v>
      </c>
      <c r="B3" s="44"/>
      <c r="C3" s="20"/>
      <c r="D3" s="20"/>
      <c r="E3" s="20"/>
      <c r="F3" s="20"/>
      <c r="G3" s="20"/>
      <c r="H3" s="20"/>
      <c r="I3" s="20"/>
      <c r="J3" s="20"/>
      <c r="K3" s="20"/>
      <c r="L3" s="20"/>
      <c r="M3" s="20"/>
      <c r="N3" s="20"/>
    </row>
    <row r="4" spans="1:14" ht="14.25" customHeight="1">
      <c r="A4" t="s">
        <v>58</v>
      </c>
      <c r="B4" t="s">
        <v>21</v>
      </c>
    </row>
    <row r="5" spans="1:14" ht="14.25" customHeight="1">
      <c r="A5" s="45" t="s">
        <v>90</v>
      </c>
      <c r="B5" s="58"/>
      <c r="C5" s="58"/>
    </row>
    <row r="6" spans="1:14" ht="14.25" customHeight="1">
      <c r="A6" s="45"/>
      <c r="B6" s="45" t="s">
        <v>951</v>
      </c>
      <c r="C6" s="58"/>
    </row>
    <row r="7" spans="1:14" ht="14.25" customHeight="1">
      <c r="A7" s="45"/>
      <c r="B7" s="45" t="s">
        <v>952</v>
      </c>
      <c r="C7" s="58"/>
    </row>
    <row r="10" spans="1:14" ht="82.5" customHeight="1">
      <c r="A10" s="148" t="s">
        <v>953</v>
      </c>
      <c r="B10" s="148" t="s">
        <v>954</v>
      </c>
      <c r="C10" s="148" t="s">
        <v>955</v>
      </c>
      <c r="D10" s="148" t="s">
        <v>956</v>
      </c>
      <c r="E10" s="149" t="s">
        <v>957</v>
      </c>
      <c r="F10" s="148" t="s">
        <v>958</v>
      </c>
      <c r="G10" s="150" t="s">
        <v>959</v>
      </c>
      <c r="H10" s="150" t="s">
        <v>960</v>
      </c>
      <c r="I10" s="150" t="s">
        <v>961</v>
      </c>
      <c r="J10" s="150" t="s">
        <v>549</v>
      </c>
      <c r="K10" s="150" t="s">
        <v>551</v>
      </c>
      <c r="L10" s="150" t="s">
        <v>478</v>
      </c>
      <c r="M10" s="150" t="s">
        <v>556</v>
      </c>
      <c r="N10" s="150" t="s">
        <v>559</v>
      </c>
    </row>
    <row r="11" spans="1:14" ht="14.25" customHeight="1">
      <c r="A11" s="151" t="s">
        <v>962</v>
      </c>
      <c r="B11" s="151" t="s">
        <v>963</v>
      </c>
      <c r="C11" s="151" t="s">
        <v>964</v>
      </c>
      <c r="D11" s="151" t="s">
        <v>965</v>
      </c>
      <c r="E11" s="152" t="s">
        <v>966</v>
      </c>
      <c r="F11" s="152" t="s">
        <v>967</v>
      </c>
      <c r="G11" s="118" t="s">
        <v>968</v>
      </c>
      <c r="H11" s="118" t="s">
        <v>968</v>
      </c>
      <c r="I11" s="118" t="s">
        <v>968</v>
      </c>
      <c r="J11" s="118"/>
      <c r="K11" s="118"/>
      <c r="L11" s="118"/>
      <c r="M11" s="118"/>
      <c r="N11" s="118"/>
    </row>
    <row r="12" spans="1:14" ht="14.25" customHeight="1">
      <c r="A12" s="151" t="s">
        <v>969</v>
      </c>
      <c r="B12" s="120" t="s">
        <v>970</v>
      </c>
      <c r="C12" s="120" t="s">
        <v>971</v>
      </c>
      <c r="D12" s="120" t="s">
        <v>972</v>
      </c>
      <c r="E12" s="152" t="s">
        <v>973</v>
      </c>
      <c r="F12" s="153" t="s">
        <v>974</v>
      </c>
      <c r="G12" s="118"/>
      <c r="H12" s="118"/>
      <c r="I12" s="118" t="s">
        <v>968</v>
      </c>
      <c r="J12" s="118" t="s">
        <v>968</v>
      </c>
      <c r="K12" s="118"/>
      <c r="L12" s="118"/>
      <c r="M12" s="118"/>
      <c r="N12" s="118"/>
    </row>
    <row r="13" spans="1:14" ht="14.25" customHeight="1">
      <c r="A13" s="151" t="s">
        <v>969</v>
      </c>
      <c r="B13" s="120" t="s">
        <v>975</v>
      </c>
      <c r="C13" s="120" t="s">
        <v>976</v>
      </c>
      <c r="D13" s="120" t="s">
        <v>977</v>
      </c>
      <c r="E13" s="152" t="s">
        <v>978</v>
      </c>
      <c r="F13" s="153" t="s">
        <v>974</v>
      </c>
      <c r="G13" s="118"/>
      <c r="H13" s="118"/>
      <c r="I13" s="118" t="s">
        <v>968</v>
      </c>
      <c r="J13" s="118" t="s">
        <v>968</v>
      </c>
      <c r="K13" s="118"/>
      <c r="L13" s="118"/>
      <c r="M13" s="118"/>
      <c r="N13" s="118"/>
    </row>
    <row r="14" spans="1:14" ht="14.25" customHeight="1">
      <c r="A14" s="151" t="s">
        <v>969</v>
      </c>
      <c r="B14" s="120" t="s">
        <v>979</v>
      </c>
      <c r="C14" s="120" t="s">
        <v>980</v>
      </c>
      <c r="D14" s="120" t="s">
        <v>981</v>
      </c>
      <c r="E14" s="152" t="s">
        <v>978</v>
      </c>
      <c r="F14" s="153" t="s">
        <v>974</v>
      </c>
      <c r="G14" s="118"/>
      <c r="H14" s="118"/>
      <c r="I14" s="118" t="s">
        <v>968</v>
      </c>
      <c r="J14" s="118" t="s">
        <v>968</v>
      </c>
      <c r="K14" s="118"/>
      <c r="L14" s="118"/>
      <c r="M14" s="118"/>
      <c r="N14" s="118"/>
    </row>
    <row r="15" spans="1:14" ht="14.25" customHeight="1">
      <c r="A15" s="151" t="s">
        <v>969</v>
      </c>
      <c r="B15" s="120" t="s">
        <v>982</v>
      </c>
      <c r="C15" s="120" t="s">
        <v>983</v>
      </c>
      <c r="D15" s="120" t="s">
        <v>984</v>
      </c>
      <c r="E15" s="152" t="s">
        <v>978</v>
      </c>
      <c r="F15" s="153" t="s">
        <v>974</v>
      </c>
      <c r="G15" s="118"/>
      <c r="H15" s="118"/>
      <c r="I15" s="118" t="s">
        <v>968</v>
      </c>
      <c r="J15" s="118" t="s">
        <v>968</v>
      </c>
      <c r="K15" s="118"/>
      <c r="L15" s="118"/>
      <c r="M15" s="118"/>
      <c r="N15" s="118"/>
    </row>
    <row r="16" spans="1:14" ht="14.25" customHeight="1">
      <c r="A16" s="120" t="s">
        <v>969</v>
      </c>
      <c r="B16" s="120" t="s">
        <v>985</v>
      </c>
      <c r="C16" s="120" t="s">
        <v>986</v>
      </c>
      <c r="D16" s="120" t="s">
        <v>987</v>
      </c>
      <c r="E16" s="153" t="s">
        <v>978</v>
      </c>
      <c r="F16" s="153" t="s">
        <v>974</v>
      </c>
      <c r="G16" s="118"/>
      <c r="H16" s="118"/>
      <c r="I16" s="118" t="s">
        <v>968</v>
      </c>
      <c r="J16" s="118" t="s">
        <v>968</v>
      </c>
      <c r="K16" s="118"/>
      <c r="L16" s="118"/>
      <c r="M16" s="118"/>
      <c r="N16" s="118"/>
    </row>
    <row r="17" spans="1:14" ht="14.25" customHeight="1">
      <c r="A17" s="120" t="s">
        <v>969</v>
      </c>
      <c r="B17" s="120" t="s">
        <v>988</v>
      </c>
      <c r="C17" s="120" t="s">
        <v>989</v>
      </c>
      <c r="D17" s="120" t="s">
        <v>990</v>
      </c>
      <c r="E17" s="153" t="s">
        <v>978</v>
      </c>
      <c r="F17" s="153" t="s">
        <v>974</v>
      </c>
      <c r="G17" s="118"/>
      <c r="H17" s="118"/>
      <c r="I17" s="118" t="s">
        <v>968</v>
      </c>
      <c r="J17" s="118"/>
      <c r="K17" s="118" t="s">
        <v>968</v>
      </c>
      <c r="L17" s="118" t="s">
        <v>968</v>
      </c>
      <c r="M17" s="118"/>
      <c r="N17" s="118"/>
    </row>
    <row r="18" spans="1:14" ht="14.25" customHeight="1">
      <c r="A18" s="120" t="s">
        <v>969</v>
      </c>
      <c r="B18" s="120" t="s">
        <v>991</v>
      </c>
      <c r="C18" s="120" t="s">
        <v>992</v>
      </c>
      <c r="D18" s="120" t="s">
        <v>993</v>
      </c>
      <c r="E18" s="153" t="s">
        <v>978</v>
      </c>
      <c r="F18" s="153" t="s">
        <v>974</v>
      </c>
      <c r="G18" s="118"/>
      <c r="H18" s="118"/>
      <c r="I18" s="118" t="s">
        <v>968</v>
      </c>
      <c r="J18" s="118" t="s">
        <v>968</v>
      </c>
      <c r="K18" s="118"/>
      <c r="L18" s="118"/>
      <c r="M18" s="118"/>
      <c r="N18" s="118"/>
    </row>
    <row r="19" spans="1:14" ht="14.25" customHeight="1">
      <c r="A19" s="120" t="s">
        <v>969</v>
      </c>
      <c r="B19" s="120" t="s">
        <v>994</v>
      </c>
      <c r="C19" s="120" t="s">
        <v>995</v>
      </c>
      <c r="D19" s="120" t="s">
        <v>996</v>
      </c>
      <c r="E19" s="153" t="s">
        <v>997</v>
      </c>
      <c r="F19" s="153" t="s">
        <v>998</v>
      </c>
      <c r="G19" s="118"/>
      <c r="H19" s="118"/>
      <c r="I19" s="118"/>
      <c r="J19" s="118"/>
      <c r="K19" s="118" t="s">
        <v>968</v>
      </c>
      <c r="L19" s="118"/>
      <c r="M19" s="118"/>
      <c r="N19" s="118"/>
    </row>
    <row r="20" spans="1:14" ht="14.25" customHeight="1">
      <c r="A20" s="120" t="s">
        <v>969</v>
      </c>
      <c r="B20" s="120" t="s">
        <v>999</v>
      </c>
      <c r="C20" s="120" t="s">
        <v>1000</v>
      </c>
      <c r="D20" s="120" t="s">
        <v>1001</v>
      </c>
      <c r="E20" s="153" t="s">
        <v>978</v>
      </c>
      <c r="F20" s="153" t="s">
        <v>1002</v>
      </c>
      <c r="G20" s="118"/>
      <c r="H20" s="118"/>
      <c r="I20" s="118"/>
      <c r="J20" s="118"/>
      <c r="K20" s="118" t="s">
        <v>968</v>
      </c>
      <c r="L20" s="118"/>
      <c r="M20" s="118" t="s">
        <v>968</v>
      </c>
      <c r="N20" s="118"/>
    </row>
    <row r="21" spans="1:14" ht="14.25" customHeight="1">
      <c r="A21" s="154"/>
      <c r="B21" s="154"/>
      <c r="C21" s="154"/>
      <c r="D21" s="154"/>
      <c r="E21" s="155"/>
      <c r="F21" s="155"/>
      <c r="G21" s="156"/>
      <c r="H21" s="156"/>
      <c r="I21" s="156"/>
      <c r="J21" s="156"/>
      <c r="K21" s="156"/>
      <c r="L21" s="156"/>
      <c r="M21" s="156"/>
      <c r="N21" s="156"/>
    </row>
    <row r="22" spans="1:14" ht="14.25" customHeight="1">
      <c r="A22" s="128" t="s">
        <v>1003</v>
      </c>
      <c r="B22" s="128" t="s">
        <v>1004</v>
      </c>
      <c r="C22" s="128" t="s">
        <v>1005</v>
      </c>
      <c r="D22" s="128" t="s">
        <v>1006</v>
      </c>
      <c r="E22" s="157" t="s">
        <v>1007</v>
      </c>
      <c r="F22" s="157" t="s">
        <v>1008</v>
      </c>
      <c r="G22" s="126"/>
      <c r="H22" s="126"/>
      <c r="I22" s="126"/>
      <c r="J22" s="126"/>
      <c r="K22" s="126"/>
      <c r="L22" s="126"/>
      <c r="M22" s="126" t="s">
        <v>968</v>
      </c>
      <c r="N22" s="126" t="s">
        <v>968</v>
      </c>
    </row>
    <row r="23" spans="1:14" ht="14.25" customHeight="1">
      <c r="A23" s="128" t="s">
        <v>1003</v>
      </c>
      <c r="B23" s="128" t="s">
        <v>1009</v>
      </c>
      <c r="C23" s="128" t="s">
        <v>1010</v>
      </c>
      <c r="D23" s="128" t="s">
        <v>1011</v>
      </c>
      <c r="E23" s="157" t="s">
        <v>1007</v>
      </c>
      <c r="F23" s="157" t="s">
        <v>1012</v>
      </c>
      <c r="G23" s="126"/>
      <c r="H23" s="126"/>
      <c r="I23" s="126" t="s">
        <v>968</v>
      </c>
      <c r="J23" s="126"/>
      <c r="K23" s="126"/>
      <c r="L23" s="126" t="s">
        <v>968</v>
      </c>
      <c r="M23" s="126" t="s">
        <v>968</v>
      </c>
      <c r="N23" s="126"/>
    </row>
    <row r="24" spans="1:14" ht="14.25" customHeight="1">
      <c r="A24" s="128" t="s">
        <v>1003</v>
      </c>
      <c r="B24" s="128" t="s">
        <v>1013</v>
      </c>
      <c r="C24" s="128" t="s">
        <v>1014</v>
      </c>
      <c r="D24" s="128" t="s">
        <v>1015</v>
      </c>
      <c r="E24" s="157" t="s">
        <v>1007</v>
      </c>
      <c r="F24" s="157" t="s">
        <v>1008</v>
      </c>
      <c r="G24" s="126"/>
      <c r="H24" s="126"/>
      <c r="I24" s="126"/>
      <c r="J24" s="126"/>
      <c r="K24" s="126"/>
      <c r="L24" s="126"/>
      <c r="M24" s="126" t="s">
        <v>968</v>
      </c>
      <c r="N24" s="126" t="s">
        <v>968</v>
      </c>
    </row>
    <row r="25" spans="1:14" ht="14.25" customHeight="1">
      <c r="A25" s="154"/>
      <c r="B25" s="154"/>
      <c r="C25" s="154"/>
      <c r="D25" s="154"/>
      <c r="E25" s="155"/>
      <c r="F25" s="155"/>
      <c r="G25" s="156"/>
      <c r="H25" s="156"/>
      <c r="I25" s="156"/>
      <c r="J25" s="156"/>
      <c r="K25" s="156"/>
      <c r="L25" s="156"/>
      <c r="M25" s="156"/>
      <c r="N25" s="156"/>
    </row>
    <row r="26" spans="1:14" ht="14.25" customHeight="1">
      <c r="A26" s="59" t="s">
        <v>1016</v>
      </c>
      <c r="B26" s="59" t="s">
        <v>1017</v>
      </c>
      <c r="C26" s="59" t="s">
        <v>1018</v>
      </c>
      <c r="D26" s="59" t="s">
        <v>1019</v>
      </c>
      <c r="E26" s="59" t="s">
        <v>1020</v>
      </c>
      <c r="F26" s="158" t="s">
        <v>1021</v>
      </c>
      <c r="G26" s="159" t="s">
        <v>968</v>
      </c>
      <c r="H26" s="159" t="s">
        <v>968</v>
      </c>
      <c r="I26" s="159" t="s">
        <v>968</v>
      </c>
      <c r="J26" s="159" t="s">
        <v>968</v>
      </c>
      <c r="K26" s="159"/>
      <c r="L26" s="159" t="s">
        <v>968</v>
      </c>
      <c r="M26" s="159" t="s">
        <v>968</v>
      </c>
      <c r="N26" s="159" t="s">
        <v>968</v>
      </c>
    </row>
    <row r="27" spans="1:14" ht="14.25" customHeight="1">
      <c r="A27" s="59" t="s">
        <v>1016</v>
      </c>
      <c r="B27" s="59" t="s">
        <v>1022</v>
      </c>
      <c r="C27" s="59" t="s">
        <v>1023</v>
      </c>
      <c r="D27" s="59" t="s">
        <v>1024</v>
      </c>
      <c r="E27" s="158" t="s">
        <v>1020</v>
      </c>
      <c r="F27" s="158" t="s">
        <v>1021</v>
      </c>
      <c r="G27" s="159" t="s">
        <v>968</v>
      </c>
      <c r="H27" s="159" t="s">
        <v>968</v>
      </c>
      <c r="I27" s="159" t="s">
        <v>968</v>
      </c>
      <c r="J27" s="159" t="s">
        <v>968</v>
      </c>
      <c r="K27" s="159"/>
      <c r="L27" s="159"/>
      <c r="M27" s="159" t="s">
        <v>968</v>
      </c>
      <c r="N27" s="159" t="s">
        <v>968</v>
      </c>
    </row>
    <row r="28" spans="1:14" ht="14.25" customHeight="1">
      <c r="A28" s="154"/>
      <c r="B28" s="154"/>
      <c r="C28" s="154"/>
      <c r="D28" s="154"/>
      <c r="E28" s="155"/>
      <c r="F28" s="155"/>
      <c r="G28" s="156"/>
      <c r="H28" s="156"/>
      <c r="I28" s="156"/>
      <c r="J28" s="156"/>
      <c r="K28" s="156"/>
      <c r="L28" s="156"/>
      <c r="M28" s="156"/>
      <c r="N28" s="156"/>
    </row>
    <row r="29" spans="1:14" ht="14.25" customHeight="1">
      <c r="A29" s="51" t="s">
        <v>962</v>
      </c>
      <c r="B29" s="51" t="s">
        <v>1025</v>
      </c>
      <c r="C29" s="51" t="s">
        <v>1026</v>
      </c>
      <c r="D29" s="51" t="s">
        <v>1027</v>
      </c>
      <c r="E29" s="160" t="s">
        <v>1028</v>
      </c>
      <c r="F29" s="160" t="s">
        <v>1029</v>
      </c>
      <c r="G29" s="46" t="s">
        <v>968</v>
      </c>
      <c r="H29" s="46"/>
      <c r="I29" s="46" t="s">
        <v>968</v>
      </c>
      <c r="J29" s="46"/>
      <c r="K29" s="46"/>
      <c r="L29" s="46" t="s">
        <v>968</v>
      </c>
      <c r="M29" s="46" t="s">
        <v>968</v>
      </c>
      <c r="N29" s="46"/>
    </row>
    <row r="30" spans="1:14" ht="14.25" customHeight="1">
      <c r="A30" s="51" t="s">
        <v>962</v>
      </c>
      <c r="B30" s="51" t="s">
        <v>1030</v>
      </c>
      <c r="C30" s="51" t="s">
        <v>1031</v>
      </c>
      <c r="D30" s="51" t="s">
        <v>1032</v>
      </c>
      <c r="E30" s="160" t="s">
        <v>1028</v>
      </c>
      <c r="F30" s="160" t="s">
        <v>1029</v>
      </c>
      <c r="G30" s="46" t="s">
        <v>968</v>
      </c>
      <c r="H30" s="46"/>
      <c r="I30" s="46" t="s">
        <v>968</v>
      </c>
      <c r="J30" s="46"/>
      <c r="K30" s="46"/>
      <c r="L30" s="46" t="s">
        <v>968</v>
      </c>
      <c r="M30" s="46" t="s">
        <v>968</v>
      </c>
      <c r="N30" s="46"/>
    </row>
    <row r="31" spans="1:14" ht="14.25" customHeight="1">
      <c r="A31" s="51" t="s">
        <v>962</v>
      </c>
      <c r="B31" s="51" t="s">
        <v>1033</v>
      </c>
      <c r="C31" s="51" t="s">
        <v>1034</v>
      </c>
      <c r="D31" s="51" t="s">
        <v>1035</v>
      </c>
      <c r="E31" s="160" t="s">
        <v>1028</v>
      </c>
      <c r="F31" s="160" t="s">
        <v>1036</v>
      </c>
      <c r="G31" s="46" t="s">
        <v>968</v>
      </c>
      <c r="H31" s="46"/>
      <c r="I31" s="46" t="s">
        <v>968</v>
      </c>
      <c r="J31" s="46" t="s">
        <v>968</v>
      </c>
      <c r="K31" s="46"/>
      <c r="L31" s="46" t="s">
        <v>968</v>
      </c>
      <c r="M31" s="46" t="s">
        <v>968</v>
      </c>
      <c r="N31" s="46"/>
    </row>
    <row r="32" spans="1:14" ht="14.25" customHeight="1">
      <c r="A32" s="51"/>
      <c r="B32" s="51"/>
      <c r="C32" s="51"/>
      <c r="D32" s="51"/>
      <c r="E32" s="160"/>
      <c r="F32" s="160"/>
      <c r="G32" s="46"/>
      <c r="H32" s="46"/>
      <c r="I32" s="46"/>
      <c r="J32" s="46"/>
      <c r="K32" s="46"/>
      <c r="L32" s="46"/>
      <c r="M32" s="46"/>
      <c r="N32" s="46"/>
    </row>
    <row r="33" spans="1:14" ht="14.25" customHeight="1">
      <c r="A33" s="51"/>
      <c r="B33" s="51"/>
      <c r="C33" s="51"/>
      <c r="D33" s="51"/>
      <c r="E33" s="160"/>
      <c r="F33" s="160"/>
      <c r="G33" s="46"/>
      <c r="H33" s="46"/>
      <c r="I33" s="46"/>
      <c r="J33" s="46"/>
      <c r="K33" s="46"/>
      <c r="L33" s="46"/>
      <c r="M33" s="46"/>
      <c r="N33" s="46"/>
    </row>
  </sheetData>
  <mergeCells count="1">
    <mergeCell ref="A1:B1"/>
  </mergeCells>
  <conditionalFormatting sqref="A3:C7">
    <cfRule type="expression" dxfId="77" priority="2">
      <formula>IF($B3="Subsystem", 1, 0)</formula>
    </cfRule>
    <cfRule type="expression" dxfId="76" priority="3">
      <formula>IF($B3="Assembly", 1, 0)</formula>
    </cfRule>
    <cfRule type="expression" dxfId="75" priority="4">
      <formula>IF($B3="System", 1, 0)</formula>
    </cfRule>
    <cfRule type="expression" dxfId="74" priority="5">
      <formula>IF($B3="SoS", 1, 0)</formula>
    </cfRule>
    <cfRule type="expression" dxfId="73" priority="6">
      <formula>IF($B3="Segment", 1, 0)</formula>
    </cfRule>
    <cfRule type="expression" dxfId="72" priority="7">
      <formula>IF($B3="SEITPM", 1, 0)</formula>
    </cfRule>
  </conditionalFormatting>
  <hyperlinks>
    <hyperlink ref="A1" location="'Table of contents'!A1" display="` Table of Contents" xr:uid="{00000000-0004-0000-0700-000000000000}"/>
  </hyperlinks>
  <pageMargins left="0.7" right="0.7" top="0.75" bottom="0.75" header="0.3" footer="0.511811023622047"/>
  <pageSetup orientation="portrait" horizontalDpi="300" verticalDpi="300"/>
  <headerFooter>
    <oddHeader>&amp;R&amp;"arial,Regular"&amp;1 &amp;Kff0000PROTÉGÉ B / PROTECTED B#</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7"/>
  <sheetViews>
    <sheetView zoomScale="106" zoomScaleNormal="106" workbookViewId="0">
      <selection activeCell="J36" sqref="J36"/>
    </sheetView>
  </sheetViews>
  <sheetFormatPr defaultColWidth="0" defaultRowHeight="15" zeroHeight="1"/>
  <cols>
    <col min="1" max="1" width="9.140625" customWidth="1"/>
    <col min="2" max="2" width="13.7109375" customWidth="1"/>
    <col min="3" max="3" width="21.28515625" customWidth="1"/>
    <col min="4" max="4" width="2.5703125" customWidth="1"/>
    <col min="5" max="5" width="10.5703125" customWidth="1"/>
    <col min="6" max="6" width="8.5703125" customWidth="1"/>
    <col min="7" max="7" width="35.42578125" customWidth="1"/>
    <col min="8" max="8" width="9.140625"/>
    <col min="9" max="9" width="14.7109375" customWidth="1"/>
    <col min="10" max="10" width="19.7109375" customWidth="1"/>
    <col min="11" max="11" width="13.140625" hidden="1" customWidth="1"/>
    <col min="12" max="16" width="9.140625" hidden="1"/>
    <col min="17" max="19" width="13" hidden="1" customWidth="1"/>
    <col min="20" max="16384" width="9.140625" hidden="1"/>
  </cols>
  <sheetData>
    <row r="1" spans="1:10" ht="14.25" customHeight="1">
      <c r="A1" s="4" t="s">
        <v>56</v>
      </c>
      <c r="B1" s="4"/>
    </row>
    <row r="3" spans="1:10" ht="30.75" customHeight="1">
      <c r="A3" s="18" t="s">
        <v>1037</v>
      </c>
      <c r="B3" s="20"/>
      <c r="C3" s="20"/>
      <c r="D3" s="20"/>
      <c r="E3" s="20"/>
      <c r="F3" s="20"/>
      <c r="I3" s="16" t="s">
        <v>1038</v>
      </c>
    </row>
    <row r="4" spans="1:10" ht="14.25" customHeight="1">
      <c r="A4" t="s">
        <v>504</v>
      </c>
    </row>
    <row r="5" spans="1:10" ht="14.25" customHeight="1">
      <c r="B5" t="s">
        <v>1039</v>
      </c>
    </row>
    <row r="6" spans="1:10" ht="14.25" customHeight="1">
      <c r="B6" t="s">
        <v>1040</v>
      </c>
    </row>
    <row r="7" spans="1:10" ht="14.25" customHeight="1">
      <c r="B7" t="s">
        <v>1041</v>
      </c>
    </row>
    <row r="10" spans="1:10" ht="14.25" customHeight="1">
      <c r="B10" t="s">
        <v>1042</v>
      </c>
      <c r="F10" t="s">
        <v>1043</v>
      </c>
    </row>
    <row r="11" spans="1:10" ht="14.25" customHeight="1">
      <c r="A11" s="357" t="s">
        <v>1044</v>
      </c>
      <c r="B11" s="357"/>
      <c r="C11" s="357"/>
      <c r="E11" s="358" t="s">
        <v>1044</v>
      </c>
      <c r="F11" s="358"/>
      <c r="G11" s="358"/>
      <c r="I11" s="59" t="s">
        <v>1044</v>
      </c>
    </row>
    <row r="12" spans="1:10" ht="14.25" customHeight="1">
      <c r="A12" s="359" t="s">
        <v>1045</v>
      </c>
      <c r="B12" s="359"/>
      <c r="C12" s="359"/>
      <c r="E12" s="360" t="s">
        <v>1046</v>
      </c>
      <c r="F12" s="360"/>
      <c r="G12" s="360"/>
      <c r="I12" s="162" t="s">
        <v>1047</v>
      </c>
    </row>
    <row r="13" spans="1:10" ht="14.25" customHeight="1">
      <c r="A13" s="163"/>
      <c r="B13" s="163"/>
      <c r="C13" s="163"/>
      <c r="D13" s="164"/>
      <c r="E13" s="361" t="s">
        <v>1048</v>
      </c>
      <c r="F13" s="165" t="s">
        <v>1049</v>
      </c>
      <c r="G13" s="165" t="s">
        <v>1050</v>
      </c>
      <c r="H13" s="166"/>
      <c r="I13" s="167"/>
      <c r="J13" s="168"/>
    </row>
    <row r="14" spans="1:10" ht="14.25" customHeight="1">
      <c r="A14" s="362" t="s">
        <v>1051</v>
      </c>
      <c r="B14" s="363" t="s">
        <v>1052</v>
      </c>
      <c r="C14" s="169" t="s">
        <v>1053</v>
      </c>
      <c r="D14" s="164"/>
      <c r="E14" s="361"/>
      <c r="F14" s="165" t="s">
        <v>1054</v>
      </c>
      <c r="G14" s="165" t="s">
        <v>1055</v>
      </c>
      <c r="H14" s="166"/>
      <c r="I14" s="170"/>
      <c r="J14" s="168"/>
    </row>
    <row r="15" spans="1:10" ht="14.25" customHeight="1">
      <c r="A15" s="362"/>
      <c r="B15" s="362"/>
      <c r="C15" s="169" t="s">
        <v>1056</v>
      </c>
      <c r="D15" s="164"/>
      <c r="E15" s="361" t="s">
        <v>1057</v>
      </c>
      <c r="F15" s="165" t="s">
        <v>1056</v>
      </c>
      <c r="G15" s="165" t="s">
        <v>1058</v>
      </c>
      <c r="H15" s="166"/>
      <c r="I15" s="170" t="s">
        <v>1056</v>
      </c>
      <c r="J15" s="168"/>
    </row>
    <row r="16" spans="1:10" ht="14.25" customHeight="1">
      <c r="A16" s="362" t="s">
        <v>1059</v>
      </c>
      <c r="B16" s="363" t="s">
        <v>1060</v>
      </c>
      <c r="C16" s="169" t="s">
        <v>1061</v>
      </c>
      <c r="D16" s="164"/>
      <c r="E16" s="361"/>
      <c r="F16" s="165" t="s">
        <v>429</v>
      </c>
      <c r="G16" s="165" t="s">
        <v>213</v>
      </c>
      <c r="H16" s="166"/>
      <c r="I16" s="170" t="s">
        <v>429</v>
      </c>
      <c r="J16" s="168"/>
    </row>
    <row r="17" spans="1:10" ht="14.25" customHeight="1">
      <c r="A17" s="362"/>
      <c r="B17" s="362"/>
      <c r="C17" s="169" t="s">
        <v>1062</v>
      </c>
      <c r="D17" s="164"/>
      <c r="E17" s="361" t="s">
        <v>430</v>
      </c>
      <c r="F17" s="165" t="s">
        <v>206</v>
      </c>
      <c r="G17" s="165" t="s">
        <v>1063</v>
      </c>
      <c r="H17" s="166"/>
      <c r="I17" s="170" t="s">
        <v>206</v>
      </c>
      <c r="J17" s="168"/>
    </row>
    <row r="18" spans="1:10" ht="14.25" customHeight="1">
      <c r="A18" s="362"/>
      <c r="B18" s="363"/>
      <c r="C18" s="169" t="s">
        <v>1064</v>
      </c>
      <c r="D18" s="164"/>
      <c r="E18" s="361"/>
      <c r="F18" s="165" t="s">
        <v>171</v>
      </c>
      <c r="G18" s="165" t="s">
        <v>1065</v>
      </c>
      <c r="H18" s="166"/>
      <c r="I18" s="170" t="s">
        <v>171</v>
      </c>
      <c r="J18" s="168"/>
    </row>
    <row r="19" spans="1:10" ht="14.25" customHeight="1">
      <c r="A19" s="362"/>
      <c r="B19" s="363" t="s">
        <v>1066</v>
      </c>
      <c r="C19" s="362" t="s">
        <v>1067</v>
      </c>
      <c r="D19" s="164"/>
      <c r="E19" s="364" t="s">
        <v>115</v>
      </c>
      <c r="F19" s="165" t="s">
        <v>431</v>
      </c>
      <c r="G19" s="165" t="s">
        <v>1068</v>
      </c>
      <c r="H19" s="166"/>
      <c r="I19" s="170" t="s">
        <v>115</v>
      </c>
      <c r="J19" s="168"/>
    </row>
    <row r="20" spans="1:10" ht="14.25" customHeight="1">
      <c r="A20" s="362"/>
      <c r="B20" s="362"/>
      <c r="C20" s="362"/>
      <c r="D20" s="164"/>
      <c r="E20" s="364"/>
      <c r="F20" s="165" t="s">
        <v>432</v>
      </c>
      <c r="G20" s="165" t="s">
        <v>1069</v>
      </c>
      <c r="H20" s="166"/>
      <c r="I20" s="170" t="s">
        <v>115</v>
      </c>
      <c r="J20" s="168"/>
    </row>
    <row r="21" spans="1:10" ht="14.25" customHeight="1">
      <c r="A21" s="362"/>
      <c r="B21" s="362"/>
      <c r="C21" s="362"/>
      <c r="D21" s="164"/>
      <c r="E21" s="364"/>
      <c r="F21" s="165" t="s">
        <v>433</v>
      </c>
      <c r="G21" s="165" t="s">
        <v>1070</v>
      </c>
      <c r="H21" s="166"/>
      <c r="I21" s="170" t="s">
        <v>115</v>
      </c>
      <c r="J21" s="168"/>
    </row>
    <row r="22" spans="1:10" ht="14.25" customHeight="1">
      <c r="A22" s="362" t="s">
        <v>1071</v>
      </c>
      <c r="B22" s="363" t="s">
        <v>1072</v>
      </c>
      <c r="C22" s="365" t="s">
        <v>1073</v>
      </c>
      <c r="D22" s="164"/>
      <c r="E22" s="165" t="s">
        <v>1074</v>
      </c>
      <c r="F22" s="165" t="s">
        <v>1074</v>
      </c>
      <c r="G22" s="165" t="s">
        <v>1075</v>
      </c>
      <c r="H22" s="166"/>
      <c r="I22" s="170" t="s">
        <v>1074</v>
      </c>
      <c r="J22" s="168"/>
    </row>
    <row r="23" spans="1:10" ht="14.25" customHeight="1">
      <c r="A23" s="362"/>
      <c r="B23" s="362"/>
      <c r="C23" s="362"/>
      <c r="D23" s="164"/>
      <c r="E23" s="165" t="s">
        <v>1076</v>
      </c>
      <c r="F23" s="165" t="s">
        <v>1077</v>
      </c>
      <c r="G23" s="165" t="s">
        <v>1078</v>
      </c>
      <c r="H23" s="166"/>
      <c r="I23" s="170"/>
      <c r="J23" s="168"/>
    </row>
    <row r="24" spans="1:10" ht="14.25" customHeight="1">
      <c r="A24" s="362"/>
      <c r="B24" s="362"/>
      <c r="C24" s="362"/>
      <c r="D24" s="164"/>
      <c r="E24" s="165" t="s">
        <v>1079</v>
      </c>
      <c r="F24" s="165" t="s">
        <v>1079</v>
      </c>
      <c r="G24" s="165" t="s">
        <v>1080</v>
      </c>
      <c r="H24" s="166"/>
      <c r="I24" s="170" t="s">
        <v>1079</v>
      </c>
      <c r="J24" s="168"/>
    </row>
    <row r="25" spans="1:10" ht="14.25" customHeight="1">
      <c r="A25" s="163"/>
      <c r="B25" s="163"/>
      <c r="C25" s="163"/>
      <c r="D25" s="164"/>
      <c r="E25" s="165" t="s">
        <v>1081</v>
      </c>
      <c r="F25" s="165" t="s">
        <v>1081</v>
      </c>
      <c r="G25" s="165" t="s">
        <v>1082</v>
      </c>
      <c r="H25" s="166"/>
      <c r="I25" s="170"/>
      <c r="J25" s="168"/>
    </row>
    <row r="26" spans="1:10" ht="14.25" customHeight="1">
      <c r="I26" s="170"/>
    </row>
    <row r="27" spans="1:10" ht="15" customHeight="1"/>
  </sheetData>
  <mergeCells count="18">
    <mergeCell ref="A22:A24"/>
    <mergeCell ref="B22:B24"/>
    <mergeCell ref="C22:C24"/>
    <mergeCell ref="E13:E14"/>
    <mergeCell ref="A14:A15"/>
    <mergeCell ref="B14:B15"/>
    <mergeCell ref="E15:E16"/>
    <mergeCell ref="A16:A21"/>
    <mergeCell ref="B16:B18"/>
    <mergeCell ref="E17:E18"/>
    <mergeCell ref="B19:B21"/>
    <mergeCell ref="C19:C21"/>
    <mergeCell ref="E19:E21"/>
    <mergeCell ref="A1:B1"/>
    <mergeCell ref="A11:C11"/>
    <mergeCell ref="E11:G11"/>
    <mergeCell ref="A12:C12"/>
    <mergeCell ref="E12:G12"/>
  </mergeCells>
  <hyperlinks>
    <hyperlink ref="A1" location="'Table of contents'!A1" display="` Table of Contents" xr:uid="{00000000-0004-0000-0800-000000000000}"/>
  </hyperlinks>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B68"/>
  <sheetViews>
    <sheetView zoomScaleNormal="100" workbookViewId="0"/>
  </sheetViews>
  <sheetFormatPr defaultColWidth="8.7109375" defaultRowHeight="15"/>
  <cols>
    <col min="1" max="1" width="12" customWidth="1"/>
    <col min="2" max="3" width="19.5703125" customWidth="1"/>
    <col min="4" max="4" width="13.85546875" customWidth="1"/>
    <col min="5" max="5" width="12.85546875" customWidth="1"/>
    <col min="6" max="6" width="10.85546875" customWidth="1"/>
    <col min="7" max="7" width="9.85546875" customWidth="1"/>
    <col min="8" max="48" width="8.42578125" customWidth="1"/>
  </cols>
  <sheetData>
    <row r="1" spans="1:80" ht="14.25" customHeight="1">
      <c r="A1" s="4" t="s">
        <v>56</v>
      </c>
      <c r="B1" s="4"/>
    </row>
    <row r="3" spans="1:80" ht="31.5" customHeight="1">
      <c r="A3" s="18" t="s">
        <v>1083</v>
      </c>
      <c r="B3" s="20"/>
      <c r="C3" s="20"/>
      <c r="D3" s="20"/>
      <c r="E3" s="20"/>
      <c r="F3" s="20"/>
      <c r="G3" s="20"/>
      <c r="H3" s="20"/>
    </row>
    <row r="4" spans="1:80" ht="14.25" customHeight="1">
      <c r="A4" t="s">
        <v>504</v>
      </c>
    </row>
    <row r="5" spans="1:80" ht="14.25" customHeight="1">
      <c r="B5" t="s">
        <v>1084</v>
      </c>
    </row>
    <row r="6" spans="1:80" ht="14.25" customHeight="1">
      <c r="B6" t="s">
        <v>1085</v>
      </c>
    </row>
    <row r="7" spans="1:80" ht="14.25" customHeight="1">
      <c r="B7" t="s">
        <v>1086</v>
      </c>
    </row>
    <row r="9" spans="1:80" ht="14.25" customHeight="1">
      <c r="B9" s="171" t="s">
        <v>1087</v>
      </c>
      <c r="C9" s="172">
        <v>1</v>
      </c>
      <c r="D9" s="173"/>
      <c r="E9" s="173"/>
      <c r="F9" s="173"/>
      <c r="G9" s="173"/>
      <c r="H9" s="173"/>
      <c r="I9" s="173"/>
      <c r="J9" s="173"/>
      <c r="K9" s="173"/>
      <c r="L9" s="173"/>
      <c r="M9" s="366" t="s">
        <v>1088</v>
      </c>
      <c r="N9" s="366"/>
      <c r="O9" s="366"/>
    </row>
    <row r="10" spans="1:80" ht="14.25" customHeight="1">
      <c r="B10" s="171" t="s">
        <v>1089</v>
      </c>
      <c r="C10" s="174" t="s">
        <v>1090</v>
      </c>
      <c r="D10" s="173"/>
      <c r="E10" s="173"/>
      <c r="F10" s="173"/>
      <c r="G10" s="173"/>
      <c r="H10" s="173"/>
      <c r="I10" s="173"/>
      <c r="J10" s="173"/>
      <c r="K10" s="173"/>
      <c r="L10" s="173"/>
      <c r="M10" s="366"/>
      <c r="N10" s="366"/>
      <c r="O10" s="366"/>
    </row>
    <row r="11" spans="1:80" ht="14.25" customHeight="1">
      <c r="B11" s="171" t="s">
        <v>1091</v>
      </c>
      <c r="C11" s="174" t="s">
        <v>1092</v>
      </c>
      <c r="D11" s="173"/>
      <c r="E11" s="173"/>
      <c r="F11" s="173"/>
      <c r="G11" s="173"/>
      <c r="H11" s="173"/>
      <c r="I11" s="173"/>
      <c r="J11" s="173"/>
      <c r="K11" s="173"/>
      <c r="L11" s="173"/>
      <c r="M11" s="366"/>
      <c r="N11" s="366"/>
      <c r="O11" s="366"/>
    </row>
    <row r="12" spans="1:80" ht="14.25" customHeight="1">
      <c r="B12" s="171" t="s">
        <v>1093</v>
      </c>
      <c r="C12" s="174" t="s">
        <v>1094</v>
      </c>
      <c r="D12" s="173"/>
      <c r="E12" s="173"/>
      <c r="F12" s="173"/>
      <c r="G12" s="173"/>
      <c r="H12" s="173"/>
      <c r="I12" s="173"/>
      <c r="J12" s="173"/>
      <c r="K12" s="173"/>
      <c r="L12" s="173"/>
      <c r="M12" s="366"/>
      <c r="N12" s="366"/>
      <c r="O12" s="366"/>
    </row>
    <row r="13" spans="1:80" ht="14.25" customHeight="1">
      <c r="B13" s="171" t="s">
        <v>1095</v>
      </c>
      <c r="C13" s="174" t="s">
        <v>1096</v>
      </c>
      <c r="D13" s="173"/>
      <c r="E13" s="173"/>
      <c r="F13" s="173"/>
      <c r="G13" s="173"/>
      <c r="H13" s="173"/>
      <c r="I13" s="173"/>
      <c r="J13" s="173"/>
      <c r="K13" s="173"/>
      <c r="L13" s="173"/>
      <c r="M13" s="366"/>
      <c r="N13" s="366"/>
      <c r="O13" s="366"/>
    </row>
    <row r="15" spans="1:80" ht="14.25" customHeight="1">
      <c r="B15" s="175" t="s">
        <v>99</v>
      </c>
      <c r="C15" s="175" t="s">
        <v>1097</v>
      </c>
      <c r="D15" s="175" t="s">
        <v>1098</v>
      </c>
      <c r="E15" s="161" t="s">
        <v>1099</v>
      </c>
      <c r="F15" s="161" t="s">
        <v>1100</v>
      </c>
      <c r="G15" s="176">
        <v>2020</v>
      </c>
      <c r="H15" s="176">
        <v>2021</v>
      </c>
      <c r="I15" s="176">
        <v>2022</v>
      </c>
      <c r="J15" s="176">
        <v>2023</v>
      </c>
      <c r="K15" s="176">
        <v>2024</v>
      </c>
      <c r="L15" s="176">
        <v>2025</v>
      </c>
      <c r="M15" s="176">
        <v>2026</v>
      </c>
      <c r="N15" s="176">
        <v>2027</v>
      </c>
      <c r="O15" s="176">
        <v>2028</v>
      </c>
      <c r="P15" s="176">
        <v>2029</v>
      </c>
      <c r="Q15" s="176">
        <v>2030</v>
      </c>
      <c r="R15" s="176">
        <v>2031</v>
      </c>
      <c r="S15" s="176">
        <v>2032</v>
      </c>
      <c r="T15" s="176">
        <v>2033</v>
      </c>
      <c r="U15" s="176">
        <v>2034</v>
      </c>
      <c r="V15" s="176">
        <v>2035</v>
      </c>
      <c r="W15" s="176">
        <v>2036</v>
      </c>
      <c r="X15" s="176">
        <v>2037</v>
      </c>
      <c r="Y15" s="176">
        <v>2038</v>
      </c>
      <c r="Z15" s="176">
        <v>2039</v>
      </c>
      <c r="AA15" s="176">
        <v>2040</v>
      </c>
      <c r="AB15" s="176">
        <v>2041</v>
      </c>
      <c r="AC15" s="176">
        <v>2042</v>
      </c>
      <c r="AD15" s="176">
        <v>2043</v>
      </c>
      <c r="AE15" s="176">
        <v>2044</v>
      </c>
      <c r="AF15" s="176">
        <v>2045</v>
      </c>
      <c r="AG15" s="176">
        <v>2046</v>
      </c>
      <c r="AH15" s="176">
        <v>2047</v>
      </c>
      <c r="AI15" s="176">
        <v>2048</v>
      </c>
      <c r="AJ15" s="176">
        <v>2049</v>
      </c>
      <c r="AK15" s="176">
        <v>2050</v>
      </c>
      <c r="AL15" s="176">
        <v>2051</v>
      </c>
      <c r="AM15" s="176">
        <v>2052</v>
      </c>
      <c r="AN15" s="176">
        <v>2053</v>
      </c>
      <c r="AO15" s="176">
        <v>2054</v>
      </c>
      <c r="AP15" s="176">
        <v>2055</v>
      </c>
      <c r="AQ15" s="176">
        <v>2056</v>
      </c>
      <c r="AR15" s="176">
        <v>2057</v>
      </c>
      <c r="AS15" s="176">
        <v>2058</v>
      </c>
      <c r="AT15" s="176">
        <v>2059</v>
      </c>
      <c r="AU15" s="176">
        <v>2060</v>
      </c>
      <c r="AV15" s="177">
        <v>2061</v>
      </c>
      <c r="AW15" s="177">
        <v>2062</v>
      </c>
      <c r="AX15" s="177">
        <v>2063</v>
      </c>
      <c r="AY15" s="177">
        <v>2064</v>
      </c>
      <c r="AZ15" s="177">
        <v>2065</v>
      </c>
      <c r="BA15" s="177">
        <v>2066</v>
      </c>
      <c r="BB15" s="177">
        <v>2067</v>
      </c>
      <c r="BC15" s="177">
        <v>2068</v>
      </c>
      <c r="BD15" s="177">
        <v>2069</v>
      </c>
      <c r="BE15" s="177">
        <v>2070</v>
      </c>
      <c r="BF15" s="177">
        <v>2071</v>
      </c>
      <c r="BG15" s="177">
        <v>2072</v>
      </c>
      <c r="BH15" s="177">
        <v>2073</v>
      </c>
      <c r="BI15" s="177">
        <v>2074</v>
      </c>
      <c r="BJ15" s="177">
        <v>2075</v>
      </c>
      <c r="BK15" s="177">
        <v>2076</v>
      </c>
      <c r="BL15" s="177">
        <v>2077</v>
      </c>
      <c r="BM15" s="177">
        <v>2078</v>
      </c>
      <c r="BN15" s="177">
        <v>2079</v>
      </c>
      <c r="BO15" s="177">
        <v>2080</v>
      </c>
      <c r="BP15" s="177">
        <v>2081</v>
      </c>
      <c r="BQ15" s="177">
        <v>2082</v>
      </c>
      <c r="BR15" s="177">
        <v>2083</v>
      </c>
      <c r="BS15" s="177">
        <v>2084</v>
      </c>
      <c r="BT15" s="177">
        <v>2085</v>
      </c>
      <c r="BU15" s="177">
        <v>2086</v>
      </c>
      <c r="BV15" s="177">
        <v>2087</v>
      </c>
      <c r="BW15" s="177">
        <v>2088</v>
      </c>
      <c r="BX15" s="177">
        <v>2089</v>
      </c>
      <c r="BY15" s="177">
        <v>2090</v>
      </c>
      <c r="BZ15" s="177">
        <v>2091</v>
      </c>
      <c r="CA15" s="177">
        <v>2092</v>
      </c>
      <c r="CB15" s="177">
        <v>2093</v>
      </c>
    </row>
    <row r="16" spans="1:80" ht="14.25" customHeight="1">
      <c r="A16" t="s">
        <v>1056</v>
      </c>
      <c r="B16" s="178">
        <v>46023</v>
      </c>
      <c r="C16" s="178">
        <v>46752</v>
      </c>
      <c r="D16" s="179">
        <v>730</v>
      </c>
      <c r="E16" s="52">
        <v>24</v>
      </c>
      <c r="F16" s="52">
        <v>9.9</v>
      </c>
      <c r="G16" s="180">
        <v>0</v>
      </c>
      <c r="H16" s="180">
        <v>0</v>
      </c>
      <c r="I16" s="180">
        <v>0</v>
      </c>
      <c r="J16" s="180">
        <v>0</v>
      </c>
      <c r="K16" s="180">
        <v>0</v>
      </c>
      <c r="L16" s="180">
        <v>0</v>
      </c>
      <c r="M16" s="180">
        <v>3</v>
      </c>
      <c r="N16" s="180">
        <v>12</v>
      </c>
      <c r="O16" s="180">
        <v>9</v>
      </c>
      <c r="P16" s="180">
        <v>0</v>
      </c>
      <c r="Q16" s="180">
        <v>0</v>
      </c>
      <c r="R16" s="180">
        <v>0</v>
      </c>
      <c r="S16" s="180">
        <v>0</v>
      </c>
      <c r="T16" s="180">
        <v>0</v>
      </c>
      <c r="U16" s="180">
        <v>0</v>
      </c>
      <c r="V16" s="180">
        <v>0</v>
      </c>
      <c r="W16" s="180">
        <v>0</v>
      </c>
      <c r="X16" s="180">
        <v>0</v>
      </c>
      <c r="Y16" s="180">
        <v>0</v>
      </c>
      <c r="Z16" s="180">
        <v>0</v>
      </c>
      <c r="AA16" s="180">
        <v>0</v>
      </c>
      <c r="AB16" s="180">
        <v>0</v>
      </c>
      <c r="AC16" s="180">
        <v>0</v>
      </c>
      <c r="AD16" s="180">
        <v>0</v>
      </c>
      <c r="AE16" s="180">
        <v>0</v>
      </c>
      <c r="AF16" s="180">
        <v>0</v>
      </c>
      <c r="AG16" s="180">
        <v>0</v>
      </c>
      <c r="AH16" s="180">
        <v>0</v>
      </c>
      <c r="AI16" s="180">
        <v>0</v>
      </c>
      <c r="AJ16" s="180">
        <v>0</v>
      </c>
      <c r="AK16" s="180">
        <v>0</v>
      </c>
      <c r="AL16" s="180">
        <v>0</v>
      </c>
      <c r="AM16" s="180">
        <v>0</v>
      </c>
      <c r="AN16" s="180">
        <v>0</v>
      </c>
      <c r="AO16" s="180">
        <v>0</v>
      </c>
      <c r="AP16" s="180">
        <v>0</v>
      </c>
      <c r="AQ16" s="180">
        <v>0</v>
      </c>
      <c r="AR16" s="180">
        <v>0</v>
      </c>
      <c r="AS16" s="180">
        <v>0</v>
      </c>
      <c r="AT16" s="180">
        <v>0</v>
      </c>
      <c r="AU16" s="180">
        <v>0</v>
      </c>
      <c r="AV16" s="181">
        <v>0</v>
      </c>
      <c r="AW16" s="181">
        <v>0</v>
      </c>
      <c r="AX16" s="181">
        <v>0</v>
      </c>
      <c r="AY16" s="181">
        <v>0</v>
      </c>
      <c r="AZ16" s="181">
        <v>0</v>
      </c>
      <c r="BA16" s="181">
        <v>0</v>
      </c>
      <c r="BB16" s="181">
        <v>0</v>
      </c>
      <c r="BC16" s="181">
        <v>0</v>
      </c>
      <c r="BD16" s="181">
        <v>0</v>
      </c>
      <c r="BE16" s="181">
        <v>0</v>
      </c>
      <c r="BF16" s="181">
        <v>0</v>
      </c>
      <c r="BG16" s="181">
        <v>0</v>
      </c>
      <c r="BH16" s="181">
        <v>0</v>
      </c>
      <c r="BI16" s="181">
        <v>0</v>
      </c>
      <c r="BJ16" s="181">
        <v>0</v>
      </c>
      <c r="BK16" s="181">
        <v>0</v>
      </c>
      <c r="BL16" s="181">
        <v>0</v>
      </c>
      <c r="BM16" s="181">
        <v>0</v>
      </c>
      <c r="BN16" s="181">
        <v>0</v>
      </c>
      <c r="BO16" s="181">
        <v>0</v>
      </c>
      <c r="BP16" s="181">
        <v>0</v>
      </c>
      <c r="BQ16" s="181">
        <v>0</v>
      </c>
      <c r="BR16" s="181">
        <v>0</v>
      </c>
      <c r="BS16" s="181">
        <v>0</v>
      </c>
      <c r="BT16" s="181">
        <v>0</v>
      </c>
      <c r="BU16" s="181">
        <v>0</v>
      </c>
      <c r="BV16" s="181">
        <v>0</v>
      </c>
      <c r="BW16" s="181">
        <v>0</v>
      </c>
      <c r="BX16" s="181">
        <v>0</v>
      </c>
      <c r="BY16" s="181">
        <v>0</v>
      </c>
      <c r="BZ16" s="181">
        <v>0</v>
      </c>
      <c r="CA16" s="181">
        <v>0</v>
      </c>
      <c r="CB16" s="181">
        <v>0</v>
      </c>
    </row>
    <row r="17" spans="1:80" ht="14.25" customHeight="1">
      <c r="A17" t="s">
        <v>429</v>
      </c>
      <c r="B17" s="178">
        <v>46753</v>
      </c>
      <c r="C17" s="178">
        <v>47483</v>
      </c>
      <c r="D17" s="179">
        <v>731</v>
      </c>
      <c r="E17" s="52">
        <v>24</v>
      </c>
      <c r="F17" s="52">
        <v>10.199999999999999</v>
      </c>
      <c r="G17" s="180">
        <v>0</v>
      </c>
      <c r="H17" s="180">
        <v>0</v>
      </c>
      <c r="I17" s="180">
        <v>0</v>
      </c>
      <c r="J17" s="180">
        <v>0</v>
      </c>
      <c r="K17" s="180">
        <v>0</v>
      </c>
      <c r="L17" s="180">
        <v>0</v>
      </c>
      <c r="M17" s="180">
        <v>0</v>
      </c>
      <c r="N17" s="180">
        <v>0</v>
      </c>
      <c r="O17" s="180">
        <v>3</v>
      </c>
      <c r="P17" s="180">
        <v>12</v>
      </c>
      <c r="Q17" s="180">
        <v>9</v>
      </c>
      <c r="R17" s="180">
        <v>0</v>
      </c>
      <c r="S17" s="180">
        <v>0</v>
      </c>
      <c r="T17" s="180">
        <v>0</v>
      </c>
      <c r="U17" s="180">
        <v>0</v>
      </c>
      <c r="V17" s="180">
        <v>0</v>
      </c>
      <c r="W17" s="180">
        <v>0</v>
      </c>
      <c r="X17" s="180">
        <v>0</v>
      </c>
      <c r="Y17" s="180">
        <v>0</v>
      </c>
      <c r="Z17" s="180">
        <v>0</v>
      </c>
      <c r="AA17" s="180">
        <v>0</v>
      </c>
      <c r="AB17" s="180">
        <v>0</v>
      </c>
      <c r="AC17" s="180">
        <v>0</v>
      </c>
      <c r="AD17" s="180">
        <v>0</v>
      </c>
      <c r="AE17" s="180">
        <v>0</v>
      </c>
      <c r="AF17" s="180">
        <v>0</v>
      </c>
      <c r="AG17" s="180">
        <v>0</v>
      </c>
      <c r="AH17" s="180">
        <v>0</v>
      </c>
      <c r="AI17" s="180">
        <v>0</v>
      </c>
      <c r="AJ17" s="180">
        <v>0</v>
      </c>
      <c r="AK17" s="180">
        <v>0</v>
      </c>
      <c r="AL17" s="180">
        <v>0</v>
      </c>
      <c r="AM17" s="180">
        <v>0</v>
      </c>
      <c r="AN17" s="180">
        <v>0</v>
      </c>
      <c r="AO17" s="180">
        <v>0</v>
      </c>
      <c r="AP17" s="180">
        <v>0</v>
      </c>
      <c r="AQ17" s="180">
        <v>0</v>
      </c>
      <c r="AR17" s="180">
        <v>0</v>
      </c>
      <c r="AS17" s="180">
        <v>0</v>
      </c>
      <c r="AT17" s="180">
        <v>0</v>
      </c>
      <c r="AU17" s="180">
        <v>0</v>
      </c>
      <c r="AV17" s="181">
        <v>0</v>
      </c>
      <c r="AW17" s="181">
        <v>0</v>
      </c>
      <c r="AX17" s="181">
        <v>0</v>
      </c>
      <c r="AY17" s="181">
        <v>0</v>
      </c>
      <c r="AZ17" s="181">
        <v>0</v>
      </c>
      <c r="BA17" s="181">
        <v>0</v>
      </c>
      <c r="BB17" s="181">
        <v>0</v>
      </c>
      <c r="BC17" s="181">
        <v>0</v>
      </c>
      <c r="BD17" s="181">
        <v>0</v>
      </c>
      <c r="BE17" s="181">
        <v>0</v>
      </c>
      <c r="BF17" s="181">
        <v>0</v>
      </c>
      <c r="BG17" s="181">
        <v>0</v>
      </c>
      <c r="BH17" s="181">
        <v>0</v>
      </c>
      <c r="BI17" s="181">
        <v>0</v>
      </c>
      <c r="BJ17" s="181">
        <v>0</v>
      </c>
      <c r="BK17" s="181">
        <v>0</v>
      </c>
      <c r="BL17" s="181">
        <v>0</v>
      </c>
      <c r="BM17" s="181">
        <v>0</v>
      </c>
      <c r="BN17" s="181">
        <v>0</v>
      </c>
      <c r="BO17" s="181">
        <v>0</v>
      </c>
      <c r="BP17" s="181">
        <v>0</v>
      </c>
      <c r="BQ17" s="181">
        <v>0</v>
      </c>
      <c r="BR17" s="181">
        <v>0</v>
      </c>
      <c r="BS17" s="181">
        <v>0</v>
      </c>
      <c r="BT17" s="181">
        <v>0</v>
      </c>
      <c r="BU17" s="181">
        <v>0</v>
      </c>
      <c r="BV17" s="181">
        <v>0</v>
      </c>
      <c r="BW17" s="181">
        <v>0</v>
      </c>
      <c r="BX17" s="181">
        <v>0</v>
      </c>
      <c r="BY17" s="181">
        <v>0</v>
      </c>
      <c r="BZ17" s="181">
        <v>0</v>
      </c>
      <c r="CA17" s="181">
        <v>0</v>
      </c>
      <c r="CB17" s="181">
        <v>0</v>
      </c>
    </row>
    <row r="18" spans="1:80" ht="14.25" customHeight="1">
      <c r="A18" t="s">
        <v>206</v>
      </c>
      <c r="B18" s="178">
        <v>47484</v>
      </c>
      <c r="C18" s="178">
        <v>48213</v>
      </c>
      <c r="D18" s="179">
        <v>730</v>
      </c>
      <c r="E18" s="52">
        <v>24</v>
      </c>
      <c r="F18" s="52">
        <v>10.6</v>
      </c>
      <c r="G18" s="180">
        <v>0</v>
      </c>
      <c r="H18" s="180">
        <v>0</v>
      </c>
      <c r="I18" s="180">
        <v>0</v>
      </c>
      <c r="J18" s="180">
        <v>0</v>
      </c>
      <c r="K18" s="180">
        <v>0</v>
      </c>
      <c r="L18" s="180">
        <v>0</v>
      </c>
      <c r="M18" s="180">
        <v>0</v>
      </c>
      <c r="N18" s="180">
        <v>0</v>
      </c>
      <c r="O18" s="180">
        <v>0</v>
      </c>
      <c r="P18" s="180">
        <v>0</v>
      </c>
      <c r="Q18" s="180">
        <v>3</v>
      </c>
      <c r="R18" s="180">
        <v>12</v>
      </c>
      <c r="S18" s="180">
        <v>9</v>
      </c>
      <c r="T18" s="180">
        <v>0</v>
      </c>
      <c r="U18" s="180">
        <v>0</v>
      </c>
      <c r="V18" s="180">
        <v>0</v>
      </c>
      <c r="W18" s="180">
        <v>0</v>
      </c>
      <c r="X18" s="180">
        <v>0</v>
      </c>
      <c r="Y18" s="180">
        <v>0</v>
      </c>
      <c r="Z18" s="180">
        <v>0</v>
      </c>
      <c r="AA18" s="180">
        <v>0</v>
      </c>
      <c r="AB18" s="180">
        <v>0</v>
      </c>
      <c r="AC18" s="180">
        <v>0</v>
      </c>
      <c r="AD18" s="180">
        <v>0</v>
      </c>
      <c r="AE18" s="180">
        <v>0</v>
      </c>
      <c r="AF18" s="180">
        <v>0</v>
      </c>
      <c r="AG18" s="180">
        <v>0</v>
      </c>
      <c r="AH18" s="180">
        <v>0</v>
      </c>
      <c r="AI18" s="180">
        <v>0</v>
      </c>
      <c r="AJ18" s="180">
        <v>0</v>
      </c>
      <c r="AK18" s="180">
        <v>0</v>
      </c>
      <c r="AL18" s="180">
        <v>0</v>
      </c>
      <c r="AM18" s="180">
        <v>0</v>
      </c>
      <c r="AN18" s="180">
        <v>0</v>
      </c>
      <c r="AO18" s="180">
        <v>0</v>
      </c>
      <c r="AP18" s="180">
        <v>0</v>
      </c>
      <c r="AQ18" s="180">
        <v>0</v>
      </c>
      <c r="AR18" s="180">
        <v>0</v>
      </c>
      <c r="AS18" s="180">
        <v>0</v>
      </c>
      <c r="AT18" s="180">
        <v>0</v>
      </c>
      <c r="AU18" s="180">
        <v>0</v>
      </c>
      <c r="AV18" s="181">
        <v>0</v>
      </c>
      <c r="AW18" s="181">
        <v>0</v>
      </c>
      <c r="AX18" s="181">
        <v>0</v>
      </c>
      <c r="AY18" s="181">
        <v>0</v>
      </c>
      <c r="AZ18" s="181">
        <v>0</v>
      </c>
      <c r="BA18" s="181">
        <v>0</v>
      </c>
      <c r="BB18" s="181">
        <v>0</v>
      </c>
      <c r="BC18" s="181">
        <v>0</v>
      </c>
      <c r="BD18" s="181">
        <v>0</v>
      </c>
      <c r="BE18" s="181">
        <v>0</v>
      </c>
      <c r="BF18" s="181">
        <v>0</v>
      </c>
      <c r="BG18" s="181">
        <v>0</v>
      </c>
      <c r="BH18" s="181">
        <v>0</v>
      </c>
      <c r="BI18" s="181">
        <v>0</v>
      </c>
      <c r="BJ18" s="181">
        <v>0</v>
      </c>
      <c r="BK18" s="181">
        <v>0</v>
      </c>
      <c r="BL18" s="181">
        <v>0</v>
      </c>
      <c r="BM18" s="181">
        <v>0</v>
      </c>
      <c r="BN18" s="181">
        <v>0</v>
      </c>
      <c r="BO18" s="181">
        <v>0</v>
      </c>
      <c r="BP18" s="181">
        <v>0</v>
      </c>
      <c r="BQ18" s="181">
        <v>0</v>
      </c>
      <c r="BR18" s="181">
        <v>0</v>
      </c>
      <c r="BS18" s="181">
        <v>0</v>
      </c>
      <c r="BT18" s="181">
        <v>0</v>
      </c>
      <c r="BU18" s="181">
        <v>0</v>
      </c>
      <c r="BV18" s="181">
        <v>0</v>
      </c>
      <c r="BW18" s="181">
        <v>0</v>
      </c>
      <c r="BX18" s="181">
        <v>0</v>
      </c>
      <c r="BY18" s="181">
        <v>0</v>
      </c>
      <c r="BZ18" s="181">
        <v>0</v>
      </c>
      <c r="CA18" s="181">
        <v>0</v>
      </c>
      <c r="CB18" s="181">
        <v>0</v>
      </c>
    </row>
    <row r="19" spans="1:80" ht="14.25" customHeight="1">
      <c r="A19" t="s">
        <v>171</v>
      </c>
      <c r="B19" s="178">
        <v>48214</v>
      </c>
      <c r="C19" s="178">
        <v>48944</v>
      </c>
      <c r="D19" s="179">
        <v>731</v>
      </c>
      <c r="E19" s="182">
        <v>24</v>
      </c>
      <c r="F19" s="182">
        <v>13.2</v>
      </c>
      <c r="G19" s="180">
        <v>0</v>
      </c>
      <c r="H19" s="180">
        <v>0</v>
      </c>
      <c r="I19" s="180">
        <v>0</v>
      </c>
      <c r="J19" s="180">
        <v>0</v>
      </c>
      <c r="K19" s="180">
        <v>0</v>
      </c>
      <c r="L19" s="180">
        <v>0</v>
      </c>
      <c r="M19" s="180">
        <v>0</v>
      </c>
      <c r="N19" s="180">
        <v>0</v>
      </c>
      <c r="O19" s="180">
        <v>0</v>
      </c>
      <c r="P19" s="180">
        <v>0</v>
      </c>
      <c r="Q19" s="180">
        <v>0</v>
      </c>
      <c r="R19" s="180">
        <v>0</v>
      </c>
      <c r="S19" s="180">
        <v>3</v>
      </c>
      <c r="T19" s="180">
        <v>12</v>
      </c>
      <c r="U19" s="180">
        <v>9</v>
      </c>
      <c r="V19" s="180">
        <v>0</v>
      </c>
      <c r="W19" s="180">
        <v>0</v>
      </c>
      <c r="X19" s="180">
        <v>0</v>
      </c>
      <c r="Y19" s="180">
        <v>0</v>
      </c>
      <c r="Z19" s="180">
        <v>0</v>
      </c>
      <c r="AA19" s="180">
        <v>0</v>
      </c>
      <c r="AB19" s="180">
        <v>0</v>
      </c>
      <c r="AC19" s="180">
        <v>0</v>
      </c>
      <c r="AD19" s="180">
        <v>0</v>
      </c>
      <c r="AE19" s="180">
        <v>0</v>
      </c>
      <c r="AF19" s="180">
        <v>0</v>
      </c>
      <c r="AG19" s="180">
        <v>0</v>
      </c>
      <c r="AH19" s="180">
        <v>0</v>
      </c>
      <c r="AI19" s="180">
        <v>0</v>
      </c>
      <c r="AJ19" s="180">
        <v>0</v>
      </c>
      <c r="AK19" s="180">
        <v>0</v>
      </c>
      <c r="AL19" s="180">
        <v>0</v>
      </c>
      <c r="AM19" s="180">
        <v>0</v>
      </c>
      <c r="AN19" s="180">
        <v>0</v>
      </c>
      <c r="AO19" s="180">
        <v>0</v>
      </c>
      <c r="AP19" s="180">
        <v>0</v>
      </c>
      <c r="AQ19" s="180">
        <v>0</v>
      </c>
      <c r="AR19" s="180">
        <v>0</v>
      </c>
      <c r="AS19" s="180">
        <v>0</v>
      </c>
      <c r="AT19" s="180">
        <v>0</v>
      </c>
      <c r="AU19" s="180">
        <v>0</v>
      </c>
      <c r="AV19" s="181">
        <v>0</v>
      </c>
      <c r="AW19" s="181">
        <v>0</v>
      </c>
      <c r="AX19" s="181">
        <v>0</v>
      </c>
      <c r="AY19" s="181">
        <v>0</v>
      </c>
      <c r="AZ19" s="181">
        <v>0</v>
      </c>
      <c r="BA19" s="181">
        <v>0</v>
      </c>
      <c r="BB19" s="181">
        <v>0</v>
      </c>
      <c r="BC19" s="181">
        <v>0</v>
      </c>
      <c r="BD19" s="181">
        <v>0</v>
      </c>
      <c r="BE19" s="181">
        <v>0</v>
      </c>
      <c r="BF19" s="181">
        <v>0</v>
      </c>
      <c r="BG19" s="181">
        <v>0</v>
      </c>
      <c r="BH19" s="181">
        <v>0</v>
      </c>
      <c r="BI19" s="181">
        <v>0</v>
      </c>
      <c r="BJ19" s="181">
        <v>0</v>
      </c>
      <c r="BK19" s="181">
        <v>0</v>
      </c>
      <c r="BL19" s="181">
        <v>0</v>
      </c>
      <c r="BM19" s="181">
        <v>0</v>
      </c>
      <c r="BN19" s="181">
        <v>0</v>
      </c>
      <c r="BO19" s="181">
        <v>0</v>
      </c>
      <c r="BP19" s="181">
        <v>0</v>
      </c>
      <c r="BQ19" s="181">
        <v>0</v>
      </c>
      <c r="BR19" s="181">
        <v>0</v>
      </c>
      <c r="BS19" s="181">
        <v>0</v>
      </c>
      <c r="BT19" s="181">
        <v>0</v>
      </c>
      <c r="BU19" s="181">
        <v>0</v>
      </c>
      <c r="BV19" s="181">
        <v>0</v>
      </c>
      <c r="BW19" s="181">
        <v>0</v>
      </c>
      <c r="BX19" s="181">
        <v>0</v>
      </c>
      <c r="BY19" s="181">
        <v>0</v>
      </c>
      <c r="BZ19" s="181">
        <v>0</v>
      </c>
      <c r="CA19" s="181">
        <v>0</v>
      </c>
      <c r="CB19" s="181">
        <v>0</v>
      </c>
    </row>
    <row r="20" spans="1:80" ht="14.25" customHeight="1">
      <c r="A20" t="s">
        <v>115</v>
      </c>
      <c r="B20" s="178">
        <v>48945</v>
      </c>
      <c r="C20" s="178">
        <v>51501</v>
      </c>
      <c r="D20" s="179">
        <v>2557</v>
      </c>
      <c r="E20" s="182">
        <v>84.1</v>
      </c>
      <c r="F20" s="182">
        <v>26.1</v>
      </c>
      <c r="G20" s="180">
        <v>0</v>
      </c>
      <c r="H20" s="180">
        <v>0</v>
      </c>
      <c r="I20" s="180">
        <v>0</v>
      </c>
      <c r="J20" s="180">
        <v>0</v>
      </c>
      <c r="K20" s="180">
        <v>0</v>
      </c>
      <c r="L20" s="180">
        <v>0</v>
      </c>
      <c r="M20" s="180">
        <v>0</v>
      </c>
      <c r="N20" s="180">
        <v>0</v>
      </c>
      <c r="O20" s="180">
        <v>0</v>
      </c>
      <c r="P20" s="180">
        <v>0</v>
      </c>
      <c r="Q20" s="180">
        <v>0</v>
      </c>
      <c r="R20" s="180">
        <v>0</v>
      </c>
      <c r="S20" s="180">
        <v>0</v>
      </c>
      <c r="T20" s="180">
        <v>0</v>
      </c>
      <c r="U20" s="180">
        <v>3</v>
      </c>
      <c r="V20" s="180">
        <v>12</v>
      </c>
      <c r="W20" s="180">
        <v>12</v>
      </c>
      <c r="X20" s="180">
        <v>12</v>
      </c>
      <c r="Y20" s="180">
        <v>12</v>
      </c>
      <c r="Z20" s="180">
        <v>12</v>
      </c>
      <c r="AA20" s="180">
        <v>12</v>
      </c>
      <c r="AB20" s="180">
        <v>9</v>
      </c>
      <c r="AC20" s="180">
        <v>0</v>
      </c>
      <c r="AD20" s="180">
        <v>0</v>
      </c>
      <c r="AE20" s="180">
        <v>0</v>
      </c>
      <c r="AF20" s="180">
        <v>0</v>
      </c>
      <c r="AG20" s="180">
        <v>0</v>
      </c>
      <c r="AH20" s="180">
        <v>0</v>
      </c>
      <c r="AI20" s="180">
        <v>0</v>
      </c>
      <c r="AJ20" s="180">
        <v>0</v>
      </c>
      <c r="AK20" s="180">
        <v>0</v>
      </c>
      <c r="AL20" s="180">
        <v>0</v>
      </c>
      <c r="AM20" s="180">
        <v>0</v>
      </c>
      <c r="AN20" s="180">
        <v>0</v>
      </c>
      <c r="AO20" s="180">
        <v>0</v>
      </c>
      <c r="AP20" s="180">
        <v>0</v>
      </c>
      <c r="AQ20" s="180">
        <v>0</v>
      </c>
      <c r="AR20" s="180">
        <v>0</v>
      </c>
      <c r="AS20" s="180">
        <v>0</v>
      </c>
      <c r="AT20" s="180">
        <v>0</v>
      </c>
      <c r="AU20" s="180">
        <v>0</v>
      </c>
      <c r="AV20" s="181">
        <v>0</v>
      </c>
      <c r="AW20" s="181">
        <v>0</v>
      </c>
      <c r="AX20" s="181">
        <v>0</v>
      </c>
      <c r="AY20" s="181">
        <v>0</v>
      </c>
      <c r="AZ20" s="181">
        <v>0</v>
      </c>
      <c r="BA20" s="181">
        <v>0</v>
      </c>
      <c r="BB20" s="181">
        <v>0</v>
      </c>
      <c r="BC20" s="181">
        <v>0</v>
      </c>
      <c r="BD20" s="181">
        <v>0</v>
      </c>
      <c r="BE20" s="181">
        <v>0</v>
      </c>
      <c r="BF20" s="181">
        <v>0</v>
      </c>
      <c r="BG20" s="181">
        <v>0</v>
      </c>
      <c r="BH20" s="181">
        <v>0</v>
      </c>
      <c r="BI20" s="181">
        <v>0</v>
      </c>
      <c r="BJ20" s="181">
        <v>0</v>
      </c>
      <c r="BK20" s="181">
        <v>0</v>
      </c>
      <c r="BL20" s="181">
        <v>0</v>
      </c>
      <c r="BM20" s="181">
        <v>0</v>
      </c>
      <c r="BN20" s="181">
        <v>0</v>
      </c>
      <c r="BO20" s="181">
        <v>0</v>
      </c>
      <c r="BP20" s="181">
        <v>0</v>
      </c>
      <c r="BQ20" s="181">
        <v>0</v>
      </c>
      <c r="BR20" s="181">
        <v>0</v>
      </c>
      <c r="BS20" s="181">
        <v>0</v>
      </c>
      <c r="BT20" s="181">
        <v>0</v>
      </c>
      <c r="BU20" s="181">
        <v>0</v>
      </c>
      <c r="BV20" s="181">
        <v>0</v>
      </c>
      <c r="BW20" s="181">
        <v>0</v>
      </c>
      <c r="BX20" s="181">
        <v>0</v>
      </c>
      <c r="BY20" s="181">
        <v>0</v>
      </c>
      <c r="BZ20" s="181">
        <v>0</v>
      </c>
      <c r="CA20" s="181">
        <v>0</v>
      </c>
      <c r="CB20" s="181">
        <v>0</v>
      </c>
    </row>
    <row r="21" spans="1:80" ht="14.25" customHeight="1">
      <c r="A21" t="s">
        <v>1074</v>
      </c>
      <c r="B21" s="178">
        <v>51502</v>
      </c>
      <c r="C21" s="178">
        <v>56979</v>
      </c>
      <c r="D21" s="179">
        <v>5478</v>
      </c>
      <c r="E21" s="182">
        <v>180.1</v>
      </c>
      <c r="F21" s="182">
        <v>12.7</v>
      </c>
      <c r="G21" s="180">
        <v>0</v>
      </c>
      <c r="H21" s="180">
        <v>0</v>
      </c>
      <c r="I21" s="180">
        <v>0</v>
      </c>
      <c r="J21" s="180">
        <v>0</v>
      </c>
      <c r="K21" s="180">
        <v>0</v>
      </c>
      <c r="L21" s="180">
        <v>0</v>
      </c>
      <c r="M21" s="180">
        <v>0</v>
      </c>
      <c r="N21" s="180">
        <v>0</v>
      </c>
      <c r="O21" s="180">
        <v>0</v>
      </c>
      <c r="P21" s="180">
        <v>0</v>
      </c>
      <c r="Q21" s="180">
        <v>0</v>
      </c>
      <c r="R21" s="180">
        <v>0</v>
      </c>
      <c r="S21" s="180">
        <v>0</v>
      </c>
      <c r="T21" s="180">
        <v>0</v>
      </c>
      <c r="U21" s="180">
        <v>0</v>
      </c>
      <c r="V21" s="180">
        <v>0</v>
      </c>
      <c r="W21" s="180">
        <v>0</v>
      </c>
      <c r="X21" s="180">
        <v>0</v>
      </c>
      <c r="Y21" s="180">
        <v>0</v>
      </c>
      <c r="Z21" s="180">
        <v>0</v>
      </c>
      <c r="AA21" s="180">
        <v>0</v>
      </c>
      <c r="AB21" s="180">
        <v>3</v>
      </c>
      <c r="AC21" s="180">
        <v>12</v>
      </c>
      <c r="AD21" s="180">
        <v>12</v>
      </c>
      <c r="AE21" s="180">
        <v>12</v>
      </c>
      <c r="AF21" s="180">
        <v>12</v>
      </c>
      <c r="AG21" s="180">
        <v>12</v>
      </c>
      <c r="AH21" s="180">
        <v>12</v>
      </c>
      <c r="AI21" s="180">
        <v>12</v>
      </c>
      <c r="AJ21" s="180">
        <v>12</v>
      </c>
      <c r="AK21" s="180">
        <v>12</v>
      </c>
      <c r="AL21" s="180">
        <v>12</v>
      </c>
      <c r="AM21" s="180">
        <v>12</v>
      </c>
      <c r="AN21" s="180">
        <v>12</v>
      </c>
      <c r="AO21" s="180">
        <v>12</v>
      </c>
      <c r="AP21" s="180">
        <v>12</v>
      </c>
      <c r="AQ21" s="180">
        <v>9</v>
      </c>
      <c r="AR21" s="180">
        <v>0</v>
      </c>
      <c r="AS21" s="180">
        <v>0</v>
      </c>
      <c r="AT21" s="180">
        <v>0</v>
      </c>
      <c r="AU21" s="180">
        <v>0</v>
      </c>
      <c r="AV21" s="181">
        <v>0</v>
      </c>
      <c r="AW21" s="181">
        <v>0</v>
      </c>
      <c r="AX21" s="181">
        <v>0</v>
      </c>
      <c r="AY21" s="181">
        <v>0</v>
      </c>
      <c r="AZ21" s="181">
        <v>0</v>
      </c>
      <c r="BA21" s="181">
        <v>0</v>
      </c>
      <c r="BB21" s="181">
        <v>0</v>
      </c>
      <c r="BC21" s="181">
        <v>0</v>
      </c>
      <c r="BD21" s="181">
        <v>0</v>
      </c>
      <c r="BE21" s="181">
        <v>0</v>
      </c>
      <c r="BF21" s="181">
        <v>0</v>
      </c>
      <c r="BG21" s="181">
        <v>0</v>
      </c>
      <c r="BH21" s="181">
        <v>0</v>
      </c>
      <c r="BI21" s="181">
        <v>0</v>
      </c>
      <c r="BJ21" s="181">
        <v>0</v>
      </c>
      <c r="BK21" s="181">
        <v>0</v>
      </c>
      <c r="BL21" s="181">
        <v>0</v>
      </c>
      <c r="BM21" s="181">
        <v>0</v>
      </c>
      <c r="BN21" s="181">
        <v>0</v>
      </c>
      <c r="BO21" s="181">
        <v>0</v>
      </c>
      <c r="BP21" s="181">
        <v>0</v>
      </c>
      <c r="BQ21" s="181">
        <v>0</v>
      </c>
      <c r="BR21" s="181">
        <v>0</v>
      </c>
      <c r="BS21" s="181">
        <v>0</v>
      </c>
      <c r="BT21" s="181">
        <v>0</v>
      </c>
      <c r="BU21" s="181">
        <v>0</v>
      </c>
      <c r="BV21" s="181">
        <v>0</v>
      </c>
      <c r="BW21" s="181">
        <v>0</v>
      </c>
      <c r="BX21" s="181">
        <v>0</v>
      </c>
      <c r="BY21" s="181">
        <v>0</v>
      </c>
      <c r="BZ21" s="181">
        <v>0</v>
      </c>
      <c r="CA21" s="181">
        <v>0</v>
      </c>
      <c r="CB21" s="181">
        <v>0</v>
      </c>
    </row>
    <row r="22" spans="1:80" ht="14.25" customHeight="1">
      <c r="A22" t="s">
        <v>1077</v>
      </c>
      <c r="B22" s="178">
        <v>56980</v>
      </c>
      <c r="C22" s="178">
        <v>58256</v>
      </c>
      <c r="D22" s="179">
        <v>1277</v>
      </c>
      <c r="E22" s="182">
        <v>42</v>
      </c>
      <c r="F22" s="182">
        <v>41.8</v>
      </c>
      <c r="G22" s="180">
        <v>0</v>
      </c>
      <c r="H22" s="180">
        <v>0</v>
      </c>
      <c r="I22" s="180">
        <v>0</v>
      </c>
      <c r="J22" s="180">
        <v>0</v>
      </c>
      <c r="K22" s="180">
        <v>0</v>
      </c>
      <c r="L22" s="180">
        <v>0</v>
      </c>
      <c r="M22" s="180">
        <v>0</v>
      </c>
      <c r="N22" s="180">
        <v>0</v>
      </c>
      <c r="O22" s="180">
        <v>0</v>
      </c>
      <c r="P22" s="180">
        <v>0</v>
      </c>
      <c r="Q22" s="180">
        <v>0</v>
      </c>
      <c r="R22" s="180">
        <v>0</v>
      </c>
      <c r="S22" s="180">
        <v>0</v>
      </c>
      <c r="T22" s="180">
        <v>0</v>
      </c>
      <c r="U22" s="180">
        <v>0</v>
      </c>
      <c r="V22" s="180">
        <v>0</v>
      </c>
      <c r="W22" s="180">
        <v>0</v>
      </c>
      <c r="X22" s="180">
        <v>0</v>
      </c>
      <c r="Y22" s="180">
        <v>0</v>
      </c>
      <c r="Z22" s="180">
        <v>0</v>
      </c>
      <c r="AA22" s="180">
        <v>0</v>
      </c>
      <c r="AB22" s="180">
        <v>0</v>
      </c>
      <c r="AC22" s="180">
        <v>0</v>
      </c>
      <c r="AD22" s="180">
        <v>0</v>
      </c>
      <c r="AE22" s="180">
        <v>0</v>
      </c>
      <c r="AF22" s="180">
        <v>0</v>
      </c>
      <c r="AG22" s="180">
        <v>0</v>
      </c>
      <c r="AH22" s="180">
        <v>0</v>
      </c>
      <c r="AI22" s="180">
        <v>0</v>
      </c>
      <c r="AJ22" s="180">
        <v>0</v>
      </c>
      <c r="AK22" s="180">
        <v>0</v>
      </c>
      <c r="AL22" s="180">
        <v>0</v>
      </c>
      <c r="AM22" s="180">
        <v>0</v>
      </c>
      <c r="AN22" s="180">
        <v>0</v>
      </c>
      <c r="AO22" s="180">
        <v>0</v>
      </c>
      <c r="AP22" s="180">
        <v>0</v>
      </c>
      <c r="AQ22" s="180">
        <v>3</v>
      </c>
      <c r="AR22" s="180">
        <v>12</v>
      </c>
      <c r="AS22" s="180">
        <v>12</v>
      </c>
      <c r="AT22" s="180">
        <v>12</v>
      </c>
      <c r="AU22" s="180">
        <v>3</v>
      </c>
      <c r="AV22" s="181">
        <v>0</v>
      </c>
      <c r="AW22" s="181">
        <v>0</v>
      </c>
      <c r="AX22" s="181">
        <v>0</v>
      </c>
      <c r="AY22" s="181">
        <v>0</v>
      </c>
      <c r="AZ22" s="181">
        <v>0</v>
      </c>
      <c r="BA22" s="181">
        <v>0</v>
      </c>
      <c r="BB22" s="181">
        <v>0</v>
      </c>
      <c r="BC22" s="181">
        <v>0</v>
      </c>
      <c r="BD22" s="181">
        <v>0</v>
      </c>
      <c r="BE22" s="181">
        <v>0</v>
      </c>
      <c r="BF22" s="181">
        <v>0</v>
      </c>
      <c r="BG22" s="181">
        <v>0</v>
      </c>
      <c r="BH22" s="181">
        <v>0</v>
      </c>
      <c r="BI22" s="181">
        <v>0</v>
      </c>
      <c r="BJ22" s="181">
        <v>0</v>
      </c>
      <c r="BK22" s="181">
        <v>0</v>
      </c>
      <c r="BL22" s="181">
        <v>0</v>
      </c>
      <c r="BM22" s="181">
        <v>0</v>
      </c>
      <c r="BN22" s="181">
        <v>0</v>
      </c>
      <c r="BO22" s="181">
        <v>0</v>
      </c>
      <c r="BP22" s="181">
        <v>0</v>
      </c>
      <c r="BQ22" s="181">
        <v>0</v>
      </c>
      <c r="BR22" s="181">
        <v>0</v>
      </c>
      <c r="BS22" s="181">
        <v>0</v>
      </c>
      <c r="BT22" s="181">
        <v>0</v>
      </c>
      <c r="BU22" s="181">
        <v>0</v>
      </c>
      <c r="BV22" s="181">
        <v>0</v>
      </c>
      <c r="BW22" s="181">
        <v>0</v>
      </c>
      <c r="BX22" s="181">
        <v>0</v>
      </c>
      <c r="BY22" s="181">
        <v>0</v>
      </c>
      <c r="BZ22" s="181">
        <v>0</v>
      </c>
      <c r="CA22" s="181">
        <v>0</v>
      </c>
      <c r="CB22" s="181">
        <v>0</v>
      </c>
    </row>
    <row r="25" spans="1:80" ht="14.25" customHeight="1">
      <c r="B25" s="171" t="s">
        <v>1087</v>
      </c>
      <c r="C25" s="183">
        <v>2</v>
      </c>
      <c r="D25" s="173"/>
      <c r="E25" s="173"/>
      <c r="F25" s="173"/>
      <c r="G25" s="173"/>
      <c r="H25" s="173"/>
      <c r="I25" s="173"/>
      <c r="J25" s="173"/>
      <c r="K25" s="173"/>
      <c r="L25" s="366" t="s">
        <v>1088</v>
      </c>
      <c r="M25" s="366"/>
      <c r="N25" s="366"/>
    </row>
    <row r="26" spans="1:80" ht="14.25" customHeight="1">
      <c r="B26" s="171" t="s">
        <v>1089</v>
      </c>
      <c r="C26" s="173" t="s">
        <v>1101</v>
      </c>
      <c r="D26" s="173"/>
      <c r="E26" s="173"/>
      <c r="F26" s="173"/>
      <c r="G26" s="173"/>
      <c r="H26" s="173"/>
      <c r="I26" s="173"/>
      <c r="J26" s="173"/>
      <c r="K26" s="173"/>
      <c r="L26" s="366"/>
      <c r="M26" s="366"/>
      <c r="N26" s="366"/>
    </row>
    <row r="27" spans="1:80" ht="14.25" customHeight="1">
      <c r="B27" s="171" t="s">
        <v>1091</v>
      </c>
      <c r="C27" s="173" t="s">
        <v>1102</v>
      </c>
      <c r="D27" s="173"/>
      <c r="E27" s="173"/>
      <c r="F27" s="173"/>
      <c r="G27" s="173"/>
      <c r="H27" s="173"/>
      <c r="I27" s="173"/>
      <c r="J27" s="173"/>
      <c r="K27" s="173"/>
      <c r="L27" s="366"/>
      <c r="M27" s="366"/>
      <c r="N27" s="366"/>
    </row>
    <row r="28" spans="1:80" ht="14.25" customHeight="1">
      <c r="B28" s="171" t="s">
        <v>1093</v>
      </c>
      <c r="C28" s="173" t="s">
        <v>1103</v>
      </c>
      <c r="D28" s="173"/>
      <c r="E28" s="173"/>
      <c r="F28" s="173"/>
      <c r="G28" s="173"/>
      <c r="H28" s="173"/>
      <c r="I28" s="173"/>
      <c r="J28" s="173"/>
      <c r="K28" s="173"/>
      <c r="L28" s="366"/>
      <c r="M28" s="366"/>
      <c r="N28" s="366"/>
    </row>
    <row r="29" spans="1:80" ht="14.25" customHeight="1">
      <c r="B29" s="171" t="s">
        <v>1095</v>
      </c>
      <c r="C29" s="173" t="s">
        <v>1104</v>
      </c>
      <c r="D29" s="173"/>
      <c r="E29" s="173"/>
      <c r="F29" s="173"/>
      <c r="G29" s="173"/>
      <c r="H29" s="173"/>
      <c r="I29" s="173"/>
      <c r="J29" s="173"/>
      <c r="K29" s="173"/>
      <c r="L29" s="366"/>
      <c r="M29" s="366"/>
      <c r="N29" s="366"/>
    </row>
    <row r="31" spans="1:80" ht="14.25" customHeight="1">
      <c r="B31" s="175" t="s">
        <v>99</v>
      </c>
      <c r="C31" s="175" t="s">
        <v>1097</v>
      </c>
      <c r="D31" s="175" t="s">
        <v>1098</v>
      </c>
      <c r="E31" s="161" t="s">
        <v>1099</v>
      </c>
      <c r="F31" s="161" t="s">
        <v>1100</v>
      </c>
      <c r="G31" s="176">
        <v>2020</v>
      </c>
      <c r="H31" s="176">
        <v>2021</v>
      </c>
      <c r="I31" s="176">
        <v>2022</v>
      </c>
      <c r="J31" s="176">
        <v>2023</v>
      </c>
      <c r="K31" s="176">
        <v>2024</v>
      </c>
      <c r="L31" s="176">
        <v>2025</v>
      </c>
      <c r="M31" s="176">
        <v>2026</v>
      </c>
      <c r="N31" s="176">
        <v>2027</v>
      </c>
      <c r="O31" s="176">
        <v>2028</v>
      </c>
      <c r="P31" s="176">
        <v>2029</v>
      </c>
      <c r="Q31" s="176">
        <v>2030</v>
      </c>
      <c r="R31" s="176">
        <v>2031</v>
      </c>
      <c r="S31" s="176">
        <v>2032</v>
      </c>
      <c r="T31" s="176">
        <v>2033</v>
      </c>
      <c r="U31" s="176">
        <v>2034</v>
      </c>
      <c r="V31" s="176">
        <v>2035</v>
      </c>
      <c r="W31" s="176">
        <v>2036</v>
      </c>
      <c r="X31" s="176">
        <v>2037</v>
      </c>
      <c r="Y31" s="176">
        <v>2038</v>
      </c>
      <c r="Z31" s="176">
        <v>2039</v>
      </c>
      <c r="AA31" s="176">
        <v>2040</v>
      </c>
      <c r="AB31" s="176">
        <v>2041</v>
      </c>
      <c r="AC31" s="176">
        <v>2042</v>
      </c>
      <c r="AD31" s="176">
        <v>2043</v>
      </c>
      <c r="AE31" s="176">
        <v>2044</v>
      </c>
      <c r="AF31" s="176">
        <v>2045</v>
      </c>
      <c r="AG31" s="176">
        <v>2046</v>
      </c>
      <c r="AH31" s="176">
        <v>2047</v>
      </c>
      <c r="AI31" s="176">
        <v>2048</v>
      </c>
      <c r="AJ31" s="176">
        <v>2049</v>
      </c>
      <c r="AK31" s="176">
        <v>2050</v>
      </c>
      <c r="AL31" s="176">
        <v>2051</v>
      </c>
      <c r="AM31" s="176">
        <v>2052</v>
      </c>
      <c r="AN31" s="176">
        <v>2053</v>
      </c>
      <c r="AO31" s="176">
        <v>2054</v>
      </c>
      <c r="AP31" s="176">
        <v>2055</v>
      </c>
      <c r="AQ31" s="176">
        <v>2056</v>
      </c>
      <c r="AR31" s="176">
        <v>2057</v>
      </c>
      <c r="AS31" s="176">
        <v>2058</v>
      </c>
      <c r="AT31" s="176">
        <v>2059</v>
      </c>
      <c r="AU31" s="176">
        <v>2060</v>
      </c>
      <c r="AV31" s="176">
        <v>2061</v>
      </c>
      <c r="AW31" s="176">
        <v>2062</v>
      </c>
      <c r="AX31" s="176">
        <v>2063</v>
      </c>
      <c r="AY31" s="176">
        <v>2064</v>
      </c>
      <c r="AZ31" s="176">
        <v>2065</v>
      </c>
      <c r="BA31" s="176">
        <v>2066</v>
      </c>
      <c r="BB31" s="176">
        <v>2067</v>
      </c>
      <c r="BC31" s="176">
        <v>2068</v>
      </c>
      <c r="BD31" s="176">
        <v>2069</v>
      </c>
      <c r="BE31" s="176">
        <v>2070</v>
      </c>
      <c r="BF31" s="176">
        <v>2071</v>
      </c>
      <c r="BG31" s="176">
        <v>2072</v>
      </c>
      <c r="BH31" s="176">
        <v>2073</v>
      </c>
      <c r="BI31" s="176">
        <v>2074</v>
      </c>
      <c r="BJ31" s="176">
        <v>2075</v>
      </c>
      <c r="BK31" s="176">
        <v>2076</v>
      </c>
      <c r="BL31" s="176">
        <v>2077</v>
      </c>
      <c r="BM31" s="176">
        <v>2078</v>
      </c>
      <c r="BN31" s="176">
        <v>2079</v>
      </c>
      <c r="BO31" s="176">
        <v>2080</v>
      </c>
      <c r="BP31" s="176">
        <v>2081</v>
      </c>
      <c r="BQ31" s="176">
        <v>2082</v>
      </c>
      <c r="BR31" s="176">
        <v>2083</v>
      </c>
      <c r="BS31" s="176">
        <v>2084</v>
      </c>
      <c r="BT31" s="176">
        <v>2085</v>
      </c>
      <c r="BU31" s="176">
        <v>2086</v>
      </c>
      <c r="BV31" s="176">
        <v>2087</v>
      </c>
      <c r="BW31" s="176">
        <v>2088</v>
      </c>
      <c r="BX31" s="176">
        <v>2089</v>
      </c>
      <c r="BY31" s="176">
        <v>2090</v>
      </c>
      <c r="BZ31" s="176">
        <v>2091</v>
      </c>
      <c r="CA31" s="176">
        <v>2092</v>
      </c>
      <c r="CB31" s="176">
        <v>2093</v>
      </c>
    </row>
    <row r="32" spans="1:80" ht="14.25" customHeight="1">
      <c r="A32" t="s">
        <v>1056</v>
      </c>
      <c r="B32" s="178">
        <v>46023</v>
      </c>
      <c r="C32" s="178">
        <v>46643</v>
      </c>
      <c r="D32" s="179">
        <v>621</v>
      </c>
      <c r="E32" s="52">
        <v>20.399999999999999</v>
      </c>
      <c r="F32" s="52">
        <v>8.9</v>
      </c>
      <c r="G32" s="180">
        <v>0</v>
      </c>
      <c r="H32" s="180">
        <v>0</v>
      </c>
      <c r="I32" s="180">
        <v>0</v>
      </c>
      <c r="J32" s="180">
        <v>0</v>
      </c>
      <c r="K32" s="180">
        <v>0</v>
      </c>
      <c r="L32" s="180">
        <v>0</v>
      </c>
      <c r="M32" s="180">
        <v>3</v>
      </c>
      <c r="N32" s="180">
        <v>12</v>
      </c>
      <c r="O32" s="180">
        <v>5.5</v>
      </c>
      <c r="P32" s="180">
        <v>0</v>
      </c>
      <c r="Q32" s="180">
        <v>0</v>
      </c>
      <c r="R32" s="180">
        <v>0</v>
      </c>
      <c r="S32" s="180">
        <v>0</v>
      </c>
      <c r="T32" s="180">
        <v>0</v>
      </c>
      <c r="U32" s="180">
        <v>0</v>
      </c>
      <c r="V32" s="180">
        <v>0</v>
      </c>
      <c r="W32" s="180">
        <v>0</v>
      </c>
      <c r="X32" s="180">
        <v>0</v>
      </c>
      <c r="Y32" s="180">
        <v>0</v>
      </c>
      <c r="Z32" s="180">
        <v>0</v>
      </c>
      <c r="AA32" s="180">
        <v>0</v>
      </c>
      <c r="AB32" s="180">
        <v>0</v>
      </c>
      <c r="AC32" s="180">
        <v>0</v>
      </c>
      <c r="AD32" s="180">
        <v>0</v>
      </c>
      <c r="AE32" s="180">
        <v>0</v>
      </c>
      <c r="AF32" s="180">
        <v>0</v>
      </c>
      <c r="AG32" s="180">
        <v>0</v>
      </c>
      <c r="AH32" s="180">
        <v>0</v>
      </c>
      <c r="AI32" s="180">
        <v>0</v>
      </c>
      <c r="AJ32" s="180">
        <v>0</v>
      </c>
      <c r="AK32" s="180">
        <v>0</v>
      </c>
      <c r="AL32" s="180">
        <v>0</v>
      </c>
      <c r="AM32" s="180">
        <v>0</v>
      </c>
      <c r="AN32" s="180">
        <v>0</v>
      </c>
      <c r="AO32" s="180">
        <v>0</v>
      </c>
      <c r="AP32" s="180">
        <v>0</v>
      </c>
      <c r="AQ32" s="180">
        <v>0</v>
      </c>
      <c r="AR32" s="180">
        <v>0</v>
      </c>
      <c r="AS32" s="180">
        <v>0</v>
      </c>
      <c r="AT32" s="180">
        <v>0</v>
      </c>
      <c r="AU32" s="180">
        <v>0</v>
      </c>
      <c r="AV32" s="180">
        <v>0</v>
      </c>
      <c r="AW32" s="180">
        <v>0</v>
      </c>
      <c r="AX32" s="180">
        <v>0</v>
      </c>
      <c r="AY32" s="180">
        <v>0</v>
      </c>
      <c r="AZ32" s="180">
        <v>0</v>
      </c>
      <c r="BA32" s="180">
        <v>0</v>
      </c>
      <c r="BB32" s="180">
        <v>0</v>
      </c>
      <c r="BC32" s="180">
        <v>0</v>
      </c>
      <c r="BD32" s="180">
        <v>0</v>
      </c>
      <c r="BE32" s="180">
        <v>0</v>
      </c>
      <c r="BF32" s="180">
        <v>0</v>
      </c>
      <c r="BG32" s="180">
        <v>0</v>
      </c>
      <c r="BH32" s="180">
        <v>0</v>
      </c>
      <c r="BI32" s="180">
        <v>0</v>
      </c>
      <c r="BJ32" s="180">
        <v>0</v>
      </c>
      <c r="BK32" s="180">
        <v>0</v>
      </c>
      <c r="BL32" s="180">
        <v>0</v>
      </c>
      <c r="BM32" s="180">
        <v>0</v>
      </c>
      <c r="BN32" s="180">
        <v>0</v>
      </c>
      <c r="BO32" s="180">
        <v>0</v>
      </c>
      <c r="BP32" s="180">
        <v>0</v>
      </c>
      <c r="BQ32" s="180">
        <v>0</v>
      </c>
      <c r="BR32" s="180">
        <v>0</v>
      </c>
      <c r="BS32" s="180">
        <v>0</v>
      </c>
      <c r="BT32" s="180">
        <v>0</v>
      </c>
      <c r="BU32" s="180">
        <v>0</v>
      </c>
      <c r="BV32" s="180">
        <v>0</v>
      </c>
      <c r="BW32" s="180">
        <v>0</v>
      </c>
      <c r="BX32" s="180">
        <v>0</v>
      </c>
      <c r="BY32" s="180">
        <v>0</v>
      </c>
      <c r="BZ32" s="180">
        <v>0</v>
      </c>
      <c r="CA32" s="180">
        <v>0</v>
      </c>
      <c r="CB32" s="180">
        <v>0</v>
      </c>
    </row>
    <row r="33" spans="1:80" ht="14.25" customHeight="1">
      <c r="A33" t="s">
        <v>429</v>
      </c>
      <c r="B33" s="178">
        <v>46644</v>
      </c>
      <c r="C33" s="178">
        <v>47264</v>
      </c>
      <c r="D33" s="179">
        <v>621</v>
      </c>
      <c r="E33" s="52">
        <v>20.399999999999999</v>
      </c>
      <c r="F33" s="52">
        <v>9.1</v>
      </c>
      <c r="G33" s="180">
        <v>0</v>
      </c>
      <c r="H33" s="180">
        <v>0</v>
      </c>
      <c r="I33" s="180">
        <v>0</v>
      </c>
      <c r="J33" s="180">
        <v>0</v>
      </c>
      <c r="K33" s="180">
        <v>0</v>
      </c>
      <c r="L33" s="180">
        <v>0</v>
      </c>
      <c r="M33" s="180">
        <v>0</v>
      </c>
      <c r="N33" s="180">
        <v>0</v>
      </c>
      <c r="O33" s="180">
        <v>6.6</v>
      </c>
      <c r="P33" s="180">
        <v>12</v>
      </c>
      <c r="Q33" s="180">
        <v>1.8</v>
      </c>
      <c r="R33" s="180">
        <v>0</v>
      </c>
      <c r="S33" s="180">
        <v>0</v>
      </c>
      <c r="T33" s="180">
        <v>0</v>
      </c>
      <c r="U33" s="180">
        <v>0</v>
      </c>
      <c r="V33" s="180">
        <v>0</v>
      </c>
      <c r="W33" s="180">
        <v>0</v>
      </c>
      <c r="X33" s="180">
        <v>0</v>
      </c>
      <c r="Y33" s="180">
        <v>0</v>
      </c>
      <c r="Z33" s="180">
        <v>0</v>
      </c>
      <c r="AA33" s="180">
        <v>0</v>
      </c>
      <c r="AB33" s="180">
        <v>0</v>
      </c>
      <c r="AC33" s="180">
        <v>0</v>
      </c>
      <c r="AD33" s="180">
        <v>0</v>
      </c>
      <c r="AE33" s="180">
        <v>0</v>
      </c>
      <c r="AF33" s="180">
        <v>0</v>
      </c>
      <c r="AG33" s="180">
        <v>0</v>
      </c>
      <c r="AH33" s="180">
        <v>0</v>
      </c>
      <c r="AI33" s="180">
        <v>0</v>
      </c>
      <c r="AJ33" s="180">
        <v>0</v>
      </c>
      <c r="AK33" s="180">
        <v>0</v>
      </c>
      <c r="AL33" s="180">
        <v>0</v>
      </c>
      <c r="AM33" s="180">
        <v>0</v>
      </c>
      <c r="AN33" s="180">
        <v>0</v>
      </c>
      <c r="AO33" s="180">
        <v>0</v>
      </c>
      <c r="AP33" s="180">
        <v>0</v>
      </c>
      <c r="AQ33" s="180">
        <v>0</v>
      </c>
      <c r="AR33" s="180">
        <v>0</v>
      </c>
      <c r="AS33" s="180">
        <v>0</v>
      </c>
      <c r="AT33" s="180">
        <v>0</v>
      </c>
      <c r="AU33" s="180">
        <v>0</v>
      </c>
      <c r="AV33" s="180">
        <v>0</v>
      </c>
      <c r="AW33" s="180">
        <v>0</v>
      </c>
      <c r="AX33" s="180">
        <v>0</v>
      </c>
      <c r="AY33" s="180">
        <v>0</v>
      </c>
      <c r="AZ33" s="180">
        <v>0</v>
      </c>
      <c r="BA33" s="180">
        <v>0</v>
      </c>
      <c r="BB33" s="180">
        <v>0</v>
      </c>
      <c r="BC33" s="180">
        <v>0</v>
      </c>
      <c r="BD33" s="180">
        <v>0</v>
      </c>
      <c r="BE33" s="180">
        <v>0</v>
      </c>
      <c r="BF33" s="180">
        <v>0</v>
      </c>
      <c r="BG33" s="180">
        <v>0</v>
      </c>
      <c r="BH33" s="180">
        <v>0</v>
      </c>
      <c r="BI33" s="180">
        <v>0</v>
      </c>
      <c r="BJ33" s="180">
        <v>0</v>
      </c>
      <c r="BK33" s="180">
        <v>0</v>
      </c>
      <c r="BL33" s="180">
        <v>0</v>
      </c>
      <c r="BM33" s="180">
        <v>0</v>
      </c>
      <c r="BN33" s="180">
        <v>0</v>
      </c>
      <c r="BO33" s="180">
        <v>0</v>
      </c>
      <c r="BP33" s="180">
        <v>0</v>
      </c>
      <c r="BQ33" s="180">
        <v>0</v>
      </c>
      <c r="BR33" s="180">
        <v>0</v>
      </c>
      <c r="BS33" s="180">
        <v>0</v>
      </c>
      <c r="BT33" s="180">
        <v>0</v>
      </c>
      <c r="BU33" s="180">
        <v>0</v>
      </c>
      <c r="BV33" s="180">
        <v>0</v>
      </c>
      <c r="BW33" s="180">
        <v>0</v>
      </c>
      <c r="BX33" s="180">
        <v>0</v>
      </c>
      <c r="BY33" s="180">
        <v>0</v>
      </c>
      <c r="BZ33" s="180">
        <v>0</v>
      </c>
      <c r="CA33" s="180">
        <v>0</v>
      </c>
      <c r="CB33" s="180">
        <v>0</v>
      </c>
    </row>
    <row r="34" spans="1:80" ht="14.25" customHeight="1">
      <c r="A34" t="s">
        <v>206</v>
      </c>
      <c r="B34" s="178">
        <v>47265</v>
      </c>
      <c r="C34" s="178">
        <v>47885</v>
      </c>
      <c r="D34" s="179">
        <v>621</v>
      </c>
      <c r="E34" s="52">
        <v>20.399999999999999</v>
      </c>
      <c r="F34" s="52">
        <v>9.5</v>
      </c>
      <c r="G34" s="180">
        <v>0</v>
      </c>
      <c r="H34" s="180">
        <v>0</v>
      </c>
      <c r="I34" s="180">
        <v>0</v>
      </c>
      <c r="J34" s="180">
        <v>0</v>
      </c>
      <c r="K34" s="180">
        <v>0</v>
      </c>
      <c r="L34" s="180">
        <v>0</v>
      </c>
      <c r="M34" s="180">
        <v>0</v>
      </c>
      <c r="N34" s="180">
        <v>0</v>
      </c>
      <c r="O34" s="180">
        <v>0</v>
      </c>
      <c r="P34" s="180">
        <v>0</v>
      </c>
      <c r="Q34" s="180">
        <v>10.199999999999999</v>
      </c>
      <c r="R34" s="180">
        <v>10.3</v>
      </c>
      <c r="S34" s="180">
        <v>0</v>
      </c>
      <c r="T34" s="180">
        <v>0</v>
      </c>
      <c r="U34" s="180">
        <v>0</v>
      </c>
      <c r="V34" s="180">
        <v>0</v>
      </c>
      <c r="W34" s="180">
        <v>0</v>
      </c>
      <c r="X34" s="180">
        <v>0</v>
      </c>
      <c r="Y34" s="180">
        <v>0</v>
      </c>
      <c r="Z34" s="180">
        <v>0</v>
      </c>
      <c r="AA34" s="180">
        <v>0</v>
      </c>
      <c r="AB34" s="180">
        <v>0</v>
      </c>
      <c r="AC34" s="180">
        <v>0</v>
      </c>
      <c r="AD34" s="180">
        <v>0</v>
      </c>
      <c r="AE34" s="180">
        <v>0</v>
      </c>
      <c r="AF34" s="180">
        <v>0</v>
      </c>
      <c r="AG34" s="180">
        <v>0</v>
      </c>
      <c r="AH34" s="180">
        <v>0</v>
      </c>
      <c r="AI34" s="180">
        <v>0</v>
      </c>
      <c r="AJ34" s="180">
        <v>0</v>
      </c>
      <c r="AK34" s="180">
        <v>0</v>
      </c>
      <c r="AL34" s="180">
        <v>0</v>
      </c>
      <c r="AM34" s="180">
        <v>0</v>
      </c>
      <c r="AN34" s="180">
        <v>0</v>
      </c>
      <c r="AO34" s="180">
        <v>0</v>
      </c>
      <c r="AP34" s="180">
        <v>0</v>
      </c>
      <c r="AQ34" s="180">
        <v>0</v>
      </c>
      <c r="AR34" s="180">
        <v>0</v>
      </c>
      <c r="AS34" s="180">
        <v>0</v>
      </c>
      <c r="AT34" s="180">
        <v>0</v>
      </c>
      <c r="AU34" s="180">
        <v>0</v>
      </c>
      <c r="AV34" s="180">
        <v>0</v>
      </c>
      <c r="AW34" s="180">
        <v>0</v>
      </c>
      <c r="AX34" s="180">
        <v>0</v>
      </c>
      <c r="AY34" s="180">
        <v>0</v>
      </c>
      <c r="AZ34" s="180">
        <v>0</v>
      </c>
      <c r="BA34" s="180">
        <v>0</v>
      </c>
      <c r="BB34" s="180">
        <v>0</v>
      </c>
      <c r="BC34" s="180">
        <v>0</v>
      </c>
      <c r="BD34" s="180">
        <v>0</v>
      </c>
      <c r="BE34" s="180">
        <v>0</v>
      </c>
      <c r="BF34" s="180">
        <v>0</v>
      </c>
      <c r="BG34" s="180">
        <v>0</v>
      </c>
      <c r="BH34" s="180">
        <v>0</v>
      </c>
      <c r="BI34" s="180">
        <v>0</v>
      </c>
      <c r="BJ34" s="180">
        <v>0</v>
      </c>
      <c r="BK34" s="180">
        <v>0</v>
      </c>
      <c r="BL34" s="180">
        <v>0</v>
      </c>
      <c r="BM34" s="180">
        <v>0</v>
      </c>
      <c r="BN34" s="180">
        <v>0</v>
      </c>
      <c r="BO34" s="180">
        <v>0</v>
      </c>
      <c r="BP34" s="180">
        <v>0</v>
      </c>
      <c r="BQ34" s="180">
        <v>0</v>
      </c>
      <c r="BR34" s="180">
        <v>0</v>
      </c>
      <c r="BS34" s="180">
        <v>0</v>
      </c>
      <c r="BT34" s="180">
        <v>0</v>
      </c>
      <c r="BU34" s="180">
        <v>0</v>
      </c>
      <c r="BV34" s="180">
        <v>0</v>
      </c>
      <c r="BW34" s="180">
        <v>0</v>
      </c>
      <c r="BX34" s="180">
        <v>0</v>
      </c>
      <c r="BY34" s="180">
        <v>0</v>
      </c>
      <c r="BZ34" s="180">
        <v>0</v>
      </c>
      <c r="CA34" s="180">
        <v>0</v>
      </c>
      <c r="CB34" s="180">
        <v>0</v>
      </c>
    </row>
    <row r="35" spans="1:80" ht="14.25" customHeight="1">
      <c r="A35" t="s">
        <v>171</v>
      </c>
      <c r="B35" s="178">
        <v>47886</v>
      </c>
      <c r="C35" s="178">
        <v>48506</v>
      </c>
      <c r="D35" s="179">
        <v>621</v>
      </c>
      <c r="E35" s="182">
        <v>20.399999999999999</v>
      </c>
      <c r="F35" s="182">
        <v>11.9</v>
      </c>
      <c r="G35" s="180">
        <v>0</v>
      </c>
      <c r="H35" s="180">
        <v>0</v>
      </c>
      <c r="I35" s="180">
        <v>0</v>
      </c>
      <c r="J35" s="180">
        <v>0</v>
      </c>
      <c r="K35" s="180">
        <v>0</v>
      </c>
      <c r="L35" s="180">
        <v>0</v>
      </c>
      <c r="M35" s="180">
        <v>0</v>
      </c>
      <c r="N35" s="180">
        <v>0</v>
      </c>
      <c r="O35" s="180">
        <v>0</v>
      </c>
      <c r="P35" s="180">
        <v>0</v>
      </c>
      <c r="Q35" s="180">
        <v>0</v>
      </c>
      <c r="R35" s="180">
        <v>1.7</v>
      </c>
      <c r="S35" s="180">
        <v>12</v>
      </c>
      <c r="T35" s="180">
        <v>6.6</v>
      </c>
      <c r="U35" s="180">
        <v>0</v>
      </c>
      <c r="V35" s="180">
        <v>0</v>
      </c>
      <c r="W35" s="180">
        <v>0</v>
      </c>
      <c r="X35" s="180">
        <v>0</v>
      </c>
      <c r="Y35" s="180">
        <v>0</v>
      </c>
      <c r="Z35" s="180">
        <v>0</v>
      </c>
      <c r="AA35" s="180">
        <v>0</v>
      </c>
      <c r="AB35" s="180">
        <v>0</v>
      </c>
      <c r="AC35" s="180">
        <v>0</v>
      </c>
      <c r="AD35" s="180">
        <v>0</v>
      </c>
      <c r="AE35" s="180">
        <v>0</v>
      </c>
      <c r="AF35" s="180">
        <v>0</v>
      </c>
      <c r="AG35" s="180">
        <v>0</v>
      </c>
      <c r="AH35" s="180">
        <v>0</v>
      </c>
      <c r="AI35" s="180">
        <v>0</v>
      </c>
      <c r="AJ35" s="180">
        <v>0</v>
      </c>
      <c r="AK35" s="180">
        <v>0</v>
      </c>
      <c r="AL35" s="180">
        <v>0</v>
      </c>
      <c r="AM35" s="180">
        <v>0</v>
      </c>
      <c r="AN35" s="180">
        <v>0</v>
      </c>
      <c r="AO35" s="180">
        <v>0</v>
      </c>
      <c r="AP35" s="180">
        <v>0</v>
      </c>
      <c r="AQ35" s="180">
        <v>0</v>
      </c>
      <c r="AR35" s="180">
        <v>0</v>
      </c>
      <c r="AS35" s="180">
        <v>0</v>
      </c>
      <c r="AT35" s="180">
        <v>0</v>
      </c>
      <c r="AU35" s="180">
        <v>0</v>
      </c>
      <c r="AV35" s="180">
        <v>0</v>
      </c>
      <c r="AW35" s="180">
        <v>0</v>
      </c>
      <c r="AX35" s="180">
        <v>0</v>
      </c>
      <c r="AY35" s="180">
        <v>0</v>
      </c>
      <c r="AZ35" s="180">
        <v>0</v>
      </c>
      <c r="BA35" s="180">
        <v>0</v>
      </c>
      <c r="BB35" s="180">
        <v>0</v>
      </c>
      <c r="BC35" s="180">
        <v>0</v>
      </c>
      <c r="BD35" s="180">
        <v>0</v>
      </c>
      <c r="BE35" s="180">
        <v>0</v>
      </c>
      <c r="BF35" s="180">
        <v>0</v>
      </c>
      <c r="BG35" s="180">
        <v>0</v>
      </c>
      <c r="BH35" s="180">
        <v>0</v>
      </c>
      <c r="BI35" s="180">
        <v>0</v>
      </c>
      <c r="BJ35" s="180">
        <v>0</v>
      </c>
      <c r="BK35" s="180">
        <v>0</v>
      </c>
      <c r="BL35" s="180">
        <v>0</v>
      </c>
      <c r="BM35" s="180">
        <v>0</v>
      </c>
      <c r="BN35" s="180">
        <v>0</v>
      </c>
      <c r="BO35" s="180">
        <v>0</v>
      </c>
      <c r="BP35" s="180">
        <v>0</v>
      </c>
      <c r="BQ35" s="180">
        <v>0</v>
      </c>
      <c r="BR35" s="180">
        <v>0</v>
      </c>
      <c r="BS35" s="180">
        <v>0</v>
      </c>
      <c r="BT35" s="180">
        <v>0</v>
      </c>
      <c r="BU35" s="180">
        <v>0</v>
      </c>
      <c r="BV35" s="180">
        <v>0</v>
      </c>
      <c r="BW35" s="180">
        <v>0</v>
      </c>
      <c r="BX35" s="180">
        <v>0</v>
      </c>
      <c r="BY35" s="180">
        <v>0</v>
      </c>
      <c r="BZ35" s="180">
        <v>0</v>
      </c>
      <c r="CA35" s="180">
        <v>0</v>
      </c>
      <c r="CB35" s="180">
        <v>0</v>
      </c>
    </row>
    <row r="36" spans="1:80" ht="14.25" customHeight="1">
      <c r="A36" t="s">
        <v>115</v>
      </c>
      <c r="B36" s="178">
        <v>48507</v>
      </c>
      <c r="C36" s="178">
        <v>50680</v>
      </c>
      <c r="D36" s="179">
        <v>2174</v>
      </c>
      <c r="E36" s="182">
        <v>71.5</v>
      </c>
      <c r="F36" s="182">
        <v>23.5</v>
      </c>
      <c r="G36" s="180">
        <v>0</v>
      </c>
      <c r="H36" s="180">
        <v>0</v>
      </c>
      <c r="I36" s="180">
        <v>0</v>
      </c>
      <c r="J36" s="180">
        <v>0</v>
      </c>
      <c r="K36" s="180">
        <v>0</v>
      </c>
      <c r="L36" s="180">
        <v>0</v>
      </c>
      <c r="M36" s="180">
        <v>0</v>
      </c>
      <c r="N36" s="180">
        <v>0</v>
      </c>
      <c r="O36" s="180">
        <v>0</v>
      </c>
      <c r="P36" s="180">
        <v>0</v>
      </c>
      <c r="Q36" s="180">
        <v>0</v>
      </c>
      <c r="R36" s="180">
        <v>0</v>
      </c>
      <c r="S36" s="180">
        <v>0</v>
      </c>
      <c r="T36" s="180">
        <v>5.4</v>
      </c>
      <c r="U36" s="180">
        <v>12</v>
      </c>
      <c r="V36" s="180">
        <v>12</v>
      </c>
      <c r="W36" s="180">
        <v>12</v>
      </c>
      <c r="X36" s="180">
        <v>12</v>
      </c>
      <c r="Y36" s="180">
        <v>12</v>
      </c>
      <c r="Z36" s="180">
        <v>6.1</v>
      </c>
      <c r="AA36" s="180">
        <v>0</v>
      </c>
      <c r="AB36" s="180">
        <v>0</v>
      </c>
      <c r="AC36" s="180">
        <v>0</v>
      </c>
      <c r="AD36" s="180">
        <v>0</v>
      </c>
      <c r="AE36" s="180">
        <v>0</v>
      </c>
      <c r="AF36" s="180">
        <v>0</v>
      </c>
      <c r="AG36" s="180">
        <v>0</v>
      </c>
      <c r="AH36" s="180">
        <v>0</v>
      </c>
      <c r="AI36" s="180">
        <v>0</v>
      </c>
      <c r="AJ36" s="180">
        <v>0</v>
      </c>
      <c r="AK36" s="180">
        <v>0</v>
      </c>
      <c r="AL36" s="180">
        <v>0</v>
      </c>
      <c r="AM36" s="180">
        <v>0</v>
      </c>
      <c r="AN36" s="180">
        <v>0</v>
      </c>
      <c r="AO36" s="180">
        <v>0</v>
      </c>
      <c r="AP36" s="180">
        <v>0</v>
      </c>
      <c r="AQ36" s="180">
        <v>0</v>
      </c>
      <c r="AR36" s="180">
        <v>0</v>
      </c>
      <c r="AS36" s="180">
        <v>0</v>
      </c>
      <c r="AT36" s="180">
        <v>0</v>
      </c>
      <c r="AU36" s="180">
        <v>0</v>
      </c>
      <c r="AV36" s="180">
        <v>0</v>
      </c>
      <c r="AW36" s="180">
        <v>0</v>
      </c>
      <c r="AX36" s="180">
        <v>0</v>
      </c>
      <c r="AY36" s="180">
        <v>0</v>
      </c>
      <c r="AZ36" s="180">
        <v>0</v>
      </c>
      <c r="BA36" s="180">
        <v>0</v>
      </c>
      <c r="BB36" s="180">
        <v>0</v>
      </c>
      <c r="BC36" s="180">
        <v>0</v>
      </c>
      <c r="BD36" s="180">
        <v>0</v>
      </c>
      <c r="BE36" s="180">
        <v>0</v>
      </c>
      <c r="BF36" s="180">
        <v>0</v>
      </c>
      <c r="BG36" s="180">
        <v>0</v>
      </c>
      <c r="BH36" s="180">
        <v>0</v>
      </c>
      <c r="BI36" s="180">
        <v>0</v>
      </c>
      <c r="BJ36" s="180">
        <v>0</v>
      </c>
      <c r="BK36" s="180">
        <v>0</v>
      </c>
      <c r="BL36" s="180">
        <v>0</v>
      </c>
      <c r="BM36" s="180">
        <v>0</v>
      </c>
      <c r="BN36" s="180">
        <v>0</v>
      </c>
      <c r="BO36" s="180">
        <v>0</v>
      </c>
      <c r="BP36" s="180">
        <v>0</v>
      </c>
      <c r="BQ36" s="180">
        <v>0</v>
      </c>
      <c r="BR36" s="180">
        <v>0</v>
      </c>
      <c r="BS36" s="180">
        <v>0</v>
      </c>
      <c r="BT36" s="180">
        <v>0</v>
      </c>
      <c r="BU36" s="180">
        <v>0</v>
      </c>
      <c r="BV36" s="180">
        <v>0</v>
      </c>
      <c r="BW36" s="180">
        <v>0</v>
      </c>
      <c r="BX36" s="180">
        <v>0</v>
      </c>
      <c r="BY36" s="180">
        <v>0</v>
      </c>
      <c r="BZ36" s="180">
        <v>0</v>
      </c>
      <c r="CA36" s="180">
        <v>0</v>
      </c>
      <c r="CB36" s="180">
        <v>0</v>
      </c>
    </row>
    <row r="37" spans="1:80" ht="14.25" customHeight="1">
      <c r="A37" t="s">
        <v>1074</v>
      </c>
      <c r="B37" s="178">
        <v>50681</v>
      </c>
      <c r="C37" s="178">
        <v>55336</v>
      </c>
      <c r="D37" s="179">
        <v>4656</v>
      </c>
      <c r="E37" s="182">
        <v>153.1</v>
      </c>
      <c r="F37" s="182">
        <v>11.4</v>
      </c>
      <c r="G37" s="180">
        <v>0</v>
      </c>
      <c r="H37" s="180">
        <v>0</v>
      </c>
      <c r="I37" s="180">
        <v>0</v>
      </c>
      <c r="J37" s="180">
        <v>0</v>
      </c>
      <c r="K37" s="180">
        <v>0</v>
      </c>
      <c r="L37" s="180">
        <v>0</v>
      </c>
      <c r="M37" s="180">
        <v>0</v>
      </c>
      <c r="N37" s="180">
        <v>0</v>
      </c>
      <c r="O37" s="180">
        <v>0</v>
      </c>
      <c r="P37" s="180">
        <v>0</v>
      </c>
      <c r="Q37" s="180">
        <v>0</v>
      </c>
      <c r="R37" s="180">
        <v>0</v>
      </c>
      <c r="S37" s="180">
        <v>0</v>
      </c>
      <c r="T37" s="180">
        <v>0</v>
      </c>
      <c r="U37" s="180">
        <v>0</v>
      </c>
      <c r="V37" s="180">
        <v>0</v>
      </c>
      <c r="W37" s="180">
        <v>0</v>
      </c>
      <c r="X37" s="180">
        <v>0</v>
      </c>
      <c r="Y37" s="180">
        <v>0</v>
      </c>
      <c r="Z37" s="180">
        <v>5.9</v>
      </c>
      <c r="AA37" s="180">
        <v>12</v>
      </c>
      <c r="AB37" s="180">
        <v>12</v>
      </c>
      <c r="AC37" s="180">
        <v>12</v>
      </c>
      <c r="AD37" s="180">
        <v>12</v>
      </c>
      <c r="AE37" s="180">
        <v>12</v>
      </c>
      <c r="AF37" s="180">
        <v>12</v>
      </c>
      <c r="AG37" s="180">
        <v>12</v>
      </c>
      <c r="AH37" s="180">
        <v>12</v>
      </c>
      <c r="AI37" s="180">
        <v>12</v>
      </c>
      <c r="AJ37" s="180">
        <v>12</v>
      </c>
      <c r="AK37" s="180">
        <v>12</v>
      </c>
      <c r="AL37" s="180">
        <v>12</v>
      </c>
      <c r="AM37" s="180">
        <v>3.1</v>
      </c>
      <c r="AN37" s="180">
        <v>0</v>
      </c>
      <c r="AO37" s="180">
        <v>0</v>
      </c>
      <c r="AP37" s="180">
        <v>0</v>
      </c>
      <c r="AQ37" s="180">
        <v>0</v>
      </c>
      <c r="AR37" s="180">
        <v>0</v>
      </c>
      <c r="AS37" s="180">
        <v>0</v>
      </c>
      <c r="AT37" s="180">
        <v>0</v>
      </c>
      <c r="AU37" s="180">
        <v>0</v>
      </c>
      <c r="AV37" s="180">
        <v>0</v>
      </c>
      <c r="AW37" s="180">
        <v>0</v>
      </c>
      <c r="AX37" s="180">
        <v>0</v>
      </c>
      <c r="AY37" s="180">
        <v>0</v>
      </c>
      <c r="AZ37" s="180">
        <v>0</v>
      </c>
      <c r="BA37" s="180">
        <v>0</v>
      </c>
      <c r="BB37" s="180">
        <v>0</v>
      </c>
      <c r="BC37" s="180">
        <v>0</v>
      </c>
      <c r="BD37" s="180">
        <v>0</v>
      </c>
      <c r="BE37" s="180">
        <v>0</v>
      </c>
      <c r="BF37" s="180">
        <v>0</v>
      </c>
      <c r="BG37" s="180">
        <v>0</v>
      </c>
      <c r="BH37" s="180">
        <v>0</v>
      </c>
      <c r="BI37" s="180">
        <v>0</v>
      </c>
      <c r="BJ37" s="180">
        <v>0</v>
      </c>
      <c r="BK37" s="180">
        <v>0</v>
      </c>
      <c r="BL37" s="180">
        <v>0</v>
      </c>
      <c r="BM37" s="180">
        <v>0</v>
      </c>
      <c r="BN37" s="180">
        <v>0</v>
      </c>
      <c r="BO37" s="180">
        <v>0</v>
      </c>
      <c r="BP37" s="180">
        <v>0</v>
      </c>
      <c r="BQ37" s="180">
        <v>0</v>
      </c>
      <c r="BR37" s="180">
        <v>0</v>
      </c>
      <c r="BS37" s="180">
        <v>0</v>
      </c>
      <c r="BT37" s="180">
        <v>0</v>
      </c>
      <c r="BU37" s="180">
        <v>0</v>
      </c>
      <c r="BV37" s="180">
        <v>0</v>
      </c>
      <c r="BW37" s="180">
        <v>0</v>
      </c>
      <c r="BX37" s="180">
        <v>0</v>
      </c>
      <c r="BY37" s="180">
        <v>0</v>
      </c>
      <c r="BZ37" s="180">
        <v>0</v>
      </c>
      <c r="CA37" s="180">
        <v>0</v>
      </c>
      <c r="CB37" s="180">
        <v>0</v>
      </c>
    </row>
    <row r="38" spans="1:80" ht="14.25" customHeight="1">
      <c r="A38" t="s">
        <v>1077</v>
      </c>
      <c r="B38" s="178">
        <v>55337</v>
      </c>
      <c r="C38" s="178">
        <v>56422</v>
      </c>
      <c r="D38" s="179">
        <v>1086</v>
      </c>
      <c r="E38" s="182">
        <v>35.700000000000003</v>
      </c>
      <c r="F38" s="182">
        <v>37.6</v>
      </c>
      <c r="G38" s="180">
        <v>0</v>
      </c>
      <c r="H38" s="180">
        <v>0</v>
      </c>
      <c r="I38" s="180">
        <v>0</v>
      </c>
      <c r="J38" s="180">
        <v>0</v>
      </c>
      <c r="K38" s="180">
        <v>0</v>
      </c>
      <c r="L38" s="180">
        <v>0</v>
      </c>
      <c r="M38" s="180">
        <v>0</v>
      </c>
      <c r="N38" s="180">
        <v>0</v>
      </c>
      <c r="O38" s="180">
        <v>0</v>
      </c>
      <c r="P38" s="180">
        <v>0</v>
      </c>
      <c r="Q38" s="180">
        <v>0</v>
      </c>
      <c r="R38" s="180">
        <v>0</v>
      </c>
      <c r="S38" s="180">
        <v>0</v>
      </c>
      <c r="T38" s="180">
        <v>0</v>
      </c>
      <c r="U38" s="180">
        <v>0</v>
      </c>
      <c r="V38" s="180">
        <v>0</v>
      </c>
      <c r="W38" s="180">
        <v>0</v>
      </c>
      <c r="X38" s="180">
        <v>0</v>
      </c>
      <c r="Y38" s="180">
        <v>0</v>
      </c>
      <c r="Z38" s="180">
        <v>0</v>
      </c>
      <c r="AA38" s="180">
        <v>0</v>
      </c>
      <c r="AB38" s="180">
        <v>0</v>
      </c>
      <c r="AC38" s="180">
        <v>0</v>
      </c>
      <c r="AD38" s="180">
        <v>0</v>
      </c>
      <c r="AE38" s="180">
        <v>0</v>
      </c>
      <c r="AF38" s="180">
        <v>0</v>
      </c>
      <c r="AG38" s="180">
        <v>0</v>
      </c>
      <c r="AH38" s="180">
        <v>0</v>
      </c>
      <c r="AI38" s="180">
        <v>0</v>
      </c>
      <c r="AJ38" s="180">
        <v>0</v>
      </c>
      <c r="AK38" s="180">
        <v>0</v>
      </c>
      <c r="AL38" s="180">
        <v>0</v>
      </c>
      <c r="AM38" s="180">
        <v>9</v>
      </c>
      <c r="AN38" s="180">
        <v>12</v>
      </c>
      <c r="AO38" s="180">
        <v>12</v>
      </c>
      <c r="AP38" s="180">
        <v>2.7</v>
      </c>
      <c r="AQ38" s="180">
        <v>0</v>
      </c>
      <c r="AR38" s="180">
        <v>0</v>
      </c>
      <c r="AS38" s="180">
        <v>0</v>
      </c>
      <c r="AT38" s="180">
        <v>0</v>
      </c>
      <c r="AU38" s="180">
        <v>0</v>
      </c>
      <c r="AV38" s="180">
        <v>0</v>
      </c>
      <c r="AW38" s="180">
        <v>0</v>
      </c>
      <c r="AX38" s="180">
        <v>0</v>
      </c>
      <c r="AY38" s="180">
        <v>0</v>
      </c>
      <c r="AZ38" s="180">
        <v>0</v>
      </c>
      <c r="BA38" s="180">
        <v>0</v>
      </c>
      <c r="BB38" s="180">
        <v>0</v>
      </c>
      <c r="BC38" s="180">
        <v>0</v>
      </c>
      <c r="BD38" s="180">
        <v>0</v>
      </c>
      <c r="BE38" s="180">
        <v>0</v>
      </c>
      <c r="BF38" s="180">
        <v>0</v>
      </c>
      <c r="BG38" s="180">
        <v>0</v>
      </c>
      <c r="BH38" s="180">
        <v>0</v>
      </c>
      <c r="BI38" s="180">
        <v>0</v>
      </c>
      <c r="BJ38" s="180">
        <v>0</v>
      </c>
      <c r="BK38" s="180">
        <v>0</v>
      </c>
      <c r="BL38" s="180">
        <v>0</v>
      </c>
      <c r="BM38" s="180">
        <v>0</v>
      </c>
      <c r="BN38" s="180">
        <v>0</v>
      </c>
      <c r="BO38" s="180">
        <v>0</v>
      </c>
      <c r="BP38" s="180">
        <v>0</v>
      </c>
      <c r="BQ38" s="180">
        <v>0</v>
      </c>
      <c r="BR38" s="180">
        <v>0</v>
      </c>
      <c r="BS38" s="180">
        <v>0</v>
      </c>
      <c r="BT38" s="180">
        <v>0</v>
      </c>
      <c r="BU38" s="180">
        <v>0</v>
      </c>
      <c r="BV38" s="180">
        <v>0</v>
      </c>
      <c r="BW38" s="180">
        <v>0</v>
      </c>
      <c r="BX38" s="180">
        <v>0</v>
      </c>
      <c r="BY38" s="180">
        <v>0</v>
      </c>
      <c r="BZ38" s="180">
        <v>0</v>
      </c>
      <c r="CA38" s="180">
        <v>0</v>
      </c>
      <c r="CB38" s="180">
        <v>0</v>
      </c>
    </row>
    <row r="39" spans="1:80" ht="14.25" customHeight="1">
      <c r="B39" s="184"/>
      <c r="C39" s="185"/>
      <c r="D39" s="185"/>
      <c r="E39" s="186"/>
      <c r="F39" s="187"/>
      <c r="G39" s="188"/>
      <c r="H39" s="188"/>
      <c r="I39" s="188"/>
      <c r="J39" s="188"/>
      <c r="K39" s="188"/>
      <c r="L39" s="188"/>
      <c r="M39" s="188"/>
      <c r="N39" s="188"/>
      <c r="O39" s="188"/>
      <c r="P39" s="188"/>
      <c r="Q39" s="188"/>
      <c r="R39" s="188"/>
      <c r="S39" s="188"/>
      <c r="T39" s="188"/>
      <c r="U39" s="188"/>
      <c r="V39" s="188"/>
      <c r="W39" s="188"/>
      <c r="X39" s="188"/>
      <c r="Y39" s="188"/>
      <c r="Z39" s="188"/>
      <c r="AA39" s="188"/>
      <c r="AB39" s="188"/>
      <c r="AC39" s="188"/>
      <c r="AD39" s="188"/>
      <c r="AE39" s="188"/>
      <c r="AF39" s="188"/>
      <c r="AG39" s="188"/>
      <c r="AH39" s="188"/>
      <c r="AI39" s="188"/>
      <c r="AJ39" s="188"/>
      <c r="AK39" s="188"/>
      <c r="AL39" s="188"/>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88"/>
      <c r="BM39" s="188"/>
      <c r="BN39" s="188"/>
      <c r="BO39" s="188"/>
      <c r="BP39" s="188"/>
      <c r="BQ39" s="188"/>
      <c r="BR39" s="188"/>
      <c r="BS39" s="188"/>
      <c r="BT39" s="188"/>
      <c r="BU39" s="188"/>
      <c r="BV39" s="188"/>
      <c r="BW39" s="188"/>
      <c r="BX39" s="188"/>
      <c r="BY39" s="188"/>
      <c r="BZ39" s="188"/>
      <c r="CA39" s="188"/>
      <c r="CB39" s="188"/>
    </row>
    <row r="40" spans="1:80" ht="14.25" customHeight="1">
      <c r="B40" s="184"/>
      <c r="C40" s="189"/>
      <c r="D40" s="185"/>
      <c r="E40" s="186"/>
      <c r="F40" s="187"/>
      <c r="G40" s="188"/>
      <c r="H40" s="188"/>
      <c r="I40" s="188"/>
      <c r="J40" s="188"/>
      <c r="K40" s="188"/>
      <c r="L40" s="188"/>
      <c r="M40" s="188"/>
      <c r="N40" s="188"/>
      <c r="O40" s="188"/>
      <c r="P40" s="188"/>
      <c r="Q40" s="188"/>
      <c r="R40" s="188"/>
      <c r="S40" s="188"/>
      <c r="T40" s="188"/>
      <c r="U40" s="188"/>
      <c r="V40" s="188"/>
      <c r="W40" s="188"/>
      <c r="X40" s="188"/>
      <c r="Y40" s="188"/>
      <c r="Z40" s="188"/>
      <c r="AA40" s="188"/>
      <c r="AB40" s="188"/>
      <c r="AC40" s="188"/>
      <c r="AD40" s="188"/>
      <c r="AE40" s="188"/>
      <c r="AF40" s="188"/>
      <c r="AG40" s="188"/>
      <c r="AH40" s="188"/>
      <c r="AI40" s="188"/>
      <c r="AJ40" s="188"/>
      <c r="AK40" s="188"/>
      <c r="AL40" s="188"/>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88"/>
      <c r="BM40" s="188"/>
      <c r="BN40" s="188"/>
      <c r="BO40" s="188"/>
      <c r="BP40" s="188"/>
      <c r="BQ40" s="188"/>
      <c r="BR40" s="188"/>
      <c r="BS40" s="188"/>
      <c r="BT40" s="188"/>
      <c r="BU40" s="188"/>
      <c r="BV40" s="188"/>
      <c r="BW40" s="188"/>
      <c r="BX40" s="188"/>
      <c r="BY40" s="188"/>
      <c r="BZ40" s="188"/>
      <c r="CA40" s="188"/>
      <c r="CB40" s="188"/>
    </row>
    <row r="41" spans="1:80" ht="14.25" customHeight="1">
      <c r="B41" s="184"/>
      <c r="C41" s="185"/>
      <c r="D41" s="185"/>
      <c r="E41" s="186"/>
      <c r="F41" s="187"/>
      <c r="G41" s="188"/>
      <c r="H41" s="188"/>
      <c r="I41" s="188"/>
      <c r="J41" s="188"/>
      <c r="K41" s="188"/>
      <c r="L41" s="188"/>
      <c r="M41" s="188"/>
      <c r="N41" s="188"/>
      <c r="O41" s="188"/>
      <c r="P41" s="188"/>
      <c r="Q41" s="188"/>
      <c r="R41" s="188"/>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c r="BQ41" s="188"/>
      <c r="BR41" s="188"/>
      <c r="BS41" s="188"/>
      <c r="BT41" s="188"/>
      <c r="BU41" s="188"/>
      <c r="BV41" s="188"/>
      <c r="BW41" s="188"/>
      <c r="BX41" s="188"/>
      <c r="BY41" s="188"/>
      <c r="BZ41" s="188"/>
      <c r="CA41" s="188"/>
      <c r="CB41" s="188"/>
    </row>
    <row r="42" spans="1:80" ht="14.25" customHeight="1">
      <c r="B42" s="184"/>
      <c r="C42" s="185"/>
      <c r="D42" s="185"/>
      <c r="E42" s="186"/>
      <c r="F42" s="187"/>
      <c r="G42" s="188"/>
      <c r="H42" s="188"/>
      <c r="I42" s="188"/>
      <c r="J42" s="188"/>
      <c r="K42" s="188"/>
      <c r="L42" s="188"/>
      <c r="M42" s="188"/>
      <c r="N42" s="188"/>
      <c r="O42" s="188"/>
      <c r="P42" s="188"/>
      <c r="Q42" s="188"/>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c r="BQ42" s="188"/>
      <c r="BR42" s="188"/>
      <c r="BS42" s="188"/>
      <c r="BT42" s="188"/>
      <c r="BU42" s="188"/>
      <c r="BV42" s="188"/>
      <c r="BW42" s="188"/>
      <c r="BX42" s="188"/>
      <c r="BY42" s="188"/>
      <c r="BZ42" s="188"/>
      <c r="CA42" s="188"/>
      <c r="CB42" s="188"/>
    </row>
    <row r="43" spans="1:80" ht="14.25" customHeight="1">
      <c r="B43" s="184"/>
      <c r="C43" s="185"/>
      <c r="D43" s="185"/>
      <c r="E43" s="186"/>
      <c r="F43" s="187"/>
      <c r="G43" s="188"/>
      <c r="H43" s="188"/>
      <c r="I43" s="188"/>
      <c r="J43" s="188"/>
      <c r="K43" s="188"/>
      <c r="L43" s="188"/>
      <c r="M43" s="188"/>
      <c r="N43" s="188"/>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c r="BQ43" s="188"/>
      <c r="BR43" s="188"/>
      <c r="BS43" s="188"/>
      <c r="BT43" s="188"/>
      <c r="BU43" s="188"/>
      <c r="BV43" s="188"/>
      <c r="BW43" s="188"/>
      <c r="BX43" s="188"/>
      <c r="BY43" s="188"/>
      <c r="BZ43" s="188"/>
      <c r="CA43" s="188"/>
      <c r="CB43" s="188"/>
    </row>
    <row r="44" spans="1:80" ht="14.25" customHeight="1">
      <c r="B44" s="184"/>
      <c r="C44" s="185"/>
      <c r="D44" s="185"/>
      <c r="E44" s="186"/>
      <c r="F44" s="187"/>
      <c r="G44" s="188"/>
      <c r="H44" s="188"/>
      <c r="I44" s="188"/>
      <c r="J44" s="188"/>
      <c r="K44" s="188"/>
      <c r="L44" s="188"/>
      <c r="M44" s="188"/>
      <c r="N44" s="188"/>
      <c r="O44" s="188"/>
      <c r="P44" s="188"/>
      <c r="Q44" s="188"/>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c r="BQ44" s="188"/>
      <c r="BR44" s="188"/>
      <c r="BS44" s="188"/>
      <c r="BT44" s="188"/>
      <c r="BU44" s="188"/>
      <c r="BV44" s="188"/>
      <c r="BW44" s="188"/>
      <c r="BX44" s="188"/>
      <c r="BY44" s="188"/>
      <c r="BZ44" s="188"/>
      <c r="CA44" s="188"/>
      <c r="CB44" s="188"/>
    </row>
    <row r="45" spans="1:80" ht="14.25" customHeight="1">
      <c r="B45" s="184"/>
      <c r="C45" s="185"/>
      <c r="D45" s="185"/>
      <c r="E45" s="186"/>
      <c r="F45" s="187"/>
      <c r="G45" s="188"/>
      <c r="H45" s="188"/>
      <c r="I45" s="188"/>
      <c r="J45" s="188"/>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c r="BQ45" s="188"/>
      <c r="BR45" s="188"/>
      <c r="BS45" s="188"/>
      <c r="BT45" s="188"/>
      <c r="BU45" s="188"/>
      <c r="BV45" s="188"/>
      <c r="BW45" s="188"/>
      <c r="BX45" s="188"/>
      <c r="BY45" s="188"/>
      <c r="BZ45" s="188"/>
      <c r="CA45" s="188"/>
      <c r="CB45" s="188"/>
    </row>
    <row r="48" spans="1:80" ht="14.25" customHeight="1">
      <c r="B48" s="171" t="s">
        <v>1087</v>
      </c>
      <c r="C48" s="183">
        <v>3</v>
      </c>
      <c r="D48" s="173"/>
      <c r="E48" s="173"/>
      <c r="F48" s="173"/>
      <c r="G48" s="173"/>
      <c r="H48" s="173"/>
      <c r="I48" s="173"/>
      <c r="J48" s="173"/>
      <c r="K48" s="173"/>
      <c r="L48" s="366" t="s">
        <v>1088</v>
      </c>
      <c r="M48" s="366"/>
      <c r="N48" s="366"/>
    </row>
    <row r="49" spans="1:80" ht="14.25" customHeight="1">
      <c r="B49" s="171" t="s">
        <v>1089</v>
      </c>
      <c r="C49" s="173" t="s">
        <v>1105</v>
      </c>
      <c r="D49" s="173"/>
      <c r="E49" s="173"/>
      <c r="F49" s="173"/>
      <c r="G49" s="173"/>
      <c r="H49" s="173"/>
      <c r="I49" s="173"/>
      <c r="J49" s="173"/>
      <c r="K49" s="173"/>
      <c r="L49" s="366"/>
      <c r="M49" s="366"/>
      <c r="N49" s="366"/>
    </row>
    <row r="50" spans="1:80" ht="14.25" customHeight="1">
      <c r="B50" s="171" t="s">
        <v>1091</v>
      </c>
      <c r="C50" s="173" t="s">
        <v>1106</v>
      </c>
      <c r="D50" s="173"/>
      <c r="E50" s="173"/>
      <c r="F50" s="173"/>
      <c r="G50" s="173"/>
      <c r="H50" s="173"/>
      <c r="I50" s="173"/>
      <c r="J50" s="173"/>
      <c r="K50" s="173"/>
      <c r="L50" s="366"/>
      <c r="M50" s="366"/>
      <c r="N50" s="366"/>
    </row>
    <row r="51" spans="1:80" ht="14.25" customHeight="1">
      <c r="B51" s="171" t="s">
        <v>1093</v>
      </c>
      <c r="C51" s="173" t="s">
        <v>1107</v>
      </c>
      <c r="D51" s="173"/>
      <c r="E51" s="173"/>
      <c r="F51" s="173"/>
      <c r="G51" s="173"/>
      <c r="H51" s="173"/>
      <c r="I51" s="173"/>
      <c r="J51" s="173"/>
      <c r="K51" s="173"/>
      <c r="L51" s="366"/>
      <c r="M51" s="366"/>
      <c r="N51" s="366"/>
    </row>
    <row r="52" spans="1:80" ht="14.25" customHeight="1">
      <c r="B52" s="171" t="s">
        <v>1095</v>
      </c>
      <c r="C52" s="173" t="s">
        <v>1104</v>
      </c>
      <c r="D52" s="173"/>
      <c r="E52" s="173"/>
      <c r="F52" s="173"/>
      <c r="G52" s="173"/>
      <c r="H52" s="173"/>
      <c r="I52" s="173"/>
      <c r="J52" s="173"/>
      <c r="K52" s="173"/>
      <c r="L52" s="366"/>
      <c r="M52" s="366"/>
      <c r="N52" s="366"/>
    </row>
    <row r="54" spans="1:80" ht="14.25" customHeight="1">
      <c r="B54" s="175" t="s">
        <v>1047</v>
      </c>
      <c r="C54" s="175" t="s">
        <v>1097</v>
      </c>
      <c r="D54" s="175" t="s">
        <v>1098</v>
      </c>
      <c r="E54" s="161" t="s">
        <v>1099</v>
      </c>
      <c r="F54" s="161" t="s">
        <v>1100</v>
      </c>
      <c r="G54" s="176">
        <v>2020</v>
      </c>
      <c r="H54" s="176">
        <v>2021</v>
      </c>
      <c r="I54" s="176">
        <v>2022</v>
      </c>
      <c r="J54" s="176">
        <v>2023</v>
      </c>
      <c r="K54" s="176">
        <v>2024</v>
      </c>
      <c r="L54" s="176">
        <v>2025</v>
      </c>
      <c r="M54" s="176">
        <v>2026</v>
      </c>
      <c r="N54" s="176">
        <v>2027</v>
      </c>
      <c r="O54" s="176">
        <v>2028</v>
      </c>
      <c r="P54" s="176">
        <v>2029</v>
      </c>
      <c r="Q54" s="176">
        <v>2030</v>
      </c>
      <c r="R54" s="176">
        <v>2031</v>
      </c>
      <c r="S54" s="176">
        <v>2032</v>
      </c>
      <c r="T54" s="176">
        <v>2033</v>
      </c>
      <c r="U54" s="176">
        <v>2034</v>
      </c>
      <c r="V54" s="176">
        <v>2035</v>
      </c>
      <c r="W54" s="176">
        <v>2036</v>
      </c>
      <c r="X54" s="176">
        <v>2037</v>
      </c>
      <c r="Y54" s="176">
        <v>2038</v>
      </c>
      <c r="Z54" s="176">
        <v>2039</v>
      </c>
      <c r="AA54" s="176">
        <v>2040</v>
      </c>
      <c r="AB54" s="176">
        <v>2041</v>
      </c>
      <c r="AC54" s="176">
        <v>2042</v>
      </c>
      <c r="AD54" s="176">
        <v>2043</v>
      </c>
      <c r="AE54" s="176">
        <v>2044</v>
      </c>
      <c r="AF54" s="176">
        <v>2045</v>
      </c>
      <c r="AG54" s="176">
        <v>2046</v>
      </c>
      <c r="AH54" s="176">
        <v>2047</v>
      </c>
      <c r="AI54" s="176">
        <v>2048</v>
      </c>
      <c r="AJ54" s="176">
        <v>2049</v>
      </c>
      <c r="AK54" s="176">
        <v>2050</v>
      </c>
      <c r="AL54" s="176">
        <v>2051</v>
      </c>
      <c r="AM54" s="176">
        <v>2052</v>
      </c>
      <c r="AN54" s="176">
        <v>2053</v>
      </c>
      <c r="AO54" s="176">
        <v>2054</v>
      </c>
      <c r="AP54" s="176">
        <v>2055</v>
      </c>
      <c r="AQ54" s="176">
        <v>2056</v>
      </c>
      <c r="AR54" s="176">
        <v>2057</v>
      </c>
      <c r="AS54" s="176">
        <v>2058</v>
      </c>
      <c r="AT54" s="176">
        <v>2059</v>
      </c>
      <c r="AU54" s="176">
        <v>2060</v>
      </c>
      <c r="AV54" s="176">
        <v>2061</v>
      </c>
      <c r="AW54" s="176">
        <v>2062</v>
      </c>
      <c r="AX54" s="176">
        <v>2063</v>
      </c>
      <c r="AY54" s="176">
        <v>2064</v>
      </c>
      <c r="AZ54" s="176">
        <v>2065</v>
      </c>
      <c r="BA54" s="176">
        <v>2066</v>
      </c>
      <c r="BB54" s="176">
        <v>2067</v>
      </c>
      <c r="BC54" s="176">
        <v>2068</v>
      </c>
      <c r="BD54" s="176">
        <v>2069</v>
      </c>
      <c r="BE54" s="176">
        <v>2070</v>
      </c>
      <c r="BF54" s="176">
        <v>2071</v>
      </c>
      <c r="BG54" s="176">
        <v>2072</v>
      </c>
      <c r="BH54" s="176">
        <v>2073</v>
      </c>
      <c r="BI54" s="176">
        <v>2074</v>
      </c>
      <c r="BJ54" s="176">
        <v>2075</v>
      </c>
      <c r="BK54" s="176">
        <v>2076</v>
      </c>
      <c r="BL54" s="176">
        <v>2077</v>
      </c>
      <c r="BM54" s="176">
        <v>2078</v>
      </c>
      <c r="BN54" s="176">
        <v>2079</v>
      </c>
      <c r="BO54" s="176">
        <v>2080</v>
      </c>
      <c r="BP54" s="176">
        <v>2081</v>
      </c>
      <c r="BQ54" s="176">
        <v>2082</v>
      </c>
      <c r="BR54" s="176">
        <v>2083</v>
      </c>
      <c r="BS54" s="176">
        <v>2084</v>
      </c>
      <c r="BT54" s="176">
        <v>2085</v>
      </c>
      <c r="BU54" s="176">
        <v>2086</v>
      </c>
      <c r="BV54" s="176">
        <v>2087</v>
      </c>
      <c r="BW54" s="176">
        <v>2088</v>
      </c>
      <c r="BX54" s="176">
        <v>2089</v>
      </c>
      <c r="BY54" s="176">
        <v>2090</v>
      </c>
      <c r="BZ54" s="176">
        <v>2091</v>
      </c>
      <c r="CA54" s="176">
        <v>2092</v>
      </c>
      <c r="CB54" s="176">
        <v>2093</v>
      </c>
    </row>
    <row r="55" spans="1:80" ht="14.25" customHeight="1">
      <c r="A55" t="s">
        <v>1056</v>
      </c>
      <c r="B55" s="178">
        <v>46023</v>
      </c>
      <c r="C55" s="178">
        <v>46898</v>
      </c>
      <c r="D55" s="179">
        <v>876</v>
      </c>
      <c r="E55" s="52">
        <v>28.8</v>
      </c>
      <c r="F55" s="52">
        <v>11.3</v>
      </c>
      <c r="G55" s="180">
        <v>0</v>
      </c>
      <c r="H55" s="180">
        <v>0</v>
      </c>
      <c r="I55" s="180">
        <v>0</v>
      </c>
      <c r="J55" s="180">
        <v>0</v>
      </c>
      <c r="K55" s="180">
        <v>0</v>
      </c>
      <c r="L55" s="180">
        <v>0</v>
      </c>
      <c r="M55" s="180">
        <v>3</v>
      </c>
      <c r="N55" s="180">
        <v>12</v>
      </c>
      <c r="O55" s="180">
        <v>12</v>
      </c>
      <c r="P55" s="180">
        <v>1.8</v>
      </c>
      <c r="Q55" s="180">
        <v>0</v>
      </c>
      <c r="R55" s="180">
        <v>0</v>
      </c>
      <c r="S55" s="180">
        <v>0</v>
      </c>
      <c r="T55" s="180">
        <v>0</v>
      </c>
      <c r="U55" s="180">
        <v>0</v>
      </c>
      <c r="V55" s="180">
        <v>0</v>
      </c>
      <c r="W55" s="180">
        <v>0</v>
      </c>
      <c r="X55" s="180">
        <v>0</v>
      </c>
      <c r="Y55" s="180">
        <v>0</v>
      </c>
      <c r="Z55" s="180">
        <v>0</v>
      </c>
      <c r="AA55" s="180">
        <v>0</v>
      </c>
      <c r="AB55" s="180">
        <v>0</v>
      </c>
      <c r="AC55" s="180">
        <v>0</v>
      </c>
      <c r="AD55" s="180">
        <v>0</v>
      </c>
      <c r="AE55" s="180">
        <v>0</v>
      </c>
      <c r="AF55" s="180">
        <v>0</v>
      </c>
      <c r="AG55" s="180">
        <v>0</v>
      </c>
      <c r="AH55" s="180">
        <v>0</v>
      </c>
      <c r="AI55" s="180">
        <v>0</v>
      </c>
      <c r="AJ55" s="180">
        <v>0</v>
      </c>
      <c r="AK55" s="180">
        <v>0</v>
      </c>
      <c r="AL55" s="180">
        <v>0</v>
      </c>
      <c r="AM55" s="180">
        <v>0</v>
      </c>
      <c r="AN55" s="180">
        <v>0</v>
      </c>
      <c r="AO55" s="180">
        <v>0</v>
      </c>
      <c r="AP55" s="180">
        <v>0</v>
      </c>
      <c r="AQ55" s="180">
        <v>0</v>
      </c>
      <c r="AR55" s="180">
        <v>0</v>
      </c>
      <c r="AS55" s="180">
        <v>0</v>
      </c>
      <c r="AT55" s="180">
        <v>0</v>
      </c>
      <c r="AU55" s="180">
        <v>0</v>
      </c>
      <c r="AV55" s="180">
        <v>0</v>
      </c>
      <c r="AW55" s="180">
        <v>0</v>
      </c>
      <c r="AX55" s="180">
        <v>0</v>
      </c>
      <c r="AY55" s="180">
        <v>0</v>
      </c>
      <c r="AZ55" s="180">
        <v>0</v>
      </c>
      <c r="BA55" s="180">
        <v>0</v>
      </c>
      <c r="BB55" s="180">
        <v>0</v>
      </c>
      <c r="BC55" s="180">
        <v>0</v>
      </c>
      <c r="BD55" s="180">
        <v>0</v>
      </c>
      <c r="BE55" s="180">
        <v>0</v>
      </c>
      <c r="BF55" s="180">
        <v>0</v>
      </c>
      <c r="BG55" s="180">
        <v>0</v>
      </c>
      <c r="BH55" s="180">
        <v>0</v>
      </c>
      <c r="BI55" s="180">
        <v>0</v>
      </c>
      <c r="BJ55" s="180">
        <v>0</v>
      </c>
      <c r="BK55" s="180">
        <v>0</v>
      </c>
      <c r="BL55" s="180">
        <v>0</v>
      </c>
      <c r="BM55" s="180">
        <v>0</v>
      </c>
      <c r="BN55" s="180">
        <v>0</v>
      </c>
      <c r="BO55" s="180">
        <v>0</v>
      </c>
      <c r="BP55" s="180">
        <v>0</v>
      </c>
      <c r="BQ55" s="180">
        <v>0</v>
      </c>
      <c r="BR55" s="180">
        <v>0</v>
      </c>
      <c r="BS55" s="180">
        <v>0</v>
      </c>
      <c r="BT55" s="180">
        <v>0</v>
      </c>
      <c r="BU55" s="180">
        <v>0</v>
      </c>
      <c r="BV55" s="180">
        <v>0</v>
      </c>
      <c r="BW55" s="180">
        <v>0</v>
      </c>
      <c r="BX55" s="180">
        <v>0</v>
      </c>
      <c r="BY55" s="180">
        <v>0</v>
      </c>
      <c r="BZ55" s="180">
        <v>0</v>
      </c>
      <c r="CA55" s="180">
        <v>0</v>
      </c>
      <c r="CB55" s="180">
        <v>0</v>
      </c>
    </row>
    <row r="56" spans="1:80" ht="14.25" customHeight="1">
      <c r="A56" t="s">
        <v>429</v>
      </c>
      <c r="B56" s="178">
        <v>46899</v>
      </c>
      <c r="C56" s="178">
        <v>47775</v>
      </c>
      <c r="D56" s="179">
        <v>877</v>
      </c>
      <c r="E56" s="52">
        <v>28.8</v>
      </c>
      <c r="F56" s="52">
        <v>11.7</v>
      </c>
      <c r="G56" s="180">
        <v>0</v>
      </c>
      <c r="H56" s="180">
        <v>0</v>
      </c>
      <c r="I56" s="180">
        <v>0</v>
      </c>
      <c r="J56" s="180">
        <v>0</v>
      </c>
      <c r="K56" s="180">
        <v>0</v>
      </c>
      <c r="L56" s="180">
        <v>0</v>
      </c>
      <c r="M56" s="180">
        <v>0</v>
      </c>
      <c r="N56" s="180">
        <v>0</v>
      </c>
      <c r="O56" s="180">
        <v>0</v>
      </c>
      <c r="P56" s="180">
        <v>10.199999999999999</v>
      </c>
      <c r="Q56" s="180">
        <v>12</v>
      </c>
      <c r="R56" s="180">
        <v>6.6</v>
      </c>
      <c r="S56" s="180">
        <v>0</v>
      </c>
      <c r="T56" s="180">
        <v>0</v>
      </c>
      <c r="U56" s="180">
        <v>0</v>
      </c>
      <c r="V56" s="180">
        <v>0</v>
      </c>
      <c r="W56" s="180">
        <v>0</v>
      </c>
      <c r="X56" s="180">
        <v>0</v>
      </c>
      <c r="Y56" s="180">
        <v>0</v>
      </c>
      <c r="Z56" s="180">
        <v>0</v>
      </c>
      <c r="AA56" s="180">
        <v>0</v>
      </c>
      <c r="AB56" s="180">
        <v>0</v>
      </c>
      <c r="AC56" s="180">
        <v>0</v>
      </c>
      <c r="AD56" s="180">
        <v>0</v>
      </c>
      <c r="AE56" s="180">
        <v>0</v>
      </c>
      <c r="AF56" s="180">
        <v>0</v>
      </c>
      <c r="AG56" s="180">
        <v>0</v>
      </c>
      <c r="AH56" s="180">
        <v>0</v>
      </c>
      <c r="AI56" s="180">
        <v>0</v>
      </c>
      <c r="AJ56" s="180">
        <v>0</v>
      </c>
      <c r="AK56" s="180">
        <v>0</v>
      </c>
      <c r="AL56" s="180">
        <v>0</v>
      </c>
      <c r="AM56" s="180">
        <v>0</v>
      </c>
      <c r="AN56" s="180">
        <v>0</v>
      </c>
      <c r="AO56" s="180">
        <v>0</v>
      </c>
      <c r="AP56" s="180">
        <v>0</v>
      </c>
      <c r="AQ56" s="180">
        <v>0</v>
      </c>
      <c r="AR56" s="180">
        <v>0</v>
      </c>
      <c r="AS56" s="180">
        <v>0</v>
      </c>
      <c r="AT56" s="180">
        <v>0</v>
      </c>
      <c r="AU56" s="180">
        <v>0</v>
      </c>
      <c r="AV56" s="180">
        <v>0</v>
      </c>
      <c r="AW56" s="180">
        <v>0</v>
      </c>
      <c r="AX56" s="180">
        <v>0</v>
      </c>
      <c r="AY56" s="180">
        <v>0</v>
      </c>
      <c r="AZ56" s="180">
        <v>0</v>
      </c>
      <c r="BA56" s="180">
        <v>0</v>
      </c>
      <c r="BB56" s="180">
        <v>0</v>
      </c>
      <c r="BC56" s="180">
        <v>0</v>
      </c>
      <c r="BD56" s="180">
        <v>0</v>
      </c>
      <c r="BE56" s="180">
        <v>0</v>
      </c>
      <c r="BF56" s="180">
        <v>0</v>
      </c>
      <c r="BG56" s="180">
        <v>0</v>
      </c>
      <c r="BH56" s="180">
        <v>0</v>
      </c>
      <c r="BI56" s="180">
        <v>0</v>
      </c>
      <c r="BJ56" s="180">
        <v>0</v>
      </c>
      <c r="BK56" s="180">
        <v>0</v>
      </c>
      <c r="BL56" s="180">
        <v>0</v>
      </c>
      <c r="BM56" s="180">
        <v>0</v>
      </c>
      <c r="BN56" s="180">
        <v>0</v>
      </c>
      <c r="BO56" s="180">
        <v>0</v>
      </c>
      <c r="BP56" s="180">
        <v>0</v>
      </c>
      <c r="BQ56" s="180">
        <v>0</v>
      </c>
      <c r="BR56" s="180">
        <v>0</v>
      </c>
      <c r="BS56" s="180">
        <v>0</v>
      </c>
      <c r="BT56" s="180">
        <v>0</v>
      </c>
      <c r="BU56" s="180">
        <v>0</v>
      </c>
      <c r="BV56" s="180">
        <v>0</v>
      </c>
      <c r="BW56" s="180">
        <v>0</v>
      </c>
      <c r="BX56" s="180">
        <v>0</v>
      </c>
      <c r="BY56" s="180">
        <v>0</v>
      </c>
      <c r="BZ56" s="180">
        <v>0</v>
      </c>
      <c r="CA56" s="180">
        <v>0</v>
      </c>
      <c r="CB56" s="180">
        <v>0</v>
      </c>
    </row>
    <row r="57" spans="1:80" ht="14.25" customHeight="1">
      <c r="A57" t="s">
        <v>206</v>
      </c>
      <c r="B57" s="178">
        <v>47776</v>
      </c>
      <c r="C57" s="178">
        <v>48651</v>
      </c>
      <c r="D57" s="179">
        <v>876</v>
      </c>
      <c r="E57" s="52">
        <v>28.8</v>
      </c>
      <c r="F57" s="52">
        <v>12.2</v>
      </c>
      <c r="G57" s="180">
        <v>0</v>
      </c>
      <c r="H57" s="180">
        <v>0</v>
      </c>
      <c r="I57" s="180">
        <v>0</v>
      </c>
      <c r="J57" s="180">
        <v>0</v>
      </c>
      <c r="K57" s="180">
        <v>0</v>
      </c>
      <c r="L57" s="180">
        <v>0</v>
      </c>
      <c r="M57" s="180">
        <v>0</v>
      </c>
      <c r="N57" s="180">
        <v>0</v>
      </c>
      <c r="O57" s="180">
        <v>0</v>
      </c>
      <c r="P57" s="180">
        <v>0</v>
      </c>
      <c r="Q57" s="180">
        <v>0</v>
      </c>
      <c r="R57" s="180">
        <v>5.4</v>
      </c>
      <c r="S57" s="180">
        <v>12</v>
      </c>
      <c r="T57" s="180">
        <v>11.4</v>
      </c>
      <c r="U57" s="180">
        <v>0</v>
      </c>
      <c r="V57" s="180">
        <v>0</v>
      </c>
      <c r="W57" s="180">
        <v>0</v>
      </c>
      <c r="X57" s="180">
        <v>0</v>
      </c>
      <c r="Y57" s="180">
        <v>0</v>
      </c>
      <c r="Z57" s="180">
        <v>0</v>
      </c>
      <c r="AA57" s="180">
        <v>0</v>
      </c>
      <c r="AB57" s="180">
        <v>0</v>
      </c>
      <c r="AC57" s="180">
        <v>0</v>
      </c>
      <c r="AD57" s="180">
        <v>0</v>
      </c>
      <c r="AE57" s="180">
        <v>0</v>
      </c>
      <c r="AF57" s="180">
        <v>0</v>
      </c>
      <c r="AG57" s="180">
        <v>0</v>
      </c>
      <c r="AH57" s="180">
        <v>0</v>
      </c>
      <c r="AI57" s="180">
        <v>0</v>
      </c>
      <c r="AJ57" s="180">
        <v>0</v>
      </c>
      <c r="AK57" s="180">
        <v>0</v>
      </c>
      <c r="AL57" s="180">
        <v>0</v>
      </c>
      <c r="AM57" s="180">
        <v>0</v>
      </c>
      <c r="AN57" s="180">
        <v>0</v>
      </c>
      <c r="AO57" s="180">
        <v>0</v>
      </c>
      <c r="AP57" s="180">
        <v>0</v>
      </c>
      <c r="AQ57" s="180">
        <v>0</v>
      </c>
      <c r="AR57" s="180">
        <v>0</v>
      </c>
      <c r="AS57" s="180">
        <v>0</v>
      </c>
      <c r="AT57" s="180">
        <v>0</v>
      </c>
      <c r="AU57" s="180">
        <v>0</v>
      </c>
      <c r="AV57" s="180">
        <v>0</v>
      </c>
      <c r="AW57" s="180">
        <v>0</v>
      </c>
      <c r="AX57" s="180">
        <v>0</v>
      </c>
      <c r="AY57" s="180">
        <v>0</v>
      </c>
      <c r="AZ57" s="180">
        <v>0</v>
      </c>
      <c r="BA57" s="180">
        <v>0</v>
      </c>
      <c r="BB57" s="180">
        <v>0</v>
      </c>
      <c r="BC57" s="180">
        <v>0</v>
      </c>
      <c r="BD57" s="180">
        <v>0</v>
      </c>
      <c r="BE57" s="180">
        <v>0</v>
      </c>
      <c r="BF57" s="180">
        <v>0</v>
      </c>
      <c r="BG57" s="180">
        <v>0</v>
      </c>
      <c r="BH57" s="180">
        <v>0</v>
      </c>
      <c r="BI57" s="180">
        <v>0</v>
      </c>
      <c r="BJ57" s="180">
        <v>0</v>
      </c>
      <c r="BK57" s="180">
        <v>0</v>
      </c>
      <c r="BL57" s="180">
        <v>0</v>
      </c>
      <c r="BM57" s="180">
        <v>0</v>
      </c>
      <c r="BN57" s="180">
        <v>0</v>
      </c>
      <c r="BO57" s="180">
        <v>0</v>
      </c>
      <c r="BP57" s="180">
        <v>0</v>
      </c>
      <c r="BQ57" s="180">
        <v>0</v>
      </c>
      <c r="BR57" s="180">
        <v>0</v>
      </c>
      <c r="BS57" s="180">
        <v>0</v>
      </c>
      <c r="BT57" s="180">
        <v>0</v>
      </c>
      <c r="BU57" s="180">
        <v>0</v>
      </c>
      <c r="BV57" s="180">
        <v>0</v>
      </c>
      <c r="BW57" s="180">
        <v>0</v>
      </c>
      <c r="BX57" s="180">
        <v>0</v>
      </c>
      <c r="BY57" s="180">
        <v>0</v>
      </c>
      <c r="BZ57" s="180">
        <v>0</v>
      </c>
      <c r="CA57" s="180">
        <v>0</v>
      </c>
      <c r="CB57" s="180">
        <v>0</v>
      </c>
    </row>
    <row r="58" spans="1:80" ht="14.25" customHeight="1">
      <c r="A58" t="s">
        <v>171</v>
      </c>
      <c r="B58" s="178">
        <v>48652</v>
      </c>
      <c r="C58" s="178">
        <v>49528</v>
      </c>
      <c r="D58" s="179">
        <v>877</v>
      </c>
      <c r="E58" s="182">
        <v>28.8</v>
      </c>
      <c r="F58" s="182">
        <v>15.2</v>
      </c>
      <c r="G58" s="180">
        <v>0</v>
      </c>
      <c r="H58" s="180">
        <v>0</v>
      </c>
      <c r="I58" s="180">
        <v>0</v>
      </c>
      <c r="J58" s="180">
        <v>0</v>
      </c>
      <c r="K58" s="180">
        <v>0</v>
      </c>
      <c r="L58" s="180">
        <v>0</v>
      </c>
      <c r="M58" s="180">
        <v>0</v>
      </c>
      <c r="N58" s="180">
        <v>0</v>
      </c>
      <c r="O58" s="180">
        <v>0</v>
      </c>
      <c r="P58" s="180">
        <v>0</v>
      </c>
      <c r="Q58" s="180">
        <v>0</v>
      </c>
      <c r="R58" s="180">
        <v>0</v>
      </c>
      <c r="S58" s="180">
        <v>0</v>
      </c>
      <c r="T58" s="180">
        <v>0.6</v>
      </c>
      <c r="U58" s="180">
        <v>12</v>
      </c>
      <c r="V58" s="180">
        <v>12</v>
      </c>
      <c r="W58" s="180">
        <v>4.2</v>
      </c>
      <c r="X58" s="180">
        <v>0</v>
      </c>
      <c r="Y58" s="180">
        <v>0</v>
      </c>
      <c r="Z58" s="180">
        <v>0</v>
      </c>
      <c r="AA58" s="180">
        <v>0</v>
      </c>
      <c r="AB58" s="180">
        <v>0</v>
      </c>
      <c r="AC58" s="180">
        <v>0</v>
      </c>
      <c r="AD58" s="180">
        <v>0</v>
      </c>
      <c r="AE58" s="180">
        <v>0</v>
      </c>
      <c r="AF58" s="180">
        <v>0</v>
      </c>
      <c r="AG58" s="180">
        <v>0</v>
      </c>
      <c r="AH58" s="180">
        <v>0</v>
      </c>
      <c r="AI58" s="180">
        <v>0</v>
      </c>
      <c r="AJ58" s="180">
        <v>0</v>
      </c>
      <c r="AK58" s="180">
        <v>0</v>
      </c>
      <c r="AL58" s="180">
        <v>0</v>
      </c>
      <c r="AM58" s="180">
        <v>0</v>
      </c>
      <c r="AN58" s="180">
        <v>0</v>
      </c>
      <c r="AO58" s="180">
        <v>0</v>
      </c>
      <c r="AP58" s="180">
        <v>0</v>
      </c>
      <c r="AQ58" s="180">
        <v>0</v>
      </c>
      <c r="AR58" s="180">
        <v>0</v>
      </c>
      <c r="AS58" s="180">
        <v>0</v>
      </c>
      <c r="AT58" s="180">
        <v>0</v>
      </c>
      <c r="AU58" s="180">
        <v>0</v>
      </c>
      <c r="AV58" s="180">
        <v>0</v>
      </c>
      <c r="AW58" s="180">
        <v>0</v>
      </c>
      <c r="AX58" s="180">
        <v>0</v>
      </c>
      <c r="AY58" s="180">
        <v>0</v>
      </c>
      <c r="AZ58" s="180">
        <v>0</v>
      </c>
      <c r="BA58" s="180">
        <v>0</v>
      </c>
      <c r="BB58" s="180">
        <v>0</v>
      </c>
      <c r="BC58" s="180">
        <v>0</v>
      </c>
      <c r="BD58" s="180">
        <v>0</v>
      </c>
      <c r="BE58" s="180">
        <v>0</v>
      </c>
      <c r="BF58" s="180">
        <v>0</v>
      </c>
      <c r="BG58" s="180">
        <v>0</v>
      </c>
      <c r="BH58" s="180">
        <v>0</v>
      </c>
      <c r="BI58" s="180">
        <v>0</v>
      </c>
      <c r="BJ58" s="180">
        <v>0</v>
      </c>
      <c r="BK58" s="180">
        <v>0</v>
      </c>
      <c r="BL58" s="180">
        <v>0</v>
      </c>
      <c r="BM58" s="180">
        <v>0</v>
      </c>
      <c r="BN58" s="180">
        <v>0</v>
      </c>
      <c r="BO58" s="180">
        <v>0</v>
      </c>
      <c r="BP58" s="180">
        <v>0</v>
      </c>
      <c r="BQ58" s="180">
        <v>0</v>
      </c>
      <c r="BR58" s="180">
        <v>0</v>
      </c>
      <c r="BS58" s="180">
        <v>0</v>
      </c>
      <c r="BT58" s="180">
        <v>0</v>
      </c>
      <c r="BU58" s="180">
        <v>0</v>
      </c>
      <c r="BV58" s="180">
        <v>0</v>
      </c>
      <c r="BW58" s="180">
        <v>0</v>
      </c>
      <c r="BX58" s="180">
        <v>0</v>
      </c>
      <c r="BY58" s="180">
        <v>0</v>
      </c>
      <c r="BZ58" s="180">
        <v>0</v>
      </c>
      <c r="CA58" s="180">
        <v>0</v>
      </c>
      <c r="CB58" s="180">
        <v>0</v>
      </c>
    </row>
    <row r="59" spans="1:80" ht="14.25" customHeight="1">
      <c r="A59" t="s">
        <v>115</v>
      </c>
      <c r="B59" s="178">
        <v>49529</v>
      </c>
      <c r="C59" s="178">
        <v>52596</v>
      </c>
      <c r="D59" s="179">
        <v>3068</v>
      </c>
      <c r="E59" s="182">
        <v>100.9</v>
      </c>
      <c r="F59" s="182">
        <v>30</v>
      </c>
      <c r="G59" s="180">
        <v>0</v>
      </c>
      <c r="H59" s="180">
        <v>0</v>
      </c>
      <c r="I59" s="180">
        <v>0</v>
      </c>
      <c r="J59" s="180">
        <v>0</v>
      </c>
      <c r="K59" s="180">
        <v>0</v>
      </c>
      <c r="L59" s="180">
        <v>0</v>
      </c>
      <c r="M59" s="180">
        <v>0</v>
      </c>
      <c r="N59" s="180">
        <v>0</v>
      </c>
      <c r="O59" s="180">
        <v>0</v>
      </c>
      <c r="P59" s="180">
        <v>0</v>
      </c>
      <c r="Q59" s="180">
        <v>0</v>
      </c>
      <c r="R59" s="180">
        <v>0</v>
      </c>
      <c r="S59" s="180">
        <v>0</v>
      </c>
      <c r="T59" s="180">
        <v>0</v>
      </c>
      <c r="U59" s="180">
        <v>0</v>
      </c>
      <c r="V59" s="180">
        <v>0</v>
      </c>
      <c r="W59" s="180">
        <v>7.8</v>
      </c>
      <c r="X59" s="180">
        <v>12</v>
      </c>
      <c r="Y59" s="180">
        <v>12</v>
      </c>
      <c r="Z59" s="180">
        <v>12</v>
      </c>
      <c r="AA59" s="180">
        <v>12</v>
      </c>
      <c r="AB59" s="180">
        <v>12</v>
      </c>
      <c r="AC59" s="180">
        <v>12</v>
      </c>
      <c r="AD59" s="180">
        <v>12</v>
      </c>
      <c r="AE59" s="180">
        <v>9</v>
      </c>
      <c r="AF59" s="180">
        <v>0</v>
      </c>
      <c r="AG59" s="180">
        <v>0</v>
      </c>
      <c r="AH59" s="180">
        <v>0</v>
      </c>
      <c r="AI59" s="180">
        <v>0</v>
      </c>
      <c r="AJ59" s="180">
        <v>0</v>
      </c>
      <c r="AK59" s="180">
        <v>0</v>
      </c>
      <c r="AL59" s="180">
        <v>0</v>
      </c>
      <c r="AM59" s="180">
        <v>0</v>
      </c>
      <c r="AN59" s="180">
        <v>0</v>
      </c>
      <c r="AO59" s="180">
        <v>0</v>
      </c>
      <c r="AP59" s="180">
        <v>0</v>
      </c>
      <c r="AQ59" s="180">
        <v>0</v>
      </c>
      <c r="AR59" s="180">
        <v>0</v>
      </c>
      <c r="AS59" s="180">
        <v>0</v>
      </c>
      <c r="AT59" s="180">
        <v>0</v>
      </c>
      <c r="AU59" s="180">
        <v>0</v>
      </c>
      <c r="AV59" s="180">
        <v>0</v>
      </c>
      <c r="AW59" s="180">
        <v>0</v>
      </c>
      <c r="AX59" s="180">
        <v>0</v>
      </c>
      <c r="AY59" s="180">
        <v>0</v>
      </c>
      <c r="AZ59" s="180">
        <v>0</v>
      </c>
      <c r="BA59" s="180">
        <v>0</v>
      </c>
      <c r="BB59" s="180">
        <v>0</v>
      </c>
      <c r="BC59" s="180">
        <v>0</v>
      </c>
      <c r="BD59" s="180">
        <v>0</v>
      </c>
      <c r="BE59" s="180">
        <v>0</v>
      </c>
      <c r="BF59" s="180">
        <v>0</v>
      </c>
      <c r="BG59" s="180">
        <v>0</v>
      </c>
      <c r="BH59" s="180">
        <v>0</v>
      </c>
      <c r="BI59" s="180">
        <v>0</v>
      </c>
      <c r="BJ59" s="180">
        <v>0</v>
      </c>
      <c r="BK59" s="180">
        <v>0</v>
      </c>
      <c r="BL59" s="180">
        <v>0</v>
      </c>
      <c r="BM59" s="180">
        <v>0</v>
      </c>
      <c r="BN59" s="180">
        <v>0</v>
      </c>
      <c r="BO59" s="180">
        <v>0</v>
      </c>
      <c r="BP59" s="180">
        <v>0</v>
      </c>
      <c r="BQ59" s="180">
        <v>0</v>
      </c>
      <c r="BR59" s="180">
        <v>0</v>
      </c>
      <c r="BS59" s="180">
        <v>0</v>
      </c>
      <c r="BT59" s="180">
        <v>0</v>
      </c>
      <c r="BU59" s="180">
        <v>0</v>
      </c>
      <c r="BV59" s="180">
        <v>0</v>
      </c>
      <c r="BW59" s="180">
        <v>0</v>
      </c>
      <c r="BX59" s="180">
        <v>0</v>
      </c>
      <c r="BY59" s="180">
        <v>0</v>
      </c>
      <c r="BZ59" s="180">
        <v>0</v>
      </c>
      <c r="CA59" s="180">
        <v>0</v>
      </c>
      <c r="CB59" s="180">
        <v>0</v>
      </c>
    </row>
    <row r="60" spans="1:80" ht="14.25" customHeight="1">
      <c r="A60" t="s">
        <v>1074</v>
      </c>
      <c r="B60" s="178">
        <v>52597</v>
      </c>
      <c r="C60" s="178">
        <v>59169</v>
      </c>
      <c r="D60" s="179">
        <v>6573</v>
      </c>
      <c r="E60" s="182">
        <v>216.1</v>
      </c>
      <c r="F60" s="182">
        <v>14.6</v>
      </c>
      <c r="G60" s="180">
        <v>0</v>
      </c>
      <c r="H60" s="180">
        <v>0</v>
      </c>
      <c r="I60" s="180">
        <v>0</v>
      </c>
      <c r="J60" s="180">
        <v>0</v>
      </c>
      <c r="K60" s="180">
        <v>0</v>
      </c>
      <c r="L60" s="180">
        <v>0</v>
      </c>
      <c r="M60" s="180">
        <v>0</v>
      </c>
      <c r="N60" s="180">
        <v>0</v>
      </c>
      <c r="O60" s="180">
        <v>0</v>
      </c>
      <c r="P60" s="180">
        <v>0</v>
      </c>
      <c r="Q60" s="180">
        <v>0</v>
      </c>
      <c r="R60" s="180">
        <v>0</v>
      </c>
      <c r="S60" s="180">
        <v>0</v>
      </c>
      <c r="T60" s="180">
        <v>0</v>
      </c>
      <c r="U60" s="180">
        <v>0</v>
      </c>
      <c r="V60" s="180">
        <v>0</v>
      </c>
      <c r="W60" s="180">
        <v>0</v>
      </c>
      <c r="X60" s="180">
        <v>0</v>
      </c>
      <c r="Y60" s="180">
        <v>0</v>
      </c>
      <c r="Z60" s="180">
        <v>0</v>
      </c>
      <c r="AA60" s="180">
        <v>0</v>
      </c>
      <c r="AB60" s="180">
        <v>0</v>
      </c>
      <c r="AC60" s="180">
        <v>0</v>
      </c>
      <c r="AD60" s="180">
        <v>0</v>
      </c>
      <c r="AE60" s="180">
        <v>3</v>
      </c>
      <c r="AF60" s="180">
        <v>12</v>
      </c>
      <c r="AG60" s="180">
        <v>12</v>
      </c>
      <c r="AH60" s="180">
        <v>12</v>
      </c>
      <c r="AI60" s="180">
        <v>12</v>
      </c>
      <c r="AJ60" s="180">
        <v>12</v>
      </c>
      <c r="AK60" s="180">
        <v>12</v>
      </c>
      <c r="AL60" s="180">
        <v>12</v>
      </c>
      <c r="AM60" s="180">
        <v>12</v>
      </c>
      <c r="AN60" s="180">
        <v>12</v>
      </c>
      <c r="AO60" s="180">
        <v>12</v>
      </c>
      <c r="AP60" s="180">
        <v>12</v>
      </c>
      <c r="AQ60" s="180">
        <v>12</v>
      </c>
      <c r="AR60" s="180">
        <v>12</v>
      </c>
      <c r="AS60" s="180">
        <v>12</v>
      </c>
      <c r="AT60" s="180">
        <v>12</v>
      </c>
      <c r="AU60" s="180">
        <v>12</v>
      </c>
      <c r="AV60" s="180">
        <v>12</v>
      </c>
      <c r="AW60" s="180">
        <v>9</v>
      </c>
      <c r="AX60" s="180">
        <v>0</v>
      </c>
      <c r="AY60" s="180">
        <v>0</v>
      </c>
      <c r="AZ60" s="180">
        <v>0</v>
      </c>
      <c r="BA60" s="180">
        <v>0</v>
      </c>
      <c r="BB60" s="180">
        <v>0</v>
      </c>
      <c r="BC60" s="180">
        <v>0</v>
      </c>
      <c r="BD60" s="180">
        <v>0</v>
      </c>
      <c r="BE60" s="180">
        <v>0</v>
      </c>
      <c r="BF60" s="180">
        <v>0</v>
      </c>
      <c r="BG60" s="180">
        <v>0</v>
      </c>
      <c r="BH60" s="180">
        <v>0</v>
      </c>
      <c r="BI60" s="180">
        <v>0</v>
      </c>
      <c r="BJ60" s="180">
        <v>0</v>
      </c>
      <c r="BK60" s="180">
        <v>0</v>
      </c>
      <c r="BL60" s="180">
        <v>0</v>
      </c>
      <c r="BM60" s="180">
        <v>0</v>
      </c>
      <c r="BN60" s="180">
        <v>0</v>
      </c>
      <c r="BO60" s="180">
        <v>0</v>
      </c>
      <c r="BP60" s="180">
        <v>0</v>
      </c>
      <c r="BQ60" s="180">
        <v>0</v>
      </c>
      <c r="BR60" s="180">
        <v>0</v>
      </c>
      <c r="BS60" s="180">
        <v>0</v>
      </c>
      <c r="BT60" s="180">
        <v>0</v>
      </c>
      <c r="BU60" s="180">
        <v>0</v>
      </c>
      <c r="BV60" s="180">
        <v>0</v>
      </c>
      <c r="BW60" s="180">
        <v>0</v>
      </c>
      <c r="BX60" s="180">
        <v>0</v>
      </c>
      <c r="BY60" s="180">
        <v>0</v>
      </c>
      <c r="BZ60" s="180">
        <v>0</v>
      </c>
      <c r="CA60" s="180">
        <v>0</v>
      </c>
      <c r="CB60" s="180">
        <v>0</v>
      </c>
    </row>
    <row r="61" spans="1:80" ht="14.25" customHeight="1">
      <c r="A61" t="s">
        <v>1077</v>
      </c>
      <c r="B61" s="178">
        <v>59170</v>
      </c>
      <c r="C61" s="178">
        <v>60701</v>
      </c>
      <c r="D61" s="179">
        <v>1532</v>
      </c>
      <c r="E61" s="182">
        <v>50.4</v>
      </c>
      <c r="F61" s="182">
        <v>48</v>
      </c>
      <c r="G61" s="180">
        <v>0</v>
      </c>
      <c r="H61" s="180">
        <v>0</v>
      </c>
      <c r="I61" s="180">
        <v>0</v>
      </c>
      <c r="J61" s="180">
        <v>0</v>
      </c>
      <c r="K61" s="180">
        <v>0</v>
      </c>
      <c r="L61" s="180">
        <v>0</v>
      </c>
      <c r="M61" s="180">
        <v>0</v>
      </c>
      <c r="N61" s="180">
        <v>0</v>
      </c>
      <c r="O61" s="180">
        <v>0</v>
      </c>
      <c r="P61" s="180">
        <v>0</v>
      </c>
      <c r="Q61" s="180">
        <v>0</v>
      </c>
      <c r="R61" s="180">
        <v>0</v>
      </c>
      <c r="S61" s="180">
        <v>0</v>
      </c>
      <c r="T61" s="180">
        <v>0</v>
      </c>
      <c r="U61" s="180">
        <v>0</v>
      </c>
      <c r="V61" s="180">
        <v>0</v>
      </c>
      <c r="W61" s="180">
        <v>0</v>
      </c>
      <c r="X61" s="180">
        <v>0</v>
      </c>
      <c r="Y61" s="180">
        <v>0</v>
      </c>
      <c r="Z61" s="180">
        <v>0</v>
      </c>
      <c r="AA61" s="180">
        <v>0</v>
      </c>
      <c r="AB61" s="180">
        <v>0</v>
      </c>
      <c r="AC61" s="180">
        <v>0</v>
      </c>
      <c r="AD61" s="180">
        <v>0</v>
      </c>
      <c r="AE61" s="180">
        <v>0</v>
      </c>
      <c r="AF61" s="180">
        <v>0</v>
      </c>
      <c r="AG61" s="180">
        <v>0</v>
      </c>
      <c r="AH61" s="180">
        <v>0</v>
      </c>
      <c r="AI61" s="180">
        <v>0</v>
      </c>
      <c r="AJ61" s="180">
        <v>0</v>
      </c>
      <c r="AK61" s="180">
        <v>0</v>
      </c>
      <c r="AL61" s="180">
        <v>0</v>
      </c>
      <c r="AM61" s="180">
        <v>0</v>
      </c>
      <c r="AN61" s="180">
        <v>0</v>
      </c>
      <c r="AO61" s="180">
        <v>0</v>
      </c>
      <c r="AP61" s="180">
        <v>0</v>
      </c>
      <c r="AQ61" s="180">
        <v>0</v>
      </c>
      <c r="AR61" s="180">
        <v>0</v>
      </c>
      <c r="AS61" s="180">
        <v>0</v>
      </c>
      <c r="AT61" s="180">
        <v>0</v>
      </c>
      <c r="AU61" s="180">
        <v>0</v>
      </c>
      <c r="AV61" s="180">
        <v>0</v>
      </c>
      <c r="AW61" s="180">
        <v>3</v>
      </c>
      <c r="AX61" s="180">
        <v>12</v>
      </c>
      <c r="AY61" s="180">
        <v>12</v>
      </c>
      <c r="AZ61" s="180">
        <v>12</v>
      </c>
      <c r="BA61" s="180">
        <v>11.3</v>
      </c>
      <c r="BB61" s="180">
        <v>0</v>
      </c>
      <c r="BC61" s="180">
        <v>0</v>
      </c>
      <c r="BD61" s="180">
        <v>0</v>
      </c>
      <c r="BE61" s="180">
        <v>0</v>
      </c>
      <c r="BF61" s="180">
        <v>0</v>
      </c>
      <c r="BG61" s="180">
        <v>0</v>
      </c>
      <c r="BH61" s="180">
        <v>0</v>
      </c>
      <c r="BI61" s="180">
        <v>0</v>
      </c>
      <c r="BJ61" s="180">
        <v>0</v>
      </c>
      <c r="BK61" s="180">
        <v>0</v>
      </c>
      <c r="BL61" s="180">
        <v>0</v>
      </c>
      <c r="BM61" s="180">
        <v>0</v>
      </c>
      <c r="BN61" s="180">
        <v>0</v>
      </c>
      <c r="BO61" s="180">
        <v>0</v>
      </c>
      <c r="BP61" s="180">
        <v>0</v>
      </c>
      <c r="BQ61" s="180">
        <v>0</v>
      </c>
      <c r="BR61" s="180">
        <v>0</v>
      </c>
      <c r="BS61" s="180">
        <v>0</v>
      </c>
      <c r="BT61" s="180">
        <v>0</v>
      </c>
      <c r="BU61" s="180">
        <v>0</v>
      </c>
      <c r="BV61" s="180">
        <v>0</v>
      </c>
      <c r="BW61" s="180">
        <v>0</v>
      </c>
      <c r="BX61" s="180">
        <v>0</v>
      </c>
      <c r="BY61" s="180">
        <v>0</v>
      </c>
      <c r="BZ61" s="180">
        <v>0</v>
      </c>
      <c r="CA61" s="180">
        <v>0</v>
      </c>
      <c r="CB61" s="180">
        <v>0</v>
      </c>
    </row>
    <row r="62" spans="1:80" ht="14.25" customHeight="1">
      <c r="B62" s="184"/>
      <c r="C62" s="185"/>
      <c r="D62" s="185"/>
      <c r="E62" s="186"/>
      <c r="F62" s="187"/>
      <c r="G62" s="188"/>
      <c r="H62" s="188"/>
      <c r="I62" s="188"/>
      <c r="J62" s="188"/>
      <c r="K62" s="188"/>
      <c r="L62" s="188"/>
      <c r="M62" s="188"/>
      <c r="N62" s="188"/>
      <c r="O62" s="188"/>
      <c r="P62" s="188"/>
      <c r="Q62" s="188"/>
      <c r="R62" s="188"/>
      <c r="S62" s="188"/>
      <c r="T62" s="188"/>
      <c r="U62" s="188"/>
      <c r="V62" s="188"/>
      <c r="W62" s="188"/>
      <c r="X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88"/>
      <c r="BM62" s="188"/>
      <c r="BN62" s="188"/>
      <c r="BO62" s="188"/>
      <c r="BP62" s="188"/>
      <c r="BQ62" s="188"/>
      <c r="BR62" s="188"/>
      <c r="BS62" s="188"/>
      <c r="BT62" s="188"/>
      <c r="BU62" s="188"/>
      <c r="BV62" s="188"/>
      <c r="BW62" s="188"/>
      <c r="BX62" s="188"/>
      <c r="BY62" s="188"/>
      <c r="BZ62" s="188"/>
      <c r="CA62" s="188"/>
      <c r="CB62" s="188"/>
    </row>
    <row r="63" spans="1:80" ht="14.25" customHeight="1">
      <c r="B63" s="184"/>
      <c r="C63" s="189"/>
      <c r="D63" s="185"/>
      <c r="E63" s="186"/>
      <c r="F63" s="187"/>
      <c r="G63" s="188"/>
      <c r="H63" s="188"/>
      <c r="I63" s="188"/>
      <c r="J63" s="188"/>
      <c r="K63" s="188"/>
      <c r="L63" s="188"/>
      <c r="M63" s="188"/>
      <c r="N63" s="188"/>
      <c r="O63" s="188"/>
      <c r="P63" s="188"/>
      <c r="Q63" s="188"/>
      <c r="R63" s="188"/>
      <c r="S63" s="188"/>
      <c r="T63" s="188"/>
      <c r="U63" s="188"/>
      <c r="V63" s="188"/>
      <c r="W63" s="188"/>
      <c r="X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88"/>
      <c r="BM63" s="188"/>
      <c r="BN63" s="188"/>
      <c r="BO63" s="188"/>
      <c r="BP63" s="188"/>
      <c r="BQ63" s="188"/>
      <c r="BR63" s="188"/>
      <c r="BS63" s="188"/>
      <c r="BT63" s="188"/>
      <c r="BU63" s="188"/>
      <c r="BV63" s="188"/>
      <c r="BW63" s="188"/>
      <c r="BX63" s="188"/>
      <c r="BY63" s="188"/>
      <c r="BZ63" s="188"/>
      <c r="CA63" s="188"/>
      <c r="CB63" s="188"/>
    </row>
    <row r="64" spans="1:80" ht="14.25" customHeight="1">
      <c r="B64" s="184"/>
      <c r="C64" s="185"/>
      <c r="D64" s="185"/>
      <c r="E64" s="186"/>
      <c r="F64" s="187"/>
      <c r="G64" s="188"/>
      <c r="H64" s="188"/>
      <c r="I64" s="188"/>
      <c r="J64" s="188"/>
      <c r="K64" s="188"/>
      <c r="L64" s="188"/>
      <c r="M64" s="188"/>
      <c r="N64" s="188"/>
      <c r="O64" s="188"/>
      <c r="P64" s="188"/>
      <c r="Q64" s="188"/>
      <c r="R64" s="188"/>
      <c r="S64" s="188"/>
      <c r="T64" s="188"/>
      <c r="U64" s="188"/>
      <c r="V64" s="188"/>
      <c r="W64" s="188"/>
      <c r="X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88"/>
      <c r="BM64" s="188"/>
      <c r="BN64" s="188"/>
      <c r="BO64" s="188"/>
      <c r="BP64" s="188"/>
      <c r="BQ64" s="188"/>
      <c r="BR64" s="188"/>
      <c r="BS64" s="188"/>
      <c r="BT64" s="188"/>
      <c r="BU64" s="188"/>
      <c r="BV64" s="188"/>
      <c r="BW64" s="188"/>
      <c r="BX64" s="188"/>
      <c r="BY64" s="188"/>
      <c r="BZ64" s="188"/>
      <c r="CA64" s="188"/>
      <c r="CB64" s="188"/>
    </row>
    <row r="65" spans="2:80" ht="14.25" customHeight="1">
      <c r="B65" s="184"/>
      <c r="C65" s="185"/>
      <c r="D65" s="185"/>
      <c r="E65" s="186"/>
      <c r="F65" s="187"/>
      <c r="G65" s="188"/>
      <c r="H65" s="188"/>
      <c r="I65" s="188"/>
      <c r="J65" s="188"/>
      <c r="K65" s="188"/>
      <c r="L65" s="188"/>
      <c r="M65" s="188"/>
      <c r="N65" s="188"/>
      <c r="O65" s="188"/>
      <c r="P65" s="188"/>
      <c r="Q65" s="188"/>
      <c r="R65" s="188"/>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c r="BQ65" s="188"/>
      <c r="BR65" s="188"/>
      <c r="BS65" s="188"/>
      <c r="BT65" s="188"/>
      <c r="BU65" s="188"/>
      <c r="BV65" s="188"/>
      <c r="BW65" s="188"/>
      <c r="BX65" s="188"/>
      <c r="BY65" s="188"/>
      <c r="BZ65" s="188"/>
      <c r="CA65" s="188"/>
      <c r="CB65" s="188"/>
    </row>
    <row r="66" spans="2:80" ht="14.25" customHeight="1">
      <c r="B66" s="184"/>
      <c r="C66" s="185"/>
      <c r="D66" s="185"/>
      <c r="E66" s="186"/>
      <c r="F66" s="187"/>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c r="BQ66" s="188"/>
      <c r="BR66" s="188"/>
      <c r="BS66" s="188"/>
      <c r="BT66" s="188"/>
      <c r="BU66" s="188"/>
      <c r="BV66" s="188"/>
      <c r="BW66" s="188"/>
      <c r="BX66" s="188"/>
      <c r="BY66" s="188"/>
      <c r="BZ66" s="188"/>
      <c r="CA66" s="188"/>
      <c r="CB66" s="188"/>
    </row>
    <row r="67" spans="2:80" ht="14.25" customHeight="1">
      <c r="B67" s="184"/>
      <c r="C67" s="185"/>
      <c r="D67" s="185"/>
      <c r="E67" s="186"/>
      <c r="F67" s="187"/>
      <c r="G67" s="188"/>
      <c r="H67" s="188"/>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88"/>
      <c r="BM67" s="188"/>
      <c r="BN67" s="188"/>
      <c r="BO67" s="188"/>
      <c r="BP67" s="188"/>
      <c r="BQ67" s="188"/>
      <c r="BR67" s="188"/>
      <c r="BS67" s="188"/>
      <c r="BT67" s="188"/>
      <c r="BU67" s="188"/>
      <c r="BV67" s="188"/>
      <c r="BW67" s="188"/>
      <c r="BX67" s="188"/>
      <c r="BY67" s="188"/>
      <c r="BZ67" s="188"/>
      <c r="CA67" s="188"/>
      <c r="CB67" s="188"/>
    </row>
    <row r="68" spans="2:80" ht="14.25" customHeight="1">
      <c r="B68" s="184"/>
      <c r="C68" s="185"/>
      <c r="D68" s="185"/>
      <c r="E68" s="186"/>
      <c r="F68" s="187"/>
      <c r="G68" s="188"/>
      <c r="H68" s="188"/>
      <c r="I68" s="188"/>
      <c r="J68" s="188"/>
      <c r="K68" s="188"/>
      <c r="L68" s="188"/>
      <c r="M68" s="188"/>
      <c r="N68" s="188"/>
      <c r="O68" s="188"/>
      <c r="P68" s="188"/>
      <c r="Q68" s="188"/>
      <c r="R68" s="188"/>
      <c r="S68" s="188"/>
      <c r="T68" s="188"/>
      <c r="U68" s="188"/>
      <c r="V68" s="188"/>
      <c r="W68" s="188"/>
      <c r="X68" s="188"/>
      <c r="Y68" s="188"/>
      <c r="Z68" s="188"/>
      <c r="AA68" s="188"/>
      <c r="AB68" s="188"/>
      <c r="AC68" s="188"/>
      <c r="AD68" s="188"/>
      <c r="AE68" s="188"/>
      <c r="AF68" s="188"/>
      <c r="AG68" s="188"/>
      <c r="AH68" s="188"/>
      <c r="AI68" s="188"/>
      <c r="AJ68" s="188"/>
      <c r="AK68" s="188"/>
      <c r="AL68" s="188"/>
      <c r="AM68" s="188"/>
      <c r="AN68" s="188"/>
      <c r="AO68" s="188"/>
      <c r="AP68" s="188"/>
      <c r="AQ68" s="188"/>
      <c r="AR68" s="188"/>
      <c r="AS68" s="188"/>
      <c r="AT68" s="188"/>
      <c r="AU68" s="188"/>
      <c r="AV68" s="188"/>
      <c r="AW68" s="188"/>
      <c r="AX68" s="188"/>
      <c r="AY68" s="188"/>
      <c r="AZ68" s="188"/>
      <c r="BA68" s="188"/>
      <c r="BB68" s="188"/>
      <c r="BC68" s="188"/>
      <c r="BD68" s="188"/>
      <c r="BE68" s="188"/>
      <c r="BF68" s="188"/>
      <c r="BG68" s="188"/>
      <c r="BH68" s="188"/>
      <c r="BI68" s="188"/>
      <c r="BJ68" s="188"/>
      <c r="BK68" s="188"/>
      <c r="BL68" s="188"/>
      <c r="BM68" s="188"/>
      <c r="BN68" s="188"/>
      <c r="BO68" s="188"/>
      <c r="BP68" s="188"/>
      <c r="BQ68" s="188"/>
      <c r="BR68" s="188"/>
      <c r="BS68" s="188"/>
      <c r="BT68" s="188"/>
      <c r="BU68" s="188"/>
      <c r="BV68" s="188"/>
      <c r="BW68" s="188"/>
      <c r="BX68" s="188"/>
      <c r="BY68" s="188"/>
      <c r="BZ68" s="188"/>
      <c r="CA68" s="188"/>
      <c r="CB68" s="188"/>
    </row>
  </sheetData>
  <mergeCells count="4">
    <mergeCell ref="A1:B1"/>
    <mergeCell ref="M9:O13"/>
    <mergeCell ref="L25:N29"/>
    <mergeCell ref="L48:N52"/>
  </mergeCells>
  <hyperlinks>
    <hyperlink ref="A1" location="'Table of contents'!A1" display="` Table of Contents" xr:uid="{00000000-0004-0000-09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73"/>
  <sheetViews>
    <sheetView zoomScaleNormal="100" workbookViewId="0"/>
  </sheetViews>
  <sheetFormatPr defaultColWidth="8.7109375" defaultRowHeight="15"/>
  <cols>
    <col min="1" max="1" width="4.7109375" customWidth="1"/>
    <col min="2" max="2" width="5.140625" customWidth="1"/>
    <col min="3" max="3" width="37.85546875" customWidth="1"/>
    <col min="4" max="4" width="36" customWidth="1"/>
    <col min="5" max="5" width="54.140625" customWidth="1"/>
    <col min="6" max="6" width="25.85546875" customWidth="1"/>
    <col min="7" max="7" width="17.5703125" customWidth="1"/>
    <col min="8" max="8" width="25.7109375" customWidth="1"/>
    <col min="9" max="9" width="64.85546875" customWidth="1"/>
    <col min="10" max="10" width="104.28515625" customWidth="1"/>
  </cols>
  <sheetData>
    <row r="1" spans="1:10" ht="14.25" customHeight="1">
      <c r="A1" s="4" t="s">
        <v>56</v>
      </c>
      <c r="B1" s="4"/>
    </row>
    <row r="3" spans="1:10" ht="31.5" customHeight="1">
      <c r="A3" s="18" t="s">
        <v>1108</v>
      </c>
      <c r="B3" s="20"/>
      <c r="C3" s="20"/>
      <c r="D3" s="20"/>
      <c r="E3" s="20"/>
      <c r="F3" s="20"/>
      <c r="G3" s="20"/>
    </row>
    <row r="4" spans="1:10" ht="14.25" customHeight="1">
      <c r="A4" t="s">
        <v>504</v>
      </c>
    </row>
    <row r="5" spans="1:10" ht="14.25" customHeight="1">
      <c r="B5" t="s">
        <v>1109</v>
      </c>
    </row>
    <row r="6" spans="1:10" ht="14.25" customHeight="1">
      <c r="B6" t="s">
        <v>1110</v>
      </c>
    </row>
    <row r="9" spans="1:10" ht="14.25" customHeight="1">
      <c r="B9" s="190" t="s">
        <v>1111</v>
      </c>
      <c r="C9" s="190" t="s">
        <v>99</v>
      </c>
      <c r="D9" s="190" t="s">
        <v>100</v>
      </c>
      <c r="E9" s="190" t="s">
        <v>956</v>
      </c>
      <c r="F9" s="190" t="s">
        <v>1112</v>
      </c>
      <c r="G9" s="190" t="s">
        <v>1113</v>
      </c>
      <c r="H9" s="190" t="s">
        <v>953</v>
      </c>
      <c r="I9" s="190" t="s">
        <v>1114</v>
      </c>
      <c r="J9" s="190" t="s">
        <v>1115</v>
      </c>
    </row>
    <row r="10" spans="1:10" ht="14.25" customHeight="1">
      <c r="B10" s="26" t="s">
        <v>1116</v>
      </c>
      <c r="C10" s="367" t="s">
        <v>1117</v>
      </c>
      <c r="D10" s="26" t="s">
        <v>1118</v>
      </c>
      <c r="E10" s="26" t="s">
        <v>1119</v>
      </c>
      <c r="F10" s="59"/>
      <c r="G10" s="26"/>
      <c r="H10" s="26" t="s">
        <v>167</v>
      </c>
      <c r="I10" s="26"/>
      <c r="J10" s="26" t="s">
        <v>1120</v>
      </c>
    </row>
    <row r="11" spans="1:10" ht="14.25" customHeight="1">
      <c r="B11" s="26" t="s">
        <v>1121</v>
      </c>
      <c r="C11" s="367"/>
      <c r="D11" s="120" t="s">
        <v>1122</v>
      </c>
      <c r="E11" s="120" t="s">
        <v>1123</v>
      </c>
      <c r="F11" s="59"/>
      <c r="G11" s="26"/>
      <c r="H11" s="26" t="s">
        <v>1124</v>
      </c>
      <c r="I11" s="26"/>
      <c r="J11" s="26" t="s">
        <v>1120</v>
      </c>
    </row>
    <row r="12" spans="1:10" ht="14.25" customHeight="1">
      <c r="B12" s="26" t="s">
        <v>1125</v>
      </c>
      <c r="C12" s="367"/>
      <c r="D12" s="120" t="s">
        <v>1126</v>
      </c>
      <c r="E12" s="120" t="s">
        <v>1127</v>
      </c>
      <c r="F12" s="59"/>
      <c r="G12" s="26"/>
      <c r="H12" s="26" t="s">
        <v>1124</v>
      </c>
      <c r="I12" s="26"/>
      <c r="J12" s="26" t="s">
        <v>1120</v>
      </c>
    </row>
    <row r="13" spans="1:10" ht="14.25" customHeight="1">
      <c r="B13" s="26" t="s">
        <v>1128</v>
      </c>
      <c r="C13" s="367" t="s">
        <v>1129</v>
      </c>
      <c r="D13" s="26" t="s">
        <v>1130</v>
      </c>
      <c r="E13" s="26" t="s">
        <v>1131</v>
      </c>
      <c r="F13" s="59"/>
      <c r="G13" s="26"/>
      <c r="H13" s="26" t="s">
        <v>167</v>
      </c>
      <c r="I13" s="26"/>
      <c r="J13" s="26" t="s">
        <v>1132</v>
      </c>
    </row>
    <row r="14" spans="1:10" ht="14.25" customHeight="1">
      <c r="B14" s="26" t="s">
        <v>1133</v>
      </c>
      <c r="C14" s="367"/>
      <c r="D14" s="120" t="s">
        <v>1122</v>
      </c>
      <c r="E14" s="120" t="s">
        <v>1134</v>
      </c>
      <c r="F14" s="59"/>
      <c r="G14" s="26"/>
      <c r="H14" s="26" t="s">
        <v>1124</v>
      </c>
      <c r="I14" s="26"/>
      <c r="J14" s="26" t="s">
        <v>1135</v>
      </c>
    </row>
    <row r="15" spans="1:10" ht="14.25" customHeight="1">
      <c r="B15" s="26" t="s">
        <v>1136</v>
      </c>
      <c r="C15" s="367"/>
      <c r="D15" s="120" t="s">
        <v>1126</v>
      </c>
      <c r="E15" s="120" t="s">
        <v>1137</v>
      </c>
      <c r="F15" s="59"/>
      <c r="G15" s="26"/>
      <c r="H15" s="26" t="s">
        <v>1124</v>
      </c>
      <c r="I15" s="26"/>
      <c r="J15" s="26" t="s">
        <v>1135</v>
      </c>
    </row>
    <row r="16" spans="1:10" ht="15" customHeight="1">
      <c r="B16" s="26" t="s">
        <v>1138</v>
      </c>
      <c r="C16" s="1" t="s">
        <v>1056</v>
      </c>
      <c r="D16" s="26" t="s">
        <v>1139</v>
      </c>
      <c r="E16" s="26" t="s">
        <v>1140</v>
      </c>
      <c r="F16" s="59"/>
      <c r="G16" s="26"/>
      <c r="H16" s="26" t="s">
        <v>1141</v>
      </c>
      <c r="I16" s="26"/>
      <c r="J16" s="26" t="s">
        <v>1142</v>
      </c>
    </row>
    <row r="17" spans="2:10" ht="14.25" customHeight="1">
      <c r="B17" s="26" t="s">
        <v>1143</v>
      </c>
      <c r="C17" s="1"/>
      <c r="D17" s="26" t="s">
        <v>1144</v>
      </c>
      <c r="E17" s="26" t="s">
        <v>1145</v>
      </c>
      <c r="F17" s="59"/>
      <c r="G17" s="26"/>
      <c r="H17" s="26" t="s">
        <v>167</v>
      </c>
      <c r="I17" s="26"/>
      <c r="J17" s="26" t="s">
        <v>1132</v>
      </c>
    </row>
    <row r="18" spans="2:10" ht="14.25" customHeight="1">
      <c r="B18" s="26" t="s">
        <v>1146</v>
      </c>
      <c r="C18" s="1"/>
      <c r="D18" s="26" t="s">
        <v>1147</v>
      </c>
      <c r="E18" s="26" t="s">
        <v>1148</v>
      </c>
      <c r="F18" s="59"/>
      <c r="G18" s="26"/>
      <c r="H18" s="26" t="s">
        <v>167</v>
      </c>
      <c r="I18" s="26"/>
      <c r="J18" s="26" t="s">
        <v>1132</v>
      </c>
    </row>
    <row r="19" spans="2:10" ht="14.25" customHeight="1">
      <c r="B19" s="26" t="s">
        <v>1149</v>
      </c>
      <c r="C19" s="1"/>
      <c r="D19" s="26" t="s">
        <v>1150</v>
      </c>
      <c r="E19" s="26" t="s">
        <v>1151</v>
      </c>
      <c r="F19" s="59"/>
      <c r="G19" s="26"/>
      <c r="H19" s="26" t="s">
        <v>167</v>
      </c>
      <c r="I19" s="26"/>
      <c r="J19" s="26" t="s">
        <v>1132</v>
      </c>
    </row>
    <row r="20" spans="2:10" ht="14.25" customHeight="1">
      <c r="B20" s="26" t="s">
        <v>1152</v>
      </c>
      <c r="C20" s="1"/>
      <c r="D20" s="120" t="s">
        <v>1122</v>
      </c>
      <c r="E20" s="120" t="s">
        <v>1153</v>
      </c>
      <c r="F20" s="59"/>
      <c r="G20" s="26"/>
      <c r="H20" s="26" t="s">
        <v>1124</v>
      </c>
      <c r="I20" s="26"/>
      <c r="J20" s="26" t="s">
        <v>1135</v>
      </c>
    </row>
    <row r="21" spans="2:10" ht="14.25" customHeight="1">
      <c r="B21" s="26" t="s">
        <v>1154</v>
      </c>
      <c r="C21" s="1"/>
      <c r="D21" s="120" t="s">
        <v>1155</v>
      </c>
      <c r="E21" s="120" t="s">
        <v>1156</v>
      </c>
      <c r="F21" s="59"/>
      <c r="G21" s="26"/>
      <c r="H21" s="26" t="s">
        <v>1157</v>
      </c>
      <c r="I21" s="26" t="s">
        <v>1158</v>
      </c>
      <c r="J21" s="26" t="s">
        <v>1159</v>
      </c>
    </row>
    <row r="22" spans="2:10" ht="14.25" customHeight="1">
      <c r="B22" s="26" t="s">
        <v>1160</v>
      </c>
      <c r="C22" s="1"/>
      <c r="D22" s="120" t="s">
        <v>1161</v>
      </c>
      <c r="E22" s="120" t="s">
        <v>1162</v>
      </c>
      <c r="F22" s="59"/>
      <c r="G22" s="26"/>
      <c r="H22" s="26" t="s">
        <v>1157</v>
      </c>
      <c r="I22" s="26" t="s">
        <v>1163</v>
      </c>
      <c r="J22" s="26" t="s">
        <v>1159</v>
      </c>
    </row>
    <row r="23" spans="2:10" ht="14.25" customHeight="1">
      <c r="B23" s="26" t="s">
        <v>1164</v>
      </c>
      <c r="C23" s="1"/>
      <c r="D23" s="120" t="s">
        <v>1165</v>
      </c>
      <c r="E23" s="120" t="s">
        <v>1166</v>
      </c>
      <c r="F23" s="59"/>
      <c r="G23" s="26"/>
      <c r="H23" s="26" t="s">
        <v>1167</v>
      </c>
      <c r="I23" s="26" t="s">
        <v>1168</v>
      </c>
      <c r="J23" s="26" t="s">
        <v>1169</v>
      </c>
    </row>
    <row r="24" spans="2:10" ht="14.25" customHeight="1">
      <c r="B24" s="26" t="s">
        <v>1170</v>
      </c>
      <c r="C24" s="1"/>
      <c r="D24" s="120" t="s">
        <v>1171</v>
      </c>
      <c r="E24" s="120" t="s">
        <v>1172</v>
      </c>
      <c r="F24" s="59"/>
      <c r="G24" s="26"/>
      <c r="H24" s="26" t="s">
        <v>1124</v>
      </c>
      <c r="I24" s="26"/>
      <c r="J24" s="26" t="s">
        <v>1135</v>
      </c>
    </row>
    <row r="25" spans="2:10" ht="14.25" customHeight="1">
      <c r="B25" s="26" t="s">
        <v>1173</v>
      </c>
      <c r="C25" s="1"/>
      <c r="D25" s="26" t="s">
        <v>1174</v>
      </c>
      <c r="E25" s="26" t="s">
        <v>1175</v>
      </c>
      <c r="F25" s="59"/>
      <c r="G25" s="26"/>
      <c r="H25" s="26" t="s">
        <v>167</v>
      </c>
      <c r="I25" s="26"/>
      <c r="J25" s="26" t="s">
        <v>1132</v>
      </c>
    </row>
    <row r="26" spans="2:10" ht="14.25" customHeight="1">
      <c r="B26" s="26" t="s">
        <v>1176</v>
      </c>
      <c r="C26" s="1"/>
      <c r="D26" s="26" t="s">
        <v>1177</v>
      </c>
      <c r="E26" s="26" t="s">
        <v>1178</v>
      </c>
      <c r="F26" s="59"/>
      <c r="G26" s="26"/>
      <c r="H26" s="26" t="s">
        <v>1141</v>
      </c>
      <c r="I26" s="26"/>
      <c r="J26" s="26" t="s">
        <v>1142</v>
      </c>
    </row>
    <row r="27" spans="2:10" ht="14.25" customHeight="1">
      <c r="B27" s="26" t="s">
        <v>1179</v>
      </c>
      <c r="C27" s="367" t="s">
        <v>429</v>
      </c>
      <c r="D27" s="26" t="s">
        <v>1180</v>
      </c>
      <c r="E27" s="26" t="s">
        <v>1181</v>
      </c>
      <c r="F27" s="59"/>
      <c r="G27" s="26"/>
      <c r="H27" s="26" t="s">
        <v>1141</v>
      </c>
      <c r="I27" s="26"/>
      <c r="J27" s="26" t="s">
        <v>1142</v>
      </c>
    </row>
    <row r="28" spans="2:10" ht="14.25" customHeight="1">
      <c r="B28" s="26" t="s">
        <v>1182</v>
      </c>
      <c r="C28" s="367"/>
      <c r="D28" s="26" t="s">
        <v>1183</v>
      </c>
      <c r="E28" s="26" t="s">
        <v>1148</v>
      </c>
      <c r="F28" s="59"/>
      <c r="G28" s="26"/>
      <c r="H28" s="26" t="s">
        <v>167</v>
      </c>
      <c r="I28" s="26"/>
      <c r="J28" s="26" t="s">
        <v>1132</v>
      </c>
    </row>
    <row r="29" spans="2:10" ht="14.25" customHeight="1">
      <c r="B29" s="26" t="s">
        <v>1184</v>
      </c>
      <c r="C29" s="367"/>
      <c r="D29" s="120" t="s">
        <v>1122</v>
      </c>
      <c r="E29" s="120" t="s">
        <v>1185</v>
      </c>
      <c r="F29" s="59"/>
      <c r="G29" s="26"/>
      <c r="H29" s="26" t="s">
        <v>1124</v>
      </c>
      <c r="I29" s="26"/>
      <c r="J29" s="26" t="s">
        <v>1135</v>
      </c>
    </row>
    <row r="30" spans="2:10" ht="14.25" customHeight="1">
      <c r="B30" s="26" t="s">
        <v>1186</v>
      </c>
      <c r="C30" s="367"/>
      <c r="D30" s="26" t="s">
        <v>1187</v>
      </c>
      <c r="E30" s="191">
        <v>47469</v>
      </c>
      <c r="F30" s="192"/>
      <c r="G30" s="26" t="s">
        <v>1188</v>
      </c>
      <c r="H30" s="26" t="s">
        <v>1157</v>
      </c>
      <c r="I30" s="26" t="s">
        <v>1189</v>
      </c>
      <c r="J30" s="26" t="s">
        <v>1169</v>
      </c>
    </row>
    <row r="31" spans="2:10" ht="14.25" customHeight="1">
      <c r="B31" s="26" t="s">
        <v>1190</v>
      </c>
      <c r="C31" s="367"/>
      <c r="D31" s="120" t="s">
        <v>1191</v>
      </c>
      <c r="E31" s="193">
        <v>47483</v>
      </c>
      <c r="F31" s="60"/>
      <c r="G31" s="26" t="s">
        <v>1188</v>
      </c>
      <c r="H31" s="26" t="s">
        <v>1192</v>
      </c>
      <c r="I31" s="26"/>
      <c r="J31" s="26" t="s">
        <v>1159</v>
      </c>
    </row>
    <row r="32" spans="2:10" ht="14.25" customHeight="1">
      <c r="B32" s="26"/>
      <c r="C32" s="367"/>
      <c r="D32" s="120" t="s">
        <v>1193</v>
      </c>
      <c r="E32" s="193">
        <v>47362</v>
      </c>
      <c r="F32" s="60"/>
      <c r="G32" s="26" t="s">
        <v>1188</v>
      </c>
      <c r="H32" s="26" t="s">
        <v>1192</v>
      </c>
      <c r="I32" s="26"/>
      <c r="J32" s="26"/>
    </row>
    <row r="33" spans="2:10" ht="14.25" customHeight="1">
      <c r="B33" s="26" t="s">
        <v>1194</v>
      </c>
      <c r="C33" s="367"/>
      <c r="D33" s="120" t="s">
        <v>1126</v>
      </c>
      <c r="E33" s="120" t="s">
        <v>1195</v>
      </c>
      <c r="F33" s="59"/>
      <c r="G33" s="26"/>
      <c r="H33" s="26" t="s">
        <v>1124</v>
      </c>
      <c r="I33" s="26"/>
      <c r="J33" s="26" t="s">
        <v>1135</v>
      </c>
    </row>
    <row r="34" spans="2:10" ht="14.25" customHeight="1">
      <c r="B34" s="26" t="s">
        <v>1196</v>
      </c>
      <c r="C34" s="367"/>
      <c r="D34" s="26" t="s">
        <v>1197</v>
      </c>
      <c r="E34" s="26" t="s">
        <v>1198</v>
      </c>
      <c r="F34" s="59"/>
      <c r="G34" s="26"/>
      <c r="H34" s="26" t="s">
        <v>1141</v>
      </c>
      <c r="I34" s="26"/>
      <c r="J34" s="26" t="s">
        <v>1142</v>
      </c>
    </row>
    <row r="35" spans="2:10" ht="14.25" customHeight="1">
      <c r="B35" s="26" t="s">
        <v>1199</v>
      </c>
      <c r="C35" s="367" t="s">
        <v>206</v>
      </c>
      <c r="D35" s="26" t="s">
        <v>1200</v>
      </c>
      <c r="E35" s="26" t="s">
        <v>1201</v>
      </c>
      <c r="F35" s="59"/>
      <c r="G35" s="26"/>
      <c r="H35" s="26" t="s">
        <v>1141</v>
      </c>
      <c r="I35" s="26"/>
      <c r="J35" s="26" t="s">
        <v>1142</v>
      </c>
    </row>
    <row r="36" spans="2:10" ht="14.25" customHeight="1">
      <c r="B36" s="26" t="s">
        <v>1202</v>
      </c>
      <c r="C36" s="367"/>
      <c r="D36" s="26" t="s">
        <v>1203</v>
      </c>
      <c r="E36" s="26" t="s">
        <v>1148</v>
      </c>
      <c r="F36" s="59"/>
      <c r="G36" s="26"/>
      <c r="H36" s="26" t="s">
        <v>167</v>
      </c>
      <c r="I36" s="26"/>
      <c r="J36" s="26" t="s">
        <v>1132</v>
      </c>
    </row>
    <row r="37" spans="2:10" ht="14.25" customHeight="1">
      <c r="B37" s="26" t="s">
        <v>1204</v>
      </c>
      <c r="C37" s="367"/>
      <c r="D37" s="120" t="s">
        <v>1122</v>
      </c>
      <c r="E37" s="120" t="s">
        <v>1205</v>
      </c>
      <c r="F37" s="59"/>
      <c r="G37" s="26"/>
      <c r="H37" s="26" t="s">
        <v>1124</v>
      </c>
      <c r="I37" s="26"/>
      <c r="J37" s="26" t="s">
        <v>1135</v>
      </c>
    </row>
    <row r="38" spans="2:10" ht="14.25" customHeight="1">
      <c r="B38" s="26" t="s">
        <v>1206</v>
      </c>
      <c r="C38" s="367"/>
      <c r="D38" s="26" t="s">
        <v>1207</v>
      </c>
      <c r="E38" s="191">
        <v>48168</v>
      </c>
      <c r="F38" s="192"/>
      <c r="G38" s="26" t="s">
        <v>1188</v>
      </c>
      <c r="H38" s="26" t="s">
        <v>1157</v>
      </c>
      <c r="I38" s="26" t="s">
        <v>1208</v>
      </c>
      <c r="J38" s="26" t="s">
        <v>1169</v>
      </c>
    </row>
    <row r="39" spans="2:10" ht="14.25" customHeight="1">
      <c r="B39" s="26" t="s">
        <v>1209</v>
      </c>
      <c r="C39" s="367"/>
      <c r="D39" s="26" t="s">
        <v>1210</v>
      </c>
      <c r="E39" s="191">
        <v>48213</v>
      </c>
      <c r="F39" s="60"/>
      <c r="G39" s="26" t="s">
        <v>1188</v>
      </c>
      <c r="H39" s="26" t="s">
        <v>1192</v>
      </c>
      <c r="I39" s="26"/>
      <c r="J39" s="26" t="s">
        <v>1159</v>
      </c>
    </row>
    <row r="40" spans="2:10" ht="14.25" customHeight="1">
      <c r="B40" s="26" t="s">
        <v>1211</v>
      </c>
      <c r="C40" s="367"/>
      <c r="D40" s="120" t="s">
        <v>1126</v>
      </c>
      <c r="E40" s="26" t="s">
        <v>1212</v>
      </c>
      <c r="F40" s="59"/>
      <c r="G40" s="26"/>
      <c r="H40" s="26" t="s">
        <v>1124</v>
      </c>
      <c r="I40" s="26"/>
      <c r="J40" s="26" t="s">
        <v>1135</v>
      </c>
    </row>
    <row r="41" spans="2:10" ht="14.25" customHeight="1">
      <c r="B41" s="26" t="s">
        <v>1213</v>
      </c>
      <c r="C41" s="367"/>
      <c r="D41" s="26" t="s">
        <v>1214</v>
      </c>
      <c r="E41" s="26" t="s">
        <v>1215</v>
      </c>
      <c r="F41" s="59"/>
      <c r="G41" s="26"/>
      <c r="H41" s="26" t="s">
        <v>1141</v>
      </c>
      <c r="I41" s="26"/>
      <c r="J41" s="26" t="s">
        <v>1142</v>
      </c>
    </row>
    <row r="42" spans="2:10" ht="14.25" customHeight="1">
      <c r="B42" s="26" t="s">
        <v>1216</v>
      </c>
      <c r="C42" s="367" t="s">
        <v>171</v>
      </c>
      <c r="D42" s="26" t="s">
        <v>1217</v>
      </c>
      <c r="E42" s="26" t="s">
        <v>1201</v>
      </c>
      <c r="F42" s="59"/>
      <c r="G42" s="26"/>
      <c r="H42" s="26" t="s">
        <v>1141</v>
      </c>
      <c r="I42" s="26"/>
      <c r="J42" s="26" t="s">
        <v>1142</v>
      </c>
    </row>
    <row r="43" spans="2:10" ht="14.25" customHeight="1">
      <c r="B43" s="26" t="s">
        <v>1218</v>
      </c>
      <c r="C43" s="367"/>
      <c r="D43" s="26" t="s">
        <v>1219</v>
      </c>
      <c r="E43" s="26" t="s">
        <v>1148</v>
      </c>
      <c r="F43" s="59"/>
      <c r="G43" s="26"/>
      <c r="H43" s="26" t="s">
        <v>167</v>
      </c>
      <c r="I43" s="26"/>
      <c r="J43" s="26" t="s">
        <v>1132</v>
      </c>
    </row>
    <row r="44" spans="2:10" ht="14.25" customHeight="1">
      <c r="B44" s="26" t="s">
        <v>1220</v>
      </c>
      <c r="C44" s="367"/>
      <c r="D44" s="120" t="s">
        <v>1122</v>
      </c>
      <c r="E44" s="120" t="s">
        <v>1221</v>
      </c>
      <c r="F44" s="59"/>
      <c r="G44" s="26"/>
      <c r="H44" s="26" t="s">
        <v>1124</v>
      </c>
      <c r="I44" s="26"/>
      <c r="J44" s="26" t="s">
        <v>1135</v>
      </c>
    </row>
    <row r="45" spans="2:10" ht="14.25" customHeight="1">
      <c r="B45" s="26" t="s">
        <v>1222</v>
      </c>
      <c r="C45" s="367"/>
      <c r="D45" s="26" t="s">
        <v>1223</v>
      </c>
      <c r="E45" s="191">
        <v>48883</v>
      </c>
      <c r="F45" s="192"/>
      <c r="G45" s="26" t="s">
        <v>1188</v>
      </c>
      <c r="H45" s="26" t="s">
        <v>1157</v>
      </c>
      <c r="I45" s="26" t="s">
        <v>1224</v>
      </c>
      <c r="J45" s="26" t="s">
        <v>1169</v>
      </c>
    </row>
    <row r="46" spans="2:10" ht="14.25" customHeight="1">
      <c r="B46" s="26" t="s">
        <v>1225</v>
      </c>
      <c r="C46" s="367"/>
      <c r="D46" s="26" t="s">
        <v>1226</v>
      </c>
      <c r="E46" s="191">
        <v>48944</v>
      </c>
      <c r="F46" s="60"/>
      <c r="G46" s="26" t="s">
        <v>1188</v>
      </c>
      <c r="H46" s="26" t="s">
        <v>1192</v>
      </c>
      <c r="I46" s="26"/>
      <c r="J46" s="26" t="s">
        <v>1159</v>
      </c>
    </row>
    <row r="47" spans="2:10" ht="14.25" customHeight="1">
      <c r="B47" s="26" t="s">
        <v>1227</v>
      </c>
      <c r="C47" s="367"/>
      <c r="D47" s="120" t="s">
        <v>1126</v>
      </c>
      <c r="E47" s="26" t="s">
        <v>1228</v>
      </c>
      <c r="F47" s="59"/>
      <c r="G47" s="26"/>
      <c r="H47" s="26" t="s">
        <v>1124</v>
      </c>
      <c r="I47" s="26"/>
      <c r="J47" s="26" t="s">
        <v>1135</v>
      </c>
    </row>
    <row r="48" spans="2:10" ht="14.25" customHeight="1">
      <c r="B48" s="26" t="s">
        <v>1229</v>
      </c>
      <c r="C48" s="367"/>
      <c r="D48" s="26" t="s">
        <v>1230</v>
      </c>
      <c r="E48" s="26" t="s">
        <v>1231</v>
      </c>
      <c r="F48" s="59"/>
      <c r="G48" s="26"/>
      <c r="H48" s="26" t="s">
        <v>1141</v>
      </c>
      <c r="I48" s="26"/>
      <c r="J48" s="26" t="s">
        <v>1142</v>
      </c>
    </row>
    <row r="49" spans="2:10" ht="14.25" customHeight="1">
      <c r="B49" s="26" t="s">
        <v>1232</v>
      </c>
      <c r="C49" s="367" t="s">
        <v>431</v>
      </c>
      <c r="D49" s="26" t="s">
        <v>1233</v>
      </c>
      <c r="E49" s="26" t="s">
        <v>1234</v>
      </c>
      <c r="F49" s="59"/>
      <c r="G49" s="26"/>
      <c r="H49" s="26" t="s">
        <v>1141</v>
      </c>
      <c r="I49" s="26"/>
      <c r="J49" s="26" t="s">
        <v>1142</v>
      </c>
    </row>
    <row r="50" spans="2:10" ht="14.25" customHeight="1">
      <c r="B50" s="26" t="s">
        <v>1235</v>
      </c>
      <c r="C50" s="367"/>
      <c r="D50" s="26" t="s">
        <v>1236</v>
      </c>
      <c r="E50" s="26" t="s">
        <v>1148</v>
      </c>
      <c r="F50" s="59"/>
      <c r="G50" s="26"/>
      <c r="H50" s="26" t="s">
        <v>167</v>
      </c>
      <c r="I50" s="26"/>
      <c r="J50" s="26" t="s">
        <v>1132</v>
      </c>
    </row>
    <row r="51" spans="2:10" ht="14.25" customHeight="1">
      <c r="B51" s="26" t="s">
        <v>1237</v>
      </c>
      <c r="C51" s="367"/>
      <c r="D51" s="120" t="s">
        <v>1122</v>
      </c>
      <c r="E51" s="120" t="s">
        <v>1238</v>
      </c>
      <c r="F51" s="59"/>
      <c r="G51" s="26"/>
      <c r="H51" s="26" t="s">
        <v>1124</v>
      </c>
      <c r="I51" s="26"/>
      <c r="J51" s="26" t="s">
        <v>1135</v>
      </c>
    </row>
    <row r="52" spans="2:10" ht="14.25" customHeight="1">
      <c r="B52" s="26" t="s">
        <v>1239</v>
      </c>
      <c r="C52" s="367"/>
      <c r="D52" s="26" t="s">
        <v>1240</v>
      </c>
      <c r="E52" s="26" t="s">
        <v>1241</v>
      </c>
      <c r="F52" s="59"/>
      <c r="G52" s="26"/>
      <c r="H52" s="26" t="s">
        <v>1192</v>
      </c>
      <c r="I52" s="26" t="s">
        <v>1242</v>
      </c>
      <c r="J52" s="26" t="s">
        <v>1159</v>
      </c>
    </row>
    <row r="53" spans="2:10" ht="14.25" customHeight="1">
      <c r="B53" s="26" t="s">
        <v>1243</v>
      </c>
      <c r="C53" s="367"/>
      <c r="D53" s="26" t="s">
        <v>1244</v>
      </c>
      <c r="E53" s="191">
        <v>51321</v>
      </c>
      <c r="F53" s="192"/>
      <c r="G53" s="26" t="s">
        <v>1188</v>
      </c>
      <c r="H53" s="26" t="s">
        <v>1157</v>
      </c>
      <c r="I53" s="26"/>
      <c r="J53" s="26" t="s">
        <v>1169</v>
      </c>
    </row>
    <row r="54" spans="2:10" ht="14.25" customHeight="1">
      <c r="B54" s="26" t="s">
        <v>1245</v>
      </c>
      <c r="C54" s="367" t="s">
        <v>432</v>
      </c>
      <c r="D54" s="26" t="s">
        <v>1246</v>
      </c>
      <c r="E54" s="26" t="s">
        <v>1247</v>
      </c>
      <c r="F54" s="59"/>
      <c r="G54" s="26"/>
      <c r="H54" s="26" t="s">
        <v>1167</v>
      </c>
      <c r="I54" s="26"/>
      <c r="J54" s="26" t="s">
        <v>1169</v>
      </c>
    </row>
    <row r="55" spans="2:10" ht="14.25" customHeight="1">
      <c r="B55" s="26" t="s">
        <v>1248</v>
      </c>
      <c r="C55" s="367"/>
      <c r="D55" s="26" t="s">
        <v>1249</v>
      </c>
      <c r="E55" s="26" t="s">
        <v>1250</v>
      </c>
      <c r="F55" s="59"/>
      <c r="G55" s="26"/>
      <c r="H55" s="26" t="s">
        <v>1167</v>
      </c>
      <c r="I55" s="26"/>
      <c r="J55" s="26" t="s">
        <v>1169</v>
      </c>
    </row>
    <row r="56" spans="2:10" ht="14.25" customHeight="1">
      <c r="B56" s="26" t="s">
        <v>1251</v>
      </c>
      <c r="C56" s="367"/>
      <c r="D56" s="26" t="s">
        <v>1252</v>
      </c>
      <c r="E56" s="26" t="s">
        <v>1253</v>
      </c>
      <c r="F56" s="59"/>
      <c r="G56" s="26"/>
      <c r="H56" s="26" t="s">
        <v>1192</v>
      </c>
      <c r="I56" s="26"/>
      <c r="J56" s="26" t="s">
        <v>1159</v>
      </c>
    </row>
    <row r="57" spans="2:10" ht="14.25" customHeight="1">
      <c r="B57" s="26" t="s">
        <v>1254</v>
      </c>
      <c r="C57" s="367" t="s">
        <v>433</v>
      </c>
      <c r="D57" s="26" t="s">
        <v>1255</v>
      </c>
      <c r="E57" s="26" t="s">
        <v>1256</v>
      </c>
      <c r="F57" s="59"/>
      <c r="G57" s="26"/>
      <c r="H57" s="26" t="s">
        <v>1167</v>
      </c>
      <c r="I57" s="26"/>
      <c r="J57" s="26" t="s">
        <v>1169</v>
      </c>
    </row>
    <row r="58" spans="2:10" ht="14.25" customHeight="1">
      <c r="B58" s="26" t="s">
        <v>1257</v>
      </c>
      <c r="C58" s="367"/>
      <c r="D58" s="26" t="s">
        <v>1258</v>
      </c>
      <c r="E58" s="26" t="s">
        <v>1259</v>
      </c>
      <c r="F58" s="59"/>
      <c r="G58" s="26"/>
      <c r="H58" s="26" t="s">
        <v>1167</v>
      </c>
      <c r="I58" s="26" t="s">
        <v>1260</v>
      </c>
      <c r="J58" s="26" t="s">
        <v>1169</v>
      </c>
    </row>
    <row r="59" spans="2:10" ht="14.25" customHeight="1">
      <c r="B59" s="26" t="s">
        <v>1261</v>
      </c>
      <c r="C59" s="367"/>
      <c r="D59" s="26" t="s">
        <v>1262</v>
      </c>
      <c r="E59" s="26" t="s">
        <v>1263</v>
      </c>
      <c r="F59" s="59"/>
      <c r="G59" s="26"/>
      <c r="H59" s="26" t="s">
        <v>1167</v>
      </c>
      <c r="I59" s="26" t="s">
        <v>1264</v>
      </c>
      <c r="J59" s="26" t="s">
        <v>1169</v>
      </c>
    </row>
    <row r="60" spans="2:10" ht="14.25" customHeight="1">
      <c r="B60" s="26" t="s">
        <v>1265</v>
      </c>
      <c r="C60" s="367"/>
      <c r="D60" s="26" t="s">
        <v>1266</v>
      </c>
      <c r="E60" s="191">
        <v>51501</v>
      </c>
      <c r="F60" s="60"/>
      <c r="G60" s="26" t="s">
        <v>1188</v>
      </c>
      <c r="H60" s="26" t="s">
        <v>1192</v>
      </c>
      <c r="I60" s="26" t="s">
        <v>1267</v>
      </c>
      <c r="J60" s="26" t="s">
        <v>1159</v>
      </c>
    </row>
    <row r="61" spans="2:10" ht="14.25" customHeight="1">
      <c r="B61" s="26" t="s">
        <v>1268</v>
      </c>
      <c r="C61" s="367"/>
      <c r="D61" s="26" t="s">
        <v>1269</v>
      </c>
      <c r="E61" s="26" t="s">
        <v>1270</v>
      </c>
      <c r="F61" s="59"/>
      <c r="G61" s="26"/>
      <c r="H61" s="26" t="s">
        <v>1167</v>
      </c>
      <c r="I61" s="26"/>
      <c r="J61" s="26" t="s">
        <v>1169</v>
      </c>
    </row>
    <row r="62" spans="2:10" ht="14.25" customHeight="1">
      <c r="B62" s="26" t="s">
        <v>1271</v>
      </c>
      <c r="C62" s="367"/>
      <c r="D62" s="26" t="s">
        <v>1272</v>
      </c>
      <c r="E62" s="26" t="s">
        <v>1273</v>
      </c>
      <c r="F62" s="59"/>
      <c r="G62" s="26"/>
      <c r="H62" s="26" t="s">
        <v>1167</v>
      </c>
      <c r="I62" s="26" t="s">
        <v>1274</v>
      </c>
      <c r="J62" s="26" t="s">
        <v>1169</v>
      </c>
    </row>
    <row r="63" spans="2:10" ht="14.25" customHeight="1">
      <c r="B63" s="26" t="s">
        <v>1275</v>
      </c>
      <c r="C63" s="367"/>
      <c r="D63" s="26" t="s">
        <v>1276</v>
      </c>
      <c r="E63" s="26" t="s">
        <v>1277</v>
      </c>
      <c r="F63" s="59"/>
      <c r="G63" s="26"/>
      <c r="H63" s="26" t="s">
        <v>1167</v>
      </c>
      <c r="I63" s="26" t="s">
        <v>1278</v>
      </c>
      <c r="J63" s="26" t="s">
        <v>1169</v>
      </c>
    </row>
    <row r="64" spans="2:10" ht="14.25" customHeight="1">
      <c r="B64" s="26" t="s">
        <v>1279</v>
      </c>
      <c r="C64" s="367" t="s">
        <v>1074</v>
      </c>
      <c r="D64" s="65" t="s">
        <v>1280</v>
      </c>
      <c r="E64" s="26" t="s">
        <v>1281</v>
      </c>
      <c r="F64" s="59"/>
      <c r="G64" s="26"/>
      <c r="H64" s="26" t="s">
        <v>1141</v>
      </c>
      <c r="I64" s="26"/>
      <c r="J64" s="26" t="s">
        <v>1142</v>
      </c>
    </row>
    <row r="65" spans="2:10" ht="14.25" customHeight="1">
      <c r="B65" s="26" t="s">
        <v>1282</v>
      </c>
      <c r="C65" s="367"/>
      <c r="D65" s="65" t="s">
        <v>1283</v>
      </c>
      <c r="E65" s="26" t="s">
        <v>1148</v>
      </c>
      <c r="F65" s="59"/>
      <c r="G65" s="26"/>
      <c r="H65" s="26" t="s">
        <v>167</v>
      </c>
      <c r="I65" s="26"/>
      <c r="J65" s="26" t="s">
        <v>1132</v>
      </c>
    </row>
    <row r="66" spans="2:10" ht="14.25" customHeight="1">
      <c r="B66" s="26" t="s">
        <v>1284</v>
      </c>
      <c r="C66" s="367"/>
      <c r="D66" s="65" t="s">
        <v>1280</v>
      </c>
      <c r="E66" s="26" t="s">
        <v>1285</v>
      </c>
      <c r="F66" s="59"/>
      <c r="G66" s="26"/>
      <c r="H66" s="26" t="s">
        <v>1157</v>
      </c>
      <c r="I66" s="26"/>
      <c r="J66" s="26" t="s">
        <v>1159</v>
      </c>
    </row>
    <row r="67" spans="2:10" ht="14.25" customHeight="1">
      <c r="B67" s="26" t="s">
        <v>1286</v>
      </c>
      <c r="C67" s="367"/>
      <c r="D67" s="100" t="s">
        <v>1287</v>
      </c>
      <c r="E67" s="101" t="s">
        <v>1287</v>
      </c>
      <c r="F67" s="59"/>
      <c r="G67" s="26"/>
      <c r="H67" s="26" t="s">
        <v>1157</v>
      </c>
      <c r="I67" s="26"/>
      <c r="J67" s="26" t="s">
        <v>1159</v>
      </c>
    </row>
    <row r="68" spans="2:10" ht="14.25" customHeight="1">
      <c r="B68" s="26" t="s">
        <v>1288</v>
      </c>
      <c r="C68" s="367"/>
      <c r="D68" t="s">
        <v>1289</v>
      </c>
      <c r="E68" s="26" t="s">
        <v>1290</v>
      </c>
      <c r="F68" s="59"/>
      <c r="G68" s="26"/>
      <c r="H68" s="26" t="s">
        <v>1157</v>
      </c>
      <c r="I68" s="26"/>
      <c r="J68" s="26" t="s">
        <v>1159</v>
      </c>
    </row>
    <row r="69" spans="2:10" ht="14.25" customHeight="1">
      <c r="B69" s="26" t="s">
        <v>1291</v>
      </c>
      <c r="C69" s="367"/>
      <c r="D69" s="194" t="s">
        <v>1126</v>
      </c>
      <c r="E69" s="26" t="s">
        <v>1292</v>
      </c>
      <c r="F69" s="59"/>
      <c r="G69" s="26"/>
      <c r="H69" s="26" t="s">
        <v>1124</v>
      </c>
      <c r="I69" s="26"/>
      <c r="J69" s="26" t="s">
        <v>1135</v>
      </c>
    </row>
    <row r="70" spans="2:10" ht="14.25" customHeight="1">
      <c r="B70" s="26" t="s">
        <v>1293</v>
      </c>
      <c r="C70" s="367" t="s">
        <v>1077</v>
      </c>
      <c r="D70" s="26" t="s">
        <v>1294</v>
      </c>
      <c r="E70" s="26" t="s">
        <v>1295</v>
      </c>
      <c r="F70" s="59"/>
      <c r="G70" s="26"/>
      <c r="H70" s="26" t="s">
        <v>1141</v>
      </c>
      <c r="I70" s="26"/>
      <c r="J70" s="26" t="s">
        <v>1142</v>
      </c>
    </row>
    <row r="71" spans="2:10" ht="14.25" customHeight="1">
      <c r="B71" s="26" t="s">
        <v>1296</v>
      </c>
      <c r="C71" s="367"/>
      <c r="D71" s="26" t="s">
        <v>1297</v>
      </c>
      <c r="E71" s="26" t="s">
        <v>1298</v>
      </c>
      <c r="F71" s="59"/>
      <c r="G71" s="26"/>
      <c r="H71" s="26" t="s">
        <v>167</v>
      </c>
      <c r="I71" s="26"/>
      <c r="J71" s="26" t="s">
        <v>1132</v>
      </c>
    </row>
    <row r="72" spans="2:10" ht="14.25" customHeight="1">
      <c r="B72" s="26" t="s">
        <v>1299</v>
      </c>
      <c r="C72" s="367"/>
      <c r="D72" s="26" t="s">
        <v>1300</v>
      </c>
      <c r="E72" s="26" t="s">
        <v>1301</v>
      </c>
      <c r="F72" s="59"/>
      <c r="G72" s="26"/>
      <c r="H72" s="26" t="s">
        <v>1167</v>
      </c>
      <c r="I72" s="26" t="s">
        <v>1302</v>
      </c>
      <c r="J72" s="26" t="s">
        <v>1169</v>
      </c>
    </row>
    <row r="73" spans="2:10" ht="14.25" customHeight="1">
      <c r="B73" s="26" t="s">
        <v>1303</v>
      </c>
      <c r="C73" s="367"/>
      <c r="D73" s="120" t="s">
        <v>1304</v>
      </c>
      <c r="E73" s="26" t="s">
        <v>1305</v>
      </c>
      <c r="F73" s="59"/>
      <c r="G73" s="26"/>
      <c r="H73" s="26" t="s">
        <v>1124</v>
      </c>
      <c r="I73" s="26"/>
      <c r="J73" s="26" t="s">
        <v>1135</v>
      </c>
    </row>
  </sheetData>
  <autoFilter ref="B9:J77" xr:uid="{00000000-0009-0000-0000-00000A000000}"/>
  <mergeCells count="12">
    <mergeCell ref="C64:C69"/>
    <mergeCell ref="C70:C73"/>
    <mergeCell ref="C35:C41"/>
    <mergeCell ref="C42:C48"/>
    <mergeCell ref="C49:C53"/>
    <mergeCell ref="C54:C56"/>
    <mergeCell ref="C57:C63"/>
    <mergeCell ref="A1:B1"/>
    <mergeCell ref="C10:C12"/>
    <mergeCell ref="C13:C15"/>
    <mergeCell ref="C16:C26"/>
    <mergeCell ref="C27:C34"/>
  </mergeCells>
  <conditionalFormatting sqref="D21:D23 D57 F57">
    <cfRule type="expression" dxfId="71" priority="40">
      <formula>IF($C23="Major Milestone", 1, 0)</formula>
    </cfRule>
    <cfRule type="expression" dxfId="70" priority="41">
      <formula>IF($C23="Governance", 1, 0)</formula>
    </cfRule>
  </conditionalFormatting>
  <conditionalFormatting sqref="D48 F48 D56:F56 D72:E72">
    <cfRule type="expression" dxfId="69" priority="47">
      <formula>IF($C49="Governance", 1, 0)</formula>
    </cfRule>
    <cfRule type="expression" dxfId="68" priority="46">
      <formula>IF($C49="Major Milestone", 1, 0)</formula>
    </cfRule>
  </conditionalFormatting>
  <conditionalFormatting sqref="D21:E24 F55">
    <cfRule type="expression" dxfId="67" priority="38">
      <formula>IF($C20="Major Milestone", 1, 0)</formula>
    </cfRule>
    <cfRule type="expression" dxfId="66" priority="39">
      <formula>IF($C20="Governance", 1, 0)</formula>
    </cfRule>
  </conditionalFormatting>
  <conditionalFormatting sqref="D63:E63">
    <cfRule type="expression" dxfId="65" priority="18">
      <formula>IF($C63="Major Milestone", 1, 0)</formula>
    </cfRule>
    <cfRule type="expression" dxfId="64" priority="19">
      <formula>IF($C63="Governance", 1, 0)</formula>
    </cfRule>
  </conditionalFormatting>
  <conditionalFormatting sqref="D65:E66">
    <cfRule type="expression" dxfId="63" priority="14">
      <formula>IF($C65="Major Milestone", 1, 0)</formula>
    </cfRule>
    <cfRule type="expression" dxfId="62" priority="15">
      <formula>IF($C65="Governance", 1, 0)</formula>
    </cfRule>
  </conditionalFormatting>
  <conditionalFormatting sqref="D75:E75">
    <cfRule type="expression" dxfId="61" priority="10">
      <formula>IF($C75="Major Milestone", 1, 0)</formula>
    </cfRule>
    <cfRule type="expression" dxfId="60" priority="11">
      <formula>IF($C75="Governance", 1, 0)</formula>
    </cfRule>
  </conditionalFormatting>
  <conditionalFormatting sqref="E18">
    <cfRule type="expression" dxfId="59" priority="35">
      <formula>IF($C18="Governance", 1, 0)</formula>
    </cfRule>
    <cfRule type="expression" dxfId="58" priority="34">
      <formula>IF($C18="Major Milestone", 1, 0)</formula>
    </cfRule>
  </conditionalFormatting>
  <conditionalFormatting sqref="E33 D54:F54 D55:E55">
    <cfRule type="expression" dxfId="57" priority="27">
      <formula>IF(#REF!="Governance", 1, 0)</formula>
    </cfRule>
    <cfRule type="expression" dxfId="56" priority="26">
      <formula>IF(#REF!="Major Milestone", 1, 0)</formula>
    </cfRule>
  </conditionalFormatting>
  <conditionalFormatting sqref="E40">
    <cfRule type="expression" dxfId="55" priority="22">
      <formula>IF($C40="Major Milestone", 1, 0)</formula>
    </cfRule>
    <cfRule type="expression" dxfId="54" priority="23">
      <formula>IF($C40="Governance", 1, 0)</formula>
    </cfRule>
  </conditionalFormatting>
  <conditionalFormatting sqref="E57">
    <cfRule type="expression" dxfId="53" priority="16">
      <formula>IF(#REF!="Major Milestone", 1, 0)</formula>
    </cfRule>
    <cfRule type="expression" dxfId="52" priority="17">
      <formula>IF(#REF!="Governance", 1, 0)</formula>
    </cfRule>
  </conditionalFormatting>
  <conditionalFormatting sqref="E68:E69">
    <cfRule type="expression" dxfId="51" priority="12">
      <formula>IF($C68="Major Milestone", 1, 0)</formula>
    </cfRule>
    <cfRule type="expression" dxfId="50" priority="13">
      <formula>IF($C68="Governance", 1, 0)</formula>
    </cfRule>
  </conditionalFormatting>
  <conditionalFormatting sqref="F24:F29 H30 D30:E32 F33:F37 H38 D38:E39 H45 D45:D46 E45:E47 D52:E53 E61:E62 F61:F77">
    <cfRule type="expression" dxfId="49" priority="36">
      <formula>IF($C24="Major Milestone", 1, 0)</formula>
    </cfRule>
    <cfRule type="expression" dxfId="48" priority="37">
      <formula>IF($C24="Governance", 1, 0)</formula>
    </cfRule>
  </conditionalFormatting>
  <conditionalFormatting sqref="F40:F44 F47">
    <cfRule type="expression" dxfId="47" priority="25">
      <formula>IF($C40="Governance", 1, 0)</formula>
    </cfRule>
    <cfRule type="expression" dxfId="46" priority="24">
      <formula>IF($C40="Major Milestone", 1, 0)</formula>
    </cfRule>
  </conditionalFormatting>
  <conditionalFormatting sqref="F49 F52 D58:F58">
    <cfRule type="expression" dxfId="45" priority="44">
      <formula>IF(#REF!="Major Milestone", 1, 0)</formula>
    </cfRule>
    <cfRule type="expression" dxfId="44" priority="45">
      <formula>IF(#REF!="Governance", 1, 0)</formula>
    </cfRule>
  </conditionalFormatting>
  <conditionalFormatting sqref="H10">
    <cfRule type="expression" dxfId="43" priority="33">
      <formula>IF($C10="Governance", 1, 0)</formula>
    </cfRule>
    <cfRule type="expression" dxfId="42" priority="32">
      <formula>IF($C10="Major Milestone", 1, 0)</formula>
    </cfRule>
  </conditionalFormatting>
  <conditionalFormatting sqref="H13">
    <cfRule type="expression" dxfId="41" priority="31">
      <formula>IF($C13="Governance", 1, 0)</formula>
    </cfRule>
    <cfRule type="expression" dxfId="40" priority="30">
      <formula>IF($C13="Major Milestone", 1, 0)</formula>
    </cfRule>
  </conditionalFormatting>
  <conditionalFormatting sqref="H17 E28">
    <cfRule type="expression" dxfId="39" priority="43">
      <formula>IF(#REF!="Governance", 1, 0)</formula>
    </cfRule>
    <cfRule type="expression" dxfId="38" priority="42">
      <formula>IF(#REF!="Major Milestone", 1, 0)</formula>
    </cfRule>
  </conditionalFormatting>
  <conditionalFormatting sqref="H18:H19">
    <cfRule type="expression" dxfId="37" priority="9">
      <formula>IF($C18="Governance", 1, 0)</formula>
    </cfRule>
    <cfRule type="expression" dxfId="36" priority="8">
      <formula>IF($C18="Major Milestone", 1, 0)</formula>
    </cfRule>
  </conditionalFormatting>
  <conditionalFormatting sqref="H21:H22">
    <cfRule type="expression" dxfId="35" priority="28">
      <formula>IF($C21="Major Milestone", 1, 0)</formula>
    </cfRule>
    <cfRule type="expression" dxfId="34" priority="29">
      <formula>IF($C21="Governance", 1, 0)</formula>
    </cfRule>
  </conditionalFormatting>
  <conditionalFormatting sqref="H24:H25">
    <cfRule type="expression" dxfId="33" priority="5">
      <formula>IF($C24="Governance", 1, 0)</formula>
    </cfRule>
    <cfRule type="expression" dxfId="32" priority="4">
      <formula>IF($C24="Major Milestone", 1, 0)</formula>
    </cfRule>
  </conditionalFormatting>
  <conditionalFormatting sqref="H28 D36:E36 H36 D43 H43 D50:F50 H50 F51 H58:H59 F59 D59:E60 H62:H63 D71:E71 H71:H72 E73 H75 E77:E78">
    <cfRule type="expression" dxfId="31" priority="20">
      <formula>IF($C28="Major Milestone", 1, 0)</formula>
    </cfRule>
    <cfRule type="expression" dxfId="30" priority="21">
      <formula>IF($C28="Governance", 1, 0)</formula>
    </cfRule>
  </conditionalFormatting>
  <conditionalFormatting sqref="H53">
    <cfRule type="expression" dxfId="29" priority="3">
      <formula>IF($C53="Governance", 1, 0)</formula>
    </cfRule>
    <cfRule type="expression" dxfId="28" priority="2">
      <formula>IF($C53="Major Milestone", 1, 0)</formula>
    </cfRule>
  </conditionalFormatting>
  <conditionalFormatting sqref="H65:H68">
    <cfRule type="expression" dxfId="27" priority="6">
      <formula>IF($C65="Major Milestone", 1, 0)</formula>
    </cfRule>
    <cfRule type="expression" dxfId="26" priority="7">
      <formula>IF($C65="Governance", 1, 0)</formula>
    </cfRule>
  </conditionalFormatting>
  <hyperlinks>
    <hyperlink ref="A1" location="'Table of contents'!A1" display="` Table of Contents" xr:uid="{00000000-0004-0000-0A00-000000000000}"/>
  </hyperlinks>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1"/>
  <sheetViews>
    <sheetView zoomScaleNormal="100" workbookViewId="0"/>
  </sheetViews>
  <sheetFormatPr defaultColWidth="8.7109375" defaultRowHeight="15"/>
  <cols>
    <col min="1" max="1" width="20.7109375" customWidth="1"/>
    <col min="2" max="2" width="11.42578125" customWidth="1"/>
    <col min="3" max="3" width="15.42578125" customWidth="1"/>
    <col min="4" max="4" width="15.5703125" customWidth="1"/>
    <col min="5" max="5" width="8.42578125" customWidth="1"/>
    <col min="6" max="6" width="22.140625" customWidth="1"/>
    <col min="7" max="7" width="18" customWidth="1"/>
    <col min="8" max="8" width="13.85546875" customWidth="1"/>
    <col min="11" max="11" width="29.85546875" customWidth="1"/>
    <col min="12" max="12" width="15.28515625" customWidth="1"/>
  </cols>
  <sheetData>
    <row r="1" spans="1:8" ht="14.25" customHeight="1">
      <c r="A1" s="4" t="s">
        <v>56</v>
      </c>
      <c r="B1" s="4"/>
    </row>
    <row r="3" spans="1:8" ht="31.5" customHeight="1">
      <c r="A3" s="18" t="s">
        <v>1306</v>
      </c>
      <c r="B3" s="20"/>
      <c r="C3" s="20"/>
      <c r="D3" s="20"/>
      <c r="E3" s="20"/>
    </row>
    <row r="4" spans="1:8" ht="14.25" customHeight="1">
      <c r="A4" t="s">
        <v>1307</v>
      </c>
    </row>
    <row r="5" spans="1:8" ht="14.25" customHeight="1">
      <c r="B5" t="s">
        <v>1308</v>
      </c>
    </row>
    <row r="8" spans="1:8" ht="14.25" customHeight="1">
      <c r="A8" s="26" t="s">
        <v>1309</v>
      </c>
    </row>
    <row r="9" spans="1:8" ht="14.25" customHeight="1">
      <c r="B9" s="60">
        <v>45658</v>
      </c>
      <c r="C9" s="26"/>
      <c r="D9" s="26" t="s">
        <v>1310</v>
      </c>
      <c r="H9" s="192"/>
    </row>
    <row r="10" spans="1:8" ht="14.25" customHeight="1">
      <c r="B10" s="60">
        <v>46023</v>
      </c>
      <c r="C10" s="26"/>
      <c r="D10" s="26" t="s">
        <v>1311</v>
      </c>
      <c r="H10" s="192"/>
    </row>
    <row r="11" spans="1:8" ht="14.25" customHeight="1">
      <c r="B11" s="60">
        <v>46752</v>
      </c>
      <c r="C11" s="26" t="s">
        <v>1312</v>
      </c>
      <c r="D11" s="26" t="s">
        <v>1313</v>
      </c>
      <c r="H11" s="192"/>
    </row>
    <row r="12" spans="1:8" ht="14.25" customHeight="1">
      <c r="B12" s="60">
        <v>46753</v>
      </c>
      <c r="C12" s="26"/>
      <c r="D12" s="26" t="s">
        <v>1314</v>
      </c>
      <c r="H12" s="192"/>
    </row>
    <row r="13" spans="1:8" ht="14.25" customHeight="1">
      <c r="B13" s="195">
        <v>47300</v>
      </c>
      <c r="C13" s="196"/>
      <c r="D13" s="196" t="s">
        <v>1315</v>
      </c>
      <c r="H13" s="192"/>
    </row>
    <row r="14" spans="1:8" ht="14.25" customHeight="1">
      <c r="B14" s="60">
        <v>47483</v>
      </c>
      <c r="C14" s="26" t="s">
        <v>1191</v>
      </c>
      <c r="D14" s="26" t="s">
        <v>1316</v>
      </c>
      <c r="H14" s="192"/>
    </row>
    <row r="15" spans="1:8" ht="14.25" customHeight="1">
      <c r="B15" s="60">
        <v>47484</v>
      </c>
      <c r="C15" s="26"/>
      <c r="D15" s="26" t="s">
        <v>1317</v>
      </c>
      <c r="H15" s="192"/>
    </row>
    <row r="16" spans="1:8" ht="14.25" customHeight="1">
      <c r="B16" s="195">
        <v>47921</v>
      </c>
      <c r="C16" s="196"/>
      <c r="D16" s="196" t="s">
        <v>1318</v>
      </c>
      <c r="H16" s="192"/>
    </row>
    <row r="17" spans="1:4" ht="14.25" customHeight="1">
      <c r="B17" s="60">
        <v>48213</v>
      </c>
      <c r="C17" s="26" t="s">
        <v>1210</v>
      </c>
      <c r="D17" s="26" t="s">
        <v>1319</v>
      </c>
    </row>
    <row r="18" spans="1:4" ht="14.25" customHeight="1">
      <c r="B18" s="195">
        <v>48214</v>
      </c>
      <c r="C18" s="196"/>
      <c r="D18" s="196" t="s">
        <v>1320</v>
      </c>
    </row>
    <row r="19" spans="1:4" ht="14.25" customHeight="1">
      <c r="B19" s="195">
        <v>48652</v>
      </c>
      <c r="C19" s="196"/>
      <c r="D19" s="196" t="s">
        <v>1321</v>
      </c>
    </row>
    <row r="20" spans="1:4" ht="14.25" customHeight="1">
      <c r="B20" s="60">
        <v>48944</v>
      </c>
      <c r="C20" s="26" t="s">
        <v>1226</v>
      </c>
      <c r="D20" s="26" t="s">
        <v>1322</v>
      </c>
    </row>
    <row r="21" spans="1:4" ht="14.25" customHeight="1">
      <c r="B21" s="60">
        <v>48945</v>
      </c>
      <c r="C21" s="26"/>
      <c r="D21" s="26" t="s">
        <v>1323</v>
      </c>
    </row>
    <row r="22" spans="1:4" ht="14.25" customHeight="1">
      <c r="B22" s="60">
        <v>49765</v>
      </c>
      <c r="C22" s="26" t="s">
        <v>1324</v>
      </c>
      <c r="D22" s="26" t="s">
        <v>1325</v>
      </c>
    </row>
    <row r="23" spans="1:4" ht="14.25" customHeight="1">
      <c r="B23" s="60">
        <v>51321</v>
      </c>
      <c r="C23" s="26" t="s">
        <v>1326</v>
      </c>
      <c r="D23" s="26" t="s">
        <v>1327</v>
      </c>
    </row>
    <row r="24" spans="1:4" ht="14.25" customHeight="1">
      <c r="B24" s="60">
        <v>51379</v>
      </c>
      <c r="C24" s="26"/>
      <c r="D24" s="26" t="s">
        <v>1328</v>
      </c>
    </row>
    <row r="25" spans="1:4" ht="14.25" customHeight="1">
      <c r="B25" s="60">
        <v>51409</v>
      </c>
      <c r="C25" s="26" t="s">
        <v>1329</v>
      </c>
      <c r="D25" s="26" t="s">
        <v>1250</v>
      </c>
    </row>
    <row r="26" spans="1:4" ht="14.25" customHeight="1">
      <c r="B26" s="60">
        <v>51411</v>
      </c>
      <c r="C26" s="26" t="s">
        <v>1330</v>
      </c>
      <c r="D26" s="26" t="s">
        <v>1331</v>
      </c>
    </row>
    <row r="27" spans="1:4" ht="14.25" customHeight="1">
      <c r="B27" s="192">
        <v>51441</v>
      </c>
      <c r="D27" t="s">
        <v>1332</v>
      </c>
    </row>
    <row r="28" spans="1:4" ht="14.25" customHeight="1">
      <c r="A28" s="26"/>
      <c r="B28" s="60">
        <v>51456</v>
      </c>
      <c r="C28" s="26" t="s">
        <v>1333</v>
      </c>
      <c r="D28" t="s">
        <v>1334</v>
      </c>
    </row>
    <row r="29" spans="1:4" ht="14.25" customHeight="1">
      <c r="A29" s="26"/>
      <c r="B29" s="60">
        <v>51501</v>
      </c>
      <c r="C29" s="26" t="s">
        <v>1335</v>
      </c>
      <c r="D29" t="s">
        <v>1336</v>
      </c>
    </row>
    <row r="30" spans="1:4" ht="14.25" customHeight="1">
      <c r="A30" s="26"/>
      <c r="B30" s="60">
        <v>51502</v>
      </c>
      <c r="C30" s="26" t="s">
        <v>1337</v>
      </c>
      <c r="D30" t="s">
        <v>1338</v>
      </c>
    </row>
    <row r="31" spans="1:4" ht="14.25" customHeight="1">
      <c r="A31" s="26"/>
      <c r="B31" s="60">
        <v>51515</v>
      </c>
      <c r="C31" s="26" t="s">
        <v>1339</v>
      </c>
      <c r="D31" t="s">
        <v>1340</v>
      </c>
    </row>
    <row r="32" spans="1:4" ht="14.25" customHeight="1">
      <c r="A32" s="26"/>
      <c r="B32" s="60">
        <v>56979</v>
      </c>
      <c r="C32" s="26"/>
      <c r="D32" t="s">
        <v>1341</v>
      </c>
    </row>
    <row r="33" spans="1:3" ht="14.25" customHeight="1">
      <c r="A33" s="26"/>
      <c r="B33" s="26"/>
      <c r="C33" s="26"/>
    </row>
    <row r="34" spans="1:3" ht="14.25" customHeight="1">
      <c r="A34" s="26" t="s">
        <v>1342</v>
      </c>
      <c r="B34" s="26" t="s">
        <v>1343</v>
      </c>
      <c r="C34" s="26" t="s">
        <v>1344</v>
      </c>
    </row>
    <row r="35" spans="1:3" ht="14.25" customHeight="1">
      <c r="A35" s="26" t="s">
        <v>1342</v>
      </c>
      <c r="B35" s="26" t="s">
        <v>1056</v>
      </c>
      <c r="C35" s="26" t="s">
        <v>1345</v>
      </c>
    </row>
    <row r="36" spans="1:3" ht="14.25" customHeight="1">
      <c r="A36" s="26" t="s">
        <v>1342</v>
      </c>
      <c r="B36" s="26" t="s">
        <v>429</v>
      </c>
      <c r="C36" s="26" t="s">
        <v>1346</v>
      </c>
    </row>
    <row r="37" spans="1:3" ht="14.25" customHeight="1">
      <c r="A37" s="26" t="s">
        <v>1342</v>
      </c>
      <c r="B37" s="26" t="s">
        <v>206</v>
      </c>
      <c r="C37" s="26" t="s">
        <v>1347</v>
      </c>
    </row>
    <row r="38" spans="1:3" ht="14.25" customHeight="1">
      <c r="A38" s="26" t="s">
        <v>1342</v>
      </c>
      <c r="B38" s="26" t="s">
        <v>171</v>
      </c>
      <c r="C38" s="26" t="s">
        <v>1348</v>
      </c>
    </row>
    <row r="39" spans="1:3" ht="14.25" customHeight="1">
      <c r="A39" s="26" t="s">
        <v>1342</v>
      </c>
      <c r="B39" s="26" t="s">
        <v>1349</v>
      </c>
      <c r="C39" s="26" t="s">
        <v>1350</v>
      </c>
    </row>
    <row r="40" spans="1:3" ht="14.25" customHeight="1">
      <c r="A40" s="26" t="s">
        <v>1342</v>
      </c>
      <c r="B40" s="26" t="s">
        <v>432</v>
      </c>
      <c r="C40" s="26" t="s">
        <v>1351</v>
      </c>
    </row>
    <row r="41" spans="1:3" ht="14.25" customHeight="1">
      <c r="A41" s="26" t="s">
        <v>1342</v>
      </c>
      <c r="B41" s="26" t="s">
        <v>432</v>
      </c>
      <c r="C41" s="26" t="s">
        <v>1352</v>
      </c>
    </row>
    <row r="42" spans="1:3" ht="14.25" customHeight="1">
      <c r="A42" s="26" t="s">
        <v>1342</v>
      </c>
      <c r="B42" s="26" t="s">
        <v>432</v>
      </c>
      <c r="C42" s="26" t="s">
        <v>1353</v>
      </c>
    </row>
    <row r="43" spans="1:3" ht="14.25" customHeight="1">
      <c r="A43" s="26" t="s">
        <v>1342</v>
      </c>
      <c r="B43" s="26" t="s">
        <v>433</v>
      </c>
      <c r="C43" s="26" t="s">
        <v>1354</v>
      </c>
    </row>
    <row r="44" spans="1:3" ht="14.25" customHeight="1">
      <c r="A44" t="s">
        <v>1342</v>
      </c>
      <c r="B44" t="s">
        <v>433</v>
      </c>
      <c r="C44" t="s">
        <v>1355</v>
      </c>
    </row>
    <row r="45" spans="1:3" ht="14.25" customHeight="1">
      <c r="A45" t="s">
        <v>1342</v>
      </c>
      <c r="B45" t="s">
        <v>433</v>
      </c>
      <c r="C45" t="s">
        <v>1356</v>
      </c>
    </row>
    <row r="46" spans="1:3" ht="14.25" customHeight="1">
      <c r="A46" t="s">
        <v>1342</v>
      </c>
      <c r="B46" t="s">
        <v>433</v>
      </c>
      <c r="C46" t="s">
        <v>1357</v>
      </c>
    </row>
    <row r="47" spans="1:3" ht="14.25" customHeight="1">
      <c r="A47" t="s">
        <v>1342</v>
      </c>
      <c r="B47" t="s">
        <v>1074</v>
      </c>
      <c r="C47" t="s">
        <v>1358</v>
      </c>
    </row>
    <row r="48" spans="1:3" ht="14.25" customHeight="1">
      <c r="A48" t="s">
        <v>1342</v>
      </c>
      <c r="B48" t="s">
        <v>1077</v>
      </c>
      <c r="C48" t="s">
        <v>1359</v>
      </c>
    </row>
    <row r="49" spans="1:7" ht="14.25" customHeight="1">
      <c r="A49" t="s">
        <v>1342</v>
      </c>
      <c r="B49" t="s">
        <v>1077</v>
      </c>
      <c r="C49" t="s">
        <v>1360</v>
      </c>
    </row>
    <row r="50" spans="1:7" ht="14.25" customHeight="1">
      <c r="A50" t="s">
        <v>1342</v>
      </c>
      <c r="B50" t="s">
        <v>1077</v>
      </c>
      <c r="C50" t="s">
        <v>1361</v>
      </c>
    </row>
    <row r="62" spans="1:7" ht="14.25" customHeight="1">
      <c r="A62" t="s">
        <v>1362</v>
      </c>
    </row>
    <row r="64" spans="1:7" ht="14.25" customHeight="1">
      <c r="B64" s="158" t="s">
        <v>1363</v>
      </c>
      <c r="C64" s="197"/>
      <c r="D64" s="198"/>
      <c r="E64" s="197"/>
      <c r="F64" s="197"/>
      <c r="G64" s="198"/>
    </row>
    <row r="65" spans="1:7" ht="14.25" customHeight="1">
      <c r="A65" s="26" t="s">
        <v>1364</v>
      </c>
      <c r="B65" s="63" t="s">
        <v>1365</v>
      </c>
    </row>
    <row r="66" spans="1:7" ht="14.25" customHeight="1">
      <c r="C66" s="26" t="s">
        <v>1366</v>
      </c>
      <c r="D66" s="26" t="s">
        <v>1367</v>
      </c>
      <c r="E66" s="26"/>
      <c r="F66" s="26" t="s">
        <v>1368</v>
      </c>
      <c r="G66" s="26" t="s">
        <v>1369</v>
      </c>
    </row>
    <row r="67" spans="1:7" ht="14.25" customHeight="1">
      <c r="A67" s="26" t="s">
        <v>1370</v>
      </c>
      <c r="C67" s="26" t="s">
        <v>1371</v>
      </c>
      <c r="D67" s="199">
        <v>47483</v>
      </c>
      <c r="E67" s="26" t="s">
        <v>1372</v>
      </c>
      <c r="F67" s="26" t="s">
        <v>1373</v>
      </c>
      <c r="G67" s="60">
        <f>D67-14</f>
        <v>47469</v>
      </c>
    </row>
    <row r="68" spans="1:7" ht="14.25" customHeight="1">
      <c r="A68" s="26" t="s">
        <v>1374</v>
      </c>
      <c r="C68" s="26" t="s">
        <v>1375</v>
      </c>
      <c r="D68" s="199">
        <v>47362</v>
      </c>
      <c r="E68" s="26" t="s">
        <v>1372</v>
      </c>
      <c r="F68" s="26" t="s">
        <v>1376</v>
      </c>
      <c r="G68" s="60">
        <f>D68</f>
        <v>47362</v>
      </c>
    </row>
    <row r="69" spans="1:7" ht="14.25" customHeight="1">
      <c r="A69" s="26" t="s">
        <v>1377</v>
      </c>
      <c r="C69" s="26" t="s">
        <v>1378</v>
      </c>
      <c r="D69" s="199">
        <v>48213</v>
      </c>
      <c r="E69" s="26" t="s">
        <v>1372</v>
      </c>
      <c r="F69" s="26" t="s">
        <v>1379</v>
      </c>
      <c r="G69" s="60">
        <f>D69-30</f>
        <v>48183</v>
      </c>
    </row>
    <row r="70" spans="1:7" ht="14.25" customHeight="1">
      <c r="A70" s="26" t="s">
        <v>1380</v>
      </c>
      <c r="C70" s="26" t="s">
        <v>1381</v>
      </c>
      <c r="D70" s="199">
        <v>48944</v>
      </c>
      <c r="E70" s="26" t="s">
        <v>1372</v>
      </c>
      <c r="F70" s="26" t="s">
        <v>1382</v>
      </c>
      <c r="G70" s="60">
        <f>D70-61</f>
        <v>48883</v>
      </c>
    </row>
    <row r="71" spans="1:7" ht="14.25" customHeight="1">
      <c r="A71" s="26" t="s">
        <v>1383</v>
      </c>
      <c r="C71" s="26" t="s">
        <v>1266</v>
      </c>
      <c r="D71" s="199">
        <v>51501</v>
      </c>
      <c r="E71" s="26" t="s">
        <v>1372</v>
      </c>
      <c r="F71" s="26" t="s">
        <v>1384</v>
      </c>
      <c r="G71" s="60">
        <f>D71-88</f>
        <v>51413</v>
      </c>
    </row>
    <row r="73" spans="1:7" ht="14.25" customHeight="1">
      <c r="B73" s="158" t="s">
        <v>1385</v>
      </c>
      <c r="C73" s="197"/>
      <c r="D73" s="198"/>
      <c r="E73" s="197"/>
      <c r="F73" s="197"/>
      <c r="G73" s="198"/>
    </row>
    <row r="74" spans="1:7" ht="14.25" customHeight="1">
      <c r="A74" s="26" t="s">
        <v>1386</v>
      </c>
      <c r="C74" t="s">
        <v>1387</v>
      </c>
    </row>
    <row r="76" spans="1:7" ht="14.25" customHeight="1">
      <c r="B76" s="158" t="s">
        <v>1388</v>
      </c>
      <c r="C76" s="197"/>
      <c r="D76" s="198"/>
      <c r="E76" s="197"/>
      <c r="F76" s="197"/>
      <c r="G76" s="198"/>
    </row>
    <row r="77" spans="1:7" ht="14.25" customHeight="1">
      <c r="C77" s="200" t="s">
        <v>1389</v>
      </c>
    </row>
    <row r="78" spans="1:7" ht="14.25" customHeight="1">
      <c r="C78" t="s">
        <v>1390</v>
      </c>
    </row>
    <row r="79" spans="1:7" ht="14.25" customHeight="1">
      <c r="C79" s="200" t="s">
        <v>1391</v>
      </c>
    </row>
    <row r="80" spans="1:7" ht="14.25" customHeight="1">
      <c r="C80" t="s">
        <v>1392</v>
      </c>
    </row>
    <row r="81" spans="2:7" ht="14.25" customHeight="1">
      <c r="C81" s="200" t="s">
        <v>1393</v>
      </c>
    </row>
    <row r="83" spans="2:7" ht="14.25" customHeight="1">
      <c r="B83" s="158" t="s">
        <v>1394</v>
      </c>
      <c r="C83" s="197"/>
      <c r="D83" s="198"/>
      <c r="E83" s="197"/>
      <c r="F83" s="197"/>
      <c r="G83" s="198"/>
    </row>
    <row r="84" spans="2:7" ht="14.25" customHeight="1">
      <c r="C84" t="s">
        <v>1395</v>
      </c>
    </row>
    <row r="85" spans="2:7" ht="14.25" customHeight="1">
      <c r="C85" t="s">
        <v>1396</v>
      </c>
    </row>
    <row r="86" spans="2:7" ht="14.25" customHeight="1">
      <c r="C86" t="s">
        <v>1397</v>
      </c>
    </row>
    <row r="88" spans="2:7" ht="14.25" customHeight="1">
      <c r="B88" s="158" t="s">
        <v>1398</v>
      </c>
      <c r="C88" s="197"/>
      <c r="D88" s="198"/>
      <c r="E88" s="197"/>
      <c r="F88" s="197"/>
      <c r="G88" s="198"/>
    </row>
    <row r="89" spans="2:7" ht="14.25" customHeight="1">
      <c r="C89" t="s">
        <v>1399</v>
      </c>
    </row>
    <row r="91" spans="2:7" ht="14.25" customHeight="1">
      <c r="B91" s="158" t="s">
        <v>1400</v>
      </c>
      <c r="C91" s="197"/>
      <c r="D91" s="198"/>
      <c r="E91" s="197"/>
      <c r="F91" s="197"/>
      <c r="G91" s="198"/>
    </row>
    <row r="92" spans="2:7" ht="14.25" customHeight="1">
      <c r="C92" t="s">
        <v>1401</v>
      </c>
    </row>
    <row r="93" spans="2:7" ht="14.25" customHeight="1">
      <c r="C93" t="s">
        <v>1402</v>
      </c>
    </row>
    <row r="95" spans="2:7" ht="14.25" customHeight="1">
      <c r="B95" s="158" t="s">
        <v>1403</v>
      </c>
      <c r="C95" s="197"/>
      <c r="D95" s="198"/>
      <c r="E95" s="197"/>
      <c r="F95" s="197"/>
      <c r="G95" s="198"/>
    </row>
    <row r="96" spans="2:7" ht="14.25" customHeight="1">
      <c r="C96" t="s">
        <v>1404</v>
      </c>
    </row>
    <row r="97" spans="3:3" ht="14.25" customHeight="1">
      <c r="C97" t="s">
        <v>1405</v>
      </c>
    </row>
    <row r="98" spans="3:3" ht="14.25" customHeight="1">
      <c r="C98" t="s">
        <v>1406</v>
      </c>
    </row>
    <row r="99" spans="3:3" ht="14.25" customHeight="1">
      <c r="C99" t="s">
        <v>1407</v>
      </c>
    </row>
    <row r="100" spans="3:3" ht="14.25" customHeight="1">
      <c r="C100" t="s">
        <v>1408</v>
      </c>
    </row>
    <row r="101" spans="3:3" ht="14.25" customHeight="1">
      <c r="C101" t="s">
        <v>1409</v>
      </c>
    </row>
  </sheetData>
  <mergeCells count="1">
    <mergeCell ref="A1:B1"/>
  </mergeCells>
  <hyperlinks>
    <hyperlink ref="A1" location="'Table of contents'!A1" display="` Table of Contents" xr:uid="{00000000-0004-0000-0B00-000000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R350"/>
  <sheetViews>
    <sheetView zoomScale="85" zoomScaleNormal="85" workbookViewId="0">
      <selection activeCell="A62" sqref="A62"/>
    </sheetView>
  </sheetViews>
  <sheetFormatPr defaultColWidth="9.140625" defaultRowHeight="15"/>
  <cols>
    <col min="1" max="1" width="4.28515625" style="201" customWidth="1"/>
    <col min="2" max="3" width="48.5703125" style="201" customWidth="1"/>
    <col min="4" max="5" width="56.42578125" style="106" customWidth="1"/>
    <col min="6" max="6" width="31.28515625" style="201" hidden="1" customWidth="1"/>
    <col min="7" max="7" width="13.7109375" style="201" hidden="1" customWidth="1"/>
    <col min="8" max="13" width="31.28515625" style="201" hidden="1" customWidth="1"/>
    <col min="14" max="14" width="31.28515625" style="106" customWidth="1"/>
    <col min="15" max="15" width="31.28515625" style="202" customWidth="1"/>
    <col min="16" max="16" width="16.5703125" style="201" customWidth="1"/>
    <col min="17" max="17" width="25.28515625" style="201" customWidth="1"/>
    <col min="18" max="18" width="18.140625" style="201" customWidth="1"/>
    <col min="19" max="16384" width="9.140625" style="201"/>
  </cols>
  <sheetData>
    <row r="2" spans="1:18" ht="26.25" customHeight="1">
      <c r="A2" s="368" t="s">
        <v>1410</v>
      </c>
      <c r="B2" s="368"/>
      <c r="C2" s="368"/>
      <c r="D2" s="368"/>
      <c r="E2" s="368"/>
      <c r="F2" s="368"/>
      <c r="G2" s="368"/>
      <c r="H2" s="368"/>
      <c r="I2" s="368"/>
      <c r="J2" s="368"/>
      <c r="K2" s="368"/>
      <c r="L2" s="368"/>
      <c r="M2" s="368"/>
      <c r="N2" s="368"/>
      <c r="O2" s="368"/>
      <c r="P2" s="368"/>
      <c r="Q2" s="368"/>
      <c r="R2" s="368"/>
    </row>
    <row r="3" spans="1:18" ht="15" customHeight="1">
      <c r="A3" s="203" t="s">
        <v>1411</v>
      </c>
      <c r="B3" s="204"/>
      <c r="C3" s="204"/>
      <c r="D3" s="205">
        <v>45747</v>
      </c>
    </row>
    <row r="4" spans="1:18" ht="15" customHeight="1"/>
    <row r="5" spans="1:18" s="209" customFormat="1" ht="46.5" customHeight="1">
      <c r="A5" s="206" t="s">
        <v>1111</v>
      </c>
      <c r="B5" s="207" t="s">
        <v>1412</v>
      </c>
      <c r="C5" s="207" t="s">
        <v>93</v>
      </c>
      <c r="D5" s="206" t="s">
        <v>93</v>
      </c>
      <c r="E5" s="206" t="s">
        <v>1413</v>
      </c>
      <c r="F5" s="206" t="s">
        <v>1414</v>
      </c>
      <c r="G5" s="206" t="s">
        <v>1415</v>
      </c>
      <c r="H5" s="206" t="s">
        <v>1416</v>
      </c>
      <c r="I5" s="206" t="s">
        <v>956</v>
      </c>
      <c r="J5" s="206" t="s">
        <v>99</v>
      </c>
      <c r="K5" s="206" t="s">
        <v>1417</v>
      </c>
      <c r="L5" s="206" t="s">
        <v>1418</v>
      </c>
      <c r="M5" s="206" t="s">
        <v>1419</v>
      </c>
      <c r="N5" s="206" t="s">
        <v>1420</v>
      </c>
      <c r="O5" s="208" t="s">
        <v>1421</v>
      </c>
      <c r="P5" s="206" t="s">
        <v>1422</v>
      </c>
      <c r="Q5" s="206" t="s">
        <v>1423</v>
      </c>
      <c r="R5" s="206" t="s">
        <v>1424</v>
      </c>
    </row>
    <row r="6" spans="1:18" ht="28.5" customHeight="1">
      <c r="A6" s="210">
        <v>1</v>
      </c>
      <c r="B6" s="210" t="s">
        <v>1425</v>
      </c>
      <c r="C6" s="210" t="s">
        <v>1426</v>
      </c>
      <c r="D6" s="211" t="s">
        <v>1427</v>
      </c>
      <c r="E6" s="211" t="s">
        <v>1428</v>
      </c>
      <c r="F6" s="210"/>
      <c r="G6" s="210"/>
      <c r="H6" s="210"/>
      <c r="I6" s="210"/>
      <c r="J6" s="210"/>
      <c r="K6" s="210"/>
      <c r="L6" s="210"/>
      <c r="M6" s="210"/>
      <c r="N6" s="211" t="s">
        <v>1429</v>
      </c>
      <c r="O6" s="212" t="s">
        <v>1430</v>
      </c>
      <c r="P6" s="210"/>
      <c r="Q6" s="210"/>
      <c r="R6" s="210"/>
    </row>
    <row r="7" spans="1:18" ht="28.5" customHeight="1">
      <c r="A7" s="210">
        <v>2</v>
      </c>
      <c r="B7" s="210" t="s">
        <v>1425</v>
      </c>
      <c r="C7" s="210" t="s">
        <v>1426</v>
      </c>
      <c r="D7" s="211" t="s">
        <v>1427</v>
      </c>
      <c r="E7" s="211" t="s">
        <v>1431</v>
      </c>
      <c r="F7" s="210"/>
      <c r="G7" s="210"/>
      <c r="H7" s="210"/>
      <c r="I7" s="210"/>
      <c r="J7" s="210"/>
      <c r="K7" s="210"/>
      <c r="L7" s="210"/>
      <c r="M7" s="210"/>
      <c r="N7" s="211" t="s">
        <v>1429</v>
      </c>
      <c r="O7" s="212" t="s">
        <v>1430</v>
      </c>
      <c r="P7" s="210"/>
      <c r="Q7" s="210"/>
      <c r="R7" s="210"/>
    </row>
    <row r="8" spans="1:18" ht="28.5" customHeight="1">
      <c r="A8" s="210">
        <v>3</v>
      </c>
      <c r="B8" s="210" t="s">
        <v>1425</v>
      </c>
      <c r="C8" s="210"/>
      <c r="D8" s="211" t="s">
        <v>1427</v>
      </c>
      <c r="E8" s="211" t="s">
        <v>1432</v>
      </c>
      <c r="F8" s="210"/>
      <c r="G8" s="210"/>
      <c r="H8" s="210"/>
      <c r="I8" s="210"/>
      <c r="J8" s="210"/>
      <c r="K8" s="210"/>
      <c r="L8" s="210"/>
      <c r="M8" s="210"/>
      <c r="N8" s="211" t="s">
        <v>1433</v>
      </c>
      <c r="O8" s="212" t="s">
        <v>1434</v>
      </c>
      <c r="P8" s="210"/>
      <c r="Q8" s="210"/>
      <c r="R8" s="210"/>
    </row>
    <row r="9" spans="1:18" ht="28.5" customHeight="1">
      <c r="A9" s="210">
        <v>4</v>
      </c>
      <c r="B9" s="210" t="s">
        <v>1425</v>
      </c>
      <c r="C9" s="210"/>
      <c r="D9" s="211" t="s">
        <v>1427</v>
      </c>
      <c r="E9" s="211" t="s">
        <v>1435</v>
      </c>
      <c r="F9" s="210"/>
      <c r="G9" s="210"/>
      <c r="H9" s="210"/>
      <c r="I9" s="210"/>
      <c r="J9" s="210"/>
      <c r="K9" s="210"/>
      <c r="L9" s="210"/>
      <c r="M9" s="210"/>
      <c r="N9" s="211" t="s">
        <v>1433</v>
      </c>
      <c r="O9" s="212" t="s">
        <v>1433</v>
      </c>
      <c r="P9" s="210"/>
      <c r="Q9" s="210"/>
      <c r="R9" s="210"/>
    </row>
    <row r="10" spans="1:18" ht="14.25" customHeight="1">
      <c r="A10" s="210">
        <v>5</v>
      </c>
      <c r="B10" s="210" t="s">
        <v>1425</v>
      </c>
      <c r="C10" s="210"/>
      <c r="D10" s="211" t="s">
        <v>1427</v>
      </c>
      <c r="E10" s="211" t="s">
        <v>1436</v>
      </c>
      <c r="F10" s="210"/>
      <c r="G10" s="210"/>
      <c r="H10" s="210"/>
      <c r="I10" s="210"/>
      <c r="J10" s="210"/>
      <c r="K10" s="210"/>
      <c r="L10" s="210"/>
      <c r="M10" s="210"/>
      <c r="N10" s="211" t="s">
        <v>1433</v>
      </c>
      <c r="O10" s="212" t="s">
        <v>1433</v>
      </c>
      <c r="P10" s="210"/>
      <c r="Q10" s="210"/>
      <c r="R10" s="210"/>
    </row>
    <row r="11" spans="1:18" ht="43.5" customHeight="1">
      <c r="A11" s="210">
        <v>6</v>
      </c>
      <c r="B11" s="210" t="s">
        <v>1425</v>
      </c>
      <c r="C11" s="210" t="s">
        <v>1426</v>
      </c>
      <c r="D11" s="211" t="s">
        <v>1437</v>
      </c>
      <c r="E11" s="211" t="s">
        <v>1438</v>
      </c>
      <c r="F11" s="210"/>
      <c r="G11" s="210"/>
      <c r="H11" s="210"/>
      <c r="I11" s="210"/>
      <c r="J11" s="210"/>
      <c r="K11" s="210"/>
      <c r="L11" s="210"/>
      <c r="M11" s="210"/>
      <c r="N11" s="211" t="s">
        <v>1439</v>
      </c>
      <c r="O11" s="212" t="s">
        <v>1430</v>
      </c>
      <c r="P11" s="210"/>
      <c r="Q11" s="210"/>
      <c r="R11" s="210"/>
    </row>
    <row r="12" spans="1:18" ht="14.25" customHeight="1">
      <c r="A12" s="210">
        <v>7</v>
      </c>
      <c r="B12" s="210" t="s">
        <v>1425</v>
      </c>
      <c r="C12" s="210" t="s">
        <v>1426</v>
      </c>
      <c r="D12" s="211" t="s">
        <v>1437</v>
      </c>
      <c r="E12" s="211" t="s">
        <v>1440</v>
      </c>
      <c r="F12" s="210"/>
      <c r="G12" s="210"/>
      <c r="H12" s="210"/>
      <c r="I12" s="210"/>
      <c r="J12" s="210"/>
      <c r="K12" s="210"/>
      <c r="L12" s="210"/>
      <c r="M12" s="210"/>
      <c r="N12" s="211" t="s">
        <v>1441</v>
      </c>
      <c r="O12" s="212" t="s">
        <v>1430</v>
      </c>
      <c r="P12" s="210"/>
      <c r="Q12" s="210"/>
      <c r="R12" s="210"/>
    </row>
    <row r="13" spans="1:18" ht="28.5" customHeight="1">
      <c r="A13" s="210">
        <v>8</v>
      </c>
      <c r="B13" s="210" t="s">
        <v>1425</v>
      </c>
      <c r="C13" s="210" t="s">
        <v>1426</v>
      </c>
      <c r="D13" s="211" t="s">
        <v>1437</v>
      </c>
      <c r="E13" s="211" t="s">
        <v>1442</v>
      </c>
      <c r="F13" s="210"/>
      <c r="G13" s="210"/>
      <c r="H13" s="210"/>
      <c r="I13" s="210"/>
      <c r="J13" s="210"/>
      <c r="K13" s="210"/>
      <c r="L13" s="210"/>
      <c r="M13" s="210"/>
      <c r="N13" s="211" t="s">
        <v>1443</v>
      </c>
      <c r="O13" s="212" t="s">
        <v>1430</v>
      </c>
      <c r="P13" s="210"/>
      <c r="Q13" s="210"/>
      <c r="R13" s="210"/>
    </row>
    <row r="14" spans="1:18" ht="28.5" customHeight="1">
      <c r="A14" s="210">
        <v>9</v>
      </c>
      <c r="B14" s="210" t="s">
        <v>1425</v>
      </c>
      <c r="C14" s="210" t="s">
        <v>1444</v>
      </c>
      <c r="D14" s="211" t="s">
        <v>1437</v>
      </c>
      <c r="E14" s="211" t="s">
        <v>1445</v>
      </c>
      <c r="F14" s="210"/>
      <c r="G14" s="210"/>
      <c r="H14" s="210"/>
      <c r="I14" s="210"/>
      <c r="J14" s="210"/>
      <c r="K14" s="210"/>
      <c r="L14" s="210"/>
      <c r="M14" s="210"/>
      <c r="N14" s="211" t="s">
        <v>1446</v>
      </c>
      <c r="O14" s="212" t="s">
        <v>1447</v>
      </c>
      <c r="P14" s="210"/>
      <c r="Q14" s="210"/>
      <c r="R14" s="210"/>
    </row>
    <row r="15" spans="1:18" ht="14.25" customHeight="1">
      <c r="A15" s="210">
        <v>10</v>
      </c>
      <c r="B15" s="210" t="s">
        <v>1425</v>
      </c>
      <c r="C15" s="210" t="s">
        <v>1444</v>
      </c>
      <c r="D15" s="211" t="s">
        <v>1437</v>
      </c>
      <c r="E15" s="213" t="s">
        <v>1448</v>
      </c>
      <c r="F15" s="210"/>
      <c r="G15" s="210"/>
      <c r="H15" s="210"/>
      <c r="I15" s="210"/>
      <c r="J15" s="210"/>
      <c r="K15" s="210"/>
      <c r="L15" s="210"/>
      <c r="M15" s="210"/>
      <c r="N15" s="211"/>
      <c r="O15" s="212" t="s">
        <v>1447</v>
      </c>
      <c r="P15" s="210"/>
      <c r="Q15" s="210"/>
      <c r="R15" s="210"/>
    </row>
    <row r="16" spans="1:18" ht="28.5" customHeight="1">
      <c r="A16" s="210">
        <v>11</v>
      </c>
      <c r="B16" s="210" t="s">
        <v>1425</v>
      </c>
      <c r="C16" s="210" t="s">
        <v>1444</v>
      </c>
      <c r="D16" s="211" t="s">
        <v>1437</v>
      </c>
      <c r="E16" s="214" t="s">
        <v>1449</v>
      </c>
      <c r="F16" s="210"/>
      <c r="G16" s="210"/>
      <c r="H16" s="210"/>
      <c r="I16" s="210"/>
      <c r="J16" s="210"/>
      <c r="K16" s="210"/>
      <c r="L16" s="210"/>
      <c r="M16" s="210"/>
      <c r="N16" s="211" t="s">
        <v>1450</v>
      </c>
      <c r="O16" s="212" t="s">
        <v>1447</v>
      </c>
      <c r="P16" s="210"/>
      <c r="Q16" s="210"/>
      <c r="R16" s="210"/>
    </row>
    <row r="17" spans="1:18" ht="14.25" customHeight="1">
      <c r="A17" s="210">
        <v>12</v>
      </c>
      <c r="B17" s="210" t="s">
        <v>1425</v>
      </c>
      <c r="C17" s="210" t="s">
        <v>1444</v>
      </c>
      <c r="D17" s="211" t="s">
        <v>1437</v>
      </c>
      <c r="E17" s="214" t="s">
        <v>1451</v>
      </c>
      <c r="F17" s="210"/>
      <c r="G17" s="210"/>
      <c r="H17" s="210"/>
      <c r="I17" s="210"/>
      <c r="J17" s="210"/>
      <c r="K17" s="210"/>
      <c r="L17" s="210"/>
      <c r="M17" s="210"/>
      <c r="N17" s="211" t="s">
        <v>1452</v>
      </c>
      <c r="O17" s="212" t="s">
        <v>1447</v>
      </c>
      <c r="P17" s="210"/>
      <c r="Q17" s="210"/>
      <c r="R17" s="210"/>
    </row>
    <row r="18" spans="1:18" ht="28.5" customHeight="1">
      <c r="A18" s="210">
        <v>13</v>
      </c>
      <c r="B18" s="210" t="s">
        <v>1425</v>
      </c>
      <c r="C18" s="210" t="s">
        <v>1444</v>
      </c>
      <c r="D18" s="211" t="s">
        <v>1437</v>
      </c>
      <c r="E18" s="214" t="s">
        <v>1453</v>
      </c>
      <c r="F18" s="210"/>
      <c r="G18" s="210"/>
      <c r="H18" s="210"/>
      <c r="I18" s="210"/>
      <c r="J18" s="210"/>
      <c r="K18" s="210"/>
      <c r="L18" s="210"/>
      <c r="M18" s="210"/>
      <c r="N18" s="211" t="s">
        <v>1452</v>
      </c>
      <c r="O18" s="212" t="s">
        <v>1447</v>
      </c>
      <c r="P18" s="210"/>
      <c r="Q18" s="210"/>
      <c r="R18" s="210"/>
    </row>
    <row r="19" spans="1:18" ht="28.5" customHeight="1">
      <c r="A19" s="210">
        <v>14</v>
      </c>
      <c r="B19" s="210" t="s">
        <v>1425</v>
      </c>
      <c r="C19" s="210" t="s">
        <v>1444</v>
      </c>
      <c r="D19" s="211" t="s">
        <v>1437</v>
      </c>
      <c r="E19" s="214" t="s">
        <v>1454</v>
      </c>
      <c r="F19" s="210"/>
      <c r="G19" s="210"/>
      <c r="H19" s="210"/>
      <c r="I19" s="210"/>
      <c r="J19" s="210"/>
      <c r="K19" s="210"/>
      <c r="L19" s="210"/>
      <c r="M19" s="210"/>
      <c r="N19" s="211" t="s">
        <v>1450</v>
      </c>
      <c r="O19" s="212" t="s">
        <v>1447</v>
      </c>
      <c r="P19" s="210"/>
      <c r="Q19" s="210"/>
      <c r="R19" s="210"/>
    </row>
    <row r="20" spans="1:18" ht="28.5" customHeight="1">
      <c r="A20" s="210">
        <v>15</v>
      </c>
      <c r="B20" s="210" t="s">
        <v>1425</v>
      </c>
      <c r="C20" s="210" t="s">
        <v>1444</v>
      </c>
      <c r="D20" s="211" t="s">
        <v>1437</v>
      </c>
      <c r="E20" s="214" t="s">
        <v>1455</v>
      </c>
      <c r="F20" s="210"/>
      <c r="G20" s="210"/>
      <c r="H20" s="210"/>
      <c r="I20" s="210"/>
      <c r="J20" s="210"/>
      <c r="K20" s="210"/>
      <c r="L20" s="210"/>
      <c r="M20" s="210"/>
      <c r="N20" s="211" t="s">
        <v>1450</v>
      </c>
      <c r="O20" s="212" t="s">
        <v>1447</v>
      </c>
      <c r="P20" s="210"/>
      <c r="Q20" s="210"/>
      <c r="R20" s="210"/>
    </row>
    <row r="21" spans="1:18" ht="28.5" customHeight="1">
      <c r="A21" s="210">
        <v>16</v>
      </c>
      <c r="B21" s="210" t="s">
        <v>1425</v>
      </c>
      <c r="C21" s="210" t="s">
        <v>1444</v>
      </c>
      <c r="D21" s="211" t="s">
        <v>1437</v>
      </c>
      <c r="E21" s="214" t="s">
        <v>1456</v>
      </c>
      <c r="F21" s="210"/>
      <c r="G21" s="210"/>
      <c r="H21" s="210"/>
      <c r="I21" s="210"/>
      <c r="J21" s="210"/>
      <c r="K21" s="210"/>
      <c r="L21" s="210"/>
      <c r="M21" s="210"/>
      <c r="N21" s="211" t="s">
        <v>1450</v>
      </c>
      <c r="O21" s="212" t="s">
        <v>1447</v>
      </c>
      <c r="P21" s="210"/>
      <c r="Q21" s="210"/>
      <c r="R21" s="210"/>
    </row>
    <row r="22" spans="1:18" ht="28.5" customHeight="1">
      <c r="A22" s="210">
        <v>17</v>
      </c>
      <c r="B22" s="210" t="s">
        <v>1425</v>
      </c>
      <c r="C22" s="210" t="s">
        <v>1444</v>
      </c>
      <c r="D22" s="211" t="s">
        <v>1437</v>
      </c>
      <c r="E22" s="214" t="s">
        <v>1457</v>
      </c>
      <c r="F22" s="210"/>
      <c r="G22" s="210"/>
      <c r="H22" s="210"/>
      <c r="I22" s="210"/>
      <c r="J22" s="210"/>
      <c r="K22" s="210"/>
      <c r="L22" s="210"/>
      <c r="M22" s="210"/>
      <c r="N22" s="211" t="s">
        <v>1450</v>
      </c>
      <c r="O22" s="212" t="s">
        <v>1447</v>
      </c>
      <c r="P22" s="210"/>
      <c r="Q22" s="210"/>
      <c r="R22" s="210"/>
    </row>
    <row r="23" spans="1:18" ht="28.5" customHeight="1">
      <c r="A23" s="210">
        <v>18</v>
      </c>
      <c r="B23" s="210" t="s">
        <v>1425</v>
      </c>
      <c r="C23" s="210" t="s">
        <v>1444</v>
      </c>
      <c r="D23" s="211" t="s">
        <v>1437</v>
      </c>
      <c r="E23" s="214" t="s">
        <v>1458</v>
      </c>
      <c r="F23" s="210"/>
      <c r="G23" s="210"/>
      <c r="H23" s="210"/>
      <c r="I23" s="210"/>
      <c r="J23" s="210"/>
      <c r="K23" s="210"/>
      <c r="L23" s="210"/>
      <c r="M23" s="210"/>
      <c r="N23" s="211" t="s">
        <v>1450</v>
      </c>
      <c r="O23" s="212" t="s">
        <v>1447</v>
      </c>
      <c r="P23" s="210"/>
      <c r="Q23" s="210"/>
      <c r="R23" s="210"/>
    </row>
    <row r="24" spans="1:18" ht="43.5" customHeight="1">
      <c r="A24" s="210">
        <v>19</v>
      </c>
      <c r="B24" s="210" t="s">
        <v>1425</v>
      </c>
      <c r="C24" s="210" t="s">
        <v>1444</v>
      </c>
      <c r="D24" s="211" t="s">
        <v>1437</v>
      </c>
      <c r="E24" s="214" t="s">
        <v>1459</v>
      </c>
      <c r="F24" s="210"/>
      <c r="G24" s="210"/>
      <c r="H24" s="210"/>
      <c r="I24" s="210"/>
      <c r="J24" s="210"/>
      <c r="K24" s="210"/>
      <c r="L24" s="210"/>
      <c r="M24" s="210"/>
      <c r="N24" s="211" t="s">
        <v>1460</v>
      </c>
      <c r="O24" s="212" t="s">
        <v>1447</v>
      </c>
      <c r="P24" s="210"/>
      <c r="Q24" s="210"/>
      <c r="R24" s="210"/>
    </row>
    <row r="25" spans="1:18" ht="14.25" customHeight="1">
      <c r="A25" s="210">
        <v>20</v>
      </c>
      <c r="B25" s="210" t="s">
        <v>1425</v>
      </c>
      <c r="C25" s="210" t="s">
        <v>1444</v>
      </c>
      <c r="D25" s="211" t="s">
        <v>1437</v>
      </c>
      <c r="E25" s="214" t="s">
        <v>1461</v>
      </c>
      <c r="F25" s="210"/>
      <c r="G25" s="210"/>
      <c r="H25" s="210"/>
      <c r="I25" s="210"/>
      <c r="J25" s="210"/>
      <c r="K25" s="210"/>
      <c r="L25" s="210"/>
      <c r="M25" s="210"/>
      <c r="N25" s="211" t="s">
        <v>1462</v>
      </c>
      <c r="O25" s="212" t="s">
        <v>1447</v>
      </c>
      <c r="P25" s="210"/>
      <c r="Q25" s="210"/>
      <c r="R25" s="210"/>
    </row>
    <row r="26" spans="1:18" ht="43.5" customHeight="1">
      <c r="A26" s="210">
        <v>21</v>
      </c>
      <c r="B26" s="210" t="s">
        <v>1425</v>
      </c>
      <c r="C26" s="210" t="s">
        <v>1444</v>
      </c>
      <c r="D26" s="211" t="s">
        <v>1437</v>
      </c>
      <c r="E26" s="214" t="s">
        <v>1463</v>
      </c>
      <c r="F26" s="210"/>
      <c r="G26" s="210"/>
      <c r="H26" s="210"/>
      <c r="I26" s="210"/>
      <c r="J26" s="210"/>
      <c r="K26" s="210"/>
      <c r="L26" s="210"/>
      <c r="M26" s="210"/>
      <c r="N26" s="211" t="s">
        <v>1464</v>
      </c>
      <c r="O26" s="212" t="s">
        <v>1447</v>
      </c>
      <c r="P26" s="210"/>
      <c r="Q26" s="210"/>
      <c r="R26" s="210"/>
    </row>
    <row r="27" spans="1:18" ht="28.5" customHeight="1">
      <c r="A27" s="210">
        <v>22</v>
      </c>
      <c r="B27" s="210" t="s">
        <v>1425</v>
      </c>
      <c r="C27" s="210" t="s">
        <v>1444</v>
      </c>
      <c r="D27" s="211" t="s">
        <v>1437</v>
      </c>
      <c r="E27" s="214" t="s">
        <v>1465</v>
      </c>
      <c r="F27" s="210"/>
      <c r="G27" s="210"/>
      <c r="H27" s="210"/>
      <c r="I27" s="210"/>
      <c r="J27" s="210"/>
      <c r="K27" s="210"/>
      <c r="L27" s="210"/>
      <c r="M27" s="210"/>
      <c r="N27" s="211" t="s">
        <v>1462</v>
      </c>
      <c r="O27" s="212" t="s">
        <v>1447</v>
      </c>
      <c r="P27" s="210"/>
      <c r="Q27" s="210"/>
      <c r="R27" s="210"/>
    </row>
    <row r="28" spans="1:18" ht="28.5" customHeight="1">
      <c r="A28" s="210">
        <v>23</v>
      </c>
      <c r="B28" s="210" t="s">
        <v>1425</v>
      </c>
      <c r="C28" s="210" t="s">
        <v>1426</v>
      </c>
      <c r="D28" s="211" t="s">
        <v>1437</v>
      </c>
      <c r="E28" s="215" t="s">
        <v>1466</v>
      </c>
      <c r="F28" s="210"/>
      <c r="G28" s="210"/>
      <c r="H28" s="210"/>
      <c r="I28" s="210"/>
      <c r="J28" s="210"/>
      <c r="K28" s="210"/>
      <c r="L28" s="210"/>
      <c r="M28" s="210"/>
      <c r="N28" s="211" t="s">
        <v>1429</v>
      </c>
      <c r="O28" s="212" t="s">
        <v>1430</v>
      </c>
      <c r="P28" s="210"/>
      <c r="Q28" s="210"/>
      <c r="R28" s="210"/>
    </row>
    <row r="29" spans="1:18" ht="43.5" customHeight="1">
      <c r="A29" s="210">
        <v>24</v>
      </c>
      <c r="B29" s="210" t="s">
        <v>1425</v>
      </c>
      <c r="C29" s="210" t="s">
        <v>1426</v>
      </c>
      <c r="D29" s="211" t="s">
        <v>1437</v>
      </c>
      <c r="E29" s="211" t="s">
        <v>1467</v>
      </c>
      <c r="F29" s="210"/>
      <c r="G29" s="210"/>
      <c r="H29" s="210"/>
      <c r="I29" s="210"/>
      <c r="J29" s="210"/>
      <c r="K29" s="210"/>
      <c r="L29" s="210"/>
      <c r="M29" s="210"/>
      <c r="N29" s="211" t="s">
        <v>1439</v>
      </c>
      <c r="O29" s="212" t="s">
        <v>1430</v>
      </c>
      <c r="P29" s="210"/>
      <c r="Q29" s="210"/>
      <c r="R29" s="210"/>
    </row>
    <row r="30" spans="1:18" ht="28.5" customHeight="1">
      <c r="A30" s="210">
        <v>25</v>
      </c>
      <c r="B30" s="210" t="s">
        <v>1425</v>
      </c>
      <c r="C30" s="210" t="s">
        <v>1426</v>
      </c>
      <c r="D30" s="211" t="s">
        <v>1437</v>
      </c>
      <c r="E30" s="211" t="s">
        <v>1468</v>
      </c>
      <c r="F30" s="210"/>
      <c r="G30" s="210"/>
      <c r="H30" s="210"/>
      <c r="I30" s="210"/>
      <c r="J30" s="210"/>
      <c r="K30" s="210"/>
      <c r="L30" s="210"/>
      <c r="M30" s="210"/>
      <c r="N30" s="211" t="s">
        <v>1469</v>
      </c>
      <c r="O30" s="212" t="s">
        <v>1430</v>
      </c>
      <c r="P30" s="210"/>
      <c r="Q30" s="210"/>
      <c r="R30" s="210"/>
    </row>
    <row r="31" spans="1:18" ht="28.5" customHeight="1">
      <c r="A31" s="210">
        <v>26</v>
      </c>
      <c r="B31" s="210" t="s">
        <v>1425</v>
      </c>
      <c r="C31" s="210" t="s">
        <v>1470</v>
      </c>
      <c r="D31" s="211" t="s">
        <v>1471</v>
      </c>
      <c r="E31" s="215" t="s">
        <v>1472</v>
      </c>
      <c r="F31" s="210"/>
      <c r="G31" s="210"/>
      <c r="H31" s="210"/>
      <c r="I31" s="210"/>
      <c r="J31" s="210"/>
      <c r="K31" s="210"/>
      <c r="L31" s="210"/>
      <c r="M31" s="210"/>
      <c r="N31" s="211" t="s">
        <v>1473</v>
      </c>
      <c r="O31" s="212" t="s">
        <v>1470</v>
      </c>
      <c r="P31" s="210"/>
      <c r="Q31" s="210"/>
      <c r="R31" s="210"/>
    </row>
    <row r="32" spans="1:18" ht="28.5" customHeight="1">
      <c r="A32" s="210">
        <v>27</v>
      </c>
      <c r="B32" s="210" t="s">
        <v>1425</v>
      </c>
      <c r="C32" s="210" t="s">
        <v>1470</v>
      </c>
      <c r="D32" s="211" t="s">
        <v>1471</v>
      </c>
      <c r="E32" s="215" t="s">
        <v>1474</v>
      </c>
      <c r="F32" s="210"/>
      <c r="G32" s="210"/>
      <c r="H32" s="210"/>
      <c r="I32" s="210"/>
      <c r="J32" s="210"/>
      <c r="K32" s="210"/>
      <c r="L32" s="210"/>
      <c r="M32" s="210"/>
      <c r="N32" s="211" t="s">
        <v>1475</v>
      </c>
      <c r="O32" s="212" t="s">
        <v>1470</v>
      </c>
      <c r="P32" s="210"/>
      <c r="Q32" s="210"/>
      <c r="R32" s="210"/>
    </row>
    <row r="33" spans="1:18" ht="14.25" customHeight="1">
      <c r="A33" s="210">
        <v>28</v>
      </c>
      <c r="B33" s="210" t="s">
        <v>1425</v>
      </c>
      <c r="C33" s="210" t="s">
        <v>1426</v>
      </c>
      <c r="D33" s="211" t="s">
        <v>1471</v>
      </c>
      <c r="E33" s="215" t="s">
        <v>1476</v>
      </c>
      <c r="F33" s="210"/>
      <c r="G33" s="210"/>
      <c r="H33" s="210"/>
      <c r="I33" s="210"/>
      <c r="J33" s="210"/>
      <c r="K33" s="210"/>
      <c r="L33" s="210"/>
      <c r="M33" s="210"/>
      <c r="N33" s="211" t="s">
        <v>1477</v>
      </c>
      <c r="O33" s="212" t="s">
        <v>1430</v>
      </c>
      <c r="P33" s="210"/>
      <c r="Q33" s="210"/>
      <c r="R33" s="210"/>
    </row>
    <row r="34" spans="1:18" ht="28.5" customHeight="1">
      <c r="A34" s="210">
        <v>29</v>
      </c>
      <c r="B34" s="210" t="s">
        <v>1425</v>
      </c>
      <c r="C34" s="210" t="s">
        <v>1478</v>
      </c>
      <c r="D34" s="211" t="s">
        <v>1479</v>
      </c>
      <c r="E34" s="211" t="s">
        <v>1480</v>
      </c>
      <c r="F34" s="210"/>
      <c r="G34" s="210"/>
      <c r="H34" s="210"/>
      <c r="I34" s="210"/>
      <c r="J34" s="210"/>
      <c r="K34" s="210"/>
      <c r="L34" s="210"/>
      <c r="M34" s="210"/>
      <c r="N34" s="211" t="s">
        <v>1481</v>
      </c>
      <c r="O34" s="212" t="s">
        <v>40</v>
      </c>
      <c r="P34" s="210"/>
      <c r="Q34" s="210"/>
      <c r="R34" s="210"/>
    </row>
    <row r="35" spans="1:18" ht="28.5" customHeight="1">
      <c r="A35" s="210">
        <v>30</v>
      </c>
      <c r="B35" s="210" t="s">
        <v>1425</v>
      </c>
      <c r="C35" s="210" t="s">
        <v>1444</v>
      </c>
      <c r="D35" s="211" t="s">
        <v>1479</v>
      </c>
      <c r="E35" s="211" t="s">
        <v>1482</v>
      </c>
      <c r="F35" s="210"/>
      <c r="G35" s="210"/>
      <c r="H35" s="210"/>
      <c r="I35" s="210"/>
      <c r="J35" s="210"/>
      <c r="K35" s="210"/>
      <c r="L35" s="210"/>
      <c r="M35" s="210"/>
      <c r="N35" s="211" t="s">
        <v>1446</v>
      </c>
      <c r="O35" s="212" t="s">
        <v>1447</v>
      </c>
      <c r="P35" s="210"/>
      <c r="Q35" s="210"/>
      <c r="R35" s="210"/>
    </row>
    <row r="36" spans="1:18" ht="28.5" customHeight="1">
      <c r="A36" s="210">
        <v>31</v>
      </c>
      <c r="B36" s="210" t="s">
        <v>1425</v>
      </c>
      <c r="C36" s="210" t="s">
        <v>1478</v>
      </c>
      <c r="D36" s="211" t="s">
        <v>1479</v>
      </c>
      <c r="E36" s="211" t="s">
        <v>1483</v>
      </c>
      <c r="F36" s="210"/>
      <c r="G36" s="210"/>
      <c r="H36" s="210"/>
      <c r="I36" s="210"/>
      <c r="J36" s="210"/>
      <c r="K36" s="210"/>
      <c r="L36" s="210"/>
      <c r="M36" s="210"/>
      <c r="N36" s="211" t="s">
        <v>1429</v>
      </c>
      <c r="O36" s="212" t="s">
        <v>40</v>
      </c>
      <c r="P36" s="210"/>
      <c r="Q36" s="210"/>
      <c r="R36" s="210"/>
    </row>
    <row r="37" spans="1:18" ht="28.5" customHeight="1">
      <c r="A37" s="210">
        <v>32</v>
      </c>
      <c r="B37" s="210" t="s">
        <v>1425</v>
      </c>
      <c r="C37" s="210" t="s">
        <v>1478</v>
      </c>
      <c r="D37" s="211" t="s">
        <v>1479</v>
      </c>
      <c r="E37" s="211" t="s">
        <v>1484</v>
      </c>
      <c r="F37" s="210"/>
      <c r="G37" s="210"/>
      <c r="H37" s="210"/>
      <c r="I37" s="210"/>
      <c r="J37" s="210"/>
      <c r="K37" s="210"/>
      <c r="L37" s="210"/>
      <c r="M37" s="210"/>
      <c r="N37" s="211" t="s">
        <v>1429</v>
      </c>
      <c r="O37" s="212" t="s">
        <v>40</v>
      </c>
      <c r="P37" s="210"/>
      <c r="Q37" s="210"/>
      <c r="R37" s="210"/>
    </row>
    <row r="38" spans="1:18" ht="28.5" customHeight="1">
      <c r="A38" s="210">
        <v>33</v>
      </c>
      <c r="B38" s="210" t="s">
        <v>1425</v>
      </c>
      <c r="C38" s="210" t="s">
        <v>27</v>
      </c>
      <c r="D38" s="211" t="s">
        <v>1479</v>
      </c>
      <c r="E38" s="211" t="s">
        <v>1485</v>
      </c>
      <c r="F38" s="210"/>
      <c r="G38" s="210"/>
      <c r="H38" s="210"/>
      <c r="I38" s="210"/>
      <c r="J38" s="210"/>
      <c r="K38" s="210"/>
      <c r="L38" s="210"/>
      <c r="M38" s="210"/>
      <c r="N38" s="211" t="s">
        <v>1486</v>
      </c>
      <c r="O38" s="212" t="s">
        <v>27</v>
      </c>
      <c r="P38" s="210"/>
      <c r="Q38" s="210"/>
      <c r="R38" s="210"/>
    </row>
    <row r="39" spans="1:18" ht="43.5" customHeight="1">
      <c r="A39" s="210">
        <v>34</v>
      </c>
      <c r="B39" s="210" t="s">
        <v>1425</v>
      </c>
      <c r="C39" s="210" t="s">
        <v>1444</v>
      </c>
      <c r="D39" s="211" t="s">
        <v>1479</v>
      </c>
      <c r="E39" s="211" t="s">
        <v>1487</v>
      </c>
      <c r="F39" s="210"/>
      <c r="G39" s="210"/>
      <c r="H39" s="210"/>
      <c r="I39" s="210"/>
      <c r="J39" s="210"/>
      <c r="K39" s="210"/>
      <c r="L39" s="210"/>
      <c r="M39" s="210"/>
      <c r="N39" s="211" t="s">
        <v>1446</v>
      </c>
      <c r="O39" s="212" t="s">
        <v>1447</v>
      </c>
      <c r="P39" s="210"/>
      <c r="Q39" s="210"/>
      <c r="R39" s="210"/>
    </row>
    <row r="40" spans="1:18" ht="28.5" customHeight="1">
      <c r="A40" s="210">
        <v>35</v>
      </c>
      <c r="B40" s="210" t="s">
        <v>1488</v>
      </c>
      <c r="C40" s="210" t="s">
        <v>1489</v>
      </c>
      <c r="D40" s="211" t="s">
        <v>1490</v>
      </c>
      <c r="E40" s="211" t="s">
        <v>1491</v>
      </c>
      <c r="F40" s="210"/>
      <c r="G40" s="210"/>
      <c r="H40" s="210"/>
      <c r="I40" s="210"/>
      <c r="J40" s="210"/>
      <c r="K40" s="210"/>
      <c r="L40" s="210"/>
      <c r="M40" s="210"/>
      <c r="N40" s="211" t="s">
        <v>1492</v>
      </c>
      <c r="O40" s="212" t="s">
        <v>43</v>
      </c>
      <c r="P40" s="210"/>
      <c r="Q40" s="210"/>
      <c r="R40" s="210"/>
    </row>
    <row r="41" spans="1:18" ht="28.5" customHeight="1">
      <c r="A41" s="210">
        <v>36</v>
      </c>
      <c r="B41" s="210" t="s">
        <v>1488</v>
      </c>
      <c r="C41" s="210" t="s">
        <v>1478</v>
      </c>
      <c r="D41" s="211" t="s">
        <v>1490</v>
      </c>
      <c r="E41" s="211" t="s">
        <v>1493</v>
      </c>
      <c r="F41" s="210"/>
      <c r="G41" s="210"/>
      <c r="H41" s="210"/>
      <c r="I41" s="210"/>
      <c r="J41" s="210"/>
      <c r="K41" s="210"/>
      <c r="L41" s="210"/>
      <c r="M41" s="210"/>
      <c r="N41" s="211" t="s">
        <v>1494</v>
      </c>
      <c r="O41" s="212" t="s">
        <v>40</v>
      </c>
      <c r="P41" s="210"/>
      <c r="Q41" s="210"/>
      <c r="R41" s="210"/>
    </row>
    <row r="42" spans="1:18" ht="28.5" customHeight="1">
      <c r="A42" s="210">
        <v>37</v>
      </c>
      <c r="B42" s="210" t="s">
        <v>1488</v>
      </c>
      <c r="C42" s="210" t="s">
        <v>1489</v>
      </c>
      <c r="D42" s="211" t="s">
        <v>1490</v>
      </c>
      <c r="E42" s="215" t="s">
        <v>1495</v>
      </c>
      <c r="F42" s="210"/>
      <c r="G42" s="210"/>
      <c r="H42" s="210"/>
      <c r="I42" s="210"/>
      <c r="J42" s="210"/>
      <c r="K42" s="210"/>
      <c r="L42" s="210"/>
      <c r="M42" s="210"/>
      <c r="N42" s="211" t="s">
        <v>1492</v>
      </c>
      <c r="O42" s="212" t="s">
        <v>43</v>
      </c>
      <c r="P42" s="210"/>
      <c r="Q42" s="210"/>
      <c r="R42" s="210"/>
    </row>
    <row r="43" spans="1:18" ht="14.25" customHeight="1">
      <c r="A43" s="210">
        <v>38</v>
      </c>
      <c r="B43" s="210" t="s">
        <v>1488</v>
      </c>
      <c r="C43" s="210" t="s">
        <v>1478</v>
      </c>
      <c r="D43" s="211" t="s">
        <v>1490</v>
      </c>
      <c r="E43" s="215" t="s">
        <v>1496</v>
      </c>
      <c r="F43" s="210"/>
      <c r="G43" s="210"/>
      <c r="H43" s="210"/>
      <c r="I43" s="210"/>
      <c r="J43" s="210"/>
      <c r="K43" s="210"/>
      <c r="L43" s="210"/>
      <c r="M43" s="210"/>
      <c r="N43" s="211"/>
      <c r="O43" s="212" t="s">
        <v>40</v>
      </c>
      <c r="P43" s="210"/>
      <c r="Q43" s="210"/>
      <c r="R43" s="210"/>
    </row>
    <row r="44" spans="1:18" ht="28.5" customHeight="1">
      <c r="A44" s="210">
        <v>39</v>
      </c>
      <c r="B44" s="210" t="s">
        <v>1488</v>
      </c>
      <c r="C44" s="210" t="s">
        <v>1478</v>
      </c>
      <c r="D44" s="211" t="s">
        <v>1490</v>
      </c>
      <c r="E44" s="215" t="s">
        <v>1497</v>
      </c>
      <c r="F44" s="210"/>
      <c r="G44" s="210"/>
      <c r="H44" s="210"/>
      <c r="I44" s="210"/>
      <c r="J44" s="210"/>
      <c r="K44" s="210"/>
      <c r="L44" s="210"/>
      <c r="M44" s="210"/>
      <c r="N44" s="211" t="s">
        <v>1494</v>
      </c>
      <c r="O44" s="212" t="s">
        <v>40</v>
      </c>
      <c r="P44" s="210"/>
      <c r="Q44" s="210"/>
      <c r="R44" s="210"/>
    </row>
    <row r="45" spans="1:18" ht="28.5" customHeight="1">
      <c r="A45" s="210">
        <v>40</v>
      </c>
      <c r="B45" s="210" t="s">
        <v>1488</v>
      </c>
      <c r="C45" s="210" t="s">
        <v>1478</v>
      </c>
      <c r="D45" s="211" t="s">
        <v>1490</v>
      </c>
      <c r="E45" s="211" t="s">
        <v>1498</v>
      </c>
      <c r="F45" s="210"/>
      <c r="G45" s="210"/>
      <c r="H45" s="210"/>
      <c r="I45" s="210"/>
      <c r="J45" s="210"/>
      <c r="K45" s="210"/>
      <c r="L45" s="210"/>
      <c r="M45" s="210"/>
      <c r="N45" s="211" t="s">
        <v>1494</v>
      </c>
      <c r="O45" s="212" t="s">
        <v>40</v>
      </c>
      <c r="P45" s="210"/>
      <c r="Q45" s="210"/>
      <c r="R45" s="210"/>
    </row>
    <row r="46" spans="1:18" ht="28.5" customHeight="1">
      <c r="A46" s="210">
        <v>41</v>
      </c>
      <c r="B46" s="210" t="s">
        <v>1488</v>
      </c>
      <c r="C46" s="210" t="s">
        <v>1478</v>
      </c>
      <c r="D46" s="211" t="s">
        <v>1490</v>
      </c>
      <c r="E46" s="215" t="s">
        <v>1499</v>
      </c>
      <c r="F46" s="210"/>
      <c r="G46" s="210"/>
      <c r="H46" s="210"/>
      <c r="I46" s="210"/>
      <c r="J46" s="210"/>
      <c r="K46" s="210"/>
      <c r="L46" s="210"/>
      <c r="M46" s="210"/>
      <c r="N46" s="211" t="s">
        <v>1494</v>
      </c>
      <c r="O46" s="212" t="s">
        <v>40</v>
      </c>
      <c r="P46" s="210"/>
      <c r="Q46" s="210"/>
      <c r="R46" s="210"/>
    </row>
    <row r="47" spans="1:18" ht="28.5" customHeight="1">
      <c r="A47" s="210">
        <v>42</v>
      </c>
      <c r="B47" s="210" t="s">
        <v>1488</v>
      </c>
      <c r="C47" s="210" t="s">
        <v>1478</v>
      </c>
      <c r="D47" s="211" t="s">
        <v>1500</v>
      </c>
      <c r="E47" s="215" t="s">
        <v>1501</v>
      </c>
      <c r="F47" s="210"/>
      <c r="G47" s="210"/>
      <c r="H47" s="210"/>
      <c r="I47" s="210"/>
      <c r="J47" s="210"/>
      <c r="K47" s="210"/>
      <c r="L47" s="210"/>
      <c r="M47" s="210"/>
      <c r="N47" s="211" t="s">
        <v>1494</v>
      </c>
      <c r="O47" s="212" t="s">
        <v>40</v>
      </c>
      <c r="P47" s="210"/>
      <c r="Q47" s="210"/>
      <c r="R47" s="210"/>
    </row>
    <row r="48" spans="1:18" ht="28.5" customHeight="1">
      <c r="A48" s="210">
        <v>43</v>
      </c>
      <c r="B48" s="210" t="s">
        <v>1488</v>
      </c>
      <c r="C48" s="210" t="s">
        <v>1478</v>
      </c>
      <c r="D48" s="211" t="s">
        <v>1500</v>
      </c>
      <c r="E48" s="216" t="s">
        <v>1502</v>
      </c>
      <c r="F48" s="210"/>
      <c r="G48" s="210"/>
      <c r="H48" s="210"/>
      <c r="I48" s="210"/>
      <c r="J48" s="210"/>
      <c r="K48" s="210"/>
      <c r="L48" s="210"/>
      <c r="M48" s="210"/>
      <c r="N48" s="211" t="s">
        <v>1503</v>
      </c>
      <c r="O48" s="212" t="s">
        <v>40</v>
      </c>
      <c r="P48" s="210"/>
      <c r="Q48" s="210"/>
      <c r="R48" s="210"/>
    </row>
    <row r="49" spans="1:18" ht="43.5" customHeight="1">
      <c r="A49" s="210">
        <v>44</v>
      </c>
      <c r="B49" s="210" t="s">
        <v>1488</v>
      </c>
      <c r="C49" s="210" t="s">
        <v>1478</v>
      </c>
      <c r="D49" s="211" t="s">
        <v>1504</v>
      </c>
      <c r="E49" s="215" t="s">
        <v>1505</v>
      </c>
      <c r="F49" s="210"/>
      <c r="G49" s="210"/>
      <c r="H49" s="210"/>
      <c r="I49" s="210"/>
      <c r="J49" s="210"/>
      <c r="K49" s="210"/>
      <c r="L49" s="210"/>
      <c r="M49" s="210"/>
      <c r="N49" s="211" t="s">
        <v>1506</v>
      </c>
      <c r="O49" s="212" t="s">
        <v>40</v>
      </c>
      <c r="P49" s="210"/>
      <c r="Q49" s="210"/>
      <c r="R49" s="210"/>
    </row>
    <row r="50" spans="1:18" ht="28.5" customHeight="1">
      <c r="A50" s="210">
        <v>45</v>
      </c>
      <c r="B50" s="210" t="s">
        <v>1488</v>
      </c>
      <c r="C50" s="210" t="s">
        <v>1426</v>
      </c>
      <c r="D50" s="211" t="s">
        <v>1504</v>
      </c>
      <c r="E50" s="217" t="s">
        <v>1507</v>
      </c>
      <c r="F50" s="210"/>
      <c r="G50" s="210"/>
      <c r="H50" s="210"/>
      <c r="I50" s="210"/>
      <c r="J50" s="210"/>
      <c r="K50" s="210"/>
      <c r="L50" s="210"/>
      <c r="M50" s="210"/>
      <c r="N50" s="211" t="s">
        <v>1508</v>
      </c>
      <c r="O50" s="212" t="s">
        <v>1430</v>
      </c>
      <c r="P50" s="210" t="s">
        <v>1509</v>
      </c>
      <c r="Q50" s="210"/>
      <c r="R50" s="210"/>
    </row>
    <row r="51" spans="1:18" ht="28.5" customHeight="1">
      <c r="A51" s="210">
        <v>46</v>
      </c>
      <c r="B51" s="210" t="s">
        <v>1488</v>
      </c>
      <c r="C51" s="210" t="s">
        <v>37</v>
      </c>
      <c r="D51" s="211" t="s">
        <v>1510</v>
      </c>
      <c r="E51" s="215" t="s">
        <v>1511</v>
      </c>
      <c r="F51" s="210"/>
      <c r="G51" s="210"/>
      <c r="H51" s="210"/>
      <c r="I51" s="210"/>
      <c r="J51" s="210"/>
      <c r="K51" s="210"/>
      <c r="L51" s="210"/>
      <c r="M51" s="210"/>
      <c r="N51" s="211" t="s">
        <v>1512</v>
      </c>
      <c r="O51" s="218" t="s">
        <v>37</v>
      </c>
      <c r="P51" s="210"/>
      <c r="Q51" s="210"/>
      <c r="R51" s="210"/>
    </row>
    <row r="52" spans="1:18" ht="28.5" customHeight="1">
      <c r="A52" s="210">
        <v>47</v>
      </c>
      <c r="B52" s="210" t="s">
        <v>1488</v>
      </c>
      <c r="C52" s="210" t="s">
        <v>1426</v>
      </c>
      <c r="D52" s="211" t="s">
        <v>1510</v>
      </c>
      <c r="E52" s="215" t="s">
        <v>1513</v>
      </c>
      <c r="F52" s="210"/>
      <c r="G52" s="210"/>
      <c r="H52" s="210"/>
      <c r="I52" s="210"/>
      <c r="J52" s="210"/>
      <c r="K52" s="210"/>
      <c r="L52" s="210"/>
      <c r="M52" s="210"/>
      <c r="N52" s="211" t="s">
        <v>1514</v>
      </c>
      <c r="O52" s="212" t="s">
        <v>1430</v>
      </c>
      <c r="P52" s="210"/>
      <c r="Q52" s="210"/>
      <c r="R52" s="210"/>
    </row>
    <row r="53" spans="1:18" ht="28.5" customHeight="1">
      <c r="A53" s="210">
        <v>48</v>
      </c>
      <c r="B53" s="210" t="s">
        <v>1488</v>
      </c>
      <c r="C53" s="210" t="s">
        <v>1426</v>
      </c>
      <c r="D53" s="211" t="s">
        <v>1510</v>
      </c>
      <c r="E53" s="219" t="s">
        <v>1448</v>
      </c>
      <c r="F53" s="210"/>
      <c r="G53" s="210"/>
      <c r="H53" s="210"/>
      <c r="I53" s="210"/>
      <c r="J53" s="210"/>
      <c r="K53" s="210"/>
      <c r="L53" s="210"/>
      <c r="M53" s="210"/>
      <c r="N53" s="211"/>
      <c r="O53" s="212" t="s">
        <v>1430</v>
      </c>
      <c r="P53" s="210"/>
      <c r="Q53" s="210"/>
      <c r="R53" s="210"/>
    </row>
    <row r="54" spans="1:18" ht="28.5" customHeight="1">
      <c r="A54" s="210">
        <v>49</v>
      </c>
      <c r="B54" s="210" t="s">
        <v>1488</v>
      </c>
      <c r="C54" s="210" t="s">
        <v>37</v>
      </c>
      <c r="D54" s="211" t="s">
        <v>1510</v>
      </c>
      <c r="E54" s="219" t="s">
        <v>1515</v>
      </c>
      <c r="F54" s="210"/>
      <c r="G54" s="210"/>
      <c r="H54" s="210"/>
      <c r="I54" s="210"/>
      <c r="J54" s="210"/>
      <c r="K54" s="210"/>
      <c r="L54" s="210"/>
      <c r="M54" s="210"/>
      <c r="N54" s="211" t="s">
        <v>1516</v>
      </c>
      <c r="O54" s="212" t="s">
        <v>37</v>
      </c>
      <c r="P54" s="210"/>
      <c r="Q54" s="210"/>
      <c r="R54" s="210"/>
    </row>
    <row r="55" spans="1:18" ht="28.5" customHeight="1">
      <c r="A55" s="210">
        <v>50</v>
      </c>
      <c r="B55" s="210" t="s">
        <v>1488</v>
      </c>
      <c r="C55" s="210" t="s">
        <v>1426</v>
      </c>
      <c r="D55" s="211" t="s">
        <v>1510</v>
      </c>
      <c r="E55" s="219" t="s">
        <v>1517</v>
      </c>
      <c r="F55" s="210"/>
      <c r="G55" s="210"/>
      <c r="H55" s="210"/>
      <c r="I55" s="210"/>
      <c r="J55" s="210"/>
      <c r="K55" s="210"/>
      <c r="L55" s="210"/>
      <c r="M55" s="210"/>
      <c r="N55" s="211" t="s">
        <v>1514</v>
      </c>
      <c r="O55" s="212" t="s">
        <v>1430</v>
      </c>
      <c r="P55" s="210"/>
      <c r="Q55" s="210"/>
      <c r="R55" s="210"/>
    </row>
    <row r="56" spans="1:18" ht="28.5" customHeight="1">
      <c r="A56" s="210">
        <v>51</v>
      </c>
      <c r="B56" s="210" t="s">
        <v>1488</v>
      </c>
      <c r="C56" s="210" t="s">
        <v>1426</v>
      </c>
      <c r="D56" s="211" t="s">
        <v>1510</v>
      </c>
      <c r="E56" s="219" t="s">
        <v>1518</v>
      </c>
      <c r="F56" s="210"/>
      <c r="G56" s="210"/>
      <c r="H56" s="210"/>
      <c r="I56" s="210"/>
      <c r="J56" s="210"/>
      <c r="K56" s="210"/>
      <c r="L56" s="210"/>
      <c r="M56" s="210"/>
      <c r="N56" s="211" t="s">
        <v>1514</v>
      </c>
      <c r="O56" s="212" t="s">
        <v>1430</v>
      </c>
      <c r="P56" s="210"/>
      <c r="Q56" s="210"/>
      <c r="R56" s="210"/>
    </row>
    <row r="57" spans="1:18" ht="28.5" customHeight="1">
      <c r="A57" s="210">
        <v>52</v>
      </c>
      <c r="B57" s="210" t="s">
        <v>1488</v>
      </c>
      <c r="C57" s="210" t="s">
        <v>1426</v>
      </c>
      <c r="D57" s="211" t="s">
        <v>1510</v>
      </c>
      <c r="E57" s="219" t="s">
        <v>1519</v>
      </c>
      <c r="F57" s="210"/>
      <c r="G57" s="210"/>
      <c r="H57" s="210"/>
      <c r="I57" s="210"/>
      <c r="J57" s="210"/>
      <c r="K57" s="210"/>
      <c r="L57" s="210"/>
      <c r="M57" s="210"/>
      <c r="N57" s="211" t="s">
        <v>1054</v>
      </c>
      <c r="O57" s="212" t="s">
        <v>1430</v>
      </c>
      <c r="P57" s="210"/>
      <c r="Q57" s="210"/>
      <c r="R57" s="210"/>
    </row>
    <row r="58" spans="1:18" ht="28.5" customHeight="1">
      <c r="A58" s="210">
        <v>53</v>
      </c>
      <c r="B58" s="210" t="s">
        <v>1488</v>
      </c>
      <c r="C58" s="210" t="s">
        <v>1470</v>
      </c>
      <c r="D58" s="211" t="s">
        <v>1510</v>
      </c>
      <c r="E58" s="219" t="s">
        <v>1520</v>
      </c>
      <c r="F58" s="210"/>
      <c r="G58" s="210"/>
      <c r="H58" s="210"/>
      <c r="I58" s="210"/>
      <c r="J58" s="210"/>
      <c r="K58" s="210"/>
      <c r="L58" s="210"/>
      <c r="M58" s="210"/>
      <c r="N58" s="211" t="s">
        <v>1470</v>
      </c>
      <c r="O58" s="212" t="s">
        <v>1470</v>
      </c>
      <c r="P58" s="210"/>
      <c r="Q58" s="210"/>
      <c r="R58" s="210"/>
    </row>
    <row r="59" spans="1:18" ht="28.5" customHeight="1">
      <c r="A59" s="210">
        <v>54</v>
      </c>
      <c r="B59" s="210" t="s">
        <v>1488</v>
      </c>
      <c r="C59" s="210" t="s">
        <v>1426</v>
      </c>
      <c r="D59" s="211" t="s">
        <v>1510</v>
      </c>
      <c r="E59" s="219" t="s">
        <v>1521</v>
      </c>
      <c r="F59" s="210"/>
      <c r="G59" s="210"/>
      <c r="H59" s="210"/>
      <c r="I59" s="210"/>
      <c r="J59" s="210"/>
      <c r="K59" s="210"/>
      <c r="L59" s="210"/>
      <c r="M59" s="210"/>
      <c r="N59" s="211" t="s">
        <v>1514</v>
      </c>
      <c r="O59" s="212" t="s">
        <v>1430</v>
      </c>
      <c r="P59" s="210"/>
      <c r="Q59" s="210"/>
      <c r="R59" s="210"/>
    </row>
    <row r="60" spans="1:18" ht="28.5" customHeight="1">
      <c r="A60" s="210">
        <v>55</v>
      </c>
      <c r="B60" s="210" t="s">
        <v>1488</v>
      </c>
      <c r="C60" s="210" t="s">
        <v>1426</v>
      </c>
      <c r="D60" s="211" t="s">
        <v>1510</v>
      </c>
      <c r="E60" s="219" t="s">
        <v>1522</v>
      </c>
      <c r="F60" s="210"/>
      <c r="G60" s="210"/>
      <c r="H60" s="210"/>
      <c r="I60" s="210"/>
      <c r="J60" s="210"/>
      <c r="K60" s="210"/>
      <c r="L60" s="210"/>
      <c r="M60" s="210"/>
      <c r="N60" s="211" t="s">
        <v>1523</v>
      </c>
      <c r="O60" s="212" t="s">
        <v>1430</v>
      </c>
      <c r="P60" s="210"/>
      <c r="Q60" s="210"/>
      <c r="R60" s="210"/>
    </row>
    <row r="61" spans="1:18" ht="28.5" customHeight="1">
      <c r="A61" s="210">
        <v>56</v>
      </c>
      <c r="B61" s="210" t="s">
        <v>1488</v>
      </c>
      <c r="C61" s="210" t="s">
        <v>1426</v>
      </c>
      <c r="D61" s="211" t="s">
        <v>1510</v>
      </c>
      <c r="E61" s="219" t="s">
        <v>1524</v>
      </c>
      <c r="F61" s="210"/>
      <c r="G61" s="210"/>
      <c r="H61" s="210"/>
      <c r="I61" s="210"/>
      <c r="J61" s="210"/>
      <c r="K61" s="210"/>
      <c r="L61" s="210"/>
      <c r="M61" s="210"/>
      <c r="N61" s="211" t="s">
        <v>1514</v>
      </c>
      <c r="O61" s="212" t="s">
        <v>1430</v>
      </c>
      <c r="P61" s="210"/>
      <c r="Q61" s="210"/>
      <c r="R61" s="210"/>
    </row>
    <row r="62" spans="1:18" ht="28.5" customHeight="1">
      <c r="A62" s="210">
        <v>57</v>
      </c>
      <c r="B62" s="210" t="s">
        <v>1488</v>
      </c>
      <c r="C62" s="210" t="s">
        <v>1426</v>
      </c>
      <c r="D62" s="211" t="s">
        <v>1510</v>
      </c>
      <c r="E62" s="219" t="s">
        <v>1525</v>
      </c>
      <c r="F62" s="210"/>
      <c r="G62" s="210"/>
      <c r="H62" s="210"/>
      <c r="I62" s="210"/>
      <c r="J62" s="210"/>
      <c r="K62" s="210"/>
      <c r="L62" s="210"/>
      <c r="M62" s="210"/>
      <c r="N62" s="211" t="s">
        <v>1514</v>
      </c>
      <c r="O62" s="212" t="s">
        <v>1430</v>
      </c>
      <c r="P62" s="210"/>
      <c r="Q62" s="210"/>
      <c r="R62" s="210"/>
    </row>
    <row r="63" spans="1:18" ht="28.5" customHeight="1">
      <c r="A63" s="210"/>
      <c r="B63" s="218" t="s">
        <v>1488</v>
      </c>
      <c r="C63" s="210" t="s">
        <v>1426</v>
      </c>
      <c r="D63" s="212" t="s">
        <v>1510</v>
      </c>
      <c r="E63" s="220" t="s">
        <v>1526</v>
      </c>
      <c r="F63" s="218"/>
      <c r="G63" s="218"/>
      <c r="H63" s="218"/>
      <c r="I63" s="218"/>
      <c r="J63" s="218"/>
      <c r="K63" s="218"/>
      <c r="L63" s="218"/>
      <c r="M63" s="218"/>
      <c r="N63" s="212"/>
      <c r="O63" s="212" t="s">
        <v>1430</v>
      </c>
      <c r="P63" s="210" t="s">
        <v>1527</v>
      </c>
      <c r="Q63" s="210"/>
      <c r="R63" s="210"/>
    </row>
    <row r="64" spans="1:18" ht="43.5" customHeight="1">
      <c r="A64" s="210">
        <v>58</v>
      </c>
      <c r="B64" s="210" t="s">
        <v>1488</v>
      </c>
      <c r="C64" s="210" t="s">
        <v>1528</v>
      </c>
      <c r="D64" s="211" t="s">
        <v>1510</v>
      </c>
      <c r="E64" s="219" t="s">
        <v>1529</v>
      </c>
      <c r="F64" s="210"/>
      <c r="G64" s="210"/>
      <c r="H64" s="210"/>
      <c r="I64" s="210"/>
      <c r="J64" s="210"/>
      <c r="K64" s="210"/>
      <c r="L64" s="210"/>
      <c r="M64" s="210"/>
      <c r="N64" s="211" t="s">
        <v>1530</v>
      </c>
      <c r="O64" s="212" t="s">
        <v>1531</v>
      </c>
      <c r="P64" s="210"/>
      <c r="Q64" s="210"/>
      <c r="R64" s="210"/>
    </row>
    <row r="65" spans="1:18" ht="28.5" customHeight="1">
      <c r="A65" s="210">
        <v>59</v>
      </c>
      <c r="B65" s="210" t="s">
        <v>1488</v>
      </c>
      <c r="C65" s="210"/>
      <c r="D65" s="211" t="s">
        <v>1510</v>
      </c>
      <c r="E65" s="219" t="s">
        <v>1532</v>
      </c>
      <c r="F65" s="210"/>
      <c r="G65" s="210"/>
      <c r="H65" s="210"/>
      <c r="I65" s="210"/>
      <c r="J65" s="210"/>
      <c r="K65" s="210"/>
      <c r="L65" s="210"/>
      <c r="M65" s="210"/>
      <c r="N65" s="211" t="s">
        <v>1533</v>
      </c>
      <c r="O65" s="212" t="s">
        <v>1433</v>
      </c>
      <c r="P65" s="210"/>
      <c r="Q65" s="210"/>
      <c r="R65" s="210"/>
    </row>
    <row r="66" spans="1:18" ht="28.5" customHeight="1">
      <c r="A66" s="210">
        <v>60</v>
      </c>
      <c r="B66" s="210" t="s">
        <v>1488</v>
      </c>
      <c r="C66" s="210" t="s">
        <v>1426</v>
      </c>
      <c r="D66" s="211" t="s">
        <v>1510</v>
      </c>
      <c r="E66" s="219" t="s">
        <v>1534</v>
      </c>
      <c r="F66" s="210"/>
      <c r="G66" s="210"/>
      <c r="H66" s="210"/>
      <c r="I66" s="210"/>
      <c r="J66" s="210"/>
      <c r="K66" s="210"/>
      <c r="L66" s="210"/>
      <c r="M66" s="210"/>
      <c r="N66" s="211" t="s">
        <v>1514</v>
      </c>
      <c r="O66" s="212" t="s">
        <v>1430</v>
      </c>
      <c r="P66" s="210"/>
      <c r="Q66" s="210"/>
      <c r="R66" s="210"/>
    </row>
    <row r="67" spans="1:18" ht="28.5" customHeight="1">
      <c r="A67" s="210">
        <v>61</v>
      </c>
      <c r="B67" s="210" t="s">
        <v>1488</v>
      </c>
      <c r="C67" s="210" t="s">
        <v>1426</v>
      </c>
      <c r="D67" s="211" t="s">
        <v>1510</v>
      </c>
      <c r="E67" s="219" t="s">
        <v>1535</v>
      </c>
      <c r="F67" s="210"/>
      <c r="G67" s="210"/>
      <c r="H67" s="210"/>
      <c r="I67" s="210"/>
      <c r="J67" s="210"/>
      <c r="K67" s="210"/>
      <c r="L67" s="210"/>
      <c r="M67" s="210"/>
      <c r="N67" s="211" t="s">
        <v>1514</v>
      </c>
      <c r="O67" s="212" t="s">
        <v>1430</v>
      </c>
      <c r="P67" s="210"/>
      <c r="Q67" s="210"/>
      <c r="R67" s="210"/>
    </row>
    <row r="68" spans="1:18" ht="28.5" customHeight="1">
      <c r="A68" s="210">
        <v>62</v>
      </c>
      <c r="B68" s="210" t="s">
        <v>1488</v>
      </c>
      <c r="C68" s="210" t="s">
        <v>1426</v>
      </c>
      <c r="D68" s="211" t="s">
        <v>1510</v>
      </c>
      <c r="E68" s="219" t="s">
        <v>1536</v>
      </c>
      <c r="F68" s="210"/>
      <c r="G68" s="210"/>
      <c r="H68" s="210"/>
      <c r="I68" s="210"/>
      <c r="J68" s="210"/>
      <c r="K68" s="210"/>
      <c r="L68" s="210"/>
      <c r="M68" s="210"/>
      <c r="N68" s="211" t="s">
        <v>1514</v>
      </c>
      <c r="O68" s="212" t="s">
        <v>1430</v>
      </c>
      <c r="P68" s="210"/>
      <c r="Q68" s="210"/>
      <c r="R68" s="210"/>
    </row>
    <row r="69" spans="1:18" ht="28.5" customHeight="1">
      <c r="A69" s="210">
        <v>63</v>
      </c>
      <c r="B69" s="210" t="s">
        <v>1488</v>
      </c>
      <c r="C69" s="210" t="s">
        <v>1426</v>
      </c>
      <c r="D69" s="211" t="s">
        <v>1510</v>
      </c>
      <c r="E69" s="219" t="s">
        <v>1537</v>
      </c>
      <c r="F69" s="210"/>
      <c r="G69" s="210"/>
      <c r="H69" s="210"/>
      <c r="I69" s="210"/>
      <c r="J69" s="210"/>
      <c r="K69" s="210"/>
      <c r="L69" s="210"/>
      <c r="M69" s="210"/>
      <c r="N69" s="211" t="s">
        <v>1514</v>
      </c>
      <c r="O69" s="212" t="s">
        <v>1430</v>
      </c>
      <c r="P69" s="210"/>
      <c r="Q69" s="210"/>
      <c r="R69" s="210"/>
    </row>
    <row r="70" spans="1:18" ht="28.5" customHeight="1">
      <c r="A70" s="210">
        <v>64</v>
      </c>
      <c r="B70" s="210" t="s">
        <v>1488</v>
      </c>
      <c r="C70" s="210" t="s">
        <v>1426</v>
      </c>
      <c r="D70" s="211" t="s">
        <v>1510</v>
      </c>
      <c r="E70" s="219" t="s">
        <v>1538</v>
      </c>
      <c r="F70" s="210"/>
      <c r="G70" s="210"/>
      <c r="H70" s="210"/>
      <c r="I70" s="210"/>
      <c r="J70" s="210"/>
      <c r="K70" s="210"/>
      <c r="L70" s="210"/>
      <c r="M70" s="210"/>
      <c r="N70" s="211" t="s">
        <v>1514</v>
      </c>
      <c r="O70" s="212" t="s">
        <v>1430</v>
      </c>
      <c r="P70" s="210"/>
      <c r="Q70" s="210"/>
      <c r="R70" s="210"/>
    </row>
    <row r="71" spans="1:18" ht="28.5" customHeight="1">
      <c r="A71" s="210">
        <v>65</v>
      </c>
      <c r="B71" s="210" t="s">
        <v>1488</v>
      </c>
      <c r="C71" s="210" t="s">
        <v>1426</v>
      </c>
      <c r="D71" s="211" t="s">
        <v>1510</v>
      </c>
      <c r="E71" s="219" t="s">
        <v>1539</v>
      </c>
      <c r="F71" s="210"/>
      <c r="G71" s="210"/>
      <c r="H71" s="210"/>
      <c r="I71" s="210"/>
      <c r="J71" s="210"/>
      <c r="K71" s="210"/>
      <c r="L71" s="210"/>
      <c r="M71" s="210"/>
      <c r="N71" s="211" t="s">
        <v>1514</v>
      </c>
      <c r="O71" s="212" t="s">
        <v>1430</v>
      </c>
      <c r="P71" s="210"/>
      <c r="Q71" s="210"/>
      <c r="R71" s="210"/>
    </row>
    <row r="72" spans="1:18" ht="28.5" customHeight="1">
      <c r="A72" s="210">
        <v>66</v>
      </c>
      <c r="B72" s="210" t="s">
        <v>1488</v>
      </c>
      <c r="C72" s="210" t="s">
        <v>1426</v>
      </c>
      <c r="D72" s="211" t="s">
        <v>1510</v>
      </c>
      <c r="E72" s="219" t="s">
        <v>1540</v>
      </c>
      <c r="F72" s="210"/>
      <c r="G72" s="210"/>
      <c r="H72" s="210"/>
      <c r="I72" s="210"/>
      <c r="J72" s="210"/>
      <c r="K72" s="210"/>
      <c r="L72" s="210"/>
      <c r="M72" s="210"/>
      <c r="N72" s="211" t="s">
        <v>1514</v>
      </c>
      <c r="O72" s="212" t="s">
        <v>1430</v>
      </c>
      <c r="P72" s="210"/>
      <c r="Q72" s="210"/>
      <c r="R72" s="210"/>
    </row>
    <row r="73" spans="1:18" ht="28.5" customHeight="1">
      <c r="A73" s="210">
        <v>67</v>
      </c>
      <c r="B73" s="210" t="s">
        <v>1488</v>
      </c>
      <c r="C73" s="210" t="s">
        <v>1426</v>
      </c>
      <c r="D73" s="211" t="s">
        <v>1510</v>
      </c>
      <c r="E73" s="219" t="s">
        <v>1541</v>
      </c>
      <c r="F73" s="210"/>
      <c r="G73" s="210"/>
      <c r="H73" s="210"/>
      <c r="I73" s="210"/>
      <c r="J73" s="210"/>
      <c r="K73" s="210"/>
      <c r="L73" s="210"/>
      <c r="M73" s="210"/>
      <c r="N73" s="211" t="s">
        <v>1542</v>
      </c>
      <c r="O73" s="212" t="s">
        <v>1430</v>
      </c>
      <c r="P73" s="210"/>
      <c r="Q73" s="210"/>
      <c r="R73" s="210"/>
    </row>
    <row r="74" spans="1:18" ht="28.5" customHeight="1">
      <c r="A74" s="210">
        <v>68</v>
      </c>
      <c r="B74" s="210" t="s">
        <v>1488</v>
      </c>
      <c r="C74" s="210" t="s">
        <v>1426</v>
      </c>
      <c r="D74" s="211" t="s">
        <v>1510</v>
      </c>
      <c r="E74" s="219" t="s">
        <v>1543</v>
      </c>
      <c r="F74" s="210"/>
      <c r="G74" s="210"/>
      <c r="H74" s="210"/>
      <c r="I74" s="210"/>
      <c r="J74" s="210"/>
      <c r="K74" s="210"/>
      <c r="L74" s="210"/>
      <c r="M74" s="210"/>
      <c r="N74" s="211" t="s">
        <v>1514</v>
      </c>
      <c r="O74" s="212" t="s">
        <v>1430</v>
      </c>
      <c r="P74" s="210"/>
      <c r="Q74" s="210"/>
      <c r="R74" s="210"/>
    </row>
    <row r="75" spans="1:18" ht="28.5" customHeight="1">
      <c r="A75" s="210">
        <v>69</v>
      </c>
      <c r="B75" s="210" t="s">
        <v>1488</v>
      </c>
      <c r="C75" s="210" t="s">
        <v>1426</v>
      </c>
      <c r="D75" s="211" t="s">
        <v>1510</v>
      </c>
      <c r="E75" s="219" t="s">
        <v>1544</v>
      </c>
      <c r="F75" s="210"/>
      <c r="G75" s="210"/>
      <c r="H75" s="210"/>
      <c r="I75" s="210"/>
      <c r="J75" s="210"/>
      <c r="K75" s="210"/>
      <c r="L75" s="210"/>
      <c r="M75" s="210"/>
      <c r="N75" s="211" t="s">
        <v>1545</v>
      </c>
      <c r="O75" s="212" t="s">
        <v>1430</v>
      </c>
      <c r="P75" s="210"/>
      <c r="Q75" s="210"/>
      <c r="R75" s="210"/>
    </row>
    <row r="76" spans="1:18" ht="28.5" customHeight="1">
      <c r="A76" s="210">
        <v>70</v>
      </c>
      <c r="B76" s="210" t="s">
        <v>1488</v>
      </c>
      <c r="C76" s="210" t="s">
        <v>1426</v>
      </c>
      <c r="D76" s="211" t="s">
        <v>1510</v>
      </c>
      <c r="E76" s="219" t="s">
        <v>1546</v>
      </c>
      <c r="F76" s="210"/>
      <c r="G76" s="210"/>
      <c r="H76" s="210"/>
      <c r="I76" s="210"/>
      <c r="J76" s="210"/>
      <c r="K76" s="210"/>
      <c r="L76" s="210"/>
      <c r="M76" s="210"/>
      <c r="N76" s="211" t="s">
        <v>1545</v>
      </c>
      <c r="O76" s="212" t="s">
        <v>1430</v>
      </c>
      <c r="P76" s="210"/>
      <c r="Q76" s="210"/>
      <c r="R76" s="210"/>
    </row>
    <row r="77" spans="1:18" ht="28.5" customHeight="1">
      <c r="A77" s="210">
        <v>71</v>
      </c>
      <c r="B77" s="210" t="s">
        <v>1488</v>
      </c>
      <c r="C77" s="210" t="s">
        <v>1426</v>
      </c>
      <c r="D77" s="211" t="s">
        <v>1510</v>
      </c>
      <c r="E77" s="219" t="s">
        <v>1547</v>
      </c>
      <c r="F77" s="210"/>
      <c r="G77" s="210"/>
      <c r="H77" s="210"/>
      <c r="I77" s="210"/>
      <c r="J77" s="210"/>
      <c r="K77" s="210"/>
      <c r="L77" s="210"/>
      <c r="M77" s="210"/>
      <c r="N77" s="211" t="s">
        <v>1545</v>
      </c>
      <c r="O77" s="212" t="s">
        <v>1430</v>
      </c>
      <c r="P77" s="210"/>
      <c r="Q77" s="210"/>
      <c r="R77" s="210"/>
    </row>
    <row r="78" spans="1:18" ht="28.5" customHeight="1">
      <c r="A78" s="210">
        <v>72</v>
      </c>
      <c r="B78" s="210" t="s">
        <v>1488</v>
      </c>
      <c r="C78" s="210" t="s">
        <v>1426</v>
      </c>
      <c r="D78" s="211" t="s">
        <v>1510</v>
      </c>
      <c r="E78" s="219" t="s">
        <v>1548</v>
      </c>
      <c r="F78" s="210"/>
      <c r="G78" s="210"/>
      <c r="H78" s="210"/>
      <c r="I78" s="210"/>
      <c r="J78" s="210"/>
      <c r="K78" s="210"/>
      <c r="L78" s="210"/>
      <c r="M78" s="210"/>
      <c r="N78" s="211" t="s">
        <v>1545</v>
      </c>
      <c r="O78" s="212" t="s">
        <v>1430</v>
      </c>
      <c r="P78" s="210"/>
      <c r="Q78" s="210"/>
      <c r="R78" s="210"/>
    </row>
    <row r="79" spans="1:18" ht="28.5" customHeight="1">
      <c r="A79" s="210">
        <v>73</v>
      </c>
      <c r="B79" s="210" t="s">
        <v>1488</v>
      </c>
      <c r="C79" s="210" t="s">
        <v>1426</v>
      </c>
      <c r="D79" s="211" t="s">
        <v>1510</v>
      </c>
      <c r="E79" s="219" t="s">
        <v>1549</v>
      </c>
      <c r="F79" s="210"/>
      <c r="G79" s="210"/>
      <c r="H79" s="210"/>
      <c r="I79" s="210"/>
      <c r="J79" s="210"/>
      <c r="K79" s="210"/>
      <c r="L79" s="210"/>
      <c r="M79" s="210"/>
      <c r="N79" s="211" t="s">
        <v>1550</v>
      </c>
      <c r="O79" s="212" t="s">
        <v>1430</v>
      </c>
      <c r="P79" s="210"/>
      <c r="Q79" s="210"/>
      <c r="R79" s="210"/>
    </row>
    <row r="80" spans="1:18" ht="43.5" customHeight="1">
      <c r="A80" s="210">
        <v>74</v>
      </c>
      <c r="B80" s="210" t="s">
        <v>1488</v>
      </c>
      <c r="C80" s="210" t="s">
        <v>1426</v>
      </c>
      <c r="D80" s="211" t="s">
        <v>1510</v>
      </c>
      <c r="E80" s="219" t="s">
        <v>1551</v>
      </c>
      <c r="F80" s="210"/>
      <c r="G80" s="210"/>
      <c r="H80" s="210"/>
      <c r="I80" s="210"/>
      <c r="J80" s="210"/>
      <c r="K80" s="210"/>
      <c r="L80" s="210"/>
      <c r="M80" s="210"/>
      <c r="N80" s="211" t="s">
        <v>1514</v>
      </c>
      <c r="O80" s="212" t="s">
        <v>1430</v>
      </c>
      <c r="P80" s="210"/>
      <c r="Q80" s="210"/>
      <c r="R80" s="210"/>
    </row>
    <row r="81" spans="1:18" ht="28.5" customHeight="1">
      <c r="A81" s="210">
        <v>75</v>
      </c>
      <c r="B81" s="210" t="s">
        <v>1488</v>
      </c>
      <c r="C81" s="210" t="s">
        <v>1426</v>
      </c>
      <c r="D81" s="211" t="s">
        <v>1510</v>
      </c>
      <c r="E81" s="219" t="s">
        <v>1552</v>
      </c>
      <c r="F81" s="210"/>
      <c r="G81" s="210"/>
      <c r="H81" s="210"/>
      <c r="I81" s="210"/>
      <c r="J81" s="210"/>
      <c r="K81" s="210"/>
      <c r="L81" s="210"/>
      <c r="M81" s="210"/>
      <c r="N81" s="211" t="s">
        <v>1553</v>
      </c>
      <c r="O81" s="212" t="s">
        <v>1430</v>
      </c>
      <c r="P81" s="210"/>
      <c r="Q81" s="210"/>
      <c r="R81" s="210"/>
    </row>
    <row r="82" spans="1:18" ht="28.5" customHeight="1">
      <c r="A82" s="210">
        <v>76</v>
      </c>
      <c r="B82" s="210" t="s">
        <v>1488</v>
      </c>
      <c r="C82" s="210" t="s">
        <v>1426</v>
      </c>
      <c r="D82" s="211" t="s">
        <v>1510</v>
      </c>
      <c r="E82" s="211" t="s">
        <v>1554</v>
      </c>
      <c r="F82" s="210"/>
      <c r="G82" s="210"/>
      <c r="H82" s="210"/>
      <c r="I82" s="210"/>
      <c r="J82" s="210"/>
      <c r="K82" s="210"/>
      <c r="L82" s="210"/>
      <c r="M82" s="210"/>
      <c r="N82" s="211" t="s">
        <v>1553</v>
      </c>
      <c r="O82" s="212" t="s">
        <v>1430</v>
      </c>
      <c r="P82" s="210"/>
      <c r="Q82" s="210"/>
      <c r="R82" s="210"/>
    </row>
    <row r="83" spans="1:18" ht="28.5" customHeight="1">
      <c r="A83" s="210">
        <v>77</v>
      </c>
      <c r="B83" s="210" t="s">
        <v>1488</v>
      </c>
      <c r="C83" s="210" t="s">
        <v>1426</v>
      </c>
      <c r="D83" s="211" t="s">
        <v>1510</v>
      </c>
      <c r="E83" s="215" t="s">
        <v>1555</v>
      </c>
      <c r="F83" s="210"/>
      <c r="G83" s="210"/>
      <c r="H83" s="210"/>
      <c r="I83" s="210"/>
      <c r="J83" s="210"/>
      <c r="K83" s="210"/>
      <c r="L83" s="210"/>
      <c r="M83" s="210"/>
      <c r="N83" s="211" t="s">
        <v>1553</v>
      </c>
      <c r="O83" s="212" t="s">
        <v>1430</v>
      </c>
      <c r="P83" s="210"/>
      <c r="Q83" s="210"/>
      <c r="R83" s="210"/>
    </row>
    <row r="84" spans="1:18" ht="28.5" customHeight="1">
      <c r="A84" s="210">
        <v>78</v>
      </c>
      <c r="B84" s="210" t="s">
        <v>1488</v>
      </c>
      <c r="C84" s="210" t="s">
        <v>1426</v>
      </c>
      <c r="D84" s="211" t="s">
        <v>1510</v>
      </c>
      <c r="E84" s="215" t="s">
        <v>1556</v>
      </c>
      <c r="F84" s="210"/>
      <c r="G84" s="210"/>
      <c r="H84" s="210"/>
      <c r="I84" s="210"/>
      <c r="J84" s="210"/>
      <c r="K84" s="210"/>
      <c r="L84" s="210"/>
      <c r="M84" s="210"/>
      <c r="N84" s="211" t="s">
        <v>1557</v>
      </c>
      <c r="O84" s="212" t="s">
        <v>1430</v>
      </c>
      <c r="P84" s="210"/>
      <c r="Q84" s="210"/>
      <c r="R84" s="210"/>
    </row>
    <row r="85" spans="1:18" ht="28.5" customHeight="1">
      <c r="A85" s="210">
        <v>79</v>
      </c>
      <c r="B85" s="210" t="s">
        <v>1488</v>
      </c>
      <c r="C85" s="210" t="s">
        <v>1478</v>
      </c>
      <c r="D85" s="211" t="s">
        <v>1510</v>
      </c>
      <c r="E85" s="211" t="s">
        <v>1558</v>
      </c>
      <c r="F85" s="210"/>
      <c r="G85" s="210"/>
      <c r="H85" s="210"/>
      <c r="I85" s="210"/>
      <c r="J85" s="210"/>
      <c r="K85" s="210"/>
      <c r="L85" s="210"/>
      <c r="M85" s="210"/>
      <c r="N85" s="211" t="s">
        <v>1494</v>
      </c>
      <c r="O85" s="212" t="s">
        <v>40</v>
      </c>
      <c r="P85" s="210"/>
      <c r="Q85" s="210"/>
      <c r="R85" s="210"/>
    </row>
    <row r="86" spans="1:18" ht="28.5" customHeight="1">
      <c r="A86" s="210">
        <v>80</v>
      </c>
      <c r="B86" s="210" t="s">
        <v>1488</v>
      </c>
      <c r="C86" s="210" t="s">
        <v>1478</v>
      </c>
      <c r="D86" s="211" t="s">
        <v>1510</v>
      </c>
      <c r="E86" s="211" t="s">
        <v>1559</v>
      </c>
      <c r="F86" s="210"/>
      <c r="G86" s="210"/>
      <c r="H86" s="210"/>
      <c r="I86" s="210"/>
      <c r="J86" s="210"/>
      <c r="K86" s="210"/>
      <c r="L86" s="210"/>
      <c r="M86" s="210"/>
      <c r="N86" s="211" t="s">
        <v>1494</v>
      </c>
      <c r="O86" s="212" t="s">
        <v>40</v>
      </c>
      <c r="P86" s="210"/>
      <c r="Q86" s="210"/>
      <c r="R86" s="210"/>
    </row>
    <row r="87" spans="1:18" ht="28.5" customHeight="1">
      <c r="A87" s="210">
        <v>81</v>
      </c>
      <c r="B87" s="210" t="s">
        <v>1488</v>
      </c>
      <c r="C87" s="210" t="s">
        <v>1478</v>
      </c>
      <c r="D87" s="211" t="s">
        <v>1510</v>
      </c>
      <c r="E87" s="211" t="s">
        <v>1560</v>
      </c>
      <c r="F87" s="210"/>
      <c r="G87" s="210"/>
      <c r="H87" s="210"/>
      <c r="I87" s="210"/>
      <c r="J87" s="210"/>
      <c r="K87" s="210"/>
      <c r="L87" s="210"/>
      <c r="M87" s="210"/>
      <c r="N87" s="211" t="s">
        <v>1494</v>
      </c>
      <c r="O87" s="212" t="s">
        <v>40</v>
      </c>
      <c r="P87" s="210"/>
      <c r="Q87" s="210"/>
      <c r="R87" s="210"/>
    </row>
    <row r="88" spans="1:18" ht="28.5" customHeight="1">
      <c r="A88" s="210">
        <v>82</v>
      </c>
      <c r="B88" s="210" t="s">
        <v>1488</v>
      </c>
      <c r="C88" s="210" t="s">
        <v>1478</v>
      </c>
      <c r="D88" s="211" t="s">
        <v>1510</v>
      </c>
      <c r="E88" s="211" t="s">
        <v>1561</v>
      </c>
      <c r="F88" s="210"/>
      <c r="G88" s="210"/>
      <c r="H88" s="210"/>
      <c r="I88" s="210"/>
      <c r="J88" s="210"/>
      <c r="K88" s="210"/>
      <c r="L88" s="210"/>
      <c r="M88" s="210"/>
      <c r="N88" s="211" t="s">
        <v>1494</v>
      </c>
      <c r="O88" s="212" t="s">
        <v>40</v>
      </c>
      <c r="P88" s="210"/>
      <c r="Q88" s="210"/>
      <c r="R88" s="210"/>
    </row>
    <row r="89" spans="1:18" ht="28.5" customHeight="1">
      <c r="A89" s="210">
        <v>83</v>
      </c>
      <c r="B89" s="210" t="s">
        <v>1488</v>
      </c>
      <c r="C89" s="210" t="s">
        <v>319</v>
      </c>
      <c r="D89" s="211" t="s">
        <v>1562</v>
      </c>
      <c r="E89" s="215" t="s">
        <v>1563</v>
      </c>
      <c r="F89" s="210"/>
      <c r="G89" s="210"/>
      <c r="H89" s="210"/>
      <c r="I89" s="210"/>
      <c r="J89" s="210"/>
      <c r="K89" s="210"/>
      <c r="L89" s="210"/>
      <c r="M89" s="210"/>
      <c r="N89" s="210" t="s">
        <v>1564</v>
      </c>
      <c r="O89" s="218" t="s">
        <v>319</v>
      </c>
      <c r="P89" s="210"/>
      <c r="Q89" s="210"/>
      <c r="R89" s="210"/>
    </row>
    <row r="90" spans="1:18" ht="28.5" customHeight="1">
      <c r="A90" s="210">
        <v>84</v>
      </c>
      <c r="B90" s="210" t="s">
        <v>1488</v>
      </c>
      <c r="C90" s="210" t="s">
        <v>1528</v>
      </c>
      <c r="D90" s="211" t="s">
        <v>1562</v>
      </c>
      <c r="E90" s="211" t="s">
        <v>1565</v>
      </c>
      <c r="F90" s="210"/>
      <c r="G90" s="210"/>
      <c r="H90" s="210"/>
      <c r="I90" s="210"/>
      <c r="J90" s="210"/>
      <c r="K90" s="210"/>
      <c r="L90" s="210"/>
      <c r="M90" s="210"/>
      <c r="N90" s="211" t="s">
        <v>1566</v>
      </c>
      <c r="O90" s="218" t="s">
        <v>1531</v>
      </c>
      <c r="P90" s="210"/>
      <c r="Q90" s="210"/>
      <c r="R90" s="210"/>
    </row>
    <row r="91" spans="1:18" ht="14.25" customHeight="1">
      <c r="A91" s="210">
        <v>85</v>
      </c>
      <c r="B91" s="210" t="s">
        <v>1488</v>
      </c>
      <c r="C91" s="210" t="s">
        <v>37</v>
      </c>
      <c r="D91" s="211" t="s">
        <v>1562</v>
      </c>
      <c r="E91" s="211" t="s">
        <v>1567</v>
      </c>
      <c r="F91" s="210"/>
      <c r="G91" s="210"/>
      <c r="H91" s="210"/>
      <c r="I91" s="210"/>
      <c r="J91" s="210"/>
      <c r="K91" s="210"/>
      <c r="L91" s="210"/>
      <c r="M91" s="210"/>
      <c r="N91" s="210" t="s">
        <v>1568</v>
      </c>
      <c r="O91" s="218" t="s">
        <v>37</v>
      </c>
      <c r="P91" s="210"/>
      <c r="Q91" s="210"/>
      <c r="R91" s="210"/>
    </row>
    <row r="92" spans="1:18" ht="28.5" customHeight="1">
      <c r="A92" s="210">
        <v>86</v>
      </c>
      <c r="B92" s="210" t="s">
        <v>1488</v>
      </c>
      <c r="C92" s="210" t="s">
        <v>1478</v>
      </c>
      <c r="D92" s="211" t="s">
        <v>1569</v>
      </c>
      <c r="E92" s="211" t="s">
        <v>1570</v>
      </c>
      <c r="F92" s="210"/>
      <c r="G92" s="210"/>
      <c r="H92" s="210"/>
      <c r="I92" s="210"/>
      <c r="J92" s="210"/>
      <c r="K92" s="210"/>
      <c r="L92" s="210"/>
      <c r="M92" s="210"/>
      <c r="N92" s="211" t="s">
        <v>1494</v>
      </c>
      <c r="O92" s="212" t="s">
        <v>40</v>
      </c>
      <c r="P92" s="210"/>
      <c r="Q92" s="210"/>
      <c r="R92" s="210"/>
    </row>
    <row r="93" spans="1:18" ht="14.25" customHeight="1">
      <c r="A93" s="210">
        <v>87</v>
      </c>
      <c r="B93" s="210" t="s">
        <v>1571</v>
      </c>
      <c r="C93" s="210" t="s">
        <v>1572</v>
      </c>
      <c r="D93" s="211" t="s">
        <v>1573</v>
      </c>
      <c r="E93" s="215" t="s">
        <v>1574</v>
      </c>
      <c r="F93" s="210"/>
      <c r="G93" s="210"/>
      <c r="H93" s="210"/>
      <c r="I93" s="210"/>
      <c r="J93" s="210"/>
      <c r="K93" s="210"/>
      <c r="L93" s="210"/>
      <c r="M93" s="210"/>
      <c r="N93" s="210" t="s">
        <v>1575</v>
      </c>
      <c r="O93" s="218" t="s">
        <v>1576</v>
      </c>
      <c r="P93" s="210"/>
      <c r="Q93" s="210"/>
      <c r="R93" s="210"/>
    </row>
    <row r="94" spans="1:18" ht="14.25" customHeight="1">
      <c r="A94" s="210">
        <v>88</v>
      </c>
      <c r="B94" s="210" t="s">
        <v>1571</v>
      </c>
      <c r="C94" s="210" t="s">
        <v>1572</v>
      </c>
      <c r="D94" s="211" t="s">
        <v>1573</v>
      </c>
      <c r="E94" s="215" t="s">
        <v>1577</v>
      </c>
      <c r="F94" s="210"/>
      <c r="G94" s="210"/>
      <c r="H94" s="210"/>
      <c r="I94" s="210"/>
      <c r="J94" s="210"/>
      <c r="K94" s="210"/>
      <c r="L94" s="210"/>
      <c r="M94" s="210"/>
      <c r="N94" s="210" t="s">
        <v>1575</v>
      </c>
      <c r="O94" s="218" t="s">
        <v>1576</v>
      </c>
      <c r="P94" s="210"/>
      <c r="Q94" s="210"/>
      <c r="R94" s="210"/>
    </row>
    <row r="95" spans="1:18" ht="28.5" customHeight="1">
      <c r="A95" s="210">
        <v>89</v>
      </c>
      <c r="B95" s="210" t="s">
        <v>1571</v>
      </c>
      <c r="C95" s="210" t="s">
        <v>1578</v>
      </c>
      <c r="D95" s="211" t="s">
        <v>1579</v>
      </c>
      <c r="E95" s="215" t="s">
        <v>1580</v>
      </c>
      <c r="F95" s="210"/>
      <c r="G95" s="210"/>
      <c r="H95" s="210"/>
      <c r="I95" s="210"/>
      <c r="J95" s="210"/>
      <c r="K95" s="210"/>
      <c r="L95" s="210"/>
      <c r="M95" s="210"/>
      <c r="N95" s="210" t="s">
        <v>1581</v>
      </c>
      <c r="O95" s="218" t="s">
        <v>1581</v>
      </c>
      <c r="P95" s="210"/>
      <c r="Q95" s="210"/>
      <c r="R95" s="210"/>
    </row>
    <row r="96" spans="1:18" ht="28.5" customHeight="1">
      <c r="A96" s="210">
        <v>90</v>
      </c>
      <c r="B96" s="210" t="s">
        <v>1571</v>
      </c>
      <c r="C96" s="210" t="s">
        <v>1572</v>
      </c>
      <c r="D96" s="211" t="s">
        <v>1579</v>
      </c>
      <c r="E96" s="215" t="s">
        <v>1582</v>
      </c>
      <c r="F96" s="210"/>
      <c r="G96" s="210"/>
      <c r="H96" s="210"/>
      <c r="I96" s="210"/>
      <c r="J96" s="210"/>
      <c r="K96" s="210"/>
      <c r="L96" s="210"/>
      <c r="M96" s="210"/>
      <c r="N96" s="210" t="s">
        <v>1583</v>
      </c>
      <c r="O96" s="218" t="s">
        <v>1576</v>
      </c>
      <c r="P96" s="210"/>
      <c r="Q96" s="210"/>
      <c r="R96" s="210"/>
    </row>
    <row r="97" spans="1:18" ht="87" customHeight="1">
      <c r="A97" s="210">
        <v>91</v>
      </c>
      <c r="B97" s="210" t="s">
        <v>1571</v>
      </c>
      <c r="C97" s="210" t="s">
        <v>1444</v>
      </c>
      <c r="D97" s="211" t="s">
        <v>1579</v>
      </c>
      <c r="E97" s="211" t="s">
        <v>1584</v>
      </c>
      <c r="F97" s="210"/>
      <c r="G97" s="210"/>
      <c r="H97" s="210"/>
      <c r="I97" s="210"/>
      <c r="J97" s="210"/>
      <c r="K97" s="210"/>
      <c r="L97" s="210"/>
      <c r="M97" s="210"/>
      <c r="N97" s="211" t="s">
        <v>1585</v>
      </c>
      <c r="O97" s="218" t="s">
        <v>1447</v>
      </c>
      <c r="P97" s="210"/>
      <c r="Q97" s="210"/>
      <c r="R97" s="210"/>
    </row>
    <row r="98" spans="1:18" ht="28.5" customHeight="1">
      <c r="A98" s="210">
        <v>92</v>
      </c>
      <c r="B98" s="210" t="s">
        <v>1571</v>
      </c>
      <c r="C98" s="210"/>
      <c r="D98" s="211" t="s">
        <v>1586</v>
      </c>
      <c r="E98" s="215" t="s">
        <v>1587</v>
      </c>
      <c r="F98" s="210"/>
      <c r="G98" s="210"/>
      <c r="H98" s="210"/>
      <c r="I98" s="210"/>
      <c r="J98" s="210"/>
      <c r="K98" s="210"/>
      <c r="L98" s="210"/>
      <c r="M98" s="210"/>
      <c r="N98" s="211" t="s">
        <v>1542</v>
      </c>
      <c r="O98" s="212" t="s">
        <v>1588</v>
      </c>
      <c r="P98" s="210"/>
      <c r="Q98" s="210"/>
      <c r="R98" s="210"/>
    </row>
    <row r="99" spans="1:18" ht="28.5" customHeight="1">
      <c r="A99" s="210">
        <v>93</v>
      </c>
      <c r="B99" s="210" t="s">
        <v>1571</v>
      </c>
      <c r="C99" s="210"/>
      <c r="D99" s="211" t="s">
        <v>1586</v>
      </c>
      <c r="E99" s="215" t="s">
        <v>1589</v>
      </c>
      <c r="F99" s="210"/>
      <c r="G99" s="210"/>
      <c r="H99" s="210"/>
      <c r="I99" s="210"/>
      <c r="J99" s="210"/>
      <c r="K99" s="210"/>
      <c r="L99" s="210"/>
      <c r="M99" s="210"/>
      <c r="N99" s="211" t="s">
        <v>1542</v>
      </c>
      <c r="O99" s="212" t="s">
        <v>1588</v>
      </c>
      <c r="P99" s="210"/>
      <c r="Q99" s="210"/>
      <c r="R99" s="210"/>
    </row>
    <row r="100" spans="1:18" ht="43.5" customHeight="1">
      <c r="A100" s="210">
        <v>94</v>
      </c>
      <c r="B100" s="210" t="s">
        <v>1571</v>
      </c>
      <c r="C100" s="210"/>
      <c r="D100" s="211" t="s">
        <v>1586</v>
      </c>
      <c r="E100" s="221" t="s">
        <v>1590</v>
      </c>
      <c r="F100" s="210"/>
      <c r="G100" s="210"/>
      <c r="H100" s="210"/>
      <c r="I100" s="210"/>
      <c r="J100" s="210"/>
      <c r="K100" s="210"/>
      <c r="L100" s="210"/>
      <c r="M100" s="210"/>
      <c r="N100" s="211" t="s">
        <v>1542</v>
      </c>
      <c r="O100" s="212" t="s">
        <v>1588</v>
      </c>
      <c r="P100" s="210"/>
      <c r="Q100" s="210"/>
      <c r="R100" s="210"/>
    </row>
    <row r="101" spans="1:18" ht="72" customHeight="1">
      <c r="A101" s="210">
        <v>95</v>
      </c>
      <c r="B101" s="210" t="s">
        <v>1571</v>
      </c>
      <c r="C101" s="210"/>
      <c r="D101" s="211" t="s">
        <v>1586</v>
      </c>
      <c r="E101" s="221" t="s">
        <v>1591</v>
      </c>
      <c r="F101" s="210"/>
      <c r="G101" s="210"/>
      <c r="H101" s="210"/>
      <c r="I101" s="210"/>
      <c r="J101" s="210"/>
      <c r="K101" s="210"/>
      <c r="L101" s="210"/>
      <c r="M101" s="210"/>
      <c r="N101" s="211" t="s">
        <v>1542</v>
      </c>
      <c r="O101" s="212" t="s">
        <v>1588</v>
      </c>
      <c r="P101" s="210"/>
      <c r="Q101" s="210"/>
      <c r="R101" s="210"/>
    </row>
    <row r="102" spans="1:18" ht="14.25" customHeight="1">
      <c r="A102" s="210">
        <v>96</v>
      </c>
      <c r="B102" s="210" t="s">
        <v>1571</v>
      </c>
      <c r="C102" s="210" t="s">
        <v>1592</v>
      </c>
      <c r="D102" s="211" t="s">
        <v>1593</v>
      </c>
      <c r="E102" s="215" t="s">
        <v>1594</v>
      </c>
      <c r="F102" s="210"/>
      <c r="G102" s="210"/>
      <c r="H102" s="210"/>
      <c r="I102" s="210"/>
      <c r="J102" s="210"/>
      <c r="K102" s="210"/>
      <c r="L102" s="210"/>
      <c r="M102" s="210"/>
      <c r="N102" s="210" t="s">
        <v>1595</v>
      </c>
      <c r="O102" s="218" t="s">
        <v>1595</v>
      </c>
      <c r="P102" s="210"/>
      <c r="Q102" s="210"/>
      <c r="R102" s="210"/>
    </row>
    <row r="103" spans="1:18" ht="14.25" customHeight="1">
      <c r="A103" s="210">
        <v>97</v>
      </c>
      <c r="B103" s="210" t="s">
        <v>1571</v>
      </c>
      <c r="C103" s="210" t="s">
        <v>1592</v>
      </c>
      <c r="D103" s="211" t="s">
        <v>1593</v>
      </c>
      <c r="E103" s="215" t="s">
        <v>1596</v>
      </c>
      <c r="F103" s="210"/>
      <c r="G103" s="210"/>
      <c r="H103" s="210"/>
      <c r="I103" s="210"/>
      <c r="J103" s="210"/>
      <c r="K103" s="210"/>
      <c r="L103" s="210"/>
      <c r="M103" s="210"/>
      <c r="N103" s="210" t="s">
        <v>1595</v>
      </c>
      <c r="O103" s="218" t="s">
        <v>1595</v>
      </c>
      <c r="P103" s="210"/>
      <c r="Q103" s="210"/>
      <c r="R103" s="210"/>
    </row>
    <row r="104" spans="1:18" ht="14.25" customHeight="1">
      <c r="A104" s="210">
        <v>98</v>
      </c>
      <c r="B104" s="210" t="s">
        <v>1571</v>
      </c>
      <c r="C104" s="210" t="s">
        <v>1592</v>
      </c>
      <c r="D104" s="211" t="s">
        <v>1593</v>
      </c>
      <c r="E104" s="215" t="s">
        <v>1597</v>
      </c>
      <c r="F104" s="210"/>
      <c r="G104" s="210"/>
      <c r="H104" s="210"/>
      <c r="I104" s="210"/>
      <c r="J104" s="210"/>
      <c r="K104" s="210"/>
      <c r="L104" s="210"/>
      <c r="M104" s="210"/>
      <c r="N104" s="210" t="s">
        <v>1595</v>
      </c>
      <c r="O104" s="218" t="s">
        <v>1595</v>
      </c>
      <c r="P104" s="210"/>
      <c r="Q104" s="210"/>
      <c r="R104" s="210"/>
    </row>
    <row r="105" spans="1:18" ht="14.25" customHeight="1">
      <c r="A105" s="210">
        <v>99</v>
      </c>
      <c r="B105" s="210" t="s">
        <v>1598</v>
      </c>
      <c r="C105" s="210" t="s">
        <v>1426</v>
      </c>
      <c r="D105" s="211" t="s">
        <v>1599</v>
      </c>
      <c r="E105" s="215" t="s">
        <v>1600</v>
      </c>
      <c r="F105" s="210"/>
      <c r="G105" s="210"/>
      <c r="H105" s="210"/>
      <c r="I105" s="210"/>
      <c r="J105" s="210"/>
      <c r="K105" s="210"/>
      <c r="L105" s="210"/>
      <c r="M105" s="210"/>
      <c r="N105" s="211" t="s">
        <v>1508</v>
      </c>
      <c r="O105" s="212" t="s">
        <v>1430</v>
      </c>
      <c r="P105" s="210"/>
      <c r="Q105" s="210"/>
      <c r="R105" s="210"/>
    </row>
    <row r="106" spans="1:18" ht="28.5" customHeight="1">
      <c r="A106" s="210">
        <v>100</v>
      </c>
      <c r="B106" s="210" t="s">
        <v>1598</v>
      </c>
      <c r="C106" s="210" t="s">
        <v>1426</v>
      </c>
      <c r="D106" s="211" t="s">
        <v>1599</v>
      </c>
      <c r="E106" s="215" t="s">
        <v>1601</v>
      </c>
      <c r="F106" s="210"/>
      <c r="G106" s="210"/>
      <c r="H106" s="210"/>
      <c r="I106" s="210"/>
      <c r="J106" s="210"/>
      <c r="K106" s="210"/>
      <c r="L106" s="210"/>
      <c r="M106" s="210"/>
      <c r="N106" s="211" t="s">
        <v>1508</v>
      </c>
      <c r="O106" s="212" t="s">
        <v>1430</v>
      </c>
      <c r="P106" s="210"/>
      <c r="Q106" s="210"/>
      <c r="R106" s="210"/>
    </row>
    <row r="107" spans="1:18" ht="14.25" customHeight="1">
      <c r="A107" s="210">
        <v>101</v>
      </c>
      <c r="B107" s="210" t="s">
        <v>1598</v>
      </c>
      <c r="C107" s="210" t="s">
        <v>1478</v>
      </c>
      <c r="D107" s="211" t="s">
        <v>1602</v>
      </c>
      <c r="E107" s="215" t="s">
        <v>1603</v>
      </c>
      <c r="F107" s="210"/>
      <c r="G107" s="210"/>
      <c r="H107" s="210"/>
      <c r="I107" s="210"/>
      <c r="J107" s="210"/>
      <c r="K107" s="210"/>
      <c r="L107" s="210"/>
      <c r="M107" s="210"/>
      <c r="N107" s="211" t="s">
        <v>1508</v>
      </c>
      <c r="O107" s="212" t="s">
        <v>40</v>
      </c>
      <c r="P107" s="210"/>
      <c r="Q107" s="210"/>
      <c r="R107" s="210"/>
    </row>
    <row r="108" spans="1:18" ht="14.25" customHeight="1">
      <c r="A108" s="210">
        <v>102</v>
      </c>
      <c r="B108" s="210" t="s">
        <v>1598</v>
      </c>
      <c r="C108" s="210" t="s">
        <v>1426</v>
      </c>
      <c r="D108" s="211" t="s">
        <v>1602</v>
      </c>
      <c r="E108" s="211" t="s">
        <v>1604</v>
      </c>
      <c r="F108" s="210"/>
      <c r="G108" s="210"/>
      <c r="H108" s="210"/>
      <c r="I108" s="210"/>
      <c r="J108" s="210"/>
      <c r="K108" s="210"/>
      <c r="L108" s="210"/>
      <c r="M108" s="210"/>
      <c r="N108" s="211" t="s">
        <v>1508</v>
      </c>
      <c r="O108" s="212" t="s">
        <v>1430</v>
      </c>
      <c r="P108" s="210"/>
      <c r="Q108" s="210"/>
      <c r="R108" s="210"/>
    </row>
    <row r="109" spans="1:18" ht="28.5" customHeight="1">
      <c r="A109" s="210">
        <v>103</v>
      </c>
      <c r="B109" s="210" t="s">
        <v>1605</v>
      </c>
      <c r="C109" s="210" t="s">
        <v>1141</v>
      </c>
      <c r="D109" s="211" t="s">
        <v>1606</v>
      </c>
      <c r="E109" s="215" t="s">
        <v>1607</v>
      </c>
      <c r="F109" s="210"/>
      <c r="G109" s="210"/>
      <c r="H109" s="210"/>
      <c r="I109" s="210"/>
      <c r="J109" s="210"/>
      <c r="K109" s="210"/>
      <c r="L109" s="210"/>
      <c r="M109" s="210"/>
      <c r="N109" s="210" t="s">
        <v>1441</v>
      </c>
      <c r="O109" s="218" t="s">
        <v>1141</v>
      </c>
      <c r="P109" s="210"/>
      <c r="Q109" s="210"/>
      <c r="R109" s="210"/>
    </row>
    <row r="110" spans="1:18" ht="14.25" customHeight="1">
      <c r="A110" s="210">
        <v>104</v>
      </c>
      <c r="B110" s="210" t="s">
        <v>1605</v>
      </c>
      <c r="C110" s="210" t="s">
        <v>1426</v>
      </c>
      <c r="D110" s="211" t="s">
        <v>1606</v>
      </c>
      <c r="E110" s="215" t="s">
        <v>1608</v>
      </c>
      <c r="F110" s="210"/>
      <c r="G110" s="210"/>
      <c r="H110" s="210"/>
      <c r="I110" s="210"/>
      <c r="J110" s="210"/>
      <c r="K110" s="210"/>
      <c r="L110" s="210"/>
      <c r="M110" s="210"/>
      <c r="N110" s="211" t="s">
        <v>1508</v>
      </c>
      <c r="O110" s="212" t="s">
        <v>1430</v>
      </c>
      <c r="P110" s="210"/>
      <c r="Q110" s="210"/>
      <c r="R110" s="210"/>
    </row>
    <row r="111" spans="1:18" ht="43.5" customHeight="1">
      <c r="A111" s="210">
        <v>105</v>
      </c>
      <c r="B111" s="210" t="s">
        <v>1605</v>
      </c>
      <c r="C111" s="210" t="s">
        <v>27</v>
      </c>
      <c r="D111" s="211" t="s">
        <v>1609</v>
      </c>
      <c r="E111" s="215" t="s">
        <v>1610</v>
      </c>
      <c r="F111" s="210"/>
      <c r="G111" s="210"/>
      <c r="H111" s="210"/>
      <c r="I111" s="210"/>
      <c r="J111" s="210"/>
      <c r="K111" s="210"/>
      <c r="L111" s="210"/>
      <c r="M111" s="210"/>
      <c r="N111" s="210" t="s">
        <v>1611</v>
      </c>
      <c r="O111" s="218" t="s">
        <v>27</v>
      </c>
      <c r="P111" s="210"/>
      <c r="Q111" s="210"/>
      <c r="R111" s="210"/>
    </row>
    <row r="112" spans="1:18" ht="14.25" customHeight="1">
      <c r="A112" s="210">
        <v>106</v>
      </c>
      <c r="B112" s="210" t="s">
        <v>1605</v>
      </c>
      <c r="C112" s="210"/>
      <c r="D112" s="211" t="s">
        <v>1609</v>
      </c>
      <c r="E112" s="215" t="s">
        <v>1612</v>
      </c>
      <c r="F112" s="210"/>
      <c r="G112" s="210"/>
      <c r="H112" s="210"/>
      <c r="I112" s="210"/>
      <c r="J112" s="210"/>
      <c r="K112" s="210"/>
      <c r="L112" s="210"/>
      <c r="M112" s="210"/>
      <c r="N112" s="210" t="s">
        <v>1613</v>
      </c>
      <c r="O112" s="218" t="s">
        <v>1614</v>
      </c>
      <c r="P112" s="210"/>
      <c r="Q112" s="210"/>
      <c r="R112" s="210"/>
    </row>
    <row r="113" spans="1:18" ht="14.25" customHeight="1">
      <c r="A113" s="210">
        <v>107</v>
      </c>
      <c r="B113" s="210" t="s">
        <v>1605</v>
      </c>
      <c r="C113" s="210" t="s">
        <v>31</v>
      </c>
      <c r="D113" s="211" t="s">
        <v>1609</v>
      </c>
      <c r="E113" s="215" t="s">
        <v>1615</v>
      </c>
      <c r="F113" s="210"/>
      <c r="G113" s="210"/>
      <c r="H113" s="210"/>
      <c r="I113" s="210"/>
      <c r="J113" s="210"/>
      <c r="K113" s="210"/>
      <c r="L113" s="210"/>
      <c r="M113" s="210"/>
      <c r="N113" s="210" t="s">
        <v>1616</v>
      </c>
      <c r="O113" s="212" t="s">
        <v>1617</v>
      </c>
      <c r="P113" s="210"/>
      <c r="Q113" s="210"/>
      <c r="R113" s="210"/>
    </row>
    <row r="114" spans="1:18" ht="28.5" customHeight="1">
      <c r="A114" s="210">
        <v>108</v>
      </c>
      <c r="B114" s="210" t="s">
        <v>1605</v>
      </c>
      <c r="C114" s="210" t="s">
        <v>1528</v>
      </c>
      <c r="D114" s="211" t="s">
        <v>1609</v>
      </c>
      <c r="E114" s="215" t="s">
        <v>1618</v>
      </c>
      <c r="F114" s="210"/>
      <c r="G114" s="210"/>
      <c r="H114" s="210"/>
      <c r="I114" s="210"/>
      <c r="J114" s="210"/>
      <c r="K114" s="210"/>
      <c r="L114" s="210"/>
      <c r="M114" s="210"/>
      <c r="N114" s="211" t="s">
        <v>1566</v>
      </c>
      <c r="O114" s="218" t="s">
        <v>1531</v>
      </c>
      <c r="P114" s="210"/>
      <c r="Q114" s="210"/>
      <c r="R114" s="210"/>
    </row>
    <row r="115" spans="1:18" ht="28.5" customHeight="1">
      <c r="A115" s="210">
        <v>109</v>
      </c>
      <c r="B115" s="210" t="s">
        <v>1605</v>
      </c>
      <c r="C115" s="210" t="s">
        <v>1619</v>
      </c>
      <c r="D115" s="211" t="s">
        <v>1609</v>
      </c>
      <c r="E115" s="211" t="s">
        <v>1620</v>
      </c>
      <c r="F115" s="210"/>
      <c r="G115" s="210"/>
      <c r="H115" s="210"/>
      <c r="I115" s="210"/>
      <c r="J115" s="210"/>
      <c r="K115" s="210"/>
      <c r="L115" s="210"/>
      <c r="M115" s="210"/>
      <c r="N115" s="210" t="s">
        <v>1621</v>
      </c>
      <c r="O115" s="218" t="s">
        <v>1619</v>
      </c>
      <c r="P115" s="210"/>
      <c r="Q115" s="210"/>
      <c r="R115" s="210"/>
    </row>
    <row r="116" spans="1:18" ht="14.25" customHeight="1">
      <c r="A116" s="210">
        <v>110</v>
      </c>
      <c r="B116" s="210" t="s">
        <v>1605</v>
      </c>
      <c r="C116" s="210" t="s">
        <v>1619</v>
      </c>
      <c r="D116" s="211" t="s">
        <v>1609</v>
      </c>
      <c r="E116" s="211" t="s">
        <v>1622</v>
      </c>
      <c r="F116" s="210"/>
      <c r="G116" s="210"/>
      <c r="H116" s="210"/>
      <c r="I116" s="210"/>
      <c r="J116" s="210"/>
      <c r="K116" s="210"/>
      <c r="L116" s="210"/>
      <c r="M116" s="210"/>
      <c r="N116" s="210" t="s">
        <v>1621</v>
      </c>
      <c r="O116" s="218" t="s">
        <v>1619</v>
      </c>
      <c r="P116" s="210"/>
      <c r="Q116" s="210"/>
      <c r="R116" s="210"/>
    </row>
    <row r="117" spans="1:18" ht="28.5" customHeight="1">
      <c r="A117" s="210">
        <v>111</v>
      </c>
      <c r="B117" s="210" t="s">
        <v>1605</v>
      </c>
      <c r="C117" s="210" t="s">
        <v>1619</v>
      </c>
      <c r="D117" s="211" t="s">
        <v>1609</v>
      </c>
      <c r="E117" s="211" t="s">
        <v>1623</v>
      </c>
      <c r="F117" s="210"/>
      <c r="G117" s="210"/>
      <c r="H117" s="210"/>
      <c r="I117" s="210"/>
      <c r="J117" s="210"/>
      <c r="K117" s="210"/>
      <c r="L117" s="210"/>
      <c r="M117" s="210"/>
      <c r="N117" s="210" t="s">
        <v>1621</v>
      </c>
      <c r="O117" s="218" t="s">
        <v>1619</v>
      </c>
      <c r="P117" s="210"/>
      <c r="Q117" s="210"/>
      <c r="R117" s="210"/>
    </row>
    <row r="118" spans="1:18" ht="14.25" customHeight="1">
      <c r="A118" s="210">
        <v>112</v>
      </c>
      <c r="B118" s="210" t="s">
        <v>1605</v>
      </c>
      <c r="C118" s="210" t="s">
        <v>1426</v>
      </c>
      <c r="D118" s="211" t="s">
        <v>1624</v>
      </c>
      <c r="E118" s="215" t="s">
        <v>1625</v>
      </c>
      <c r="F118" s="210"/>
      <c r="G118" s="210"/>
      <c r="H118" s="210"/>
      <c r="I118" s="210"/>
      <c r="J118" s="210"/>
      <c r="K118" s="210"/>
      <c r="L118" s="210"/>
      <c r="M118" s="210"/>
      <c r="N118" s="211" t="s">
        <v>1626</v>
      </c>
      <c r="O118" s="212" t="s">
        <v>1430</v>
      </c>
      <c r="P118" s="210"/>
      <c r="Q118" s="210"/>
      <c r="R118" s="210"/>
    </row>
    <row r="119" spans="1:18" ht="28.5" customHeight="1">
      <c r="A119" s="210">
        <v>112</v>
      </c>
      <c r="B119" s="210" t="s">
        <v>1605</v>
      </c>
      <c r="C119" s="210" t="s">
        <v>1578</v>
      </c>
      <c r="D119" s="211" t="s">
        <v>1624</v>
      </c>
      <c r="E119" s="215" t="s">
        <v>1627</v>
      </c>
      <c r="F119" s="210"/>
      <c r="G119" s="210"/>
      <c r="H119" s="210"/>
      <c r="I119" s="210"/>
      <c r="J119" s="210"/>
      <c r="K119" s="210"/>
      <c r="L119" s="210"/>
      <c r="M119" s="210"/>
      <c r="N119" s="211" t="s">
        <v>1628</v>
      </c>
      <c r="O119" s="212" t="s">
        <v>1545</v>
      </c>
      <c r="P119" s="210"/>
      <c r="Q119" s="210"/>
      <c r="R119" s="210"/>
    </row>
    <row r="120" spans="1:18" ht="28.5" customHeight="1">
      <c r="A120" s="210">
        <v>113</v>
      </c>
      <c r="B120" s="210" t="s">
        <v>1605</v>
      </c>
      <c r="C120" s="210" t="s">
        <v>31</v>
      </c>
      <c r="D120" s="211" t="s">
        <v>1624</v>
      </c>
      <c r="E120" s="215" t="s">
        <v>1629</v>
      </c>
      <c r="F120" s="210"/>
      <c r="G120" s="210"/>
      <c r="H120" s="210"/>
      <c r="I120" s="210"/>
      <c r="J120" s="210"/>
      <c r="K120" s="210"/>
      <c r="L120" s="210"/>
      <c r="M120" s="210"/>
      <c r="N120" s="211" t="s">
        <v>1630</v>
      </c>
      <c r="O120" s="212" t="s">
        <v>1617</v>
      </c>
      <c r="P120" s="210"/>
      <c r="Q120" s="210"/>
      <c r="R120" s="210"/>
    </row>
    <row r="121" spans="1:18" ht="28.5" customHeight="1">
      <c r="A121" s="210">
        <v>114</v>
      </c>
      <c r="B121" s="210" t="s">
        <v>1605</v>
      </c>
      <c r="C121" s="210" t="s">
        <v>31</v>
      </c>
      <c r="D121" s="211" t="s">
        <v>1631</v>
      </c>
      <c r="E121" s="215" t="s">
        <v>1632</v>
      </c>
      <c r="F121" s="210"/>
      <c r="G121" s="210"/>
      <c r="H121" s="210"/>
      <c r="I121" s="210"/>
      <c r="J121" s="210"/>
      <c r="K121" s="210"/>
      <c r="L121" s="210"/>
      <c r="M121" s="210"/>
      <c r="N121" s="211" t="s">
        <v>1630</v>
      </c>
      <c r="O121" s="212" t="s">
        <v>1617</v>
      </c>
      <c r="P121" s="210"/>
      <c r="Q121" s="210"/>
      <c r="R121" s="210"/>
    </row>
    <row r="122" spans="1:18" ht="14.25" customHeight="1">
      <c r="A122" s="210">
        <v>115</v>
      </c>
      <c r="B122" s="210" t="s">
        <v>1605</v>
      </c>
      <c r="C122" s="210" t="s">
        <v>1426</v>
      </c>
      <c r="D122" s="211" t="s">
        <v>1631</v>
      </c>
      <c r="E122" s="215" t="s">
        <v>1633</v>
      </c>
      <c r="F122" s="210"/>
      <c r="G122" s="210"/>
      <c r="H122" s="210"/>
      <c r="I122" s="210"/>
      <c r="J122" s="210"/>
      <c r="K122" s="210"/>
      <c r="L122" s="210"/>
      <c r="M122" s="210"/>
      <c r="N122" s="210" t="s">
        <v>1634</v>
      </c>
      <c r="O122" s="218" t="s">
        <v>1430</v>
      </c>
      <c r="P122" s="210"/>
      <c r="Q122" s="210"/>
      <c r="R122" s="210"/>
    </row>
    <row r="123" spans="1:18" ht="28.5" customHeight="1">
      <c r="A123" s="210">
        <v>116</v>
      </c>
      <c r="B123" s="210" t="s">
        <v>1605</v>
      </c>
      <c r="C123" s="210"/>
      <c r="D123" s="211" t="s">
        <v>1635</v>
      </c>
      <c r="E123" s="215" t="s">
        <v>1636</v>
      </c>
      <c r="F123" s="210"/>
      <c r="G123" s="210"/>
      <c r="H123" s="210"/>
      <c r="I123" s="210"/>
      <c r="J123" s="210"/>
      <c r="K123" s="210"/>
      <c r="L123" s="210"/>
      <c r="M123" s="210"/>
      <c r="N123" s="210" t="s">
        <v>1637</v>
      </c>
      <c r="O123" s="212" t="s">
        <v>1433</v>
      </c>
      <c r="P123" s="210"/>
      <c r="Q123" s="210"/>
      <c r="R123" s="210"/>
    </row>
    <row r="124" spans="1:18" ht="28.5" customHeight="1">
      <c r="A124" s="210">
        <v>117</v>
      </c>
      <c r="B124" s="210" t="s">
        <v>1605</v>
      </c>
      <c r="C124" s="210"/>
      <c r="D124" s="211" t="s">
        <v>1635</v>
      </c>
      <c r="E124" s="215" t="s">
        <v>1638</v>
      </c>
      <c r="F124" s="210"/>
      <c r="G124" s="210"/>
      <c r="H124" s="210"/>
      <c r="I124" s="210"/>
      <c r="J124" s="210"/>
      <c r="K124" s="210"/>
      <c r="L124" s="210"/>
      <c r="M124" s="210"/>
      <c r="N124" s="211" t="s">
        <v>1508</v>
      </c>
      <c r="O124" s="212" t="s">
        <v>1639</v>
      </c>
      <c r="P124" s="210"/>
      <c r="Q124" s="210"/>
      <c r="R124" s="210"/>
    </row>
    <row r="125" spans="1:18" ht="14.25" customHeight="1">
      <c r="A125" s="210">
        <v>118</v>
      </c>
      <c r="B125" s="210" t="s">
        <v>1605</v>
      </c>
      <c r="C125" s="210"/>
      <c r="D125" s="211" t="s">
        <v>1635</v>
      </c>
      <c r="E125" s="215" t="s">
        <v>1640</v>
      </c>
      <c r="F125" s="210"/>
      <c r="G125" s="210"/>
      <c r="H125" s="210"/>
      <c r="I125" s="210"/>
      <c r="J125" s="210"/>
      <c r="K125" s="210"/>
      <c r="L125" s="210"/>
      <c r="M125" s="210"/>
      <c r="N125" s="211" t="s">
        <v>1508</v>
      </c>
      <c r="O125" s="212" t="s">
        <v>1639</v>
      </c>
      <c r="P125" s="210"/>
      <c r="Q125" s="210"/>
      <c r="R125" s="210"/>
    </row>
    <row r="126" spans="1:18" ht="14.25" customHeight="1">
      <c r="A126" s="210">
        <v>119</v>
      </c>
      <c r="B126" s="210" t="s">
        <v>1605</v>
      </c>
      <c r="C126" s="210"/>
      <c r="D126" s="211" t="s">
        <v>1635</v>
      </c>
      <c r="E126" s="211" t="s">
        <v>1641</v>
      </c>
      <c r="F126" s="210"/>
      <c r="G126" s="210"/>
      <c r="H126" s="210"/>
      <c r="I126" s="210"/>
      <c r="J126" s="210"/>
      <c r="K126" s="210"/>
      <c r="L126" s="210"/>
      <c r="M126" s="210"/>
      <c r="N126" s="211" t="s">
        <v>1508</v>
      </c>
      <c r="O126" s="212" t="s">
        <v>1639</v>
      </c>
      <c r="P126" s="210"/>
      <c r="Q126" s="210"/>
      <c r="R126" s="210"/>
    </row>
    <row r="127" spans="1:18" ht="14.25" customHeight="1">
      <c r="A127" s="210">
        <v>120</v>
      </c>
      <c r="B127" s="210" t="s">
        <v>1605</v>
      </c>
      <c r="C127" s="210"/>
      <c r="D127" s="211" t="s">
        <v>1635</v>
      </c>
      <c r="E127" s="211" t="s">
        <v>1642</v>
      </c>
      <c r="F127" s="210"/>
      <c r="G127" s="210"/>
      <c r="H127" s="210"/>
      <c r="I127" s="210"/>
      <c r="J127" s="210"/>
      <c r="K127" s="210"/>
      <c r="L127" s="210"/>
      <c r="M127" s="210"/>
      <c r="N127" s="211" t="s">
        <v>1508</v>
      </c>
      <c r="O127" s="212" t="s">
        <v>1639</v>
      </c>
      <c r="P127" s="210"/>
      <c r="Q127" s="210"/>
      <c r="R127" s="210"/>
    </row>
    <row r="128" spans="1:18" ht="14.25" customHeight="1">
      <c r="A128" s="210">
        <v>121</v>
      </c>
      <c r="B128" s="210" t="s">
        <v>1643</v>
      </c>
      <c r="C128" s="210" t="s">
        <v>31</v>
      </c>
      <c r="D128" s="211" t="s">
        <v>1644</v>
      </c>
      <c r="E128" s="211" t="s">
        <v>1645</v>
      </c>
      <c r="F128" s="210"/>
      <c r="G128" s="210"/>
      <c r="H128" s="210"/>
      <c r="I128" s="210"/>
      <c r="J128" s="210"/>
      <c r="K128" s="210"/>
      <c r="L128" s="210"/>
      <c r="M128" s="210"/>
      <c r="N128" s="211"/>
      <c r="O128" s="212" t="s">
        <v>1617</v>
      </c>
      <c r="P128" s="210"/>
      <c r="Q128" s="210"/>
      <c r="R128" s="210"/>
    </row>
    <row r="129" spans="1:18" ht="14.25" customHeight="1">
      <c r="A129" s="210">
        <v>122</v>
      </c>
      <c r="B129" s="210" t="s">
        <v>1643</v>
      </c>
      <c r="C129" s="210" t="s">
        <v>1426</v>
      </c>
      <c r="D129" s="211" t="s">
        <v>1644</v>
      </c>
      <c r="E129" s="211" t="s">
        <v>1646</v>
      </c>
      <c r="F129" s="210"/>
      <c r="G129" s="210"/>
      <c r="H129" s="210"/>
      <c r="I129" s="210"/>
      <c r="J129" s="210"/>
      <c r="K129" s="210"/>
      <c r="L129" s="210"/>
      <c r="M129" s="210"/>
      <c r="N129" s="211"/>
      <c r="O129" s="212" t="s">
        <v>1430</v>
      </c>
      <c r="P129" s="210"/>
      <c r="Q129" s="210"/>
      <c r="R129" s="210"/>
    </row>
    <row r="130" spans="1:18" ht="14.25" customHeight="1">
      <c r="A130" s="210">
        <v>123</v>
      </c>
      <c r="B130" s="210" t="s">
        <v>1643</v>
      </c>
      <c r="C130" s="210" t="s">
        <v>1426</v>
      </c>
      <c r="D130" s="211" t="s">
        <v>1647</v>
      </c>
      <c r="E130" s="211" t="s">
        <v>1648</v>
      </c>
      <c r="F130" s="210"/>
      <c r="G130" s="210"/>
      <c r="H130" s="210"/>
      <c r="I130" s="210"/>
      <c r="J130" s="210"/>
      <c r="K130" s="210"/>
      <c r="L130" s="210"/>
      <c r="M130" s="210"/>
      <c r="N130" s="211" t="s">
        <v>1508</v>
      </c>
      <c r="O130" s="212" t="s">
        <v>1430</v>
      </c>
      <c r="P130" s="210"/>
      <c r="Q130" s="210"/>
      <c r="R130" s="210"/>
    </row>
    <row r="131" spans="1:18" ht="28.5" customHeight="1">
      <c r="A131" s="210">
        <v>124</v>
      </c>
      <c r="B131" s="210" t="s">
        <v>1649</v>
      </c>
      <c r="C131" s="210"/>
      <c r="D131" s="211" t="s">
        <v>1650</v>
      </c>
      <c r="E131" s="215" t="s">
        <v>1651</v>
      </c>
      <c r="F131" s="210"/>
      <c r="G131" s="210"/>
      <c r="H131" s="210"/>
      <c r="I131" s="210"/>
      <c r="J131" s="210"/>
      <c r="K131" s="210"/>
      <c r="L131" s="210"/>
      <c r="M131" s="210"/>
      <c r="N131" s="210" t="s">
        <v>1637</v>
      </c>
      <c r="O131" s="212" t="s">
        <v>1433</v>
      </c>
      <c r="P131" s="210"/>
      <c r="Q131" s="210"/>
      <c r="R131" s="210"/>
    </row>
    <row r="132" spans="1:18" ht="28.5" customHeight="1">
      <c r="A132" s="210">
        <v>125</v>
      </c>
      <c r="B132" s="210" t="s">
        <v>1649</v>
      </c>
      <c r="C132" s="210"/>
      <c r="D132" s="211" t="s">
        <v>1650</v>
      </c>
      <c r="E132" s="215" t="s">
        <v>1652</v>
      </c>
      <c r="F132" s="210"/>
      <c r="G132" s="210"/>
      <c r="H132" s="210"/>
      <c r="I132" s="210"/>
      <c r="J132" s="210"/>
      <c r="K132" s="210"/>
      <c r="L132" s="210"/>
      <c r="M132" s="210"/>
      <c r="N132" s="211" t="s">
        <v>1653</v>
      </c>
      <c r="O132" s="212" t="s">
        <v>1433</v>
      </c>
      <c r="P132" s="210"/>
      <c r="Q132" s="210"/>
      <c r="R132" s="210"/>
    </row>
    <row r="133" spans="1:18" ht="28.5" customHeight="1">
      <c r="A133" s="210">
        <v>126</v>
      </c>
      <c r="B133" s="210" t="s">
        <v>1649</v>
      </c>
      <c r="C133" s="210" t="s">
        <v>31</v>
      </c>
      <c r="D133" s="211" t="s">
        <v>1654</v>
      </c>
      <c r="E133" s="215" t="s">
        <v>1655</v>
      </c>
      <c r="F133" s="210"/>
      <c r="G133" s="210"/>
      <c r="H133" s="210"/>
      <c r="I133" s="210"/>
      <c r="J133" s="210"/>
      <c r="K133" s="210"/>
      <c r="L133" s="210"/>
      <c r="M133" s="210"/>
      <c r="N133" s="211" t="s">
        <v>1630</v>
      </c>
      <c r="O133" s="212" t="s">
        <v>1656</v>
      </c>
      <c r="P133" s="210"/>
      <c r="Q133" s="210"/>
      <c r="R133" s="210"/>
    </row>
    <row r="134" spans="1:18" ht="28.5" customHeight="1">
      <c r="A134" s="210">
        <v>127</v>
      </c>
      <c r="B134" s="210" t="s">
        <v>1649</v>
      </c>
      <c r="C134" s="210" t="s">
        <v>1528</v>
      </c>
      <c r="D134" s="211" t="s">
        <v>1654</v>
      </c>
      <c r="E134" s="215" t="s">
        <v>1657</v>
      </c>
      <c r="F134" s="210"/>
      <c r="G134" s="210"/>
      <c r="H134" s="210"/>
      <c r="I134" s="210"/>
      <c r="J134" s="210"/>
      <c r="K134" s="210"/>
      <c r="L134" s="210"/>
      <c r="M134" s="210"/>
      <c r="N134" s="211" t="s">
        <v>1630</v>
      </c>
      <c r="O134" s="212" t="s">
        <v>1531</v>
      </c>
      <c r="P134" s="210"/>
      <c r="Q134" s="210"/>
      <c r="R134" s="210"/>
    </row>
    <row r="135" spans="1:18" ht="28.5" customHeight="1">
      <c r="A135" s="210">
        <v>128</v>
      </c>
      <c r="B135" s="210" t="s">
        <v>1649</v>
      </c>
      <c r="C135" s="210" t="s">
        <v>1470</v>
      </c>
      <c r="D135" s="211" t="s">
        <v>1658</v>
      </c>
      <c r="E135" s="215" t="s">
        <v>1659</v>
      </c>
      <c r="F135" s="210"/>
      <c r="G135" s="210"/>
      <c r="H135" s="210"/>
      <c r="I135" s="210"/>
      <c r="J135" s="210"/>
      <c r="K135" s="210"/>
      <c r="L135" s="210"/>
      <c r="M135" s="210"/>
      <c r="N135" s="211" t="s">
        <v>1660</v>
      </c>
      <c r="O135" s="212" t="s">
        <v>1470</v>
      </c>
      <c r="P135" s="210"/>
      <c r="Q135" s="210"/>
      <c r="R135" s="210"/>
    </row>
    <row r="136" spans="1:18" ht="14.25" customHeight="1">
      <c r="A136" s="210">
        <v>129</v>
      </c>
      <c r="B136" s="210" t="s">
        <v>1649</v>
      </c>
      <c r="C136" s="210" t="s">
        <v>1578</v>
      </c>
      <c r="D136" s="211" t="s">
        <v>1658</v>
      </c>
      <c r="E136" s="215" t="s">
        <v>1661</v>
      </c>
      <c r="F136" s="210"/>
      <c r="G136" s="210"/>
      <c r="H136" s="210"/>
      <c r="I136" s="210"/>
      <c r="J136" s="210"/>
      <c r="K136" s="210"/>
      <c r="L136" s="210"/>
      <c r="M136" s="210"/>
      <c r="N136" s="211" t="s">
        <v>1662</v>
      </c>
      <c r="O136" s="212" t="s">
        <v>1545</v>
      </c>
      <c r="P136" s="210"/>
      <c r="Q136" s="210"/>
      <c r="R136" s="210"/>
    </row>
    <row r="137" spans="1:18" ht="14.25" customHeight="1">
      <c r="A137" s="210">
        <v>130</v>
      </c>
      <c r="B137" s="210" t="s">
        <v>1663</v>
      </c>
      <c r="C137" s="210"/>
      <c r="D137" s="211" t="s">
        <v>1664</v>
      </c>
      <c r="E137" s="215" t="s">
        <v>1665</v>
      </c>
      <c r="F137" s="210"/>
      <c r="G137" s="210"/>
      <c r="H137" s="210"/>
      <c r="I137" s="210"/>
      <c r="J137" s="210"/>
      <c r="K137" s="210"/>
      <c r="L137" s="210"/>
      <c r="M137" s="210"/>
      <c r="N137" s="210"/>
      <c r="O137" s="212" t="s">
        <v>1639</v>
      </c>
      <c r="P137" s="210"/>
      <c r="Q137" s="210"/>
      <c r="R137" s="210"/>
    </row>
    <row r="138" spans="1:18" ht="14.25" customHeight="1">
      <c r="A138" s="210">
        <v>131</v>
      </c>
      <c r="B138" s="210" t="s">
        <v>1663</v>
      </c>
      <c r="C138" s="210" t="s">
        <v>1592</v>
      </c>
      <c r="D138" s="211" t="s">
        <v>1664</v>
      </c>
      <c r="E138" s="215" t="s">
        <v>1666</v>
      </c>
      <c r="F138" s="210"/>
      <c r="G138" s="210"/>
      <c r="H138" s="210"/>
      <c r="I138" s="210"/>
      <c r="J138" s="210"/>
      <c r="K138" s="210"/>
      <c r="L138" s="210"/>
      <c r="M138" s="210"/>
      <c r="N138" s="210" t="s">
        <v>1667</v>
      </c>
      <c r="O138" s="218" t="s">
        <v>1595</v>
      </c>
      <c r="P138" s="210"/>
      <c r="Q138" s="210"/>
      <c r="R138" s="210"/>
    </row>
    <row r="139" spans="1:18" ht="14.25" customHeight="1">
      <c r="A139" s="210">
        <v>132</v>
      </c>
      <c r="B139" s="210" t="s">
        <v>1663</v>
      </c>
      <c r="C139" s="210"/>
      <c r="D139" s="211" t="s">
        <v>1668</v>
      </c>
      <c r="E139" s="215" t="s">
        <v>1669</v>
      </c>
      <c r="F139" s="210"/>
      <c r="G139" s="210"/>
      <c r="H139" s="210"/>
      <c r="I139" s="210"/>
      <c r="J139" s="210"/>
      <c r="K139" s="210"/>
      <c r="L139" s="210"/>
      <c r="M139" s="210"/>
      <c r="N139" s="210" t="s">
        <v>1670</v>
      </c>
      <c r="O139" s="212" t="s">
        <v>1433</v>
      </c>
      <c r="P139" s="210"/>
      <c r="Q139" s="210"/>
      <c r="R139" s="210"/>
    </row>
    <row r="140" spans="1:18" ht="28.5" customHeight="1">
      <c r="A140" s="210">
        <v>133</v>
      </c>
      <c r="B140" s="210" t="s">
        <v>1663</v>
      </c>
      <c r="C140" s="210"/>
      <c r="D140" s="211" t="s">
        <v>1668</v>
      </c>
      <c r="E140" s="215" t="s">
        <v>1671</v>
      </c>
      <c r="F140" s="210"/>
      <c r="G140" s="210"/>
      <c r="H140" s="210"/>
      <c r="I140" s="210"/>
      <c r="J140" s="210"/>
      <c r="K140" s="210"/>
      <c r="L140" s="210"/>
      <c r="M140" s="210"/>
      <c r="N140" s="211" t="s">
        <v>1672</v>
      </c>
      <c r="O140" s="212" t="s">
        <v>1433</v>
      </c>
      <c r="P140" s="210"/>
      <c r="Q140" s="210"/>
      <c r="R140" s="210"/>
    </row>
    <row r="141" spans="1:18" ht="28.5" customHeight="1">
      <c r="A141" s="210">
        <v>134</v>
      </c>
      <c r="B141" s="210" t="s">
        <v>1663</v>
      </c>
      <c r="C141" s="210" t="s">
        <v>1528</v>
      </c>
      <c r="D141" s="211" t="s">
        <v>1673</v>
      </c>
      <c r="E141" s="215" t="s">
        <v>1674</v>
      </c>
      <c r="F141" s="210"/>
      <c r="G141" s="210"/>
      <c r="H141" s="210"/>
      <c r="I141" s="210"/>
      <c r="J141" s="210"/>
      <c r="K141" s="210"/>
      <c r="L141" s="210"/>
      <c r="M141" s="210"/>
      <c r="N141" s="210" t="s">
        <v>1634</v>
      </c>
      <c r="O141" s="218" t="s">
        <v>1531</v>
      </c>
      <c r="P141" s="210"/>
      <c r="Q141" s="210"/>
      <c r="R141" s="210"/>
    </row>
    <row r="142" spans="1:18" ht="28.5" customHeight="1">
      <c r="A142" s="210">
        <v>135</v>
      </c>
      <c r="B142" s="210" t="s">
        <v>1663</v>
      </c>
      <c r="C142" s="210" t="s">
        <v>1528</v>
      </c>
      <c r="D142" s="211" t="s">
        <v>1673</v>
      </c>
      <c r="E142" s="215" t="s">
        <v>1675</v>
      </c>
      <c r="F142" s="210"/>
      <c r="G142" s="210"/>
      <c r="H142" s="210"/>
      <c r="I142" s="210"/>
      <c r="J142" s="210"/>
      <c r="K142" s="210"/>
      <c r="L142" s="210"/>
      <c r="M142" s="210"/>
      <c r="N142" s="210" t="s">
        <v>1634</v>
      </c>
      <c r="O142" s="218" t="s">
        <v>1531</v>
      </c>
      <c r="P142" s="210"/>
      <c r="Q142" s="210"/>
      <c r="R142" s="210"/>
    </row>
    <row r="143" spans="1:18" ht="28.5" customHeight="1">
      <c r="A143" s="210">
        <v>136</v>
      </c>
      <c r="B143" s="210" t="s">
        <v>1663</v>
      </c>
      <c r="C143" s="210" t="s">
        <v>1426</v>
      </c>
      <c r="D143" s="211" t="s">
        <v>1676</v>
      </c>
      <c r="E143" s="211" t="s">
        <v>1677</v>
      </c>
      <c r="F143" s="210"/>
      <c r="G143" s="210"/>
      <c r="H143" s="210"/>
      <c r="I143" s="210"/>
      <c r="J143" s="210"/>
      <c r="K143" s="210"/>
      <c r="L143" s="210"/>
      <c r="M143" s="210"/>
      <c r="N143" s="211" t="s">
        <v>1508</v>
      </c>
      <c r="O143" s="212" t="s">
        <v>1430</v>
      </c>
      <c r="P143" s="210"/>
      <c r="Q143" s="210"/>
      <c r="R143" s="210"/>
    </row>
    <row r="144" spans="1:18" ht="28.5" customHeight="1">
      <c r="A144" s="210">
        <v>137</v>
      </c>
      <c r="B144" s="210" t="s">
        <v>1663</v>
      </c>
      <c r="C144" s="210" t="s">
        <v>1426</v>
      </c>
      <c r="D144" s="211" t="s">
        <v>1678</v>
      </c>
      <c r="E144" s="215" t="s">
        <v>1679</v>
      </c>
      <c r="F144" s="210"/>
      <c r="G144" s="210"/>
      <c r="H144" s="210"/>
      <c r="I144" s="210"/>
      <c r="J144" s="210"/>
      <c r="K144" s="210"/>
      <c r="L144" s="210"/>
      <c r="M144" s="210"/>
      <c r="N144" s="211" t="s">
        <v>1508</v>
      </c>
      <c r="O144" s="212" t="s">
        <v>1430</v>
      </c>
      <c r="P144" s="210"/>
      <c r="Q144" s="210"/>
      <c r="R144" s="210"/>
    </row>
    <row r="145" spans="1:18" ht="14.25" customHeight="1">
      <c r="A145" s="210">
        <v>138</v>
      </c>
      <c r="B145" s="210" t="s">
        <v>1663</v>
      </c>
      <c r="C145" s="210" t="s">
        <v>1426</v>
      </c>
      <c r="D145" s="211" t="s">
        <v>1678</v>
      </c>
      <c r="E145" s="215" t="s">
        <v>1680</v>
      </c>
      <c r="F145" s="210"/>
      <c r="G145" s="210"/>
      <c r="H145" s="210"/>
      <c r="I145" s="210"/>
      <c r="J145" s="210"/>
      <c r="K145" s="210"/>
      <c r="L145" s="210"/>
      <c r="M145" s="210"/>
      <c r="N145" s="211" t="s">
        <v>1681</v>
      </c>
      <c r="O145" s="212" t="s">
        <v>1430</v>
      </c>
      <c r="P145" s="210"/>
      <c r="Q145" s="210"/>
      <c r="R145" s="210"/>
    </row>
    <row r="146" spans="1:18" ht="14.25" customHeight="1">
      <c r="A146" s="210">
        <v>139</v>
      </c>
      <c r="B146" s="210" t="s">
        <v>1682</v>
      </c>
      <c r="C146" s="210" t="s">
        <v>1426</v>
      </c>
      <c r="D146" s="211" t="s">
        <v>1683</v>
      </c>
      <c r="E146" s="215" t="s">
        <v>1684</v>
      </c>
      <c r="F146" s="210"/>
      <c r="G146" s="210"/>
      <c r="H146" s="210"/>
      <c r="I146" s="210"/>
      <c r="J146" s="210"/>
      <c r="K146" s="210"/>
      <c r="L146" s="210"/>
      <c r="M146" s="210"/>
      <c r="N146" s="211" t="s">
        <v>1681</v>
      </c>
      <c r="O146" s="212" t="s">
        <v>1430</v>
      </c>
      <c r="P146" s="210"/>
      <c r="Q146" s="210"/>
      <c r="R146" s="210"/>
    </row>
    <row r="147" spans="1:18" ht="14.25" customHeight="1">
      <c r="A147" s="210">
        <v>140</v>
      </c>
      <c r="B147" s="210" t="s">
        <v>1682</v>
      </c>
      <c r="C147" s="210" t="s">
        <v>1426</v>
      </c>
      <c r="D147" s="211" t="s">
        <v>1683</v>
      </c>
      <c r="E147" s="215" t="s">
        <v>1685</v>
      </c>
      <c r="F147" s="210"/>
      <c r="G147" s="210"/>
      <c r="H147" s="210"/>
      <c r="I147" s="210"/>
      <c r="J147" s="210"/>
      <c r="K147" s="210"/>
      <c r="L147" s="210"/>
      <c r="M147" s="210"/>
      <c r="N147" s="211" t="s">
        <v>1681</v>
      </c>
      <c r="O147" s="212" t="s">
        <v>1430</v>
      </c>
      <c r="P147" s="210"/>
      <c r="Q147" s="210"/>
      <c r="R147" s="210"/>
    </row>
    <row r="148" spans="1:18" ht="14.25" customHeight="1">
      <c r="A148" s="210">
        <v>141</v>
      </c>
      <c r="B148" s="210" t="s">
        <v>1682</v>
      </c>
      <c r="C148" s="210" t="s">
        <v>1426</v>
      </c>
      <c r="D148" s="211" t="s">
        <v>1683</v>
      </c>
      <c r="E148" s="211" t="s">
        <v>1686</v>
      </c>
      <c r="F148" s="210"/>
      <c r="G148" s="210"/>
      <c r="H148" s="210"/>
      <c r="I148" s="210"/>
      <c r="J148" s="210"/>
      <c r="K148" s="210"/>
      <c r="L148" s="210"/>
      <c r="M148" s="210"/>
      <c r="N148" s="211" t="s">
        <v>1681</v>
      </c>
      <c r="O148" s="212" t="s">
        <v>1430</v>
      </c>
      <c r="P148" s="210"/>
      <c r="Q148" s="210"/>
      <c r="R148" s="210"/>
    </row>
    <row r="149" spans="1:18" ht="14.25" customHeight="1">
      <c r="A149" s="210">
        <v>142</v>
      </c>
      <c r="B149" s="210" t="s">
        <v>1682</v>
      </c>
      <c r="C149" s="210" t="s">
        <v>1426</v>
      </c>
      <c r="D149" s="211" t="s">
        <v>1687</v>
      </c>
      <c r="E149" s="215" t="s">
        <v>1688</v>
      </c>
      <c r="F149" s="210"/>
      <c r="G149" s="210"/>
      <c r="H149" s="210"/>
      <c r="I149" s="210"/>
      <c r="J149" s="210"/>
      <c r="K149" s="210"/>
      <c r="L149" s="210"/>
      <c r="M149" s="210"/>
      <c r="N149" s="211" t="s">
        <v>1508</v>
      </c>
      <c r="O149" s="212" t="s">
        <v>1430</v>
      </c>
      <c r="P149" s="210"/>
      <c r="Q149" s="210"/>
      <c r="R149" s="210"/>
    </row>
    <row r="150" spans="1:18" ht="28.5" customHeight="1">
      <c r="A150" s="210">
        <v>143</v>
      </c>
      <c r="B150" s="210" t="s">
        <v>1682</v>
      </c>
      <c r="C150" s="210" t="s">
        <v>1426</v>
      </c>
      <c r="D150" s="211" t="s">
        <v>1687</v>
      </c>
      <c r="E150" s="215" t="s">
        <v>1689</v>
      </c>
      <c r="F150" s="210"/>
      <c r="G150" s="210"/>
      <c r="H150" s="210"/>
      <c r="I150" s="210"/>
      <c r="J150" s="210"/>
      <c r="K150" s="210"/>
      <c r="L150" s="210"/>
      <c r="M150" s="210"/>
      <c r="N150" s="211" t="s">
        <v>1508</v>
      </c>
      <c r="O150" s="212" t="s">
        <v>1430</v>
      </c>
      <c r="P150" s="210"/>
      <c r="Q150" s="210"/>
      <c r="R150" s="210"/>
    </row>
    <row r="151" spans="1:18" ht="28.5" customHeight="1">
      <c r="A151" s="210">
        <v>144</v>
      </c>
      <c r="B151" s="210" t="s">
        <v>1682</v>
      </c>
      <c r="C151" s="210" t="s">
        <v>1426</v>
      </c>
      <c r="D151" s="211" t="s">
        <v>1690</v>
      </c>
      <c r="E151" s="215" t="s">
        <v>1691</v>
      </c>
      <c r="F151" s="210"/>
      <c r="G151" s="210"/>
      <c r="H151" s="210"/>
      <c r="I151" s="210"/>
      <c r="J151" s="210"/>
      <c r="K151" s="210"/>
      <c r="L151" s="210"/>
      <c r="M151" s="210"/>
      <c r="N151" s="211" t="s">
        <v>1508</v>
      </c>
      <c r="O151" s="212" t="s">
        <v>1430</v>
      </c>
      <c r="P151" s="210"/>
      <c r="Q151" s="210"/>
      <c r="R151" s="210"/>
    </row>
    <row r="152" spans="1:18" ht="28.5" customHeight="1">
      <c r="A152" s="210">
        <v>145</v>
      </c>
      <c r="B152" s="210" t="s">
        <v>1682</v>
      </c>
      <c r="C152" s="210" t="s">
        <v>1426</v>
      </c>
      <c r="D152" s="211" t="s">
        <v>1690</v>
      </c>
      <c r="E152" s="215" t="s">
        <v>1692</v>
      </c>
      <c r="F152" s="210"/>
      <c r="G152" s="210"/>
      <c r="H152" s="210"/>
      <c r="I152" s="210"/>
      <c r="J152" s="210"/>
      <c r="K152" s="210"/>
      <c r="L152" s="210"/>
      <c r="M152" s="210"/>
      <c r="N152" s="211" t="s">
        <v>1508</v>
      </c>
      <c r="O152" s="212" t="s">
        <v>1430</v>
      </c>
      <c r="P152" s="210"/>
      <c r="Q152" s="210"/>
      <c r="R152" s="210"/>
    </row>
    <row r="153" spans="1:18" ht="14.25" customHeight="1">
      <c r="A153" s="210">
        <v>146</v>
      </c>
      <c r="B153" s="210" t="s">
        <v>1682</v>
      </c>
      <c r="C153" s="210" t="s">
        <v>1426</v>
      </c>
      <c r="D153" s="211" t="s">
        <v>1693</v>
      </c>
      <c r="E153" s="215" t="s">
        <v>1694</v>
      </c>
      <c r="F153" s="210"/>
      <c r="G153" s="210"/>
      <c r="H153" s="210"/>
      <c r="I153" s="210"/>
      <c r="J153" s="210"/>
      <c r="K153" s="210"/>
      <c r="L153" s="210"/>
      <c r="M153" s="210"/>
      <c r="N153" s="211" t="s">
        <v>1508</v>
      </c>
      <c r="O153" s="212" t="s">
        <v>1430</v>
      </c>
      <c r="P153" s="210"/>
      <c r="Q153" s="210"/>
      <c r="R153" s="210"/>
    </row>
    <row r="154" spans="1:18" ht="14.25" customHeight="1">
      <c r="A154" s="210">
        <v>147</v>
      </c>
      <c r="B154" s="210" t="s">
        <v>1682</v>
      </c>
      <c r="C154" s="210" t="s">
        <v>1528</v>
      </c>
      <c r="D154" s="211" t="s">
        <v>1693</v>
      </c>
      <c r="E154" s="215" t="s">
        <v>1695</v>
      </c>
      <c r="F154" s="210"/>
      <c r="G154" s="210"/>
      <c r="H154" s="210"/>
      <c r="I154" s="210"/>
      <c r="J154" s="210"/>
      <c r="K154" s="210"/>
      <c r="L154" s="210"/>
      <c r="M154" s="210"/>
      <c r="N154" s="210" t="s">
        <v>1634</v>
      </c>
      <c r="O154" s="218" t="s">
        <v>1531</v>
      </c>
      <c r="P154" s="210"/>
      <c r="Q154" s="210"/>
      <c r="R154" s="210"/>
    </row>
    <row r="155" spans="1:18" ht="14.25" customHeight="1">
      <c r="A155" s="210">
        <v>148</v>
      </c>
      <c r="B155" s="210" t="s">
        <v>1682</v>
      </c>
      <c r="C155" s="210" t="s">
        <v>1426</v>
      </c>
      <c r="D155" s="211" t="s">
        <v>1696</v>
      </c>
      <c r="E155" s="215" t="s">
        <v>1697</v>
      </c>
      <c r="F155" s="210"/>
      <c r="G155" s="210"/>
      <c r="H155" s="210"/>
      <c r="I155" s="210"/>
      <c r="J155" s="210"/>
      <c r="K155" s="210"/>
      <c r="L155" s="210"/>
      <c r="M155" s="210"/>
      <c r="N155" s="211" t="s">
        <v>1681</v>
      </c>
      <c r="O155" s="212" t="s">
        <v>1430</v>
      </c>
      <c r="P155" s="210"/>
      <c r="Q155" s="210"/>
      <c r="R155" s="210"/>
    </row>
    <row r="156" spans="1:18" ht="28.5" customHeight="1">
      <c r="A156" s="210">
        <v>149</v>
      </c>
      <c r="B156" s="210" t="s">
        <v>1698</v>
      </c>
      <c r="C156" s="210" t="s">
        <v>1528</v>
      </c>
      <c r="D156" s="211" t="s">
        <v>1699</v>
      </c>
      <c r="E156" s="215" t="s">
        <v>1700</v>
      </c>
      <c r="F156" s="210"/>
      <c r="G156" s="210"/>
      <c r="H156" s="210"/>
      <c r="I156" s="210"/>
      <c r="J156" s="210"/>
      <c r="K156" s="210"/>
      <c r="L156" s="210"/>
      <c r="M156" s="210"/>
      <c r="N156" s="210" t="s">
        <v>1634</v>
      </c>
      <c r="O156" s="218" t="s">
        <v>1531</v>
      </c>
      <c r="P156" s="210"/>
      <c r="Q156" s="210"/>
      <c r="R156" s="210"/>
    </row>
    <row r="157" spans="1:18" ht="14.25" customHeight="1">
      <c r="A157" s="210">
        <v>150</v>
      </c>
      <c r="B157" s="210" t="s">
        <v>1698</v>
      </c>
      <c r="C157" s="210" t="s">
        <v>1528</v>
      </c>
      <c r="D157" s="211" t="s">
        <v>1699</v>
      </c>
      <c r="E157" s="215" t="s">
        <v>1701</v>
      </c>
      <c r="F157" s="210"/>
      <c r="G157" s="210"/>
      <c r="H157" s="210"/>
      <c r="I157" s="210"/>
      <c r="J157" s="210"/>
      <c r="K157" s="210"/>
      <c r="L157" s="210"/>
      <c r="M157" s="210"/>
      <c r="N157" s="210" t="s">
        <v>1634</v>
      </c>
      <c r="O157" s="218" t="s">
        <v>1531</v>
      </c>
      <c r="P157" s="210"/>
      <c r="Q157" s="210"/>
      <c r="R157" s="210"/>
    </row>
    <row r="158" spans="1:18" ht="14.25" customHeight="1">
      <c r="A158" s="210">
        <v>151</v>
      </c>
      <c r="B158" s="210" t="s">
        <v>1698</v>
      </c>
      <c r="C158" s="210" t="s">
        <v>1702</v>
      </c>
      <c r="D158" s="211" t="s">
        <v>1703</v>
      </c>
      <c r="E158" s="215" t="s">
        <v>1704</v>
      </c>
      <c r="F158" s="210"/>
      <c r="G158" s="210"/>
      <c r="H158" s="210"/>
      <c r="I158" s="210"/>
      <c r="J158" s="210"/>
      <c r="K158" s="210"/>
      <c r="L158" s="210"/>
      <c r="M158" s="210"/>
      <c r="N158" s="210" t="s">
        <v>1705</v>
      </c>
      <c r="O158" s="218" t="s">
        <v>1706</v>
      </c>
      <c r="P158" s="210"/>
      <c r="Q158" s="210"/>
      <c r="R158" s="210"/>
    </row>
    <row r="159" spans="1:18" ht="14.25" customHeight="1">
      <c r="A159" s="210">
        <v>152</v>
      </c>
      <c r="B159" s="210" t="s">
        <v>1698</v>
      </c>
      <c r="C159" s="210" t="s">
        <v>1426</v>
      </c>
      <c r="D159" s="211" t="s">
        <v>1703</v>
      </c>
      <c r="E159" s="215" t="s">
        <v>1707</v>
      </c>
      <c r="F159" s="210"/>
      <c r="G159" s="210"/>
      <c r="H159" s="210"/>
      <c r="I159" s="210"/>
      <c r="J159" s="210"/>
      <c r="K159" s="210"/>
      <c r="L159" s="210"/>
      <c r="M159" s="210"/>
      <c r="N159" s="210" t="s">
        <v>1705</v>
      </c>
      <c r="O159" s="218" t="s">
        <v>1430</v>
      </c>
      <c r="P159" s="210"/>
      <c r="Q159" s="210"/>
      <c r="R159" s="210"/>
    </row>
    <row r="160" spans="1:18" ht="14.25" customHeight="1">
      <c r="A160" s="210">
        <v>153</v>
      </c>
      <c r="B160" s="210" t="s">
        <v>1708</v>
      </c>
      <c r="C160" s="210" t="s">
        <v>319</v>
      </c>
      <c r="D160" s="211" t="s">
        <v>1709</v>
      </c>
      <c r="E160" s="211" t="s">
        <v>1710</v>
      </c>
      <c r="F160" s="210"/>
      <c r="G160" s="210"/>
      <c r="H160" s="210"/>
      <c r="I160" s="210"/>
      <c r="J160" s="210"/>
      <c r="K160" s="210"/>
      <c r="L160" s="210"/>
      <c r="M160" s="210"/>
      <c r="N160" s="211" t="s">
        <v>1564</v>
      </c>
      <c r="O160" s="218" t="s">
        <v>319</v>
      </c>
      <c r="P160" s="210"/>
      <c r="Q160" s="210"/>
      <c r="R160" s="210"/>
    </row>
    <row r="161" spans="1:18" ht="14.25" customHeight="1">
      <c r="A161" s="210">
        <v>154</v>
      </c>
      <c r="B161" s="210" t="s">
        <v>1708</v>
      </c>
      <c r="C161" s="210" t="s">
        <v>319</v>
      </c>
      <c r="D161" s="211" t="s">
        <v>1709</v>
      </c>
      <c r="E161" s="211" t="s">
        <v>1711</v>
      </c>
      <c r="F161" s="210"/>
      <c r="G161" s="210"/>
      <c r="H161" s="210"/>
      <c r="I161" s="210"/>
      <c r="J161" s="210"/>
      <c r="K161" s="210"/>
      <c r="L161" s="210"/>
      <c r="M161" s="210"/>
      <c r="N161" s="211" t="s">
        <v>1564</v>
      </c>
      <c r="O161" s="218" t="s">
        <v>319</v>
      </c>
      <c r="P161" s="210"/>
      <c r="Q161" s="210"/>
      <c r="R161" s="210"/>
    </row>
    <row r="162" spans="1:18" ht="14.25" customHeight="1">
      <c r="A162" s="210">
        <v>155</v>
      </c>
      <c r="B162" s="210" t="s">
        <v>1708</v>
      </c>
      <c r="C162" s="210" t="s">
        <v>319</v>
      </c>
      <c r="D162" s="211" t="s">
        <v>1709</v>
      </c>
      <c r="E162" s="211" t="s">
        <v>1712</v>
      </c>
      <c r="F162" s="210"/>
      <c r="G162" s="210"/>
      <c r="H162" s="210"/>
      <c r="I162" s="210"/>
      <c r="J162" s="210"/>
      <c r="K162" s="210"/>
      <c r="L162" s="210"/>
      <c r="M162" s="210"/>
      <c r="N162" s="211" t="s">
        <v>1564</v>
      </c>
      <c r="O162" s="218" t="s">
        <v>319</v>
      </c>
      <c r="P162" s="210"/>
      <c r="Q162" s="210"/>
      <c r="R162" s="210"/>
    </row>
    <row r="163" spans="1:18" ht="14.25" customHeight="1">
      <c r="A163" s="210">
        <v>156</v>
      </c>
      <c r="B163" s="210" t="s">
        <v>1708</v>
      </c>
      <c r="C163" s="210" t="s">
        <v>319</v>
      </c>
      <c r="D163" s="211" t="s">
        <v>1709</v>
      </c>
      <c r="E163" s="211" t="s">
        <v>1713</v>
      </c>
      <c r="F163" s="210"/>
      <c r="G163" s="210"/>
      <c r="H163" s="210"/>
      <c r="I163" s="210"/>
      <c r="J163" s="210"/>
      <c r="K163" s="210"/>
      <c r="L163" s="210"/>
      <c r="M163" s="210"/>
      <c r="N163" s="211" t="s">
        <v>1564</v>
      </c>
      <c r="O163" s="218" t="s">
        <v>319</v>
      </c>
      <c r="P163" s="210"/>
      <c r="Q163" s="210"/>
      <c r="R163" s="210"/>
    </row>
    <row r="164" spans="1:18" ht="14.25" customHeight="1">
      <c r="A164" s="210">
        <v>157</v>
      </c>
      <c r="B164" s="210" t="s">
        <v>1708</v>
      </c>
      <c r="C164" s="210" t="s">
        <v>319</v>
      </c>
      <c r="D164" s="211" t="s">
        <v>1709</v>
      </c>
      <c r="E164" s="211" t="s">
        <v>1714</v>
      </c>
      <c r="F164" s="210"/>
      <c r="G164" s="210"/>
      <c r="H164" s="210"/>
      <c r="I164" s="210"/>
      <c r="J164" s="210"/>
      <c r="K164" s="210"/>
      <c r="L164" s="210"/>
      <c r="M164" s="210"/>
      <c r="N164" s="211" t="s">
        <v>1564</v>
      </c>
      <c r="O164" s="218" t="s">
        <v>319</v>
      </c>
      <c r="P164" s="210"/>
      <c r="Q164" s="210"/>
      <c r="R164" s="210"/>
    </row>
    <row r="165" spans="1:18" ht="28.5" customHeight="1">
      <c r="A165" s="210">
        <v>158</v>
      </c>
      <c r="B165" s="210" t="s">
        <v>1708</v>
      </c>
      <c r="C165" s="210" t="s">
        <v>319</v>
      </c>
      <c r="D165" s="211" t="s">
        <v>1709</v>
      </c>
      <c r="E165" s="211" t="s">
        <v>1715</v>
      </c>
      <c r="F165" s="210"/>
      <c r="G165" s="210"/>
      <c r="H165" s="210"/>
      <c r="I165" s="210"/>
      <c r="J165" s="210"/>
      <c r="K165" s="210"/>
      <c r="L165" s="210"/>
      <c r="M165" s="210"/>
      <c r="N165" s="211" t="s">
        <v>1564</v>
      </c>
      <c r="O165" s="218" t="s">
        <v>319</v>
      </c>
      <c r="P165" s="210"/>
      <c r="Q165" s="210"/>
      <c r="R165" s="210"/>
    </row>
    <row r="166" spans="1:18" ht="14.25" customHeight="1">
      <c r="A166" s="210">
        <v>159</v>
      </c>
      <c r="B166" s="210" t="s">
        <v>1708</v>
      </c>
      <c r="C166" s="210" t="s">
        <v>319</v>
      </c>
      <c r="D166" s="211" t="s">
        <v>1709</v>
      </c>
      <c r="E166" s="211" t="s">
        <v>1564</v>
      </c>
      <c r="F166" s="210"/>
      <c r="G166" s="210"/>
      <c r="H166" s="210"/>
      <c r="I166" s="210"/>
      <c r="J166" s="210"/>
      <c r="K166" s="210"/>
      <c r="L166" s="210"/>
      <c r="M166" s="210"/>
      <c r="N166" s="211" t="s">
        <v>1564</v>
      </c>
      <c r="O166" s="218" t="s">
        <v>319</v>
      </c>
      <c r="P166" s="210"/>
      <c r="Q166" s="210"/>
      <c r="R166" s="210"/>
    </row>
    <row r="167" spans="1:18" ht="28.5" customHeight="1">
      <c r="A167" s="210">
        <v>160</v>
      </c>
      <c r="B167" s="210" t="s">
        <v>1708</v>
      </c>
      <c r="C167" s="210" t="s">
        <v>1426</v>
      </c>
      <c r="D167" s="211" t="s">
        <v>1709</v>
      </c>
      <c r="E167" s="211" t="s">
        <v>1716</v>
      </c>
      <c r="F167" s="210"/>
      <c r="G167" s="210"/>
      <c r="H167" s="210"/>
      <c r="I167" s="210"/>
      <c r="J167" s="210"/>
      <c r="K167" s="210"/>
      <c r="L167" s="210"/>
      <c r="M167" s="210"/>
      <c r="N167" s="211" t="s">
        <v>1717</v>
      </c>
      <c r="O167" s="212" t="s">
        <v>1430</v>
      </c>
      <c r="P167" s="210"/>
      <c r="Q167" s="210"/>
      <c r="R167" s="210"/>
    </row>
    <row r="168" spans="1:18" ht="28.5" customHeight="1">
      <c r="A168" s="210">
        <v>161</v>
      </c>
      <c r="B168" s="210" t="s">
        <v>1718</v>
      </c>
      <c r="C168" s="210" t="s">
        <v>1719</v>
      </c>
      <c r="D168" s="211" t="s">
        <v>1720</v>
      </c>
      <c r="E168" s="211" t="s">
        <v>1721</v>
      </c>
      <c r="F168" s="210"/>
      <c r="G168" s="210"/>
      <c r="H168" s="210"/>
      <c r="I168" s="210"/>
      <c r="J168" s="210"/>
      <c r="K168" s="210"/>
      <c r="L168" s="210"/>
      <c r="M168" s="210"/>
      <c r="N168" s="211"/>
      <c r="O168" s="212" t="s">
        <v>1722</v>
      </c>
      <c r="P168" s="210"/>
      <c r="Q168" s="210"/>
      <c r="R168" s="210"/>
    </row>
    <row r="169" spans="1:18" ht="14.25" customHeight="1">
      <c r="A169" s="210">
        <v>162</v>
      </c>
      <c r="B169" s="210"/>
      <c r="C169" s="210"/>
      <c r="D169" s="211"/>
      <c r="E169" s="211"/>
      <c r="F169" s="210"/>
      <c r="G169" s="210"/>
      <c r="H169" s="210"/>
      <c r="I169" s="210"/>
      <c r="J169" s="210"/>
      <c r="K169" s="210"/>
      <c r="L169" s="210"/>
      <c r="M169" s="210"/>
      <c r="N169" s="211"/>
      <c r="O169" s="212"/>
      <c r="P169" s="210"/>
      <c r="Q169" s="210"/>
      <c r="R169" s="210"/>
    </row>
    <row r="170" spans="1:18" ht="14.25" customHeight="1">
      <c r="A170" s="210">
        <v>163</v>
      </c>
      <c r="B170" s="210"/>
      <c r="C170" s="210"/>
      <c r="D170" s="211"/>
      <c r="E170" s="211"/>
      <c r="F170" s="210"/>
      <c r="G170" s="210"/>
      <c r="H170" s="210"/>
      <c r="I170" s="210"/>
      <c r="J170" s="210"/>
      <c r="K170" s="210"/>
      <c r="L170" s="210"/>
      <c r="M170" s="210"/>
      <c r="N170" s="211"/>
      <c r="O170" s="212"/>
      <c r="P170" s="210"/>
      <c r="Q170" s="210"/>
      <c r="R170" s="210"/>
    </row>
    <row r="171" spans="1:18" ht="14.25" customHeight="1">
      <c r="A171" s="210">
        <v>164</v>
      </c>
      <c r="B171" s="210"/>
      <c r="C171" s="210"/>
      <c r="D171" s="211"/>
      <c r="E171" s="211"/>
      <c r="F171" s="210"/>
      <c r="G171" s="210"/>
      <c r="H171" s="210"/>
      <c r="I171" s="210"/>
      <c r="J171" s="210"/>
      <c r="K171" s="210"/>
      <c r="L171" s="210"/>
      <c r="M171" s="210"/>
      <c r="N171" s="211"/>
      <c r="O171" s="212"/>
      <c r="P171" s="210"/>
      <c r="Q171" s="210"/>
      <c r="R171" s="210"/>
    </row>
    <row r="172" spans="1:18" ht="14.25" customHeight="1">
      <c r="A172" s="210">
        <v>165</v>
      </c>
      <c r="B172" s="210"/>
      <c r="C172" s="210"/>
      <c r="D172" s="211"/>
      <c r="E172" s="211"/>
      <c r="F172" s="210"/>
      <c r="G172" s="210"/>
      <c r="H172" s="210"/>
      <c r="I172" s="210"/>
      <c r="J172" s="210"/>
      <c r="K172" s="210"/>
      <c r="L172" s="210"/>
      <c r="M172" s="210"/>
      <c r="N172" s="211"/>
      <c r="O172" s="212"/>
      <c r="P172" s="210"/>
      <c r="Q172" s="210"/>
      <c r="R172" s="210"/>
    </row>
    <row r="173" spans="1:18" ht="14.25" customHeight="1">
      <c r="A173" s="210">
        <v>166</v>
      </c>
      <c r="B173" s="210"/>
      <c r="C173" s="210"/>
      <c r="D173" s="211"/>
      <c r="E173" s="211"/>
      <c r="F173" s="210"/>
      <c r="G173" s="210"/>
      <c r="H173" s="210"/>
      <c r="I173" s="210"/>
      <c r="J173" s="210"/>
      <c r="K173" s="210"/>
      <c r="L173" s="210"/>
      <c r="M173" s="210"/>
      <c r="N173" s="211"/>
      <c r="O173" s="212"/>
      <c r="P173" s="210"/>
      <c r="Q173" s="210"/>
      <c r="R173" s="210"/>
    </row>
    <row r="174" spans="1:18" ht="14.25" customHeight="1">
      <c r="A174" s="210">
        <v>167</v>
      </c>
      <c r="B174" s="210"/>
      <c r="C174" s="210"/>
      <c r="D174" s="211"/>
      <c r="E174" s="211"/>
      <c r="F174" s="210"/>
      <c r="G174" s="210"/>
      <c r="H174" s="210"/>
      <c r="I174" s="210"/>
      <c r="J174" s="210"/>
      <c r="K174" s="210"/>
      <c r="L174" s="210"/>
      <c r="M174" s="210"/>
      <c r="N174" s="211"/>
      <c r="O174" s="212"/>
      <c r="P174" s="210"/>
      <c r="Q174" s="210"/>
      <c r="R174" s="210"/>
    </row>
    <row r="175" spans="1:18" ht="14.25" customHeight="1">
      <c r="A175" s="210">
        <v>168</v>
      </c>
      <c r="B175" s="210"/>
      <c r="C175" s="210"/>
      <c r="D175" s="211"/>
      <c r="E175" s="211"/>
      <c r="F175" s="210"/>
      <c r="G175" s="210"/>
      <c r="H175" s="210"/>
      <c r="I175" s="210"/>
      <c r="J175" s="210"/>
      <c r="K175" s="210"/>
      <c r="L175" s="210"/>
      <c r="M175" s="210"/>
      <c r="N175" s="211"/>
      <c r="O175" s="212"/>
      <c r="P175" s="210"/>
      <c r="Q175" s="210"/>
      <c r="R175" s="210"/>
    </row>
    <row r="176" spans="1:18" ht="14.25" customHeight="1">
      <c r="A176" s="210">
        <v>169</v>
      </c>
      <c r="B176" s="210"/>
      <c r="C176" s="210"/>
      <c r="D176" s="211"/>
      <c r="E176" s="211"/>
      <c r="F176" s="210"/>
      <c r="G176" s="210"/>
      <c r="H176" s="210"/>
      <c r="I176" s="210"/>
      <c r="J176" s="210"/>
      <c r="K176" s="210"/>
      <c r="L176" s="210"/>
      <c r="M176" s="210"/>
      <c r="N176" s="211"/>
      <c r="O176" s="212"/>
      <c r="P176" s="210"/>
      <c r="Q176" s="210"/>
      <c r="R176" s="210"/>
    </row>
    <row r="177" spans="1:18" ht="14.25" customHeight="1">
      <c r="A177" s="210">
        <v>170</v>
      </c>
      <c r="B177" s="210"/>
      <c r="C177" s="210"/>
      <c r="D177" s="211"/>
      <c r="E177" s="211"/>
      <c r="F177" s="210"/>
      <c r="G177" s="210"/>
      <c r="H177" s="210"/>
      <c r="I177" s="210"/>
      <c r="J177" s="210"/>
      <c r="K177" s="210"/>
      <c r="L177" s="210"/>
      <c r="M177" s="210"/>
      <c r="N177" s="211"/>
      <c r="O177" s="212"/>
      <c r="P177" s="210"/>
      <c r="Q177" s="210"/>
      <c r="R177" s="210"/>
    </row>
    <row r="178" spans="1:18" ht="14.25" customHeight="1">
      <c r="A178" s="210">
        <v>171</v>
      </c>
      <c r="B178" s="210"/>
      <c r="C178" s="210"/>
      <c r="D178" s="211"/>
      <c r="E178" s="211"/>
      <c r="F178" s="210"/>
      <c r="G178" s="210"/>
      <c r="H178" s="210"/>
      <c r="I178" s="210"/>
      <c r="J178" s="210"/>
      <c r="K178" s="210"/>
      <c r="L178" s="210"/>
      <c r="M178" s="210"/>
      <c r="N178" s="211"/>
      <c r="O178" s="212"/>
      <c r="P178" s="210"/>
      <c r="Q178" s="210"/>
      <c r="R178" s="210"/>
    </row>
    <row r="179" spans="1:18" ht="14.25" customHeight="1">
      <c r="A179" s="210">
        <v>172</v>
      </c>
      <c r="B179" s="210"/>
      <c r="C179" s="210"/>
      <c r="D179" s="211"/>
      <c r="E179" s="211"/>
      <c r="F179" s="210"/>
      <c r="G179" s="210"/>
      <c r="H179" s="210"/>
      <c r="I179" s="210"/>
      <c r="J179" s="210"/>
      <c r="K179" s="210"/>
      <c r="L179" s="210"/>
      <c r="M179" s="210"/>
      <c r="N179" s="211"/>
      <c r="O179" s="212"/>
      <c r="P179" s="210"/>
      <c r="Q179" s="210"/>
      <c r="R179" s="210"/>
    </row>
    <row r="180" spans="1:18" ht="14.25" customHeight="1">
      <c r="A180" s="210">
        <v>173</v>
      </c>
      <c r="B180" s="210"/>
      <c r="C180" s="210"/>
      <c r="D180" s="211"/>
      <c r="E180" s="211"/>
      <c r="F180" s="210"/>
      <c r="G180" s="210"/>
      <c r="H180" s="210"/>
      <c r="I180" s="210"/>
      <c r="J180" s="210"/>
      <c r="K180" s="210"/>
      <c r="L180" s="210"/>
      <c r="M180" s="210"/>
      <c r="N180" s="211"/>
      <c r="O180" s="212"/>
      <c r="P180" s="210"/>
      <c r="Q180" s="210"/>
      <c r="R180" s="210"/>
    </row>
    <row r="181" spans="1:18" ht="14.25" customHeight="1">
      <c r="A181" s="210">
        <v>174</v>
      </c>
      <c r="B181" s="210"/>
      <c r="C181" s="210"/>
      <c r="D181" s="211"/>
      <c r="E181" s="211"/>
      <c r="F181" s="210"/>
      <c r="G181" s="210"/>
      <c r="H181" s="210"/>
      <c r="I181" s="210"/>
      <c r="J181" s="210"/>
      <c r="K181" s="210"/>
      <c r="L181" s="210"/>
      <c r="M181" s="210"/>
      <c r="N181" s="211"/>
      <c r="O181" s="212"/>
      <c r="P181" s="210"/>
      <c r="Q181" s="210"/>
      <c r="R181" s="210"/>
    </row>
    <row r="182" spans="1:18" ht="14.25" customHeight="1">
      <c r="A182" s="210">
        <v>175</v>
      </c>
      <c r="B182" s="210"/>
      <c r="C182" s="210"/>
      <c r="D182" s="211"/>
      <c r="E182" s="211"/>
      <c r="F182" s="210"/>
      <c r="G182" s="210"/>
      <c r="H182" s="210"/>
      <c r="I182" s="210"/>
      <c r="J182" s="210"/>
      <c r="K182" s="210"/>
      <c r="L182" s="210"/>
      <c r="M182" s="210"/>
      <c r="N182" s="211"/>
      <c r="O182" s="212"/>
      <c r="P182" s="210"/>
      <c r="Q182" s="210"/>
      <c r="R182" s="210"/>
    </row>
    <row r="183" spans="1:18" ht="14.25" customHeight="1">
      <c r="A183" s="210">
        <v>176</v>
      </c>
      <c r="B183" s="210"/>
      <c r="C183" s="210"/>
      <c r="D183" s="211"/>
      <c r="E183" s="211"/>
      <c r="F183" s="210"/>
      <c r="G183" s="210"/>
      <c r="H183" s="210"/>
      <c r="I183" s="210"/>
      <c r="J183" s="210"/>
      <c r="K183" s="210"/>
      <c r="L183" s="210"/>
      <c r="M183" s="210"/>
      <c r="N183" s="211"/>
      <c r="O183" s="212"/>
      <c r="P183" s="210"/>
      <c r="Q183" s="210"/>
      <c r="R183" s="210"/>
    </row>
    <row r="184" spans="1:18" ht="14.25" customHeight="1">
      <c r="A184" s="210">
        <v>177</v>
      </c>
      <c r="B184" s="210"/>
      <c r="C184" s="210"/>
      <c r="D184" s="211"/>
      <c r="E184" s="211"/>
      <c r="F184" s="210"/>
      <c r="G184" s="210"/>
      <c r="H184" s="210"/>
      <c r="I184" s="210"/>
      <c r="J184" s="210"/>
      <c r="K184" s="210"/>
      <c r="L184" s="210"/>
      <c r="M184" s="210"/>
      <c r="N184" s="211"/>
      <c r="O184" s="212"/>
      <c r="P184" s="210"/>
      <c r="Q184" s="210"/>
      <c r="R184" s="210"/>
    </row>
    <row r="185" spans="1:18" ht="14.25" customHeight="1">
      <c r="A185" s="210">
        <v>178</v>
      </c>
      <c r="B185" s="210"/>
      <c r="C185" s="210"/>
      <c r="D185" s="211"/>
      <c r="E185" s="211"/>
      <c r="F185" s="210"/>
      <c r="G185" s="210"/>
      <c r="H185" s="210"/>
      <c r="I185" s="210"/>
      <c r="J185" s="210"/>
      <c r="K185" s="210"/>
      <c r="L185" s="210"/>
      <c r="M185" s="210"/>
      <c r="N185" s="211"/>
      <c r="O185" s="212"/>
      <c r="P185" s="210"/>
      <c r="Q185" s="210"/>
      <c r="R185" s="210"/>
    </row>
    <row r="186" spans="1:18" ht="14.25" customHeight="1">
      <c r="A186" s="210">
        <v>179</v>
      </c>
      <c r="B186" s="210"/>
      <c r="C186" s="210"/>
      <c r="D186" s="211"/>
      <c r="E186" s="211"/>
      <c r="F186" s="210"/>
      <c r="G186" s="210"/>
      <c r="H186" s="210"/>
      <c r="I186" s="210"/>
      <c r="J186" s="210"/>
      <c r="K186" s="210"/>
      <c r="L186" s="210"/>
      <c r="M186" s="210"/>
      <c r="N186" s="211"/>
      <c r="O186" s="212"/>
      <c r="P186" s="210"/>
      <c r="Q186" s="210"/>
      <c r="R186" s="210"/>
    </row>
    <row r="187" spans="1:18" ht="14.25" customHeight="1">
      <c r="A187" s="210">
        <v>180</v>
      </c>
      <c r="B187" s="210"/>
      <c r="C187" s="210"/>
      <c r="D187" s="211"/>
      <c r="E187" s="211"/>
      <c r="F187" s="210"/>
      <c r="G187" s="210"/>
      <c r="H187" s="210"/>
      <c r="I187" s="210"/>
      <c r="J187" s="210"/>
      <c r="K187" s="210"/>
      <c r="L187" s="210"/>
      <c r="M187" s="210"/>
      <c r="N187" s="211"/>
      <c r="O187" s="212"/>
      <c r="P187" s="210"/>
      <c r="Q187" s="210"/>
      <c r="R187" s="210"/>
    </row>
    <row r="188" spans="1:18" ht="14.25" customHeight="1">
      <c r="A188" s="210">
        <v>181</v>
      </c>
      <c r="B188" s="210"/>
      <c r="C188" s="210"/>
      <c r="D188" s="211"/>
      <c r="E188" s="211"/>
      <c r="F188" s="210"/>
      <c r="G188" s="210"/>
      <c r="H188" s="210"/>
      <c r="I188" s="210"/>
      <c r="J188" s="210"/>
      <c r="K188" s="210"/>
      <c r="L188" s="210"/>
      <c r="M188" s="210"/>
      <c r="N188" s="211"/>
      <c r="O188" s="212"/>
      <c r="P188" s="210"/>
      <c r="Q188" s="210"/>
      <c r="R188" s="210"/>
    </row>
    <row r="189" spans="1:18" ht="14.25" customHeight="1">
      <c r="A189" s="210">
        <v>182</v>
      </c>
      <c r="B189" s="210"/>
      <c r="C189" s="210"/>
      <c r="D189" s="211"/>
      <c r="E189" s="211"/>
      <c r="F189" s="210"/>
      <c r="G189" s="210"/>
      <c r="H189" s="210"/>
      <c r="I189" s="210"/>
      <c r="J189" s="210"/>
      <c r="K189" s="210"/>
      <c r="L189" s="210"/>
      <c r="M189" s="210"/>
      <c r="N189" s="211"/>
      <c r="O189" s="212"/>
      <c r="P189" s="210"/>
      <c r="Q189" s="210"/>
      <c r="R189" s="210"/>
    </row>
    <row r="190" spans="1:18" ht="14.25" customHeight="1">
      <c r="A190" s="210">
        <v>183</v>
      </c>
      <c r="B190" s="210"/>
      <c r="C190" s="210"/>
      <c r="D190" s="211"/>
      <c r="E190" s="211"/>
      <c r="F190" s="210"/>
      <c r="G190" s="210"/>
      <c r="H190" s="210"/>
      <c r="I190" s="210"/>
      <c r="J190" s="210"/>
      <c r="K190" s="210"/>
      <c r="L190" s="210"/>
      <c r="M190" s="210"/>
      <c r="N190" s="211"/>
      <c r="O190" s="212"/>
      <c r="P190" s="210"/>
      <c r="Q190" s="210"/>
      <c r="R190" s="210"/>
    </row>
    <row r="191" spans="1:18" ht="14.25" customHeight="1">
      <c r="A191" s="210">
        <v>184</v>
      </c>
      <c r="B191" s="210"/>
      <c r="C191" s="210"/>
      <c r="D191" s="211"/>
      <c r="E191" s="211"/>
      <c r="F191" s="210"/>
      <c r="G191" s="210"/>
      <c r="H191" s="210"/>
      <c r="I191" s="210"/>
      <c r="J191" s="210"/>
      <c r="K191" s="210"/>
      <c r="L191" s="210"/>
      <c r="M191" s="210"/>
      <c r="N191" s="211"/>
      <c r="O191" s="212"/>
      <c r="P191" s="210"/>
      <c r="Q191" s="210"/>
      <c r="R191" s="210"/>
    </row>
    <row r="192" spans="1:18" ht="14.25" customHeight="1">
      <c r="A192" s="210">
        <v>185</v>
      </c>
      <c r="B192" s="210"/>
      <c r="C192" s="210"/>
      <c r="D192" s="211"/>
      <c r="E192" s="211"/>
      <c r="F192" s="210"/>
      <c r="G192" s="210"/>
      <c r="H192" s="210"/>
      <c r="I192" s="210"/>
      <c r="J192" s="210"/>
      <c r="K192" s="210"/>
      <c r="L192" s="210"/>
      <c r="M192" s="210"/>
      <c r="N192" s="211"/>
      <c r="O192" s="212"/>
      <c r="P192" s="210"/>
      <c r="Q192" s="210"/>
      <c r="R192" s="210"/>
    </row>
    <row r="193" spans="1:18" ht="14.25" customHeight="1">
      <c r="A193" s="210">
        <v>186</v>
      </c>
      <c r="B193" s="210"/>
      <c r="C193" s="210"/>
      <c r="D193" s="211"/>
      <c r="E193" s="211"/>
      <c r="F193" s="210"/>
      <c r="G193" s="210"/>
      <c r="H193" s="210"/>
      <c r="I193" s="210"/>
      <c r="J193" s="210"/>
      <c r="K193" s="210"/>
      <c r="L193" s="210"/>
      <c r="M193" s="210"/>
      <c r="N193" s="211"/>
      <c r="O193" s="212"/>
      <c r="P193" s="210"/>
      <c r="Q193" s="210"/>
      <c r="R193" s="210"/>
    </row>
    <row r="194" spans="1:18" ht="14.25" customHeight="1">
      <c r="A194" s="210">
        <v>187</v>
      </c>
      <c r="B194" s="210"/>
      <c r="C194" s="210"/>
      <c r="D194" s="211"/>
      <c r="E194" s="211"/>
      <c r="F194" s="210"/>
      <c r="G194" s="210"/>
      <c r="H194" s="210"/>
      <c r="I194" s="210"/>
      <c r="J194" s="210"/>
      <c r="K194" s="210"/>
      <c r="L194" s="210"/>
      <c r="M194" s="210"/>
      <c r="N194" s="211"/>
      <c r="O194" s="212"/>
      <c r="P194" s="210"/>
      <c r="Q194" s="210"/>
      <c r="R194" s="210"/>
    </row>
    <row r="195" spans="1:18" ht="14.25" customHeight="1">
      <c r="A195" s="210">
        <v>188</v>
      </c>
      <c r="B195" s="210"/>
      <c r="C195" s="210"/>
      <c r="D195" s="211"/>
      <c r="E195" s="211"/>
      <c r="F195" s="210"/>
      <c r="G195" s="210"/>
      <c r="H195" s="210"/>
      <c r="I195" s="210"/>
      <c r="J195" s="210"/>
      <c r="K195" s="210"/>
      <c r="L195" s="210"/>
      <c r="M195" s="210"/>
      <c r="N195" s="211"/>
      <c r="O195" s="212"/>
      <c r="P195" s="210"/>
      <c r="Q195" s="210"/>
      <c r="R195" s="210"/>
    </row>
    <row r="196" spans="1:18" ht="14.25" customHeight="1">
      <c r="A196" s="210">
        <v>189</v>
      </c>
      <c r="B196" s="210"/>
      <c r="C196" s="210"/>
      <c r="D196" s="211"/>
      <c r="E196" s="211"/>
      <c r="F196" s="210"/>
      <c r="G196" s="210"/>
      <c r="H196" s="210"/>
      <c r="I196" s="210"/>
      <c r="J196" s="210"/>
      <c r="K196" s="210"/>
      <c r="L196" s="210"/>
      <c r="M196" s="210"/>
      <c r="N196" s="211"/>
      <c r="O196" s="212"/>
      <c r="P196" s="210"/>
      <c r="Q196" s="210"/>
      <c r="R196" s="210"/>
    </row>
    <row r="197" spans="1:18" ht="14.25" customHeight="1">
      <c r="A197" s="210">
        <v>190</v>
      </c>
      <c r="B197" s="210"/>
      <c r="C197" s="210"/>
      <c r="D197" s="211"/>
      <c r="E197" s="211"/>
      <c r="F197" s="210"/>
      <c r="G197" s="210"/>
      <c r="H197" s="210"/>
      <c r="I197" s="210"/>
      <c r="J197" s="210"/>
      <c r="K197" s="210"/>
      <c r="L197" s="210"/>
      <c r="M197" s="210"/>
      <c r="N197" s="211"/>
      <c r="O197" s="212"/>
      <c r="P197" s="210"/>
      <c r="Q197" s="210"/>
      <c r="R197" s="210"/>
    </row>
    <row r="198" spans="1:18" ht="14.25" customHeight="1">
      <c r="A198" s="210">
        <v>191</v>
      </c>
      <c r="B198" s="210"/>
      <c r="C198" s="210"/>
      <c r="D198" s="211"/>
      <c r="E198" s="211"/>
      <c r="F198" s="210"/>
      <c r="G198" s="210"/>
      <c r="H198" s="210"/>
      <c r="I198" s="210"/>
      <c r="J198" s="210"/>
      <c r="K198" s="210"/>
      <c r="L198" s="210"/>
      <c r="M198" s="210"/>
      <c r="N198" s="211"/>
      <c r="O198" s="212"/>
      <c r="P198" s="210"/>
      <c r="Q198" s="210"/>
      <c r="R198" s="210"/>
    </row>
    <row r="199" spans="1:18" ht="14.25" customHeight="1">
      <c r="A199" s="210">
        <v>192</v>
      </c>
      <c r="B199" s="210"/>
      <c r="C199" s="210"/>
      <c r="D199" s="211"/>
      <c r="E199" s="211"/>
      <c r="F199" s="210"/>
      <c r="G199" s="210"/>
      <c r="H199" s="210"/>
      <c r="I199" s="210"/>
      <c r="J199" s="210"/>
      <c r="K199" s="210"/>
      <c r="L199" s="210"/>
      <c r="M199" s="210"/>
      <c r="N199" s="211"/>
      <c r="O199" s="212"/>
      <c r="P199" s="210"/>
      <c r="Q199" s="210"/>
      <c r="R199" s="210"/>
    </row>
    <row r="200" spans="1:18" ht="14.25" customHeight="1">
      <c r="A200" s="210">
        <v>193</v>
      </c>
      <c r="B200" s="210"/>
      <c r="C200" s="210"/>
      <c r="D200" s="211"/>
      <c r="E200" s="211"/>
      <c r="F200" s="210"/>
      <c r="G200" s="210"/>
      <c r="H200" s="210"/>
      <c r="I200" s="210"/>
      <c r="J200" s="210"/>
      <c r="K200" s="210"/>
      <c r="L200" s="210"/>
      <c r="M200" s="210"/>
      <c r="N200" s="211"/>
      <c r="O200" s="212"/>
      <c r="P200" s="210"/>
      <c r="Q200" s="210"/>
      <c r="R200" s="210"/>
    </row>
    <row r="201" spans="1:18" ht="14.25" customHeight="1">
      <c r="A201" s="210">
        <v>194</v>
      </c>
      <c r="B201" s="210"/>
      <c r="C201" s="210"/>
      <c r="D201" s="211"/>
      <c r="E201" s="211"/>
      <c r="F201" s="210"/>
      <c r="G201" s="210"/>
      <c r="H201" s="210"/>
      <c r="I201" s="210"/>
      <c r="J201" s="210"/>
      <c r="K201" s="210"/>
      <c r="L201" s="210"/>
      <c r="M201" s="210"/>
      <c r="N201" s="211"/>
      <c r="O201" s="212"/>
      <c r="P201" s="210"/>
      <c r="Q201" s="210"/>
      <c r="R201" s="210"/>
    </row>
    <row r="202" spans="1:18" ht="14.25" customHeight="1">
      <c r="A202" s="210">
        <v>195</v>
      </c>
      <c r="B202" s="210"/>
      <c r="C202" s="210"/>
      <c r="D202" s="211"/>
      <c r="E202" s="211"/>
      <c r="F202" s="210"/>
      <c r="G202" s="210"/>
      <c r="H202" s="210"/>
      <c r="I202" s="210"/>
      <c r="J202" s="210"/>
      <c r="K202" s="210"/>
      <c r="L202" s="210"/>
      <c r="M202" s="210"/>
      <c r="N202" s="211"/>
      <c r="O202" s="212"/>
      <c r="P202" s="210"/>
      <c r="Q202" s="210"/>
      <c r="R202" s="210"/>
    </row>
    <row r="203" spans="1:18" ht="14.25" customHeight="1">
      <c r="A203" s="210">
        <v>196</v>
      </c>
      <c r="B203" s="210"/>
      <c r="C203" s="210"/>
      <c r="D203" s="211"/>
      <c r="E203" s="211"/>
      <c r="F203" s="210"/>
      <c r="G203" s="210"/>
      <c r="H203" s="210"/>
      <c r="I203" s="210"/>
      <c r="J203" s="210"/>
      <c r="K203" s="210"/>
      <c r="L203" s="210"/>
      <c r="M203" s="210"/>
      <c r="N203" s="211"/>
      <c r="O203" s="212"/>
      <c r="P203" s="210"/>
      <c r="Q203" s="210"/>
      <c r="R203" s="210"/>
    </row>
    <row r="204" spans="1:18" ht="14.25" customHeight="1">
      <c r="A204" s="210">
        <v>197</v>
      </c>
      <c r="B204" s="210"/>
      <c r="C204" s="210"/>
      <c r="D204" s="211"/>
      <c r="E204" s="211"/>
      <c r="F204" s="210"/>
      <c r="G204" s="210"/>
      <c r="H204" s="210"/>
      <c r="I204" s="210"/>
      <c r="J204" s="210"/>
      <c r="K204" s="210"/>
      <c r="L204" s="210"/>
      <c r="M204" s="210"/>
      <c r="N204" s="211"/>
      <c r="O204" s="212"/>
      <c r="P204" s="210"/>
      <c r="Q204" s="210"/>
      <c r="R204" s="210"/>
    </row>
    <row r="205" spans="1:18" ht="14.25" customHeight="1">
      <c r="A205" s="210">
        <v>198</v>
      </c>
      <c r="B205" s="210"/>
      <c r="C205" s="210"/>
      <c r="D205" s="211"/>
      <c r="E205" s="211"/>
      <c r="F205" s="210"/>
      <c r="G205" s="210"/>
      <c r="H205" s="210"/>
      <c r="I205" s="210"/>
      <c r="J205" s="210"/>
      <c r="K205" s="210"/>
      <c r="L205" s="210"/>
      <c r="M205" s="210"/>
      <c r="N205" s="211"/>
      <c r="O205" s="212"/>
      <c r="P205" s="210"/>
      <c r="Q205" s="210"/>
      <c r="R205" s="210"/>
    </row>
    <row r="206" spans="1:18" ht="14.25" customHeight="1">
      <c r="A206" s="210">
        <v>199</v>
      </c>
      <c r="B206" s="210"/>
      <c r="C206" s="210"/>
      <c r="D206" s="211"/>
      <c r="E206" s="211"/>
      <c r="F206" s="210"/>
      <c r="G206" s="210"/>
      <c r="H206" s="210"/>
      <c r="I206" s="210"/>
      <c r="J206" s="210"/>
      <c r="K206" s="210"/>
      <c r="L206" s="210"/>
      <c r="M206" s="210"/>
      <c r="N206" s="211"/>
      <c r="O206" s="212"/>
      <c r="P206" s="210"/>
      <c r="Q206" s="210"/>
      <c r="R206" s="210"/>
    </row>
    <row r="207" spans="1:18" ht="14.25" customHeight="1">
      <c r="A207" s="210">
        <v>200</v>
      </c>
      <c r="B207" s="210"/>
      <c r="C207" s="210"/>
      <c r="D207" s="211"/>
      <c r="E207" s="211"/>
      <c r="F207" s="210"/>
      <c r="G207" s="210"/>
      <c r="H207" s="210"/>
      <c r="I207" s="210"/>
      <c r="J207" s="210"/>
      <c r="K207" s="210"/>
      <c r="L207" s="210"/>
      <c r="M207" s="210"/>
      <c r="N207" s="211"/>
      <c r="O207" s="212"/>
      <c r="P207" s="210"/>
      <c r="Q207" s="210"/>
      <c r="R207" s="210"/>
    </row>
    <row r="208" spans="1:18" ht="14.25" customHeight="1">
      <c r="A208" s="210">
        <v>201</v>
      </c>
      <c r="B208" s="210"/>
      <c r="C208" s="210"/>
      <c r="D208" s="211"/>
      <c r="E208" s="211"/>
      <c r="F208" s="210"/>
      <c r="G208" s="210"/>
      <c r="H208" s="210"/>
      <c r="I208" s="210"/>
      <c r="J208" s="210"/>
      <c r="K208" s="210"/>
      <c r="L208" s="210"/>
      <c r="M208" s="210"/>
      <c r="N208" s="211"/>
      <c r="O208" s="212"/>
      <c r="P208" s="210"/>
      <c r="Q208" s="210"/>
      <c r="R208" s="210"/>
    </row>
    <row r="209" spans="1:18" ht="14.25" customHeight="1">
      <c r="A209" s="210">
        <v>202</v>
      </c>
      <c r="B209" s="210"/>
      <c r="C209" s="210"/>
      <c r="D209" s="211"/>
      <c r="E209" s="211"/>
      <c r="F209" s="210"/>
      <c r="G209" s="210"/>
      <c r="H209" s="210"/>
      <c r="I209" s="210"/>
      <c r="J209" s="210"/>
      <c r="K209" s="210"/>
      <c r="L209" s="210"/>
      <c r="M209" s="210"/>
      <c r="N209" s="211"/>
      <c r="O209" s="212"/>
      <c r="P209" s="210"/>
      <c r="Q209" s="210"/>
      <c r="R209" s="210"/>
    </row>
    <row r="210" spans="1:18" ht="14.25" customHeight="1">
      <c r="A210" s="210">
        <v>203</v>
      </c>
      <c r="B210" s="210"/>
      <c r="C210" s="210"/>
      <c r="D210" s="211"/>
      <c r="E210" s="211"/>
      <c r="F210" s="210"/>
      <c r="G210" s="210"/>
      <c r="H210" s="210"/>
      <c r="I210" s="210"/>
      <c r="J210" s="210"/>
      <c r="K210" s="210"/>
      <c r="L210" s="210"/>
      <c r="M210" s="210"/>
      <c r="N210" s="211"/>
      <c r="O210" s="212"/>
      <c r="P210" s="210"/>
      <c r="Q210" s="210"/>
      <c r="R210" s="210"/>
    </row>
    <row r="211" spans="1:18" ht="14.25" customHeight="1">
      <c r="A211" s="210">
        <v>204</v>
      </c>
      <c r="B211" s="210"/>
      <c r="C211" s="210"/>
      <c r="D211" s="211"/>
      <c r="E211" s="211"/>
      <c r="F211" s="210"/>
      <c r="G211" s="210"/>
      <c r="H211" s="210"/>
      <c r="I211" s="210"/>
      <c r="J211" s="210"/>
      <c r="K211" s="210"/>
      <c r="L211" s="210"/>
      <c r="M211" s="210"/>
      <c r="N211" s="211"/>
      <c r="O211" s="212"/>
      <c r="P211" s="210"/>
      <c r="Q211" s="210"/>
      <c r="R211" s="210"/>
    </row>
    <row r="212" spans="1:18" ht="14.25" customHeight="1">
      <c r="A212" s="210">
        <v>205</v>
      </c>
      <c r="B212" s="210"/>
      <c r="C212" s="210"/>
      <c r="D212" s="211"/>
      <c r="E212" s="211"/>
      <c r="F212" s="210"/>
      <c r="G212" s="210"/>
      <c r="H212" s="210"/>
      <c r="I212" s="210"/>
      <c r="J212" s="210"/>
      <c r="K212" s="210"/>
      <c r="L212" s="210"/>
      <c r="M212" s="210"/>
      <c r="N212" s="211"/>
      <c r="O212" s="212"/>
      <c r="P212" s="210"/>
      <c r="Q212" s="210"/>
      <c r="R212" s="210"/>
    </row>
    <row r="213" spans="1:18" ht="14.25" customHeight="1">
      <c r="A213" s="210">
        <v>206</v>
      </c>
      <c r="B213" s="210"/>
      <c r="C213" s="210"/>
      <c r="D213" s="211"/>
      <c r="E213" s="211"/>
      <c r="F213" s="210"/>
      <c r="G213" s="210"/>
      <c r="H213" s="210"/>
      <c r="I213" s="210"/>
      <c r="J213" s="210"/>
      <c r="K213" s="210"/>
      <c r="L213" s="210"/>
      <c r="M213" s="210"/>
      <c r="N213" s="211"/>
      <c r="O213" s="212"/>
      <c r="P213" s="210"/>
      <c r="Q213" s="210"/>
      <c r="R213" s="210"/>
    </row>
    <row r="214" spans="1:18" ht="14.25" customHeight="1">
      <c r="A214" s="210">
        <v>207</v>
      </c>
      <c r="B214" s="210"/>
      <c r="C214" s="210"/>
      <c r="D214" s="211"/>
      <c r="E214" s="211"/>
      <c r="F214" s="210"/>
      <c r="G214" s="210"/>
      <c r="H214" s="210"/>
      <c r="I214" s="210"/>
      <c r="J214" s="210"/>
      <c r="K214" s="210"/>
      <c r="L214" s="210"/>
      <c r="M214" s="210"/>
      <c r="N214" s="211"/>
      <c r="O214" s="212"/>
      <c r="P214" s="210"/>
      <c r="Q214" s="210"/>
      <c r="R214" s="210"/>
    </row>
    <row r="215" spans="1:18" ht="14.25" customHeight="1">
      <c r="A215" s="210">
        <v>208</v>
      </c>
      <c r="B215" s="210"/>
      <c r="C215" s="210"/>
      <c r="D215" s="211"/>
      <c r="E215" s="211"/>
      <c r="F215" s="210"/>
      <c r="G215" s="210"/>
      <c r="H215" s="210"/>
      <c r="I215" s="210"/>
      <c r="J215" s="210"/>
      <c r="K215" s="210"/>
      <c r="L215" s="210"/>
      <c r="M215" s="210"/>
      <c r="N215" s="211"/>
      <c r="O215" s="212"/>
      <c r="P215" s="210"/>
      <c r="Q215" s="210"/>
      <c r="R215" s="210"/>
    </row>
    <row r="216" spans="1:18" ht="14.25" customHeight="1">
      <c r="A216" s="210">
        <v>209</v>
      </c>
      <c r="B216" s="210"/>
      <c r="C216" s="210"/>
      <c r="D216" s="211"/>
      <c r="E216" s="211"/>
      <c r="F216" s="210"/>
      <c r="G216" s="210"/>
      <c r="H216" s="210"/>
      <c r="I216" s="210"/>
      <c r="J216" s="210"/>
      <c r="K216" s="210"/>
      <c r="L216" s="210"/>
      <c r="M216" s="210"/>
      <c r="N216" s="211"/>
      <c r="O216" s="212"/>
      <c r="P216" s="210"/>
      <c r="Q216" s="210"/>
      <c r="R216" s="210"/>
    </row>
    <row r="217" spans="1:18" ht="14.25" customHeight="1">
      <c r="A217" s="210">
        <v>210</v>
      </c>
      <c r="B217" s="210"/>
      <c r="C217" s="210"/>
      <c r="D217" s="211"/>
      <c r="E217" s="211"/>
      <c r="F217" s="210"/>
      <c r="G217" s="210"/>
      <c r="H217" s="210"/>
      <c r="I217" s="210"/>
      <c r="J217" s="210"/>
      <c r="K217" s="210"/>
      <c r="L217" s="210"/>
      <c r="M217" s="210"/>
      <c r="N217" s="211"/>
      <c r="O217" s="212"/>
      <c r="P217" s="210"/>
      <c r="Q217" s="210"/>
      <c r="R217" s="210"/>
    </row>
    <row r="218" spans="1:18" ht="14.25" customHeight="1">
      <c r="A218" s="210">
        <v>211</v>
      </c>
      <c r="B218" s="210"/>
      <c r="C218" s="210"/>
      <c r="D218" s="211"/>
      <c r="E218" s="211"/>
      <c r="F218" s="210"/>
      <c r="G218" s="210"/>
      <c r="H218" s="210"/>
      <c r="I218" s="210"/>
      <c r="J218" s="210"/>
      <c r="K218" s="210"/>
      <c r="L218" s="210"/>
      <c r="M218" s="210"/>
      <c r="N218" s="211"/>
      <c r="O218" s="212"/>
      <c r="P218" s="210"/>
      <c r="Q218" s="210"/>
      <c r="R218" s="210"/>
    </row>
    <row r="219" spans="1:18" ht="14.25" customHeight="1">
      <c r="A219" s="210">
        <v>212</v>
      </c>
      <c r="B219" s="210"/>
      <c r="C219" s="210"/>
      <c r="D219" s="211"/>
      <c r="E219" s="211"/>
      <c r="F219" s="210"/>
      <c r="G219" s="210"/>
      <c r="H219" s="210"/>
      <c r="I219" s="210"/>
      <c r="J219" s="210"/>
      <c r="K219" s="210"/>
      <c r="L219" s="210"/>
      <c r="M219" s="210"/>
      <c r="N219" s="211"/>
      <c r="O219" s="212"/>
      <c r="P219" s="210"/>
      <c r="Q219" s="210"/>
      <c r="R219" s="210"/>
    </row>
    <row r="220" spans="1:18" ht="14.25" customHeight="1">
      <c r="A220" s="210">
        <v>213</v>
      </c>
      <c r="B220" s="210"/>
      <c r="C220" s="210"/>
      <c r="D220" s="211"/>
      <c r="E220" s="211"/>
      <c r="F220" s="210"/>
      <c r="G220" s="210"/>
      <c r="H220" s="210"/>
      <c r="I220" s="210"/>
      <c r="J220" s="210"/>
      <c r="K220" s="210"/>
      <c r="L220" s="210"/>
      <c r="M220" s="210"/>
      <c r="N220" s="211"/>
      <c r="O220" s="212"/>
      <c r="P220" s="210"/>
      <c r="Q220" s="210"/>
      <c r="R220" s="210"/>
    </row>
    <row r="221" spans="1:18" ht="14.25" customHeight="1">
      <c r="A221" s="210">
        <v>214</v>
      </c>
      <c r="B221" s="210"/>
      <c r="C221" s="210"/>
      <c r="D221" s="211"/>
      <c r="E221" s="211"/>
      <c r="F221" s="210"/>
      <c r="G221" s="210"/>
      <c r="H221" s="210"/>
      <c r="I221" s="210"/>
      <c r="J221" s="210"/>
      <c r="K221" s="210"/>
      <c r="L221" s="210"/>
      <c r="M221" s="210"/>
      <c r="N221" s="211"/>
      <c r="O221" s="212"/>
      <c r="P221" s="210"/>
      <c r="Q221" s="210"/>
      <c r="R221" s="210"/>
    </row>
    <row r="222" spans="1:18" ht="14.25" customHeight="1">
      <c r="A222" s="210">
        <v>215</v>
      </c>
      <c r="B222" s="210"/>
      <c r="C222" s="210"/>
      <c r="D222" s="211"/>
      <c r="E222" s="211"/>
      <c r="F222" s="210"/>
      <c r="G222" s="210"/>
      <c r="H222" s="210"/>
      <c r="I222" s="210"/>
      <c r="J222" s="210"/>
      <c r="K222" s="210"/>
      <c r="L222" s="210"/>
      <c r="M222" s="210"/>
      <c r="N222" s="211"/>
      <c r="O222" s="212"/>
      <c r="P222" s="210"/>
      <c r="Q222" s="210"/>
      <c r="R222" s="210"/>
    </row>
    <row r="223" spans="1:18" ht="14.25" customHeight="1">
      <c r="A223" s="210">
        <v>216</v>
      </c>
      <c r="B223" s="210"/>
      <c r="C223" s="210"/>
      <c r="D223" s="211"/>
      <c r="E223" s="211"/>
      <c r="F223" s="210"/>
      <c r="G223" s="210"/>
      <c r="H223" s="210"/>
      <c r="I223" s="210"/>
      <c r="J223" s="210"/>
      <c r="K223" s="210"/>
      <c r="L223" s="210"/>
      <c r="M223" s="210"/>
      <c r="N223" s="211"/>
      <c r="O223" s="212"/>
      <c r="P223" s="210"/>
      <c r="Q223" s="210"/>
      <c r="R223" s="210"/>
    </row>
    <row r="224" spans="1:18" ht="14.25" customHeight="1">
      <c r="A224" s="210">
        <v>217</v>
      </c>
      <c r="B224" s="210"/>
      <c r="C224" s="210"/>
      <c r="D224" s="211"/>
      <c r="E224" s="211"/>
      <c r="F224" s="210"/>
      <c r="G224" s="210"/>
      <c r="H224" s="210"/>
      <c r="I224" s="210"/>
      <c r="J224" s="210"/>
      <c r="K224" s="210"/>
      <c r="L224" s="210"/>
      <c r="M224" s="210"/>
      <c r="N224" s="211"/>
      <c r="O224" s="212"/>
      <c r="P224" s="210"/>
      <c r="Q224" s="210"/>
      <c r="R224" s="210"/>
    </row>
    <row r="225" spans="1:18" ht="14.25" customHeight="1">
      <c r="A225" s="210">
        <v>218</v>
      </c>
      <c r="B225" s="210"/>
      <c r="C225" s="210"/>
      <c r="D225" s="211"/>
      <c r="E225" s="211"/>
      <c r="F225" s="210"/>
      <c r="G225" s="210"/>
      <c r="H225" s="210"/>
      <c r="I225" s="210"/>
      <c r="J225" s="210"/>
      <c r="K225" s="210"/>
      <c r="L225" s="210"/>
      <c r="M225" s="210"/>
      <c r="N225" s="211"/>
      <c r="O225" s="212"/>
      <c r="P225" s="210"/>
      <c r="Q225" s="210"/>
      <c r="R225" s="210"/>
    </row>
    <row r="226" spans="1:18" ht="14.25" customHeight="1">
      <c r="A226" s="210">
        <v>219</v>
      </c>
      <c r="B226" s="210"/>
      <c r="C226" s="210"/>
      <c r="D226" s="211"/>
      <c r="E226" s="211"/>
      <c r="F226" s="210"/>
      <c r="G226" s="210"/>
      <c r="H226" s="210"/>
      <c r="I226" s="210"/>
      <c r="J226" s="210"/>
      <c r="K226" s="210"/>
      <c r="L226" s="210"/>
      <c r="M226" s="210"/>
      <c r="N226" s="211"/>
      <c r="O226" s="212"/>
      <c r="P226" s="210"/>
      <c r="Q226" s="210"/>
      <c r="R226" s="210"/>
    </row>
    <row r="227" spans="1:18" ht="14.25" customHeight="1">
      <c r="A227" s="210">
        <v>220</v>
      </c>
      <c r="B227" s="210"/>
      <c r="C227" s="210"/>
      <c r="D227" s="211"/>
      <c r="E227" s="211"/>
      <c r="F227" s="210"/>
      <c r="G227" s="210"/>
      <c r="H227" s="210"/>
      <c r="I227" s="210"/>
      <c r="J227" s="210"/>
      <c r="K227" s="210"/>
      <c r="L227" s="210"/>
      <c r="M227" s="210"/>
      <c r="N227" s="211"/>
      <c r="O227" s="212"/>
      <c r="P227" s="210"/>
      <c r="Q227" s="210"/>
      <c r="R227" s="210"/>
    </row>
    <row r="228" spans="1:18" ht="14.25" customHeight="1">
      <c r="A228" s="210">
        <v>221</v>
      </c>
      <c r="B228" s="210"/>
      <c r="C228" s="210"/>
      <c r="D228" s="211"/>
      <c r="E228" s="211"/>
      <c r="F228" s="210"/>
      <c r="G228" s="210"/>
      <c r="H228" s="210"/>
      <c r="I228" s="210"/>
      <c r="J228" s="210"/>
      <c r="K228" s="210"/>
      <c r="L228" s="210"/>
      <c r="M228" s="210"/>
      <c r="N228" s="211"/>
      <c r="O228" s="212"/>
      <c r="P228" s="210"/>
      <c r="Q228" s="210"/>
      <c r="R228" s="210"/>
    </row>
    <row r="229" spans="1:18" ht="14.25" customHeight="1">
      <c r="A229" s="210">
        <v>222</v>
      </c>
      <c r="B229" s="210"/>
      <c r="C229" s="210"/>
      <c r="D229" s="211"/>
      <c r="E229" s="211"/>
      <c r="F229" s="210"/>
      <c r="G229" s="210"/>
      <c r="H229" s="210"/>
      <c r="I229" s="210"/>
      <c r="J229" s="210"/>
      <c r="K229" s="210"/>
      <c r="L229" s="210"/>
      <c r="M229" s="210"/>
      <c r="N229" s="211"/>
      <c r="O229" s="212"/>
      <c r="P229" s="210"/>
      <c r="Q229" s="210"/>
      <c r="R229" s="210"/>
    </row>
    <row r="230" spans="1:18" ht="14.25" customHeight="1">
      <c r="A230" s="210">
        <v>223</v>
      </c>
      <c r="B230" s="210"/>
      <c r="C230" s="210"/>
      <c r="D230" s="211"/>
      <c r="E230" s="211"/>
      <c r="F230" s="210"/>
      <c r="G230" s="210"/>
      <c r="H230" s="210"/>
      <c r="I230" s="210"/>
      <c r="J230" s="210"/>
      <c r="K230" s="210"/>
      <c r="L230" s="210"/>
      <c r="M230" s="210"/>
      <c r="N230" s="211"/>
      <c r="O230" s="212"/>
      <c r="P230" s="210"/>
      <c r="Q230" s="210"/>
      <c r="R230" s="210"/>
    </row>
    <row r="231" spans="1:18" ht="14.25" customHeight="1">
      <c r="A231" s="210">
        <v>224</v>
      </c>
      <c r="B231" s="210"/>
      <c r="C231" s="210"/>
      <c r="D231" s="211"/>
      <c r="E231" s="211"/>
      <c r="F231" s="210"/>
      <c r="G231" s="210"/>
      <c r="H231" s="210"/>
      <c r="I231" s="210"/>
      <c r="J231" s="210"/>
      <c r="K231" s="210"/>
      <c r="L231" s="210"/>
      <c r="M231" s="210"/>
      <c r="N231" s="211"/>
      <c r="O231" s="212"/>
      <c r="P231" s="210"/>
      <c r="Q231" s="210"/>
      <c r="R231" s="210"/>
    </row>
    <row r="232" spans="1:18" ht="14.25" customHeight="1">
      <c r="A232" s="210">
        <v>225</v>
      </c>
      <c r="B232" s="210"/>
      <c r="C232" s="210"/>
      <c r="D232" s="211"/>
      <c r="E232" s="211"/>
      <c r="F232" s="210"/>
      <c r="G232" s="210"/>
      <c r="H232" s="210"/>
      <c r="I232" s="210"/>
      <c r="J232" s="210"/>
      <c r="K232" s="210"/>
      <c r="L232" s="210"/>
      <c r="M232" s="210"/>
      <c r="N232" s="211"/>
      <c r="O232" s="212"/>
      <c r="P232" s="210"/>
      <c r="Q232" s="210"/>
      <c r="R232" s="210"/>
    </row>
    <row r="233" spans="1:18" ht="14.25" customHeight="1">
      <c r="A233" s="210">
        <v>226</v>
      </c>
      <c r="B233" s="210"/>
      <c r="C233" s="210"/>
      <c r="D233" s="211"/>
      <c r="E233" s="211"/>
      <c r="F233" s="210"/>
      <c r="G233" s="210"/>
      <c r="H233" s="210"/>
      <c r="I233" s="210"/>
      <c r="J233" s="210"/>
      <c r="K233" s="210"/>
      <c r="L233" s="210"/>
      <c r="M233" s="210"/>
      <c r="N233" s="211"/>
      <c r="O233" s="212"/>
      <c r="P233" s="210"/>
      <c r="Q233" s="210"/>
      <c r="R233" s="210"/>
    </row>
    <row r="234" spans="1:18" ht="14.25" customHeight="1">
      <c r="A234" s="210">
        <v>227</v>
      </c>
      <c r="B234" s="210"/>
      <c r="C234" s="210"/>
      <c r="D234" s="211"/>
      <c r="E234" s="211"/>
      <c r="F234" s="210"/>
      <c r="G234" s="210"/>
      <c r="H234" s="210"/>
      <c r="I234" s="210"/>
      <c r="J234" s="210"/>
      <c r="K234" s="210"/>
      <c r="L234" s="210"/>
      <c r="M234" s="210"/>
      <c r="N234" s="211"/>
      <c r="O234" s="212"/>
      <c r="P234" s="210"/>
      <c r="Q234" s="210"/>
      <c r="R234" s="210"/>
    </row>
    <row r="235" spans="1:18" ht="14.25" customHeight="1">
      <c r="A235" s="210">
        <v>228</v>
      </c>
      <c r="B235" s="210"/>
      <c r="C235" s="210"/>
      <c r="D235" s="211"/>
      <c r="E235" s="211"/>
      <c r="F235" s="210"/>
      <c r="G235" s="210"/>
      <c r="H235" s="210"/>
      <c r="I235" s="210"/>
      <c r="J235" s="210"/>
      <c r="K235" s="210"/>
      <c r="L235" s="210"/>
      <c r="M235" s="210"/>
      <c r="N235" s="211"/>
      <c r="O235" s="212"/>
      <c r="P235" s="210"/>
      <c r="Q235" s="210"/>
      <c r="R235" s="210"/>
    </row>
    <row r="236" spans="1:18" ht="14.25" customHeight="1">
      <c r="A236" s="210">
        <v>229</v>
      </c>
      <c r="B236" s="210"/>
      <c r="C236" s="210"/>
      <c r="D236" s="211"/>
      <c r="E236" s="211"/>
      <c r="F236" s="210"/>
      <c r="G236" s="210"/>
      <c r="H236" s="210"/>
      <c r="I236" s="210"/>
      <c r="J236" s="210"/>
      <c r="K236" s="210"/>
      <c r="L236" s="210"/>
      <c r="M236" s="210"/>
      <c r="N236" s="211"/>
      <c r="O236" s="212"/>
      <c r="P236" s="210"/>
      <c r="Q236" s="210"/>
      <c r="R236" s="210"/>
    </row>
    <row r="237" spans="1:18" ht="14.25" customHeight="1">
      <c r="A237" s="210">
        <v>230</v>
      </c>
      <c r="B237" s="210"/>
      <c r="C237" s="210"/>
      <c r="D237" s="211"/>
      <c r="E237" s="211"/>
      <c r="F237" s="210"/>
      <c r="G237" s="210"/>
      <c r="H237" s="210"/>
      <c r="I237" s="210"/>
      <c r="J237" s="210"/>
      <c r="K237" s="210"/>
      <c r="L237" s="210"/>
      <c r="M237" s="210"/>
      <c r="N237" s="211"/>
      <c r="O237" s="212"/>
      <c r="P237" s="210"/>
      <c r="Q237" s="210"/>
      <c r="R237" s="210"/>
    </row>
    <row r="238" spans="1:18" ht="14.25" customHeight="1">
      <c r="A238" s="210">
        <v>231</v>
      </c>
      <c r="B238" s="210"/>
      <c r="C238" s="210"/>
      <c r="D238" s="211"/>
      <c r="E238" s="211"/>
      <c r="F238" s="210"/>
      <c r="G238" s="210"/>
      <c r="H238" s="210"/>
      <c r="I238" s="210"/>
      <c r="J238" s="210"/>
      <c r="K238" s="210"/>
      <c r="L238" s="210"/>
      <c r="M238" s="210"/>
      <c r="N238" s="211"/>
      <c r="O238" s="212"/>
      <c r="P238" s="210"/>
      <c r="Q238" s="210"/>
      <c r="R238" s="210"/>
    </row>
    <row r="239" spans="1:18" ht="14.25" customHeight="1">
      <c r="A239" s="210">
        <v>232</v>
      </c>
      <c r="B239" s="210"/>
      <c r="C239" s="210"/>
      <c r="D239" s="211"/>
      <c r="E239" s="211"/>
      <c r="F239" s="210"/>
      <c r="G239" s="210"/>
      <c r="H239" s="210"/>
      <c r="I239" s="210"/>
      <c r="J239" s="210"/>
      <c r="K239" s="210"/>
      <c r="L239" s="210"/>
      <c r="M239" s="210"/>
      <c r="N239" s="211"/>
      <c r="O239" s="212"/>
      <c r="P239" s="210"/>
      <c r="Q239" s="210"/>
      <c r="R239" s="210"/>
    </row>
    <row r="240" spans="1:18" ht="14.25" customHeight="1">
      <c r="A240" s="210">
        <v>233</v>
      </c>
      <c r="B240" s="210"/>
      <c r="C240" s="210"/>
      <c r="D240" s="211"/>
      <c r="E240" s="211"/>
      <c r="F240" s="210"/>
      <c r="G240" s="210"/>
      <c r="H240" s="210"/>
      <c r="I240" s="210"/>
      <c r="J240" s="210"/>
      <c r="K240" s="210"/>
      <c r="L240" s="210"/>
      <c r="M240" s="210"/>
      <c r="N240" s="211"/>
      <c r="O240" s="212"/>
      <c r="P240" s="210"/>
      <c r="Q240" s="210"/>
      <c r="R240" s="210"/>
    </row>
    <row r="241" spans="1:18" ht="14.25" customHeight="1">
      <c r="A241" s="210">
        <v>234</v>
      </c>
      <c r="B241" s="210"/>
      <c r="C241" s="210"/>
      <c r="D241" s="211"/>
      <c r="E241" s="211"/>
      <c r="F241" s="210"/>
      <c r="G241" s="210"/>
      <c r="H241" s="210"/>
      <c r="I241" s="210"/>
      <c r="J241" s="210"/>
      <c r="K241" s="210"/>
      <c r="L241" s="210"/>
      <c r="M241" s="210"/>
      <c r="N241" s="211"/>
      <c r="O241" s="212"/>
      <c r="P241" s="210"/>
      <c r="Q241" s="210"/>
      <c r="R241" s="210"/>
    </row>
    <row r="242" spans="1:18" ht="14.25" customHeight="1">
      <c r="A242" s="210">
        <v>235</v>
      </c>
      <c r="B242" s="210"/>
      <c r="C242" s="210"/>
      <c r="D242" s="211"/>
      <c r="E242" s="211"/>
      <c r="F242" s="210"/>
      <c r="G242" s="210"/>
      <c r="H242" s="210"/>
      <c r="I242" s="210"/>
      <c r="J242" s="210"/>
      <c r="K242" s="210"/>
      <c r="L242" s="210"/>
      <c r="M242" s="210"/>
      <c r="N242" s="211"/>
      <c r="O242" s="212"/>
      <c r="P242" s="210"/>
      <c r="Q242" s="210"/>
      <c r="R242" s="210"/>
    </row>
    <row r="243" spans="1:18" ht="14.25" customHeight="1">
      <c r="A243" s="210">
        <v>236</v>
      </c>
      <c r="B243" s="210"/>
      <c r="C243" s="210"/>
      <c r="D243" s="211"/>
      <c r="E243" s="211"/>
      <c r="F243" s="210"/>
      <c r="G243" s="210"/>
      <c r="H243" s="210"/>
      <c r="I243" s="210"/>
      <c r="J243" s="210"/>
      <c r="K243" s="210"/>
      <c r="L243" s="210"/>
      <c r="M243" s="210"/>
      <c r="N243" s="211"/>
      <c r="O243" s="212"/>
      <c r="P243" s="210"/>
      <c r="Q243" s="210"/>
      <c r="R243" s="210"/>
    </row>
    <row r="244" spans="1:18" ht="14.25" customHeight="1">
      <c r="A244" s="210">
        <v>237</v>
      </c>
      <c r="B244" s="210"/>
      <c r="C244" s="210"/>
      <c r="D244" s="211"/>
      <c r="E244" s="211"/>
      <c r="F244" s="210"/>
      <c r="G244" s="210"/>
      <c r="H244" s="210"/>
      <c r="I244" s="210"/>
      <c r="J244" s="210"/>
      <c r="K244" s="210"/>
      <c r="L244" s="210"/>
      <c r="M244" s="210"/>
      <c r="N244" s="211"/>
      <c r="O244" s="212"/>
      <c r="P244" s="210"/>
      <c r="Q244" s="210"/>
      <c r="R244" s="210"/>
    </row>
    <row r="245" spans="1:18" ht="14.25" customHeight="1">
      <c r="A245" s="210">
        <v>238</v>
      </c>
      <c r="B245" s="210"/>
      <c r="C245" s="210"/>
      <c r="D245" s="211"/>
      <c r="E245" s="211"/>
      <c r="F245" s="210"/>
      <c r="G245" s="210"/>
      <c r="H245" s="210"/>
      <c r="I245" s="210"/>
      <c r="J245" s="210"/>
      <c r="K245" s="210"/>
      <c r="L245" s="210"/>
      <c r="M245" s="210"/>
      <c r="N245" s="211"/>
      <c r="O245" s="212"/>
      <c r="P245" s="210"/>
      <c r="Q245" s="210"/>
      <c r="R245" s="210"/>
    </row>
    <row r="246" spans="1:18" ht="14.25" customHeight="1">
      <c r="A246" s="210">
        <v>239</v>
      </c>
      <c r="B246" s="210"/>
      <c r="C246" s="210"/>
      <c r="D246" s="211"/>
      <c r="E246" s="211"/>
      <c r="F246" s="210"/>
      <c r="G246" s="210"/>
      <c r="H246" s="210"/>
      <c r="I246" s="210"/>
      <c r="J246" s="210"/>
      <c r="K246" s="210"/>
      <c r="L246" s="210"/>
      <c r="M246" s="210"/>
      <c r="N246" s="211"/>
      <c r="O246" s="212"/>
      <c r="P246" s="210"/>
      <c r="Q246" s="210"/>
      <c r="R246" s="210"/>
    </row>
    <row r="247" spans="1:18" ht="14.25" customHeight="1">
      <c r="A247" s="210">
        <v>240</v>
      </c>
      <c r="B247" s="210"/>
      <c r="C247" s="210"/>
      <c r="D247" s="211"/>
      <c r="E247" s="211"/>
      <c r="F247" s="210"/>
      <c r="G247" s="210"/>
      <c r="H247" s="210"/>
      <c r="I247" s="210"/>
      <c r="J247" s="210"/>
      <c r="K247" s="210"/>
      <c r="L247" s="210"/>
      <c r="M247" s="210"/>
      <c r="N247" s="211"/>
      <c r="O247" s="212"/>
      <c r="P247" s="210"/>
      <c r="Q247" s="210"/>
      <c r="R247" s="210"/>
    </row>
    <row r="248" spans="1:18" ht="14.25" customHeight="1">
      <c r="A248" s="210">
        <v>241</v>
      </c>
      <c r="B248" s="210"/>
      <c r="C248" s="210"/>
      <c r="D248" s="211"/>
      <c r="E248" s="211"/>
      <c r="F248" s="210"/>
      <c r="G248" s="210"/>
      <c r="H248" s="210"/>
      <c r="I248" s="210"/>
      <c r="J248" s="210"/>
      <c r="K248" s="210"/>
      <c r="L248" s="210"/>
      <c r="M248" s="210"/>
      <c r="N248" s="211"/>
      <c r="O248" s="212"/>
      <c r="P248" s="210"/>
      <c r="Q248" s="210"/>
      <c r="R248" s="210"/>
    </row>
    <row r="249" spans="1:18" ht="14.25" customHeight="1">
      <c r="A249" s="210">
        <v>242</v>
      </c>
      <c r="B249" s="210"/>
      <c r="C249" s="210"/>
      <c r="D249" s="211"/>
      <c r="E249" s="211"/>
      <c r="F249" s="210"/>
      <c r="G249" s="210"/>
      <c r="H249" s="210"/>
      <c r="I249" s="210"/>
      <c r="J249" s="210"/>
      <c r="K249" s="210"/>
      <c r="L249" s="210"/>
      <c r="M249" s="210"/>
      <c r="N249" s="211"/>
      <c r="O249" s="212"/>
      <c r="P249" s="210"/>
      <c r="Q249" s="210"/>
      <c r="R249" s="210"/>
    </row>
    <row r="250" spans="1:18" ht="14.25" customHeight="1">
      <c r="A250" s="210">
        <v>243</v>
      </c>
      <c r="B250" s="210"/>
      <c r="C250" s="210"/>
      <c r="D250" s="211"/>
      <c r="E250" s="211"/>
      <c r="F250" s="210"/>
      <c r="G250" s="210"/>
      <c r="H250" s="210"/>
      <c r="I250" s="210"/>
      <c r="J250" s="210"/>
      <c r="K250" s="210"/>
      <c r="L250" s="210"/>
      <c r="M250" s="210"/>
      <c r="N250" s="211"/>
      <c r="O250" s="212"/>
      <c r="P250" s="210"/>
      <c r="Q250" s="210"/>
      <c r="R250" s="210"/>
    </row>
    <row r="251" spans="1:18" ht="14.25" customHeight="1">
      <c r="A251" s="210">
        <v>244</v>
      </c>
      <c r="B251" s="210"/>
      <c r="C251" s="210"/>
      <c r="D251" s="211"/>
      <c r="E251" s="211"/>
      <c r="F251" s="210"/>
      <c r="G251" s="210"/>
      <c r="H251" s="210"/>
      <c r="I251" s="210"/>
      <c r="J251" s="210"/>
      <c r="K251" s="210"/>
      <c r="L251" s="210"/>
      <c r="M251" s="210"/>
      <c r="N251" s="211"/>
      <c r="O251" s="212"/>
      <c r="P251" s="210"/>
      <c r="Q251" s="210"/>
      <c r="R251" s="210"/>
    </row>
    <row r="252" spans="1:18" ht="14.25" customHeight="1">
      <c r="A252" s="210">
        <v>245</v>
      </c>
      <c r="B252" s="210"/>
      <c r="C252" s="210"/>
      <c r="D252" s="211"/>
      <c r="E252" s="211"/>
      <c r="F252" s="210"/>
      <c r="G252" s="210"/>
      <c r="H252" s="210"/>
      <c r="I252" s="210"/>
      <c r="J252" s="210"/>
      <c r="K252" s="210"/>
      <c r="L252" s="210"/>
      <c r="M252" s="210"/>
      <c r="N252" s="211"/>
      <c r="O252" s="212"/>
      <c r="P252" s="210"/>
      <c r="Q252" s="210"/>
      <c r="R252" s="210"/>
    </row>
    <row r="253" spans="1:18" ht="14.25" customHeight="1">
      <c r="A253" s="210">
        <v>246</v>
      </c>
      <c r="B253" s="210"/>
      <c r="C253" s="210"/>
      <c r="D253" s="211"/>
      <c r="E253" s="211"/>
      <c r="F253" s="210"/>
      <c r="G253" s="210"/>
      <c r="H253" s="210"/>
      <c r="I253" s="210"/>
      <c r="J253" s="210"/>
      <c r="K253" s="210"/>
      <c r="L253" s="210"/>
      <c r="M253" s="210"/>
      <c r="N253" s="211"/>
      <c r="O253" s="212"/>
      <c r="P253" s="210"/>
      <c r="Q253" s="210"/>
      <c r="R253" s="210"/>
    </row>
    <row r="254" spans="1:18" ht="14.25" customHeight="1">
      <c r="A254" s="210">
        <v>247</v>
      </c>
      <c r="B254" s="210"/>
      <c r="C254" s="210"/>
      <c r="D254" s="211"/>
      <c r="E254" s="211"/>
      <c r="F254" s="210"/>
      <c r="G254" s="210"/>
      <c r="H254" s="210"/>
      <c r="I254" s="210"/>
      <c r="J254" s="210"/>
      <c r="K254" s="210"/>
      <c r="L254" s="210"/>
      <c r="M254" s="210"/>
      <c r="N254" s="211"/>
      <c r="O254" s="212"/>
      <c r="P254" s="210"/>
      <c r="Q254" s="210"/>
      <c r="R254" s="210"/>
    </row>
    <row r="255" spans="1:18" ht="14.25" customHeight="1">
      <c r="A255" s="210">
        <v>248</v>
      </c>
      <c r="B255" s="210"/>
      <c r="C255" s="210"/>
      <c r="D255" s="211"/>
      <c r="E255" s="211"/>
      <c r="F255" s="210"/>
      <c r="G255" s="210"/>
      <c r="H255" s="210"/>
      <c r="I255" s="210"/>
      <c r="J255" s="210"/>
      <c r="K255" s="210"/>
      <c r="L255" s="210"/>
      <c r="M255" s="210"/>
      <c r="N255" s="211"/>
      <c r="O255" s="212"/>
      <c r="P255" s="210"/>
      <c r="Q255" s="210"/>
      <c r="R255" s="210"/>
    </row>
    <row r="256" spans="1:18" ht="14.25" customHeight="1">
      <c r="A256" s="210">
        <v>249</v>
      </c>
      <c r="B256" s="210"/>
      <c r="C256" s="210"/>
      <c r="D256" s="211"/>
      <c r="E256" s="211"/>
      <c r="F256" s="210"/>
      <c r="G256" s="210"/>
      <c r="H256" s="210"/>
      <c r="I256" s="210"/>
      <c r="J256" s="210"/>
      <c r="K256" s="210"/>
      <c r="L256" s="210"/>
      <c r="M256" s="210"/>
      <c r="N256" s="211"/>
      <c r="O256" s="212"/>
      <c r="P256" s="210"/>
      <c r="Q256" s="210"/>
      <c r="R256" s="210"/>
    </row>
    <row r="257" spans="1:18" ht="14.25" customHeight="1">
      <c r="A257" s="210">
        <v>250</v>
      </c>
      <c r="B257" s="210"/>
      <c r="C257" s="210"/>
      <c r="D257" s="211"/>
      <c r="E257" s="211"/>
      <c r="F257" s="210"/>
      <c r="G257" s="210"/>
      <c r="H257" s="210"/>
      <c r="I257" s="210"/>
      <c r="J257" s="210"/>
      <c r="K257" s="210"/>
      <c r="L257" s="210"/>
      <c r="M257" s="210"/>
      <c r="N257" s="211"/>
      <c r="O257" s="212"/>
      <c r="P257" s="210"/>
      <c r="Q257" s="210"/>
      <c r="R257" s="210"/>
    </row>
    <row r="258" spans="1:18" ht="14.25" customHeight="1">
      <c r="A258" s="210">
        <v>251</v>
      </c>
      <c r="B258" s="210"/>
      <c r="C258" s="210"/>
      <c r="D258" s="211"/>
      <c r="E258" s="211"/>
      <c r="F258" s="210"/>
      <c r="G258" s="210"/>
      <c r="H258" s="210"/>
      <c r="I258" s="210"/>
      <c r="J258" s="210"/>
      <c r="K258" s="210"/>
      <c r="L258" s="210"/>
      <c r="M258" s="210"/>
      <c r="N258" s="211"/>
      <c r="O258" s="212"/>
      <c r="P258" s="210"/>
      <c r="Q258" s="210"/>
      <c r="R258" s="210"/>
    </row>
    <row r="259" spans="1:18" ht="14.25" customHeight="1">
      <c r="A259" s="210">
        <v>252</v>
      </c>
      <c r="B259" s="210"/>
      <c r="C259" s="210"/>
      <c r="D259" s="211"/>
      <c r="E259" s="211"/>
      <c r="F259" s="210"/>
      <c r="G259" s="210"/>
      <c r="H259" s="210"/>
      <c r="I259" s="210"/>
      <c r="J259" s="210"/>
      <c r="K259" s="210"/>
      <c r="L259" s="210"/>
      <c r="M259" s="210"/>
      <c r="N259" s="211"/>
      <c r="O259" s="212"/>
      <c r="P259" s="210"/>
      <c r="Q259" s="210"/>
      <c r="R259" s="210"/>
    </row>
    <row r="260" spans="1:18" ht="14.25" customHeight="1">
      <c r="A260" s="210">
        <v>253</v>
      </c>
      <c r="B260" s="210"/>
      <c r="C260" s="210"/>
      <c r="D260" s="211"/>
      <c r="E260" s="211"/>
      <c r="F260" s="210"/>
      <c r="G260" s="210"/>
      <c r="H260" s="210"/>
      <c r="I260" s="210"/>
      <c r="J260" s="210"/>
      <c r="K260" s="210"/>
      <c r="L260" s="210"/>
      <c r="M260" s="210"/>
      <c r="N260" s="211"/>
      <c r="O260" s="212"/>
      <c r="P260" s="210"/>
      <c r="Q260" s="210"/>
      <c r="R260" s="210"/>
    </row>
    <row r="261" spans="1:18" ht="14.25" customHeight="1">
      <c r="A261" s="210">
        <v>254</v>
      </c>
      <c r="B261" s="210"/>
      <c r="C261" s="210"/>
      <c r="D261" s="211"/>
      <c r="E261" s="211"/>
      <c r="F261" s="210"/>
      <c r="G261" s="210"/>
      <c r="H261" s="210"/>
      <c r="I261" s="210"/>
      <c r="J261" s="210"/>
      <c r="K261" s="210"/>
      <c r="L261" s="210"/>
      <c r="M261" s="210"/>
      <c r="N261" s="211"/>
      <c r="O261" s="212"/>
      <c r="P261" s="210"/>
      <c r="Q261" s="210"/>
      <c r="R261" s="210"/>
    </row>
    <row r="262" spans="1:18" ht="14.25" customHeight="1">
      <c r="A262" s="210">
        <v>255</v>
      </c>
      <c r="B262" s="210"/>
      <c r="C262" s="210"/>
      <c r="D262" s="211"/>
      <c r="E262" s="211"/>
      <c r="F262" s="210"/>
      <c r="G262" s="210"/>
      <c r="H262" s="210"/>
      <c r="I262" s="210"/>
      <c r="J262" s="210"/>
      <c r="K262" s="210"/>
      <c r="L262" s="210"/>
      <c r="M262" s="210"/>
      <c r="N262" s="211"/>
      <c r="O262" s="212"/>
      <c r="P262" s="210"/>
      <c r="Q262" s="210"/>
      <c r="R262" s="210"/>
    </row>
    <row r="263" spans="1:18" ht="14.25" customHeight="1">
      <c r="A263" s="210">
        <v>256</v>
      </c>
      <c r="B263" s="210"/>
      <c r="C263" s="210"/>
      <c r="D263" s="211"/>
      <c r="E263" s="211"/>
      <c r="F263" s="210"/>
      <c r="G263" s="210"/>
      <c r="H263" s="210"/>
      <c r="I263" s="210"/>
      <c r="J263" s="210"/>
      <c r="K263" s="210"/>
      <c r="L263" s="210"/>
      <c r="M263" s="210"/>
      <c r="N263" s="211"/>
      <c r="O263" s="212"/>
      <c r="P263" s="210"/>
      <c r="Q263" s="210"/>
      <c r="R263" s="210"/>
    </row>
    <row r="264" spans="1:18" ht="14.25" customHeight="1">
      <c r="A264" s="210">
        <v>257</v>
      </c>
      <c r="B264" s="210"/>
      <c r="C264" s="210"/>
      <c r="D264" s="211"/>
      <c r="E264" s="211"/>
      <c r="F264" s="210"/>
      <c r="G264" s="210"/>
      <c r="H264" s="210"/>
      <c r="I264" s="210"/>
      <c r="J264" s="210"/>
      <c r="K264" s="210"/>
      <c r="L264" s="210"/>
      <c r="M264" s="210"/>
      <c r="N264" s="211"/>
      <c r="O264" s="212"/>
      <c r="P264" s="210"/>
      <c r="Q264" s="210"/>
      <c r="R264" s="210"/>
    </row>
    <row r="265" spans="1:18" ht="14.25" customHeight="1">
      <c r="A265" s="210">
        <v>258</v>
      </c>
      <c r="B265" s="210"/>
      <c r="C265" s="210"/>
      <c r="D265" s="211"/>
      <c r="E265" s="211"/>
      <c r="F265" s="210"/>
      <c r="G265" s="210"/>
      <c r="H265" s="210"/>
      <c r="I265" s="210"/>
      <c r="J265" s="210"/>
      <c r="K265" s="210"/>
      <c r="L265" s="210"/>
      <c r="M265" s="210"/>
      <c r="N265" s="211"/>
      <c r="O265" s="212"/>
      <c r="P265" s="210"/>
      <c r="Q265" s="210"/>
      <c r="R265" s="210"/>
    </row>
    <row r="266" spans="1:18" ht="14.25" customHeight="1">
      <c r="A266" s="210">
        <v>259</v>
      </c>
      <c r="B266" s="210"/>
      <c r="C266" s="210"/>
      <c r="D266" s="211"/>
      <c r="E266" s="211"/>
      <c r="F266" s="210"/>
      <c r="G266" s="210"/>
      <c r="H266" s="210"/>
      <c r="I266" s="210"/>
      <c r="J266" s="210"/>
      <c r="K266" s="210"/>
      <c r="L266" s="210"/>
      <c r="M266" s="210"/>
      <c r="N266" s="211"/>
      <c r="O266" s="212"/>
      <c r="P266" s="210"/>
      <c r="Q266" s="210"/>
      <c r="R266" s="210"/>
    </row>
    <row r="267" spans="1:18" ht="14.25" customHeight="1">
      <c r="A267" s="210">
        <v>260</v>
      </c>
      <c r="B267" s="210"/>
      <c r="C267" s="210"/>
      <c r="D267" s="211"/>
      <c r="E267" s="211"/>
      <c r="F267" s="210"/>
      <c r="G267" s="210"/>
      <c r="H267" s="210"/>
      <c r="I267" s="210"/>
      <c r="J267" s="210"/>
      <c r="K267" s="210"/>
      <c r="L267" s="210"/>
      <c r="M267" s="210"/>
      <c r="N267" s="211"/>
      <c r="O267" s="212"/>
      <c r="P267" s="210"/>
      <c r="Q267" s="210"/>
      <c r="R267" s="210"/>
    </row>
    <row r="268" spans="1:18" ht="14.25" customHeight="1">
      <c r="A268" s="210">
        <v>261</v>
      </c>
      <c r="B268" s="210"/>
      <c r="C268" s="210"/>
      <c r="D268" s="211"/>
      <c r="E268" s="211"/>
      <c r="F268" s="210"/>
      <c r="G268" s="210"/>
      <c r="H268" s="210"/>
      <c r="I268" s="210"/>
      <c r="J268" s="210"/>
      <c r="K268" s="210"/>
      <c r="L268" s="210"/>
      <c r="M268" s="210"/>
      <c r="N268" s="211"/>
      <c r="O268" s="212"/>
      <c r="P268" s="210"/>
      <c r="Q268" s="210"/>
      <c r="R268" s="210"/>
    </row>
    <row r="269" spans="1:18" ht="14.25" customHeight="1">
      <c r="A269" s="210">
        <v>262</v>
      </c>
      <c r="B269" s="210"/>
      <c r="C269" s="210"/>
      <c r="D269" s="211"/>
      <c r="E269" s="211"/>
      <c r="F269" s="210"/>
      <c r="G269" s="210"/>
      <c r="H269" s="210"/>
      <c r="I269" s="210"/>
      <c r="J269" s="210"/>
      <c r="K269" s="210"/>
      <c r="L269" s="210"/>
      <c r="M269" s="210"/>
      <c r="N269" s="211"/>
      <c r="O269" s="212"/>
      <c r="P269" s="210"/>
      <c r="Q269" s="210"/>
      <c r="R269" s="210"/>
    </row>
    <row r="270" spans="1:18" ht="14.25" customHeight="1">
      <c r="A270" s="210">
        <v>263</v>
      </c>
      <c r="B270" s="210"/>
      <c r="C270" s="210"/>
      <c r="D270" s="211"/>
      <c r="E270" s="211"/>
      <c r="F270" s="210"/>
      <c r="G270" s="210"/>
      <c r="H270" s="210"/>
      <c r="I270" s="210"/>
      <c r="J270" s="210"/>
      <c r="K270" s="210"/>
      <c r="L270" s="210"/>
      <c r="M270" s="210"/>
      <c r="N270" s="211"/>
      <c r="O270" s="212"/>
      <c r="P270" s="210"/>
      <c r="Q270" s="210"/>
      <c r="R270" s="210"/>
    </row>
    <row r="271" spans="1:18" ht="14.25" customHeight="1">
      <c r="A271" s="210">
        <v>264</v>
      </c>
      <c r="B271" s="210"/>
      <c r="C271" s="210"/>
      <c r="D271" s="211"/>
      <c r="E271" s="211"/>
      <c r="F271" s="210"/>
      <c r="G271" s="210"/>
      <c r="H271" s="210"/>
      <c r="I271" s="210"/>
      <c r="J271" s="210"/>
      <c r="K271" s="210"/>
      <c r="L271" s="210"/>
      <c r="M271" s="210"/>
      <c r="N271" s="211"/>
      <c r="O271" s="212"/>
      <c r="P271" s="210"/>
      <c r="Q271" s="210"/>
      <c r="R271" s="210"/>
    </row>
    <row r="272" spans="1:18" ht="14.25" customHeight="1">
      <c r="A272" s="210">
        <v>265</v>
      </c>
      <c r="B272" s="210"/>
      <c r="C272" s="210"/>
      <c r="D272" s="211"/>
      <c r="E272" s="211"/>
      <c r="F272" s="210"/>
      <c r="G272" s="210"/>
      <c r="H272" s="210"/>
      <c r="I272" s="210"/>
      <c r="J272" s="210"/>
      <c r="K272" s="210"/>
      <c r="L272" s="210"/>
      <c r="M272" s="210"/>
      <c r="N272" s="211"/>
      <c r="O272" s="212"/>
      <c r="P272" s="210"/>
      <c r="Q272" s="210"/>
      <c r="R272" s="210"/>
    </row>
    <row r="273" spans="1:18" ht="14.25" customHeight="1">
      <c r="A273" s="210">
        <v>266</v>
      </c>
      <c r="B273" s="210"/>
      <c r="C273" s="210"/>
      <c r="D273" s="211"/>
      <c r="E273" s="211"/>
      <c r="F273" s="210"/>
      <c r="G273" s="210"/>
      <c r="H273" s="210"/>
      <c r="I273" s="210"/>
      <c r="J273" s="210"/>
      <c r="K273" s="210"/>
      <c r="L273" s="210"/>
      <c r="M273" s="210"/>
      <c r="N273" s="211"/>
      <c r="O273" s="212"/>
      <c r="P273" s="210"/>
      <c r="Q273" s="210"/>
      <c r="R273" s="210"/>
    </row>
    <row r="274" spans="1:18" ht="14.25" customHeight="1">
      <c r="A274" s="210">
        <v>267</v>
      </c>
      <c r="B274" s="210"/>
      <c r="C274" s="210"/>
      <c r="D274" s="211"/>
      <c r="E274" s="211"/>
      <c r="F274" s="210"/>
      <c r="G274" s="210"/>
      <c r="H274" s="210"/>
      <c r="I274" s="210"/>
      <c r="J274" s="210"/>
      <c r="K274" s="210"/>
      <c r="L274" s="210"/>
      <c r="M274" s="210"/>
      <c r="N274" s="211"/>
      <c r="O274" s="212"/>
      <c r="P274" s="210"/>
      <c r="Q274" s="210"/>
      <c r="R274" s="210"/>
    </row>
    <row r="275" spans="1:18" ht="14.25" customHeight="1">
      <c r="A275" s="210">
        <v>268</v>
      </c>
      <c r="B275" s="210"/>
      <c r="C275" s="210"/>
      <c r="D275" s="211"/>
      <c r="E275" s="211"/>
      <c r="F275" s="210"/>
      <c r="G275" s="210"/>
      <c r="H275" s="210"/>
      <c r="I275" s="210"/>
      <c r="J275" s="210"/>
      <c r="K275" s="210"/>
      <c r="L275" s="210"/>
      <c r="M275" s="210"/>
      <c r="N275" s="211"/>
      <c r="O275" s="212"/>
      <c r="P275" s="210"/>
      <c r="Q275" s="210"/>
      <c r="R275" s="210"/>
    </row>
    <row r="276" spans="1:18" ht="14.25" customHeight="1">
      <c r="A276" s="210">
        <v>269</v>
      </c>
      <c r="B276" s="210"/>
      <c r="C276" s="210"/>
      <c r="D276" s="211"/>
      <c r="E276" s="211"/>
      <c r="F276" s="210"/>
      <c r="G276" s="210"/>
      <c r="H276" s="210"/>
      <c r="I276" s="210"/>
      <c r="J276" s="210"/>
      <c r="K276" s="210"/>
      <c r="L276" s="210"/>
      <c r="M276" s="210"/>
      <c r="N276" s="211"/>
      <c r="O276" s="212"/>
      <c r="P276" s="210"/>
      <c r="Q276" s="210"/>
      <c r="R276" s="210"/>
    </row>
    <row r="277" spans="1:18" ht="14.25" customHeight="1">
      <c r="A277" s="210">
        <v>270</v>
      </c>
      <c r="B277" s="210"/>
      <c r="C277" s="210"/>
      <c r="D277" s="211"/>
      <c r="E277" s="211"/>
      <c r="F277" s="210"/>
      <c r="G277" s="210"/>
      <c r="H277" s="210"/>
      <c r="I277" s="210"/>
      <c r="J277" s="210"/>
      <c r="K277" s="210"/>
      <c r="L277" s="210"/>
      <c r="M277" s="210"/>
      <c r="N277" s="211"/>
      <c r="O277" s="212"/>
      <c r="P277" s="210"/>
      <c r="Q277" s="210"/>
      <c r="R277" s="210"/>
    </row>
    <row r="278" spans="1:18" ht="14.25" customHeight="1">
      <c r="A278" s="210">
        <v>271</v>
      </c>
      <c r="B278" s="210"/>
      <c r="C278" s="210"/>
      <c r="D278" s="211"/>
      <c r="E278" s="211"/>
      <c r="F278" s="210"/>
      <c r="G278" s="210"/>
      <c r="H278" s="210"/>
      <c r="I278" s="210"/>
      <c r="J278" s="210"/>
      <c r="K278" s="210"/>
      <c r="L278" s="210"/>
      <c r="M278" s="210"/>
      <c r="N278" s="211"/>
      <c r="O278" s="212"/>
      <c r="P278" s="210"/>
      <c r="Q278" s="210"/>
      <c r="R278" s="210"/>
    </row>
    <row r="279" spans="1:18" ht="14.25" customHeight="1">
      <c r="A279" s="210">
        <v>272</v>
      </c>
      <c r="B279" s="210"/>
      <c r="C279" s="210"/>
      <c r="D279" s="211"/>
      <c r="E279" s="211"/>
      <c r="F279" s="210"/>
      <c r="G279" s="210"/>
      <c r="H279" s="210"/>
      <c r="I279" s="210"/>
      <c r="J279" s="210"/>
      <c r="K279" s="210"/>
      <c r="L279" s="210"/>
      <c r="M279" s="210"/>
      <c r="N279" s="211"/>
      <c r="O279" s="212"/>
      <c r="P279" s="210"/>
      <c r="Q279" s="210"/>
      <c r="R279" s="210"/>
    </row>
    <row r="280" spans="1:18" ht="14.25" customHeight="1">
      <c r="A280" s="210">
        <v>273</v>
      </c>
      <c r="B280" s="210"/>
      <c r="C280" s="210"/>
      <c r="D280" s="211"/>
      <c r="E280" s="211"/>
      <c r="F280" s="210"/>
      <c r="G280" s="210"/>
      <c r="H280" s="210"/>
      <c r="I280" s="210"/>
      <c r="J280" s="210"/>
      <c r="K280" s="210"/>
      <c r="L280" s="210"/>
      <c r="M280" s="210"/>
      <c r="N280" s="211"/>
      <c r="O280" s="212"/>
      <c r="P280" s="210"/>
      <c r="Q280" s="210"/>
      <c r="R280" s="210"/>
    </row>
    <row r="281" spans="1:18" ht="14.25" customHeight="1">
      <c r="A281" s="210">
        <v>274</v>
      </c>
      <c r="B281" s="210"/>
      <c r="C281" s="210"/>
      <c r="D281" s="211"/>
      <c r="E281" s="211"/>
      <c r="F281" s="210"/>
      <c r="G281" s="210"/>
      <c r="H281" s="210"/>
      <c r="I281" s="210"/>
      <c r="J281" s="210"/>
      <c r="K281" s="210"/>
      <c r="L281" s="210"/>
      <c r="M281" s="210"/>
      <c r="N281" s="211"/>
      <c r="O281" s="212"/>
      <c r="P281" s="210"/>
      <c r="Q281" s="210"/>
      <c r="R281" s="210"/>
    </row>
    <row r="282" spans="1:18" ht="14.25" customHeight="1">
      <c r="A282" s="210">
        <v>275</v>
      </c>
      <c r="B282" s="210"/>
      <c r="C282" s="210"/>
      <c r="D282" s="211"/>
      <c r="E282" s="211"/>
      <c r="F282" s="210"/>
      <c r="G282" s="210"/>
      <c r="H282" s="210"/>
      <c r="I282" s="210"/>
      <c r="J282" s="210"/>
      <c r="K282" s="210"/>
      <c r="L282" s="210"/>
      <c r="M282" s="210"/>
      <c r="N282" s="211"/>
      <c r="O282" s="212"/>
      <c r="P282" s="210"/>
      <c r="Q282" s="210"/>
      <c r="R282" s="210"/>
    </row>
    <row r="283" spans="1:18" ht="14.25" customHeight="1">
      <c r="A283" s="210">
        <v>276</v>
      </c>
      <c r="B283" s="210"/>
      <c r="C283" s="210"/>
      <c r="D283" s="211"/>
      <c r="E283" s="211"/>
      <c r="F283" s="210"/>
      <c r="G283" s="210"/>
      <c r="H283" s="210"/>
      <c r="I283" s="210"/>
      <c r="J283" s="210"/>
      <c r="K283" s="210"/>
      <c r="L283" s="210"/>
      <c r="M283" s="210"/>
      <c r="N283" s="211"/>
      <c r="O283" s="212"/>
      <c r="P283" s="210"/>
      <c r="Q283" s="210"/>
      <c r="R283" s="210"/>
    </row>
    <row r="284" spans="1:18" ht="14.25" customHeight="1">
      <c r="A284" s="210">
        <v>277</v>
      </c>
      <c r="B284" s="210"/>
      <c r="C284" s="210"/>
      <c r="D284" s="211"/>
      <c r="E284" s="211"/>
      <c r="F284" s="210"/>
      <c r="G284" s="210"/>
      <c r="H284" s="210"/>
      <c r="I284" s="210"/>
      <c r="J284" s="210"/>
      <c r="K284" s="210"/>
      <c r="L284" s="210"/>
      <c r="M284" s="210"/>
      <c r="N284" s="211"/>
      <c r="O284" s="212"/>
      <c r="P284" s="210"/>
      <c r="Q284" s="210"/>
      <c r="R284" s="210"/>
    </row>
    <row r="285" spans="1:18" ht="14.25" customHeight="1">
      <c r="A285" s="210">
        <v>278</v>
      </c>
      <c r="B285" s="210"/>
      <c r="C285" s="210"/>
      <c r="D285" s="211"/>
      <c r="E285" s="211"/>
      <c r="F285" s="210"/>
      <c r="G285" s="210"/>
      <c r="H285" s="210"/>
      <c r="I285" s="210"/>
      <c r="J285" s="210"/>
      <c r="K285" s="210"/>
      <c r="L285" s="210"/>
      <c r="M285" s="210"/>
      <c r="N285" s="211"/>
      <c r="O285" s="212"/>
      <c r="P285" s="210"/>
      <c r="Q285" s="210"/>
      <c r="R285" s="210"/>
    </row>
    <row r="286" spans="1:18" ht="14.25" customHeight="1">
      <c r="A286" s="210">
        <v>279</v>
      </c>
      <c r="B286" s="210"/>
      <c r="C286" s="210"/>
      <c r="D286" s="211"/>
      <c r="E286" s="211"/>
      <c r="F286" s="210"/>
      <c r="G286" s="210"/>
      <c r="H286" s="210"/>
      <c r="I286" s="210"/>
      <c r="J286" s="210"/>
      <c r="K286" s="210"/>
      <c r="L286" s="210"/>
      <c r="M286" s="210"/>
      <c r="N286" s="211"/>
      <c r="O286" s="212"/>
      <c r="P286" s="210"/>
      <c r="Q286" s="210"/>
      <c r="R286" s="210"/>
    </row>
    <row r="287" spans="1:18" ht="14.25" customHeight="1">
      <c r="A287" s="210">
        <v>280</v>
      </c>
      <c r="B287" s="210"/>
      <c r="C287" s="210"/>
      <c r="D287" s="211"/>
      <c r="E287" s="211"/>
      <c r="F287" s="210"/>
      <c r="G287" s="210"/>
      <c r="H287" s="210"/>
      <c r="I287" s="210"/>
      <c r="J287" s="210"/>
      <c r="K287" s="210"/>
      <c r="L287" s="210"/>
      <c r="M287" s="210"/>
      <c r="N287" s="211"/>
      <c r="O287" s="212"/>
      <c r="P287" s="210"/>
      <c r="Q287" s="210"/>
      <c r="R287" s="210"/>
    </row>
    <row r="288" spans="1:18" ht="14.25" customHeight="1">
      <c r="A288" s="210">
        <v>281</v>
      </c>
      <c r="B288" s="210"/>
      <c r="C288" s="210"/>
      <c r="D288" s="211"/>
      <c r="E288" s="211"/>
      <c r="F288" s="210"/>
      <c r="G288" s="210"/>
      <c r="H288" s="210"/>
      <c r="I288" s="210"/>
      <c r="J288" s="210"/>
      <c r="K288" s="210"/>
      <c r="L288" s="210"/>
      <c r="M288" s="210"/>
      <c r="N288" s="211"/>
      <c r="O288" s="212"/>
      <c r="P288" s="210"/>
      <c r="Q288" s="210"/>
      <c r="R288" s="210"/>
    </row>
    <row r="289" spans="1:18" ht="14.25" customHeight="1">
      <c r="A289" s="210">
        <v>282</v>
      </c>
      <c r="B289" s="210"/>
      <c r="C289" s="210"/>
      <c r="D289" s="211"/>
      <c r="E289" s="211"/>
      <c r="F289" s="210"/>
      <c r="G289" s="210"/>
      <c r="H289" s="210"/>
      <c r="I289" s="210"/>
      <c r="J289" s="210"/>
      <c r="K289" s="210"/>
      <c r="L289" s="210"/>
      <c r="M289" s="210"/>
      <c r="N289" s="211"/>
      <c r="O289" s="212"/>
      <c r="P289" s="210"/>
      <c r="Q289" s="210"/>
      <c r="R289" s="210"/>
    </row>
    <row r="290" spans="1:18" ht="14.25" customHeight="1">
      <c r="A290" s="210">
        <v>283</v>
      </c>
      <c r="B290" s="210"/>
      <c r="C290" s="210"/>
      <c r="D290" s="211"/>
      <c r="E290" s="211"/>
      <c r="F290" s="210"/>
      <c r="G290" s="210"/>
      <c r="H290" s="210"/>
      <c r="I290" s="210"/>
      <c r="J290" s="210"/>
      <c r="K290" s="210"/>
      <c r="L290" s="210"/>
      <c r="M290" s="210"/>
      <c r="N290" s="211"/>
      <c r="O290" s="212"/>
      <c r="P290" s="210"/>
      <c r="Q290" s="210"/>
      <c r="R290" s="210"/>
    </row>
    <row r="291" spans="1:18" ht="14.25" customHeight="1">
      <c r="A291" s="210">
        <v>284</v>
      </c>
      <c r="B291" s="210"/>
      <c r="C291" s="210"/>
      <c r="D291" s="211"/>
      <c r="E291" s="211"/>
      <c r="F291" s="210"/>
      <c r="G291" s="210"/>
      <c r="H291" s="210"/>
      <c r="I291" s="210"/>
      <c r="J291" s="210"/>
      <c r="K291" s="210"/>
      <c r="L291" s="210"/>
      <c r="M291" s="210"/>
      <c r="N291" s="211"/>
      <c r="O291" s="212"/>
      <c r="P291" s="210"/>
      <c r="Q291" s="210"/>
      <c r="R291" s="210"/>
    </row>
    <row r="292" spans="1:18" ht="14.25" customHeight="1">
      <c r="A292" s="210">
        <v>285</v>
      </c>
      <c r="B292" s="210"/>
      <c r="C292" s="210"/>
      <c r="D292" s="211"/>
      <c r="E292" s="211"/>
      <c r="F292" s="210"/>
      <c r="G292" s="210"/>
      <c r="H292" s="210"/>
      <c r="I292" s="210"/>
      <c r="J292" s="210"/>
      <c r="K292" s="210"/>
      <c r="L292" s="210"/>
      <c r="M292" s="210"/>
      <c r="N292" s="211"/>
      <c r="O292" s="212"/>
      <c r="P292" s="210"/>
      <c r="Q292" s="210"/>
      <c r="R292" s="210"/>
    </row>
    <row r="293" spans="1:18" ht="14.25" customHeight="1">
      <c r="A293" s="210">
        <v>286</v>
      </c>
      <c r="B293" s="210"/>
      <c r="C293" s="210"/>
      <c r="D293" s="211"/>
      <c r="E293" s="211"/>
      <c r="F293" s="210"/>
      <c r="G293" s="210"/>
      <c r="H293" s="210"/>
      <c r="I293" s="210"/>
      <c r="J293" s="210"/>
      <c r="K293" s="210"/>
      <c r="L293" s="210"/>
      <c r="M293" s="210"/>
      <c r="N293" s="211"/>
      <c r="O293" s="212"/>
      <c r="P293" s="210"/>
      <c r="Q293" s="210"/>
      <c r="R293" s="210"/>
    </row>
    <row r="294" spans="1:18" ht="14.25" customHeight="1">
      <c r="A294" s="210">
        <v>287</v>
      </c>
      <c r="B294" s="210"/>
      <c r="C294" s="210"/>
      <c r="D294" s="211"/>
      <c r="E294" s="211"/>
      <c r="F294" s="210"/>
      <c r="G294" s="210"/>
      <c r="H294" s="210"/>
      <c r="I294" s="210"/>
      <c r="J294" s="210"/>
      <c r="K294" s="210"/>
      <c r="L294" s="210"/>
      <c r="M294" s="210"/>
      <c r="N294" s="211"/>
      <c r="O294" s="212"/>
      <c r="P294" s="210"/>
      <c r="Q294" s="210"/>
      <c r="R294" s="210"/>
    </row>
    <row r="295" spans="1:18" ht="14.25" customHeight="1">
      <c r="A295" s="210">
        <v>288</v>
      </c>
      <c r="B295" s="210"/>
      <c r="C295" s="210"/>
      <c r="D295" s="211"/>
      <c r="E295" s="211"/>
      <c r="F295" s="210"/>
      <c r="G295" s="210"/>
      <c r="H295" s="210"/>
      <c r="I295" s="210"/>
      <c r="J295" s="210"/>
      <c r="K295" s="210"/>
      <c r="L295" s="210"/>
      <c r="M295" s="210"/>
      <c r="N295" s="211"/>
      <c r="O295" s="212"/>
      <c r="P295" s="210"/>
      <c r="Q295" s="210"/>
      <c r="R295" s="210"/>
    </row>
    <row r="296" spans="1:18" ht="14.25" customHeight="1">
      <c r="A296" s="210">
        <v>289</v>
      </c>
      <c r="B296" s="210"/>
      <c r="C296" s="210"/>
      <c r="D296" s="211"/>
      <c r="E296" s="211"/>
      <c r="F296" s="210"/>
      <c r="G296" s="210"/>
      <c r="H296" s="210"/>
      <c r="I296" s="210"/>
      <c r="J296" s="210"/>
      <c r="K296" s="210"/>
      <c r="L296" s="210"/>
      <c r="M296" s="210"/>
      <c r="N296" s="211"/>
      <c r="O296" s="212"/>
      <c r="P296" s="210"/>
      <c r="Q296" s="210"/>
      <c r="R296" s="210"/>
    </row>
    <row r="297" spans="1:18" ht="14.25" customHeight="1">
      <c r="A297" s="210">
        <v>290</v>
      </c>
      <c r="B297" s="210"/>
      <c r="C297" s="210"/>
      <c r="D297" s="211"/>
      <c r="E297" s="211"/>
      <c r="F297" s="210"/>
      <c r="G297" s="210"/>
      <c r="H297" s="210"/>
      <c r="I297" s="210"/>
      <c r="J297" s="210"/>
      <c r="K297" s="210"/>
      <c r="L297" s="210"/>
      <c r="M297" s="210"/>
      <c r="N297" s="211"/>
      <c r="O297" s="212"/>
      <c r="P297" s="210"/>
      <c r="Q297" s="210"/>
      <c r="R297" s="210"/>
    </row>
    <row r="298" spans="1:18" ht="14.25" customHeight="1">
      <c r="A298" s="210">
        <v>291</v>
      </c>
      <c r="B298" s="210"/>
      <c r="C298" s="210"/>
      <c r="D298" s="211"/>
      <c r="E298" s="211"/>
      <c r="F298" s="210"/>
      <c r="G298" s="210"/>
      <c r="H298" s="210"/>
      <c r="I298" s="210"/>
      <c r="J298" s="210"/>
      <c r="K298" s="210"/>
      <c r="L298" s="210"/>
      <c r="M298" s="210"/>
      <c r="N298" s="211"/>
      <c r="O298" s="212"/>
      <c r="P298" s="210"/>
      <c r="Q298" s="210"/>
      <c r="R298" s="210"/>
    </row>
    <row r="299" spans="1:18" ht="14.25" customHeight="1">
      <c r="A299" s="210">
        <v>292</v>
      </c>
      <c r="B299" s="210"/>
      <c r="C299" s="210"/>
      <c r="D299" s="211"/>
      <c r="E299" s="211"/>
      <c r="F299" s="210"/>
      <c r="G299" s="210"/>
      <c r="H299" s="210"/>
      <c r="I299" s="210"/>
      <c r="J299" s="210"/>
      <c r="K299" s="210"/>
      <c r="L299" s="210"/>
      <c r="M299" s="210"/>
      <c r="N299" s="211"/>
      <c r="O299" s="212"/>
      <c r="P299" s="210"/>
      <c r="Q299" s="210"/>
      <c r="R299" s="210"/>
    </row>
    <row r="300" spans="1:18" ht="14.25" customHeight="1">
      <c r="A300" s="210">
        <v>293</v>
      </c>
      <c r="B300" s="210"/>
      <c r="C300" s="210"/>
      <c r="D300" s="211"/>
      <c r="E300" s="211"/>
      <c r="F300" s="210"/>
      <c r="G300" s="210"/>
      <c r="H300" s="210"/>
      <c r="I300" s="210"/>
      <c r="J300" s="210"/>
      <c r="K300" s="210"/>
      <c r="L300" s="210"/>
      <c r="M300" s="210"/>
      <c r="N300" s="211"/>
      <c r="O300" s="212"/>
      <c r="P300" s="210"/>
      <c r="Q300" s="210"/>
      <c r="R300" s="210"/>
    </row>
    <row r="301" spans="1:18" ht="14.25" customHeight="1">
      <c r="A301" s="210">
        <v>294</v>
      </c>
      <c r="B301" s="210"/>
      <c r="C301" s="210"/>
      <c r="D301" s="211"/>
      <c r="E301" s="211"/>
      <c r="F301" s="210"/>
      <c r="G301" s="210"/>
      <c r="H301" s="210"/>
      <c r="I301" s="210"/>
      <c r="J301" s="210"/>
      <c r="K301" s="210"/>
      <c r="L301" s="210"/>
      <c r="M301" s="210"/>
      <c r="N301" s="211"/>
      <c r="O301" s="212"/>
      <c r="P301" s="210"/>
      <c r="Q301" s="210"/>
      <c r="R301" s="210"/>
    </row>
    <row r="302" spans="1:18" ht="14.25" customHeight="1">
      <c r="A302" s="210">
        <v>295</v>
      </c>
      <c r="B302" s="210"/>
      <c r="C302" s="210"/>
      <c r="D302" s="211"/>
      <c r="E302" s="211"/>
      <c r="F302" s="210"/>
      <c r="G302" s="210"/>
      <c r="H302" s="210"/>
      <c r="I302" s="210"/>
      <c r="J302" s="210"/>
      <c r="K302" s="210"/>
      <c r="L302" s="210"/>
      <c r="M302" s="210"/>
      <c r="N302" s="211"/>
      <c r="O302" s="212"/>
      <c r="P302" s="210"/>
      <c r="Q302" s="210"/>
      <c r="R302" s="210"/>
    </row>
    <row r="303" spans="1:18" ht="14.25" customHeight="1">
      <c r="A303" s="210">
        <v>296</v>
      </c>
      <c r="B303" s="210"/>
      <c r="C303" s="210"/>
      <c r="D303" s="211"/>
      <c r="E303" s="211"/>
      <c r="F303" s="210"/>
      <c r="G303" s="210"/>
      <c r="H303" s="210"/>
      <c r="I303" s="210"/>
      <c r="J303" s="210"/>
      <c r="K303" s="210"/>
      <c r="L303" s="210"/>
      <c r="M303" s="210"/>
      <c r="N303" s="211"/>
      <c r="O303" s="212"/>
      <c r="P303" s="210"/>
      <c r="Q303" s="210"/>
      <c r="R303" s="210"/>
    </row>
    <row r="304" spans="1:18" ht="14.25" customHeight="1">
      <c r="A304" s="210">
        <v>297</v>
      </c>
      <c r="B304" s="210"/>
      <c r="C304" s="210"/>
      <c r="D304" s="211"/>
      <c r="E304" s="211"/>
      <c r="F304" s="210"/>
      <c r="G304" s="210"/>
      <c r="H304" s="210"/>
      <c r="I304" s="210"/>
      <c r="J304" s="210"/>
      <c r="K304" s="210"/>
      <c r="L304" s="210"/>
      <c r="M304" s="210"/>
      <c r="N304" s="211"/>
      <c r="O304" s="212"/>
      <c r="P304" s="210"/>
      <c r="Q304" s="210"/>
      <c r="R304" s="210"/>
    </row>
    <row r="305" spans="1:18" ht="14.25" customHeight="1">
      <c r="A305" s="210">
        <v>298</v>
      </c>
      <c r="B305" s="210"/>
      <c r="C305" s="210"/>
      <c r="D305" s="211"/>
      <c r="E305" s="211"/>
      <c r="F305" s="210"/>
      <c r="G305" s="210"/>
      <c r="H305" s="210"/>
      <c r="I305" s="210"/>
      <c r="J305" s="210"/>
      <c r="K305" s="210"/>
      <c r="L305" s="210"/>
      <c r="M305" s="210"/>
      <c r="N305" s="211"/>
      <c r="O305" s="212"/>
      <c r="P305" s="210"/>
      <c r="Q305" s="210"/>
      <c r="R305" s="210"/>
    </row>
    <row r="306" spans="1:18" ht="14.25" customHeight="1">
      <c r="A306" s="210">
        <v>299</v>
      </c>
      <c r="B306" s="210"/>
      <c r="C306" s="210"/>
      <c r="D306" s="211"/>
      <c r="E306" s="211"/>
      <c r="F306" s="210"/>
      <c r="G306" s="210"/>
      <c r="H306" s="210"/>
      <c r="I306" s="210"/>
      <c r="J306" s="210"/>
      <c r="K306" s="210"/>
      <c r="L306" s="210"/>
      <c r="M306" s="210"/>
      <c r="N306" s="211"/>
      <c r="O306" s="212"/>
      <c r="P306" s="210"/>
      <c r="Q306" s="210"/>
      <c r="R306" s="210"/>
    </row>
    <row r="307" spans="1:18" ht="14.25" customHeight="1">
      <c r="A307" s="210">
        <v>300</v>
      </c>
      <c r="B307" s="210"/>
      <c r="C307" s="210"/>
      <c r="D307" s="211"/>
      <c r="E307" s="211"/>
      <c r="F307" s="210"/>
      <c r="G307" s="210"/>
      <c r="H307" s="210"/>
      <c r="I307" s="210"/>
      <c r="J307" s="210"/>
      <c r="K307" s="210"/>
      <c r="L307" s="210"/>
      <c r="M307" s="210"/>
      <c r="N307" s="211"/>
      <c r="O307" s="212"/>
      <c r="P307" s="210"/>
      <c r="Q307" s="210"/>
      <c r="R307" s="210"/>
    </row>
    <row r="308" spans="1:18" ht="14.25" customHeight="1">
      <c r="A308" s="210">
        <v>301</v>
      </c>
      <c r="B308" s="210"/>
      <c r="C308" s="210"/>
      <c r="D308" s="211"/>
      <c r="E308" s="211"/>
      <c r="F308" s="210"/>
      <c r="G308" s="210"/>
      <c r="H308" s="210"/>
      <c r="I308" s="210"/>
      <c r="J308" s="210"/>
      <c r="K308" s="210"/>
      <c r="L308" s="210"/>
      <c r="M308" s="210"/>
      <c r="N308" s="211"/>
      <c r="O308" s="212"/>
      <c r="P308" s="210"/>
      <c r="Q308" s="210"/>
      <c r="R308" s="210"/>
    </row>
    <row r="309" spans="1:18" ht="14.25" customHeight="1">
      <c r="A309" s="210">
        <v>302</v>
      </c>
      <c r="B309" s="210"/>
      <c r="C309" s="210"/>
      <c r="D309" s="211"/>
      <c r="E309" s="211"/>
      <c r="F309" s="210"/>
      <c r="G309" s="210"/>
      <c r="H309" s="210"/>
      <c r="I309" s="210"/>
      <c r="J309" s="210"/>
      <c r="K309" s="210"/>
      <c r="L309" s="210"/>
      <c r="M309" s="210"/>
      <c r="N309" s="211"/>
      <c r="O309" s="212"/>
      <c r="P309" s="210"/>
      <c r="Q309" s="210"/>
      <c r="R309" s="210"/>
    </row>
    <row r="310" spans="1:18" ht="14.25" customHeight="1">
      <c r="A310" s="210">
        <v>303</v>
      </c>
      <c r="B310" s="210"/>
      <c r="C310" s="210"/>
      <c r="D310" s="211"/>
      <c r="E310" s="211"/>
      <c r="F310" s="210"/>
      <c r="G310" s="210"/>
      <c r="H310" s="210"/>
      <c r="I310" s="210"/>
      <c r="J310" s="210"/>
      <c r="K310" s="210"/>
      <c r="L310" s="210"/>
      <c r="M310" s="210"/>
      <c r="N310" s="211"/>
      <c r="O310" s="212"/>
      <c r="P310" s="210"/>
      <c r="Q310" s="210"/>
      <c r="R310" s="210"/>
    </row>
    <row r="311" spans="1:18" ht="14.25" customHeight="1">
      <c r="A311" s="210">
        <v>304</v>
      </c>
      <c r="B311" s="210"/>
      <c r="C311" s="210"/>
      <c r="D311" s="211"/>
      <c r="E311" s="211"/>
      <c r="F311" s="210"/>
      <c r="G311" s="210"/>
      <c r="H311" s="210"/>
      <c r="I311" s="210"/>
      <c r="J311" s="210"/>
      <c r="K311" s="210"/>
      <c r="L311" s="210"/>
      <c r="M311" s="210"/>
      <c r="N311" s="211"/>
      <c r="O311" s="212"/>
      <c r="P311" s="210"/>
      <c r="Q311" s="210"/>
      <c r="R311" s="210"/>
    </row>
    <row r="312" spans="1:18" ht="14.25" customHeight="1">
      <c r="A312" s="210">
        <v>305</v>
      </c>
      <c r="B312" s="210"/>
      <c r="C312" s="210"/>
      <c r="D312" s="211"/>
      <c r="E312" s="211"/>
      <c r="F312" s="210"/>
      <c r="G312" s="210"/>
      <c r="H312" s="210"/>
      <c r="I312" s="210"/>
      <c r="J312" s="210"/>
      <c r="K312" s="210"/>
      <c r="L312" s="210"/>
      <c r="M312" s="210"/>
      <c r="N312" s="211"/>
      <c r="O312" s="212"/>
      <c r="P312" s="210"/>
      <c r="Q312" s="210"/>
      <c r="R312" s="210"/>
    </row>
    <row r="313" spans="1:18" ht="14.25" customHeight="1">
      <c r="A313" s="210">
        <v>306</v>
      </c>
      <c r="B313" s="210"/>
      <c r="C313" s="210"/>
      <c r="D313" s="211"/>
      <c r="E313" s="211"/>
      <c r="F313" s="210"/>
      <c r="G313" s="210"/>
      <c r="H313" s="210"/>
      <c r="I313" s="210"/>
      <c r="J313" s="210"/>
      <c r="K313" s="210"/>
      <c r="L313" s="210"/>
      <c r="M313" s="210"/>
      <c r="N313" s="211"/>
      <c r="O313" s="212"/>
      <c r="P313" s="210"/>
      <c r="Q313" s="210"/>
      <c r="R313" s="210"/>
    </row>
    <row r="314" spans="1:18" ht="14.25" customHeight="1">
      <c r="A314" s="210">
        <v>307</v>
      </c>
      <c r="B314" s="210"/>
      <c r="C314" s="210"/>
      <c r="D314" s="211"/>
      <c r="E314" s="211"/>
      <c r="F314" s="210"/>
      <c r="G314" s="210"/>
      <c r="H314" s="210"/>
      <c r="I314" s="210"/>
      <c r="J314" s="210"/>
      <c r="K314" s="210"/>
      <c r="L314" s="210"/>
      <c r="M314" s="210"/>
      <c r="N314" s="211"/>
      <c r="O314" s="212"/>
      <c r="P314" s="210"/>
      <c r="Q314" s="210"/>
      <c r="R314" s="210"/>
    </row>
    <row r="315" spans="1:18" ht="14.25" customHeight="1">
      <c r="A315" s="210">
        <v>308</v>
      </c>
      <c r="B315" s="210"/>
      <c r="C315" s="210"/>
      <c r="D315" s="211"/>
      <c r="E315" s="211"/>
      <c r="F315" s="210"/>
      <c r="G315" s="210"/>
      <c r="H315" s="210"/>
      <c r="I315" s="210"/>
      <c r="J315" s="210"/>
      <c r="K315" s="210"/>
      <c r="L315" s="210"/>
      <c r="M315" s="210"/>
      <c r="N315" s="211"/>
      <c r="O315" s="212"/>
      <c r="P315" s="210"/>
      <c r="Q315" s="210"/>
      <c r="R315" s="210"/>
    </row>
    <row r="316" spans="1:18" ht="14.25" customHeight="1">
      <c r="A316" s="210">
        <v>309</v>
      </c>
      <c r="B316" s="210"/>
      <c r="C316" s="210"/>
      <c r="D316" s="211"/>
      <c r="E316" s="211"/>
      <c r="F316" s="210"/>
      <c r="G316" s="210"/>
      <c r="H316" s="210"/>
      <c r="I316" s="210"/>
      <c r="J316" s="210"/>
      <c r="K316" s="210"/>
      <c r="L316" s="210"/>
      <c r="M316" s="210"/>
      <c r="N316" s="211"/>
      <c r="O316" s="212"/>
      <c r="P316" s="210"/>
      <c r="Q316" s="210"/>
      <c r="R316" s="210"/>
    </row>
    <row r="317" spans="1:18" ht="14.25" customHeight="1">
      <c r="A317" s="210">
        <v>310</v>
      </c>
      <c r="B317" s="210"/>
      <c r="C317" s="210"/>
      <c r="D317" s="211"/>
      <c r="E317" s="211"/>
      <c r="F317" s="210"/>
      <c r="G317" s="210"/>
      <c r="H317" s="210"/>
      <c r="I317" s="210"/>
      <c r="J317" s="210"/>
      <c r="K317" s="210"/>
      <c r="L317" s="210"/>
      <c r="M317" s="210"/>
      <c r="N317" s="211"/>
      <c r="O317" s="212"/>
      <c r="P317" s="210"/>
      <c r="Q317" s="210"/>
      <c r="R317" s="210"/>
    </row>
    <row r="318" spans="1:18" ht="14.25" customHeight="1">
      <c r="A318" s="210">
        <v>311</v>
      </c>
      <c r="B318" s="210"/>
      <c r="C318" s="210"/>
      <c r="D318" s="211"/>
      <c r="E318" s="211"/>
      <c r="F318" s="210"/>
      <c r="G318" s="210"/>
      <c r="H318" s="210"/>
      <c r="I318" s="210"/>
      <c r="J318" s="210"/>
      <c r="K318" s="210"/>
      <c r="L318" s="210"/>
      <c r="M318" s="210"/>
      <c r="N318" s="211"/>
      <c r="O318" s="212"/>
      <c r="P318" s="210"/>
      <c r="Q318" s="210"/>
      <c r="R318" s="210"/>
    </row>
    <row r="319" spans="1:18" ht="14.25" customHeight="1">
      <c r="A319" s="210">
        <v>312</v>
      </c>
      <c r="B319" s="210"/>
      <c r="C319" s="210"/>
      <c r="D319" s="211"/>
      <c r="E319" s="211"/>
      <c r="F319" s="210"/>
      <c r="G319" s="210"/>
      <c r="H319" s="210"/>
      <c r="I319" s="210"/>
      <c r="J319" s="210"/>
      <c r="K319" s="210"/>
      <c r="L319" s="210"/>
      <c r="M319" s="210"/>
      <c r="N319" s="211"/>
      <c r="O319" s="212"/>
      <c r="P319" s="210"/>
      <c r="Q319" s="210"/>
      <c r="R319" s="210"/>
    </row>
    <row r="320" spans="1:18" ht="14.25" customHeight="1">
      <c r="A320" s="210">
        <v>313</v>
      </c>
      <c r="B320" s="210"/>
      <c r="C320" s="210"/>
      <c r="D320" s="211"/>
      <c r="E320" s="211"/>
      <c r="F320" s="210"/>
      <c r="G320" s="210"/>
      <c r="H320" s="210"/>
      <c r="I320" s="210"/>
      <c r="J320" s="210"/>
      <c r="K320" s="210"/>
      <c r="L320" s="210"/>
      <c r="M320" s="210"/>
      <c r="N320" s="211"/>
      <c r="O320" s="212"/>
      <c r="P320" s="210"/>
      <c r="Q320" s="210"/>
      <c r="R320" s="210"/>
    </row>
    <row r="321" spans="1:18" ht="14.25" customHeight="1">
      <c r="A321" s="210">
        <v>314</v>
      </c>
      <c r="B321" s="210"/>
      <c r="C321" s="210"/>
      <c r="D321" s="211"/>
      <c r="E321" s="211"/>
      <c r="F321" s="210"/>
      <c r="G321" s="210"/>
      <c r="H321" s="210"/>
      <c r="I321" s="210"/>
      <c r="J321" s="210"/>
      <c r="K321" s="210"/>
      <c r="L321" s="210"/>
      <c r="M321" s="210"/>
      <c r="N321" s="211"/>
      <c r="O321" s="212"/>
      <c r="P321" s="210"/>
      <c r="Q321" s="210"/>
      <c r="R321" s="210"/>
    </row>
    <row r="322" spans="1:18" ht="14.25" customHeight="1">
      <c r="A322" s="210">
        <v>315</v>
      </c>
      <c r="B322" s="210"/>
      <c r="C322" s="210"/>
      <c r="D322" s="211"/>
      <c r="E322" s="211"/>
      <c r="F322" s="210"/>
      <c r="G322" s="210"/>
      <c r="H322" s="210"/>
      <c r="I322" s="210"/>
      <c r="J322" s="210"/>
      <c r="K322" s="210"/>
      <c r="L322" s="210"/>
      <c r="M322" s="210"/>
      <c r="N322" s="211"/>
      <c r="O322" s="212"/>
      <c r="P322" s="210"/>
      <c r="Q322" s="210"/>
      <c r="R322" s="210"/>
    </row>
    <row r="323" spans="1:18" ht="14.25" customHeight="1">
      <c r="A323" s="210">
        <v>316</v>
      </c>
      <c r="B323" s="210"/>
      <c r="C323" s="210"/>
      <c r="D323" s="211"/>
      <c r="E323" s="211"/>
      <c r="F323" s="210"/>
      <c r="G323" s="210"/>
      <c r="H323" s="210"/>
      <c r="I323" s="210"/>
      <c r="J323" s="210"/>
      <c r="K323" s="210"/>
      <c r="L323" s="210"/>
      <c r="M323" s="210"/>
      <c r="N323" s="211"/>
      <c r="O323" s="212"/>
      <c r="P323" s="210"/>
      <c r="Q323" s="210"/>
      <c r="R323" s="210"/>
    </row>
    <row r="324" spans="1:18" ht="14.25" customHeight="1">
      <c r="A324" s="210">
        <v>317</v>
      </c>
      <c r="B324" s="210"/>
      <c r="C324" s="210"/>
      <c r="D324" s="211"/>
      <c r="E324" s="211"/>
      <c r="F324" s="210"/>
      <c r="G324" s="210"/>
      <c r="H324" s="210"/>
      <c r="I324" s="210"/>
      <c r="J324" s="210"/>
      <c r="K324" s="210"/>
      <c r="L324" s="210"/>
      <c r="M324" s="210"/>
      <c r="N324" s="211"/>
      <c r="O324" s="212"/>
      <c r="P324" s="210"/>
      <c r="Q324" s="210"/>
      <c r="R324" s="210"/>
    </row>
    <row r="325" spans="1:18" ht="14.25" customHeight="1">
      <c r="A325" s="210">
        <v>318</v>
      </c>
      <c r="B325" s="210"/>
      <c r="C325" s="210"/>
      <c r="D325" s="211"/>
      <c r="E325" s="211"/>
      <c r="F325" s="210"/>
      <c r="G325" s="210"/>
      <c r="H325" s="210"/>
      <c r="I325" s="210"/>
      <c r="J325" s="210"/>
      <c r="K325" s="210"/>
      <c r="L325" s="210"/>
      <c r="M325" s="210"/>
      <c r="N325" s="211"/>
      <c r="O325" s="212"/>
      <c r="P325" s="210"/>
      <c r="Q325" s="210"/>
      <c r="R325" s="210"/>
    </row>
    <row r="326" spans="1:18" ht="14.25" customHeight="1">
      <c r="A326" s="210">
        <v>319</v>
      </c>
      <c r="B326" s="210"/>
      <c r="C326" s="210"/>
      <c r="D326" s="211"/>
      <c r="E326" s="211"/>
      <c r="F326" s="210"/>
      <c r="G326" s="210"/>
      <c r="H326" s="210"/>
      <c r="I326" s="210"/>
      <c r="J326" s="210"/>
      <c r="K326" s="210"/>
      <c r="L326" s="210"/>
      <c r="M326" s="210"/>
      <c r="N326" s="211"/>
      <c r="O326" s="212"/>
      <c r="P326" s="210"/>
      <c r="Q326" s="210"/>
      <c r="R326" s="210"/>
    </row>
    <row r="327" spans="1:18" ht="14.25" customHeight="1">
      <c r="A327" s="210">
        <v>320</v>
      </c>
      <c r="B327" s="210"/>
      <c r="C327" s="210"/>
      <c r="D327" s="211"/>
      <c r="E327" s="211"/>
      <c r="F327" s="210"/>
      <c r="G327" s="210"/>
      <c r="H327" s="210"/>
      <c r="I327" s="210"/>
      <c r="J327" s="210"/>
      <c r="K327" s="210"/>
      <c r="L327" s="210"/>
      <c r="M327" s="210"/>
      <c r="N327" s="211"/>
      <c r="O327" s="212"/>
      <c r="P327" s="210"/>
      <c r="Q327" s="210"/>
      <c r="R327" s="210"/>
    </row>
    <row r="328" spans="1:18" ht="14.25" customHeight="1">
      <c r="A328" s="210">
        <v>321</v>
      </c>
      <c r="B328" s="210"/>
      <c r="C328" s="210"/>
      <c r="D328" s="211"/>
      <c r="E328" s="211"/>
      <c r="F328" s="210"/>
      <c r="G328" s="210"/>
      <c r="H328" s="210"/>
      <c r="I328" s="210"/>
      <c r="J328" s="210"/>
      <c r="K328" s="210"/>
      <c r="L328" s="210"/>
      <c r="M328" s="210"/>
      <c r="N328" s="211"/>
      <c r="O328" s="212"/>
      <c r="P328" s="210"/>
      <c r="Q328" s="210"/>
      <c r="R328" s="210"/>
    </row>
    <row r="329" spans="1:18" ht="14.25" customHeight="1">
      <c r="A329" s="210">
        <v>322</v>
      </c>
      <c r="B329" s="210"/>
      <c r="C329" s="210"/>
      <c r="D329" s="211"/>
      <c r="E329" s="211"/>
      <c r="F329" s="210"/>
      <c r="G329" s="210"/>
      <c r="H329" s="210"/>
      <c r="I329" s="210"/>
      <c r="J329" s="210"/>
      <c r="K329" s="210"/>
      <c r="L329" s="210"/>
      <c r="M329" s="210"/>
      <c r="N329" s="211"/>
      <c r="O329" s="212"/>
      <c r="P329" s="210"/>
      <c r="Q329" s="210"/>
      <c r="R329" s="210"/>
    </row>
    <row r="330" spans="1:18" ht="14.25" customHeight="1">
      <c r="A330" s="210">
        <v>323</v>
      </c>
      <c r="B330" s="210"/>
      <c r="C330" s="210"/>
      <c r="D330" s="211"/>
      <c r="E330" s="211"/>
      <c r="F330" s="210"/>
      <c r="G330" s="210"/>
      <c r="H330" s="210"/>
      <c r="I330" s="210"/>
      <c r="J330" s="210"/>
      <c r="K330" s="210"/>
      <c r="L330" s="210"/>
      <c r="M330" s="210"/>
      <c r="N330" s="211"/>
      <c r="O330" s="212"/>
      <c r="P330" s="210"/>
      <c r="Q330" s="210"/>
      <c r="R330" s="210"/>
    </row>
    <row r="331" spans="1:18" ht="14.25" customHeight="1">
      <c r="A331" s="210">
        <v>324</v>
      </c>
      <c r="B331" s="210"/>
      <c r="C331" s="210"/>
      <c r="D331" s="211"/>
      <c r="E331" s="211"/>
      <c r="F331" s="210"/>
      <c r="G331" s="210"/>
      <c r="H331" s="210"/>
      <c r="I331" s="210"/>
      <c r="J331" s="210"/>
      <c r="K331" s="210"/>
      <c r="L331" s="210"/>
      <c r="M331" s="210"/>
      <c r="N331" s="211"/>
      <c r="O331" s="212"/>
      <c r="P331" s="210"/>
      <c r="Q331" s="210"/>
      <c r="R331" s="210"/>
    </row>
    <row r="332" spans="1:18" ht="14.25" customHeight="1">
      <c r="A332" s="210">
        <v>325</v>
      </c>
      <c r="B332" s="210"/>
      <c r="C332" s="210"/>
      <c r="D332" s="211"/>
      <c r="E332" s="211"/>
      <c r="F332" s="210"/>
      <c r="G332" s="210"/>
      <c r="H332" s="210"/>
      <c r="I332" s="210"/>
      <c r="J332" s="210"/>
      <c r="K332" s="210"/>
      <c r="L332" s="210"/>
      <c r="M332" s="210"/>
      <c r="N332" s="211"/>
      <c r="O332" s="212"/>
      <c r="P332" s="210"/>
      <c r="Q332" s="210"/>
      <c r="R332" s="210"/>
    </row>
    <row r="333" spans="1:18" ht="14.25" customHeight="1">
      <c r="A333" s="210">
        <v>326</v>
      </c>
      <c r="B333" s="210"/>
      <c r="C333" s="210"/>
      <c r="D333" s="211"/>
      <c r="E333" s="211"/>
      <c r="F333" s="210"/>
      <c r="G333" s="210"/>
      <c r="H333" s="210"/>
      <c r="I333" s="210"/>
      <c r="J333" s="210"/>
      <c r="K333" s="210"/>
      <c r="L333" s="210"/>
      <c r="M333" s="210"/>
      <c r="N333" s="211"/>
      <c r="O333" s="212"/>
      <c r="P333" s="210"/>
      <c r="Q333" s="210"/>
      <c r="R333" s="210"/>
    </row>
    <row r="334" spans="1:18" ht="14.25" customHeight="1">
      <c r="A334" s="210">
        <v>327</v>
      </c>
      <c r="B334" s="210"/>
      <c r="C334" s="210"/>
      <c r="D334" s="211"/>
      <c r="E334" s="211"/>
      <c r="F334" s="210"/>
      <c r="G334" s="210"/>
      <c r="H334" s="210"/>
      <c r="I334" s="210"/>
      <c r="J334" s="210"/>
      <c r="K334" s="210"/>
      <c r="L334" s="210"/>
      <c r="M334" s="210"/>
      <c r="N334" s="211"/>
      <c r="O334" s="212"/>
      <c r="P334" s="210"/>
      <c r="Q334" s="210"/>
      <c r="R334" s="210"/>
    </row>
    <row r="335" spans="1:18" ht="14.25" customHeight="1">
      <c r="A335" s="210">
        <v>328</v>
      </c>
      <c r="B335" s="210"/>
      <c r="C335" s="210"/>
      <c r="D335" s="211"/>
      <c r="E335" s="211"/>
      <c r="F335" s="210"/>
      <c r="G335" s="210"/>
      <c r="H335" s="210"/>
      <c r="I335" s="210"/>
      <c r="J335" s="210"/>
      <c r="K335" s="210"/>
      <c r="L335" s="210"/>
      <c r="M335" s="210"/>
      <c r="N335" s="211"/>
      <c r="O335" s="212"/>
      <c r="P335" s="210"/>
      <c r="Q335" s="210"/>
      <c r="R335" s="210"/>
    </row>
    <row r="336" spans="1:18" ht="14.25" customHeight="1">
      <c r="A336" s="210">
        <v>329</v>
      </c>
      <c r="B336" s="210"/>
      <c r="C336" s="210"/>
      <c r="D336" s="211"/>
      <c r="E336" s="211"/>
      <c r="F336" s="210"/>
      <c r="G336" s="210"/>
      <c r="H336" s="210"/>
      <c r="I336" s="210"/>
      <c r="J336" s="210"/>
      <c r="K336" s="210"/>
      <c r="L336" s="210"/>
      <c r="M336" s="210"/>
      <c r="N336" s="211"/>
      <c r="O336" s="212"/>
      <c r="P336" s="210"/>
      <c r="Q336" s="210"/>
      <c r="R336" s="210"/>
    </row>
    <row r="337" spans="1:18" ht="14.25" customHeight="1">
      <c r="A337" s="210">
        <v>330</v>
      </c>
      <c r="B337" s="210"/>
      <c r="C337" s="210"/>
      <c r="D337" s="211"/>
      <c r="E337" s="211"/>
      <c r="F337" s="210"/>
      <c r="G337" s="210"/>
      <c r="H337" s="210"/>
      <c r="I337" s="210"/>
      <c r="J337" s="210"/>
      <c r="K337" s="210"/>
      <c r="L337" s="210"/>
      <c r="M337" s="210"/>
      <c r="N337" s="211"/>
      <c r="O337" s="212"/>
      <c r="P337" s="210"/>
      <c r="Q337" s="210"/>
      <c r="R337" s="210"/>
    </row>
    <row r="338" spans="1:18" ht="14.25" customHeight="1">
      <c r="A338" s="210">
        <v>331</v>
      </c>
      <c r="B338" s="210"/>
      <c r="C338" s="210"/>
      <c r="D338" s="211"/>
      <c r="E338" s="211"/>
      <c r="F338" s="210"/>
      <c r="G338" s="210"/>
      <c r="H338" s="210"/>
      <c r="I338" s="210"/>
      <c r="J338" s="210"/>
      <c r="K338" s="210"/>
      <c r="L338" s="210"/>
      <c r="M338" s="210"/>
      <c r="N338" s="211"/>
      <c r="O338" s="212"/>
      <c r="P338" s="210"/>
      <c r="Q338" s="210"/>
      <c r="R338" s="210"/>
    </row>
    <row r="339" spans="1:18" ht="14.25" customHeight="1">
      <c r="A339" s="210">
        <v>332</v>
      </c>
      <c r="B339" s="210"/>
      <c r="C339" s="210"/>
      <c r="D339" s="211"/>
      <c r="E339" s="211"/>
      <c r="F339" s="210"/>
      <c r="G339" s="210"/>
      <c r="H339" s="210"/>
      <c r="I339" s="210"/>
      <c r="J339" s="210"/>
      <c r="K339" s="210"/>
      <c r="L339" s="210"/>
      <c r="M339" s="210"/>
      <c r="N339" s="211"/>
      <c r="O339" s="212"/>
      <c r="P339" s="210"/>
      <c r="Q339" s="210"/>
      <c r="R339" s="210"/>
    </row>
    <row r="340" spans="1:18" ht="14.25" customHeight="1">
      <c r="A340" s="210">
        <v>333</v>
      </c>
      <c r="B340" s="210"/>
      <c r="C340" s="210"/>
      <c r="D340" s="211"/>
      <c r="E340" s="211"/>
      <c r="F340" s="210"/>
      <c r="G340" s="210"/>
      <c r="H340" s="210"/>
      <c r="I340" s="210"/>
      <c r="J340" s="210"/>
      <c r="K340" s="210"/>
      <c r="L340" s="210"/>
      <c r="M340" s="210"/>
      <c r="N340" s="211"/>
      <c r="O340" s="212"/>
      <c r="P340" s="210"/>
      <c r="Q340" s="210"/>
      <c r="R340" s="210"/>
    </row>
    <row r="341" spans="1:18" ht="14.25" customHeight="1">
      <c r="A341" s="210">
        <v>334</v>
      </c>
      <c r="B341" s="210"/>
      <c r="C341" s="210"/>
      <c r="D341" s="211"/>
      <c r="E341" s="211"/>
      <c r="F341" s="210"/>
      <c r="G341" s="210"/>
      <c r="H341" s="210"/>
      <c r="I341" s="210"/>
      <c r="J341" s="210"/>
      <c r="K341" s="210"/>
      <c r="L341" s="210"/>
      <c r="M341" s="210"/>
      <c r="N341" s="211"/>
      <c r="O341" s="212"/>
      <c r="P341" s="210"/>
      <c r="Q341" s="210"/>
      <c r="R341" s="210"/>
    </row>
    <row r="342" spans="1:18" ht="14.25" customHeight="1">
      <c r="A342" s="210">
        <v>335</v>
      </c>
      <c r="B342" s="210"/>
      <c r="C342" s="210"/>
      <c r="D342" s="211"/>
      <c r="E342" s="211"/>
      <c r="F342" s="210"/>
      <c r="G342" s="210"/>
      <c r="H342" s="210"/>
      <c r="I342" s="210"/>
      <c r="J342" s="210"/>
      <c r="K342" s="210"/>
      <c r="L342" s="210"/>
      <c r="M342" s="210"/>
      <c r="N342" s="211"/>
      <c r="O342" s="212"/>
      <c r="P342" s="210"/>
      <c r="Q342" s="210"/>
      <c r="R342" s="210"/>
    </row>
    <row r="343" spans="1:18" ht="14.25" customHeight="1">
      <c r="A343" s="210">
        <v>336</v>
      </c>
      <c r="B343" s="210"/>
      <c r="C343" s="210"/>
      <c r="D343" s="211"/>
      <c r="E343" s="211"/>
      <c r="F343" s="210"/>
      <c r="G343" s="210"/>
      <c r="H343" s="210"/>
      <c r="I343" s="210"/>
      <c r="J343" s="210"/>
      <c r="K343" s="210"/>
      <c r="L343" s="210"/>
      <c r="M343" s="210"/>
      <c r="N343" s="211"/>
      <c r="O343" s="212"/>
      <c r="P343" s="210"/>
      <c r="Q343" s="210"/>
      <c r="R343" s="210"/>
    </row>
    <row r="344" spans="1:18" ht="14.25" customHeight="1">
      <c r="A344" s="210">
        <v>337</v>
      </c>
      <c r="B344" s="210"/>
      <c r="C344" s="210"/>
      <c r="D344" s="211"/>
      <c r="E344" s="211"/>
      <c r="F344" s="210"/>
      <c r="G344" s="210"/>
      <c r="H344" s="210"/>
      <c r="I344" s="210"/>
      <c r="J344" s="210"/>
      <c r="K344" s="210"/>
      <c r="L344" s="210"/>
      <c r="M344" s="210"/>
      <c r="N344" s="211"/>
      <c r="O344" s="212"/>
      <c r="P344" s="210"/>
      <c r="Q344" s="210"/>
      <c r="R344" s="210"/>
    </row>
    <row r="345" spans="1:18" ht="14.25" customHeight="1">
      <c r="A345" s="210">
        <v>338</v>
      </c>
      <c r="B345" s="210"/>
      <c r="C345" s="210"/>
      <c r="D345" s="211"/>
      <c r="E345" s="211"/>
      <c r="F345" s="210"/>
      <c r="G345" s="210"/>
      <c r="H345" s="210"/>
      <c r="I345" s="210"/>
      <c r="J345" s="210"/>
      <c r="K345" s="210"/>
      <c r="L345" s="210"/>
      <c r="M345" s="210"/>
      <c r="N345" s="211"/>
      <c r="O345" s="212"/>
      <c r="P345" s="210"/>
      <c r="Q345" s="210"/>
      <c r="R345" s="210"/>
    </row>
    <row r="346" spans="1:18" ht="14.25" customHeight="1">
      <c r="A346" s="210">
        <v>339</v>
      </c>
      <c r="B346" s="210"/>
      <c r="C346" s="210"/>
      <c r="D346" s="211"/>
      <c r="E346" s="211"/>
      <c r="F346" s="210"/>
      <c r="G346" s="210"/>
      <c r="H346" s="210"/>
      <c r="I346" s="210"/>
      <c r="J346" s="210"/>
      <c r="K346" s="210"/>
      <c r="L346" s="210"/>
      <c r="M346" s="210"/>
      <c r="N346" s="211"/>
      <c r="O346" s="212"/>
      <c r="P346" s="210"/>
      <c r="Q346" s="210"/>
      <c r="R346" s="210"/>
    </row>
    <row r="347" spans="1:18" ht="14.25" customHeight="1">
      <c r="A347" s="210">
        <v>340</v>
      </c>
      <c r="B347" s="210"/>
      <c r="C347" s="210"/>
      <c r="D347" s="211"/>
      <c r="E347" s="211"/>
      <c r="F347" s="210"/>
      <c r="G347" s="210"/>
      <c r="H347" s="210"/>
      <c r="I347" s="210"/>
      <c r="J347" s="210"/>
      <c r="K347" s="210"/>
      <c r="L347" s="210"/>
      <c r="M347" s="210"/>
      <c r="N347" s="211"/>
      <c r="O347" s="212"/>
      <c r="P347" s="210"/>
      <c r="Q347" s="210"/>
      <c r="R347" s="210"/>
    </row>
    <row r="348" spans="1:18" ht="14.25" customHeight="1">
      <c r="A348" s="210">
        <v>341</v>
      </c>
      <c r="B348" s="210"/>
      <c r="C348" s="210"/>
      <c r="D348" s="211"/>
      <c r="E348" s="211"/>
      <c r="F348" s="210"/>
      <c r="G348" s="210"/>
      <c r="H348" s="210"/>
      <c r="I348" s="210"/>
      <c r="J348" s="210"/>
      <c r="K348" s="210"/>
      <c r="L348" s="210"/>
      <c r="M348" s="210"/>
      <c r="N348" s="211"/>
      <c r="O348" s="212"/>
      <c r="P348" s="210"/>
      <c r="Q348" s="210"/>
      <c r="R348" s="210"/>
    </row>
    <row r="349" spans="1:18" ht="14.25" customHeight="1">
      <c r="A349" s="210">
        <v>342</v>
      </c>
      <c r="B349" s="210"/>
      <c r="C349" s="210"/>
      <c r="D349" s="211"/>
      <c r="E349" s="211"/>
      <c r="F349" s="210"/>
      <c r="G349" s="210"/>
      <c r="H349" s="210"/>
      <c r="I349" s="210"/>
      <c r="J349" s="210"/>
      <c r="K349" s="210"/>
      <c r="L349" s="210"/>
      <c r="M349" s="210"/>
      <c r="N349" s="211"/>
      <c r="O349" s="212"/>
      <c r="P349" s="210"/>
      <c r="Q349" s="210"/>
      <c r="R349" s="210"/>
    </row>
    <row r="350" spans="1:18" ht="14.25" customHeight="1">
      <c r="A350" s="210">
        <v>343</v>
      </c>
      <c r="B350" s="210"/>
      <c r="C350" s="210"/>
      <c r="D350" s="211"/>
      <c r="E350" s="211"/>
      <c r="F350" s="210"/>
      <c r="G350" s="210"/>
      <c r="H350" s="210"/>
      <c r="I350" s="210"/>
      <c r="J350" s="210"/>
      <c r="K350" s="210"/>
      <c r="L350" s="210"/>
      <c r="M350" s="210"/>
      <c r="N350" s="211"/>
      <c r="O350" s="212"/>
      <c r="P350" s="210"/>
      <c r="Q350" s="210"/>
      <c r="R350" s="210"/>
    </row>
  </sheetData>
  <autoFilter ref="A5:R350" xr:uid="{00000000-0009-0000-0000-00000C000000}"/>
  <mergeCells count="1">
    <mergeCell ref="A2:R2"/>
  </mergeCells>
  <pageMargins left="0.7" right="0.7" top="0.75" bottom="0.75" header="0.3" footer="0.511811023622047"/>
  <pageSetup orientation="portrait" horizontalDpi="300" verticalDpi="300"/>
  <headerFooter>
    <oddHeader>&amp;R&amp;"arial,Regular"&amp;1 &amp;K696969NON CLASSIFIÉ / UNCLASSIFIED#</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G107"/>
  <sheetViews>
    <sheetView zoomScale="60" zoomScaleNormal="60" workbookViewId="0"/>
  </sheetViews>
  <sheetFormatPr defaultColWidth="8.7109375" defaultRowHeight="15" zeroHeight="1"/>
  <cols>
    <col min="3" max="3" width="10.42578125" customWidth="1"/>
    <col min="4" max="4" width="29.42578125" customWidth="1"/>
    <col min="5" max="5" width="97.7109375" style="97" customWidth="1"/>
    <col min="6" max="6" width="39.42578125" customWidth="1"/>
    <col min="7" max="7" width="14.7109375" customWidth="1"/>
    <col min="8" max="8" width="11.42578125" customWidth="1"/>
    <col min="9" max="9" width="22.85546875" customWidth="1"/>
    <col min="10" max="10" width="15.7109375" customWidth="1"/>
    <col min="11" max="11" width="41" customWidth="1"/>
    <col min="12" max="12" width="12.7109375" customWidth="1"/>
    <col min="13" max="13" width="31" customWidth="1"/>
  </cols>
  <sheetData>
    <row r="1" spans="1:13" ht="14.25" customHeight="1">
      <c r="A1" s="4" t="s">
        <v>56</v>
      </c>
      <c r="B1" s="4"/>
    </row>
    <row r="2" spans="1:13" ht="14.25" customHeight="1"/>
    <row r="3" spans="1:13" ht="31.5" customHeight="1">
      <c r="A3" s="18" t="s">
        <v>1723</v>
      </c>
      <c r="B3" s="20"/>
    </row>
    <row r="4" spans="1:13" ht="14.25" customHeight="1">
      <c r="A4" t="s">
        <v>504</v>
      </c>
    </row>
    <row r="5" spans="1:13" ht="14.25" customHeight="1">
      <c r="B5" t="s">
        <v>1724</v>
      </c>
    </row>
    <row r="6" spans="1:13" ht="14.25" customHeight="1">
      <c r="B6" t="s">
        <v>1725</v>
      </c>
    </row>
    <row r="7" spans="1:13" ht="14.25" customHeight="1"/>
    <row r="8" spans="1:13" ht="14.25" customHeight="1">
      <c r="B8" s="222" t="s">
        <v>1726</v>
      </c>
      <c r="C8" s="222"/>
      <c r="D8" s="197"/>
      <c r="E8" s="198"/>
    </row>
    <row r="9" spans="1:13" ht="14.25" customHeight="1">
      <c r="C9" s="223" t="s">
        <v>1111</v>
      </c>
      <c r="D9" s="223" t="s">
        <v>93</v>
      </c>
      <c r="E9" s="223" t="s">
        <v>1727</v>
      </c>
      <c r="F9" s="223" t="s">
        <v>1728</v>
      </c>
      <c r="G9" s="223" t="s">
        <v>1729</v>
      </c>
      <c r="H9" s="223" t="s">
        <v>1730</v>
      </c>
      <c r="I9" s="223" t="s">
        <v>1731</v>
      </c>
      <c r="J9" s="223" t="s">
        <v>1732</v>
      </c>
      <c r="K9" s="223" t="s">
        <v>1733</v>
      </c>
      <c r="L9" s="223" t="s">
        <v>1734</v>
      </c>
      <c r="M9" s="223" t="s">
        <v>1735</v>
      </c>
    </row>
    <row r="10" spans="1:13" ht="139.5" customHeight="1">
      <c r="C10" s="224" t="s">
        <v>1736</v>
      </c>
      <c r="D10" s="225" t="s">
        <v>1737</v>
      </c>
      <c r="E10" s="225" t="s">
        <v>1738</v>
      </c>
      <c r="F10" s="225" t="s">
        <v>1739</v>
      </c>
      <c r="G10" s="225" t="s">
        <v>1740</v>
      </c>
      <c r="H10" s="225" t="s">
        <v>1741</v>
      </c>
      <c r="I10" s="226" t="s">
        <v>1742</v>
      </c>
      <c r="J10" s="226" t="s">
        <v>1743</v>
      </c>
      <c r="K10" s="225" t="s">
        <v>1744</v>
      </c>
      <c r="L10" s="225" t="s">
        <v>1745</v>
      </c>
      <c r="M10" s="226" t="s">
        <v>1746</v>
      </c>
    </row>
    <row r="11" spans="1:13" ht="111.75" customHeight="1">
      <c r="C11" s="227" t="s">
        <v>1747</v>
      </c>
      <c r="D11" s="225" t="s">
        <v>1748</v>
      </c>
      <c r="E11" s="225" t="s">
        <v>1749</v>
      </c>
      <c r="F11" s="225" t="s">
        <v>1739</v>
      </c>
      <c r="G11" s="225" t="s">
        <v>1342</v>
      </c>
      <c r="H11" s="225" t="s">
        <v>1741</v>
      </c>
      <c r="I11" s="226" t="s">
        <v>1750</v>
      </c>
      <c r="J11" s="226" t="s">
        <v>1751</v>
      </c>
      <c r="K11" s="225" t="s">
        <v>1752</v>
      </c>
      <c r="L11" s="225" t="s">
        <v>1745</v>
      </c>
      <c r="M11" s="226" t="s">
        <v>1753</v>
      </c>
    </row>
    <row r="12" spans="1:13" ht="168" customHeight="1">
      <c r="C12" s="227" t="s">
        <v>1754</v>
      </c>
      <c r="D12" s="225" t="s">
        <v>1755</v>
      </c>
      <c r="E12" s="225" t="s">
        <v>1756</v>
      </c>
      <c r="F12" s="225" t="s">
        <v>1757</v>
      </c>
      <c r="G12" s="225" t="s">
        <v>1740</v>
      </c>
      <c r="H12" s="225" t="s">
        <v>1741</v>
      </c>
      <c r="I12" s="226" t="s">
        <v>1758</v>
      </c>
      <c r="J12" s="226" t="s">
        <v>1759</v>
      </c>
      <c r="K12" s="225" t="s">
        <v>1752</v>
      </c>
      <c r="L12" s="225" t="s">
        <v>1760</v>
      </c>
      <c r="M12" s="226" t="s">
        <v>1761</v>
      </c>
    </row>
    <row r="13" spans="1:13" ht="97.5" customHeight="1">
      <c r="C13" s="227" t="s">
        <v>1762</v>
      </c>
      <c r="D13" s="225" t="s">
        <v>1763</v>
      </c>
      <c r="E13" s="225" t="s">
        <v>1764</v>
      </c>
      <c r="F13" s="225" t="s">
        <v>1765</v>
      </c>
      <c r="G13" s="225" t="s">
        <v>1740</v>
      </c>
      <c r="H13" s="225" t="s">
        <v>1741</v>
      </c>
      <c r="I13" s="226" t="s">
        <v>1766</v>
      </c>
      <c r="J13" s="226" t="s">
        <v>1767</v>
      </c>
      <c r="K13" s="225" t="s">
        <v>1768</v>
      </c>
      <c r="L13" s="225" t="s">
        <v>1745</v>
      </c>
      <c r="M13" s="226" t="s">
        <v>1769</v>
      </c>
    </row>
    <row r="14" spans="1:13" ht="97.5" customHeight="1">
      <c r="C14" s="227" t="s">
        <v>1770</v>
      </c>
      <c r="D14" s="225" t="s">
        <v>1771</v>
      </c>
      <c r="E14" s="225" t="s">
        <v>1772</v>
      </c>
      <c r="F14" s="225" t="s">
        <v>1773</v>
      </c>
      <c r="G14" s="225" t="s">
        <v>1740</v>
      </c>
      <c r="H14" s="225" t="s">
        <v>1741</v>
      </c>
      <c r="I14" s="226" t="s">
        <v>1774</v>
      </c>
      <c r="J14" s="226" t="s">
        <v>1775</v>
      </c>
      <c r="K14" s="225" t="s">
        <v>1744</v>
      </c>
      <c r="L14" s="225" t="s">
        <v>1760</v>
      </c>
      <c r="M14" s="226" t="s">
        <v>1776</v>
      </c>
    </row>
    <row r="15" spans="1:13" ht="14.25" customHeight="1"/>
    <row r="16" spans="1:13" ht="14.25" customHeight="1">
      <c r="B16" s="222" t="s">
        <v>1777</v>
      </c>
      <c r="C16" s="222"/>
      <c r="D16" s="197"/>
      <c r="E16" s="198"/>
    </row>
    <row r="17" spans="2:501" ht="14.25" customHeight="1">
      <c r="C17" s="223" t="s">
        <v>1111</v>
      </c>
      <c r="D17" s="223" t="s">
        <v>93</v>
      </c>
      <c r="E17" s="223" t="s">
        <v>1727</v>
      </c>
      <c r="F17" s="223" t="s">
        <v>1728</v>
      </c>
      <c r="G17" s="223" t="s">
        <v>1729</v>
      </c>
      <c r="H17" s="223" t="s">
        <v>1730</v>
      </c>
      <c r="I17" s="223" t="s">
        <v>1731</v>
      </c>
      <c r="J17" s="223" t="s">
        <v>1732</v>
      </c>
      <c r="K17" s="223" t="s">
        <v>1733</v>
      </c>
      <c r="L17" s="223" t="s">
        <v>1734</v>
      </c>
      <c r="M17" s="223" t="s">
        <v>1735</v>
      </c>
      <c r="N17" s="228"/>
      <c r="O17" s="228"/>
      <c r="P17" s="228"/>
      <c r="Q17" s="228"/>
      <c r="R17" s="228"/>
      <c r="S17" s="228"/>
      <c r="T17" s="228"/>
      <c r="U17" s="228"/>
      <c r="V17" s="228"/>
      <c r="W17" s="228"/>
      <c r="X17" s="228"/>
      <c r="Y17" s="228"/>
      <c r="Z17" s="228"/>
      <c r="AA17" s="228"/>
      <c r="AB17" s="228"/>
      <c r="AC17" s="228"/>
      <c r="AD17" s="228"/>
      <c r="AE17" s="228"/>
      <c r="AF17" s="228"/>
      <c r="AG17" s="228"/>
      <c r="AH17" s="228"/>
      <c r="AI17" s="228"/>
      <c r="AJ17" s="228"/>
      <c r="AK17" s="228"/>
      <c r="AL17" s="228"/>
      <c r="AM17" s="228"/>
      <c r="AN17" s="228"/>
      <c r="AO17" s="228"/>
      <c r="AP17" s="228"/>
      <c r="AQ17" s="228"/>
      <c r="AR17" s="228"/>
      <c r="AS17" s="228"/>
      <c r="AT17" s="228"/>
      <c r="AU17" s="228"/>
      <c r="AV17" s="228"/>
      <c r="AW17" s="228"/>
      <c r="AX17" s="228"/>
      <c r="AY17" s="228"/>
      <c r="AZ17" s="228"/>
      <c r="BA17" s="228"/>
      <c r="BB17" s="228"/>
      <c r="BC17" s="228"/>
      <c r="BD17" s="228"/>
      <c r="BE17" s="228"/>
      <c r="BF17" s="228"/>
      <c r="BG17" s="228"/>
      <c r="BH17" s="228"/>
      <c r="BI17" s="228"/>
      <c r="BJ17" s="228"/>
      <c r="BK17" s="228"/>
      <c r="BL17" s="228"/>
      <c r="BM17" s="228"/>
      <c r="BN17" s="228"/>
      <c r="BO17" s="228"/>
      <c r="BP17" s="228"/>
      <c r="BQ17" s="228"/>
      <c r="BR17" s="228"/>
      <c r="BS17" s="228"/>
      <c r="BT17" s="228"/>
      <c r="BU17" s="228"/>
      <c r="BV17" s="228"/>
      <c r="BW17" s="228"/>
      <c r="BX17" s="228"/>
      <c r="BY17" s="228"/>
      <c r="BZ17" s="228"/>
      <c r="CA17" s="228"/>
      <c r="CB17" s="228"/>
      <c r="CC17" s="228"/>
      <c r="CD17" s="228"/>
      <c r="CE17" s="228"/>
      <c r="CF17" s="228"/>
      <c r="CG17" s="228"/>
      <c r="CH17" s="228"/>
      <c r="CI17" s="228"/>
      <c r="CJ17" s="228"/>
      <c r="CK17" s="228"/>
      <c r="CL17" s="228"/>
      <c r="CM17" s="228"/>
      <c r="CN17" s="228"/>
      <c r="CO17" s="228"/>
      <c r="CP17" s="228"/>
      <c r="CQ17" s="228"/>
      <c r="CR17" s="228"/>
      <c r="CS17" s="228"/>
      <c r="CT17" s="228"/>
      <c r="CU17" s="228"/>
      <c r="CV17" s="228"/>
      <c r="CW17" s="228"/>
      <c r="CX17" s="228"/>
      <c r="CY17" s="228"/>
      <c r="CZ17" s="228"/>
      <c r="DA17" s="228"/>
      <c r="DB17" s="228"/>
      <c r="DC17" s="228"/>
      <c r="DD17" s="228"/>
      <c r="DE17" s="228"/>
      <c r="DF17" s="228"/>
      <c r="DG17" s="228"/>
      <c r="DH17" s="228"/>
      <c r="DI17" s="228"/>
      <c r="DJ17" s="228"/>
      <c r="DK17" s="228"/>
      <c r="DL17" s="228"/>
      <c r="DM17" s="228"/>
      <c r="DN17" s="228"/>
      <c r="DO17" s="228"/>
      <c r="DP17" s="228"/>
      <c r="DQ17" s="228"/>
      <c r="DR17" s="228"/>
      <c r="DS17" s="228"/>
      <c r="DT17" s="228"/>
      <c r="DU17" s="228"/>
      <c r="DV17" s="228"/>
      <c r="DW17" s="228"/>
      <c r="DX17" s="228"/>
      <c r="DY17" s="228"/>
      <c r="DZ17" s="228"/>
      <c r="EA17" s="228"/>
      <c r="EB17" s="228"/>
      <c r="EC17" s="228"/>
      <c r="ED17" s="228"/>
      <c r="EE17" s="228"/>
      <c r="EF17" s="228"/>
      <c r="EG17" s="228"/>
      <c r="EH17" s="228"/>
      <c r="EI17" s="228"/>
      <c r="EJ17" s="228"/>
      <c r="EK17" s="228"/>
      <c r="EL17" s="228"/>
      <c r="EM17" s="228"/>
      <c r="EN17" s="228"/>
      <c r="EO17" s="228"/>
      <c r="EP17" s="228"/>
      <c r="EQ17" s="228"/>
      <c r="ER17" s="228"/>
      <c r="ES17" s="228"/>
      <c r="ET17" s="228"/>
      <c r="EU17" s="228"/>
      <c r="EV17" s="228"/>
      <c r="EW17" s="228"/>
      <c r="EX17" s="228"/>
      <c r="EY17" s="228"/>
      <c r="EZ17" s="228"/>
      <c r="FA17" s="228"/>
      <c r="FB17" s="228"/>
      <c r="FC17" s="228"/>
      <c r="FD17" s="228"/>
      <c r="FE17" s="228"/>
      <c r="FF17" s="228"/>
      <c r="FG17" s="228"/>
      <c r="FH17" s="228"/>
      <c r="FI17" s="228"/>
      <c r="FJ17" s="228"/>
      <c r="FK17" s="228"/>
      <c r="FL17" s="228"/>
      <c r="FM17" s="228"/>
      <c r="FN17" s="228"/>
      <c r="FO17" s="228"/>
      <c r="FP17" s="228"/>
      <c r="FQ17" s="228"/>
      <c r="FR17" s="228"/>
      <c r="FS17" s="228"/>
      <c r="FT17" s="228"/>
      <c r="FU17" s="228"/>
      <c r="FV17" s="228"/>
      <c r="FW17" s="228"/>
      <c r="FX17" s="228"/>
      <c r="FY17" s="228"/>
      <c r="FZ17" s="228"/>
      <c r="GA17" s="228"/>
      <c r="GB17" s="228"/>
      <c r="GC17" s="228"/>
      <c r="GD17" s="228"/>
      <c r="GE17" s="228"/>
      <c r="GF17" s="228"/>
      <c r="GG17" s="228"/>
      <c r="GH17" s="228"/>
      <c r="GI17" s="228"/>
      <c r="GJ17" s="228"/>
      <c r="GK17" s="228"/>
      <c r="GL17" s="228"/>
      <c r="GM17" s="228"/>
      <c r="GN17" s="228"/>
      <c r="GO17" s="228"/>
      <c r="GP17" s="228"/>
      <c r="GQ17" s="228"/>
      <c r="GR17" s="228"/>
      <c r="GS17" s="228"/>
      <c r="GT17" s="228"/>
      <c r="GU17" s="228"/>
      <c r="GV17" s="228"/>
      <c r="GW17" s="228"/>
      <c r="GX17" s="228"/>
      <c r="GY17" s="228"/>
      <c r="GZ17" s="228"/>
      <c r="HA17" s="228"/>
      <c r="HB17" s="228"/>
      <c r="HC17" s="228"/>
      <c r="HD17" s="228"/>
      <c r="HE17" s="228"/>
      <c r="HF17" s="228"/>
      <c r="HG17" s="228"/>
      <c r="HH17" s="228"/>
      <c r="HI17" s="228"/>
      <c r="HJ17" s="228"/>
      <c r="HK17" s="228"/>
      <c r="HL17" s="228"/>
      <c r="HM17" s="228"/>
      <c r="HN17" s="228"/>
      <c r="HO17" s="228"/>
      <c r="HP17" s="228"/>
      <c r="HQ17" s="228"/>
      <c r="HR17" s="228"/>
      <c r="HS17" s="228"/>
      <c r="HT17" s="228"/>
      <c r="HU17" s="228"/>
      <c r="HV17" s="228"/>
      <c r="HW17" s="228"/>
      <c r="HX17" s="228"/>
      <c r="HY17" s="228"/>
      <c r="HZ17" s="228"/>
      <c r="IA17" s="228"/>
      <c r="IB17" s="228"/>
      <c r="IC17" s="228"/>
      <c r="ID17" s="228"/>
      <c r="IE17" s="228"/>
      <c r="IF17" s="228"/>
      <c r="IG17" s="228"/>
      <c r="IH17" s="228"/>
      <c r="II17" s="228"/>
      <c r="IJ17" s="228"/>
      <c r="IK17" s="228"/>
      <c r="IL17" s="228"/>
      <c r="IM17" s="228"/>
      <c r="IN17" s="228"/>
      <c r="IO17" s="228"/>
      <c r="IP17" s="228"/>
      <c r="IQ17" s="228"/>
      <c r="IR17" s="228"/>
      <c r="IS17" s="228"/>
      <c r="IT17" s="228"/>
      <c r="IU17" s="228"/>
      <c r="IV17" s="228"/>
      <c r="IW17" s="228"/>
      <c r="IX17" s="228"/>
      <c r="IY17" s="228"/>
      <c r="IZ17" s="228"/>
      <c r="JA17" s="228"/>
      <c r="JB17" s="228"/>
      <c r="JC17" s="228"/>
      <c r="JD17" s="228"/>
      <c r="JE17" s="228"/>
      <c r="JF17" s="228"/>
      <c r="JG17" s="228"/>
      <c r="JH17" s="228"/>
      <c r="JI17" s="228"/>
      <c r="JJ17" s="228"/>
      <c r="JK17" s="228"/>
      <c r="JL17" s="228"/>
      <c r="JM17" s="228"/>
      <c r="JN17" s="228"/>
      <c r="JO17" s="228"/>
      <c r="JP17" s="228"/>
      <c r="JQ17" s="228"/>
      <c r="JR17" s="228"/>
      <c r="JS17" s="228"/>
      <c r="JT17" s="228"/>
      <c r="JU17" s="228"/>
      <c r="JV17" s="228"/>
      <c r="JW17" s="228"/>
      <c r="JX17" s="228"/>
      <c r="JY17" s="228"/>
      <c r="JZ17" s="228"/>
      <c r="KA17" s="228"/>
      <c r="KB17" s="228"/>
      <c r="KC17" s="228"/>
      <c r="KD17" s="228"/>
      <c r="KE17" s="228"/>
      <c r="KF17" s="228"/>
      <c r="KG17" s="228"/>
      <c r="KH17" s="228"/>
      <c r="KI17" s="228"/>
      <c r="KJ17" s="228"/>
      <c r="KK17" s="228"/>
      <c r="KL17" s="228"/>
      <c r="KM17" s="228"/>
      <c r="KN17" s="228"/>
      <c r="KO17" s="228"/>
      <c r="KP17" s="228"/>
      <c r="KQ17" s="228"/>
      <c r="KR17" s="228"/>
      <c r="KS17" s="228"/>
      <c r="KT17" s="228"/>
      <c r="KU17" s="228"/>
      <c r="KV17" s="228"/>
      <c r="KW17" s="228"/>
      <c r="KX17" s="228"/>
      <c r="KY17" s="228"/>
      <c r="KZ17" s="228"/>
      <c r="LA17" s="228"/>
      <c r="LB17" s="228"/>
      <c r="LC17" s="228"/>
      <c r="LD17" s="228"/>
      <c r="LE17" s="228"/>
      <c r="LF17" s="228"/>
      <c r="LG17" s="228"/>
      <c r="LH17" s="228"/>
      <c r="LI17" s="228"/>
      <c r="LJ17" s="228"/>
      <c r="LK17" s="228"/>
      <c r="LL17" s="228"/>
      <c r="LM17" s="228"/>
      <c r="LN17" s="228"/>
      <c r="LO17" s="228"/>
      <c r="LP17" s="228"/>
      <c r="LQ17" s="228"/>
      <c r="LR17" s="228"/>
      <c r="LS17" s="228"/>
      <c r="LT17" s="228"/>
      <c r="LU17" s="228"/>
      <c r="LV17" s="228"/>
      <c r="LW17" s="228"/>
      <c r="LX17" s="228"/>
      <c r="LY17" s="228"/>
      <c r="LZ17" s="228"/>
      <c r="MA17" s="228"/>
      <c r="MB17" s="228"/>
      <c r="MC17" s="228"/>
      <c r="MD17" s="228"/>
      <c r="ME17" s="228"/>
      <c r="MF17" s="228"/>
      <c r="MG17" s="228"/>
      <c r="MH17" s="228"/>
      <c r="MI17" s="228"/>
      <c r="MJ17" s="228"/>
      <c r="MK17" s="228"/>
      <c r="ML17" s="228"/>
      <c r="MM17" s="228"/>
      <c r="MN17" s="228"/>
      <c r="MO17" s="228"/>
      <c r="MP17" s="228"/>
      <c r="MQ17" s="228"/>
      <c r="MR17" s="228"/>
      <c r="MS17" s="228"/>
      <c r="MT17" s="228"/>
      <c r="MU17" s="228"/>
      <c r="MV17" s="228"/>
      <c r="MW17" s="228"/>
      <c r="MX17" s="228"/>
      <c r="MY17" s="228"/>
      <c r="MZ17" s="228"/>
      <c r="NA17" s="228"/>
      <c r="NB17" s="228"/>
      <c r="NC17" s="228"/>
      <c r="ND17" s="228"/>
      <c r="NE17" s="228"/>
      <c r="NF17" s="228"/>
      <c r="NG17" s="228"/>
      <c r="NH17" s="228"/>
      <c r="NI17" s="228"/>
      <c r="NJ17" s="228"/>
      <c r="NK17" s="228"/>
      <c r="NL17" s="228"/>
      <c r="NM17" s="228"/>
      <c r="NN17" s="228"/>
      <c r="NO17" s="228"/>
      <c r="NP17" s="228"/>
      <c r="NQ17" s="228"/>
      <c r="NR17" s="228"/>
      <c r="NS17" s="228"/>
      <c r="NT17" s="228"/>
      <c r="NU17" s="228"/>
      <c r="NV17" s="228"/>
      <c r="NW17" s="228"/>
      <c r="NX17" s="228"/>
      <c r="NY17" s="228"/>
      <c r="NZ17" s="228"/>
      <c r="OA17" s="228"/>
      <c r="OB17" s="228"/>
      <c r="OC17" s="228"/>
      <c r="OD17" s="228"/>
      <c r="OE17" s="228"/>
      <c r="OF17" s="228"/>
      <c r="OG17" s="228"/>
      <c r="OH17" s="228"/>
      <c r="OI17" s="228"/>
      <c r="OJ17" s="228"/>
      <c r="OK17" s="228"/>
      <c r="OL17" s="228"/>
      <c r="OM17" s="228"/>
      <c r="ON17" s="228"/>
      <c r="OO17" s="228"/>
      <c r="OP17" s="228"/>
      <c r="OQ17" s="228"/>
      <c r="OR17" s="228"/>
      <c r="OS17" s="228"/>
      <c r="OT17" s="228"/>
      <c r="OU17" s="228"/>
      <c r="OV17" s="228"/>
      <c r="OW17" s="228"/>
      <c r="OX17" s="228"/>
      <c r="OY17" s="228"/>
      <c r="OZ17" s="228"/>
      <c r="PA17" s="228"/>
      <c r="PB17" s="228"/>
      <c r="PC17" s="228"/>
      <c r="PD17" s="228"/>
      <c r="PE17" s="228"/>
      <c r="PF17" s="228"/>
      <c r="PG17" s="228"/>
      <c r="PH17" s="228"/>
      <c r="PI17" s="228"/>
      <c r="PJ17" s="228"/>
      <c r="PK17" s="228"/>
      <c r="PL17" s="228"/>
      <c r="PM17" s="228"/>
      <c r="PN17" s="228"/>
      <c r="PO17" s="228"/>
      <c r="PP17" s="228"/>
      <c r="PQ17" s="228"/>
      <c r="PR17" s="228"/>
      <c r="PS17" s="228"/>
      <c r="PT17" s="228"/>
      <c r="PU17" s="228"/>
      <c r="PV17" s="228"/>
      <c r="PW17" s="228"/>
      <c r="PX17" s="228"/>
      <c r="PY17" s="228"/>
      <c r="PZ17" s="228"/>
      <c r="QA17" s="228"/>
      <c r="QB17" s="228"/>
      <c r="QC17" s="228"/>
      <c r="QD17" s="228"/>
      <c r="QE17" s="228"/>
      <c r="QF17" s="228"/>
      <c r="QG17" s="228"/>
      <c r="QH17" s="228"/>
      <c r="QI17" s="228"/>
      <c r="QJ17" s="228"/>
      <c r="QK17" s="228"/>
      <c r="QL17" s="228"/>
      <c r="QM17" s="228"/>
      <c r="QN17" s="228"/>
      <c r="QO17" s="228"/>
      <c r="QP17" s="228"/>
      <c r="QQ17" s="228"/>
      <c r="QR17" s="228"/>
      <c r="QS17" s="228"/>
      <c r="QT17" s="228"/>
      <c r="QU17" s="228"/>
      <c r="QV17" s="228"/>
      <c r="QW17" s="228"/>
      <c r="QX17" s="228"/>
      <c r="QY17" s="228"/>
      <c r="QZ17" s="228"/>
      <c r="RA17" s="228"/>
      <c r="RB17" s="228"/>
      <c r="RC17" s="228"/>
      <c r="RD17" s="228"/>
      <c r="RE17" s="228"/>
      <c r="RF17" s="228"/>
      <c r="RG17" s="228"/>
      <c r="RH17" s="228"/>
      <c r="RI17" s="228"/>
      <c r="RJ17" s="228"/>
      <c r="RK17" s="228"/>
      <c r="RL17" s="228"/>
      <c r="RM17" s="228"/>
      <c r="RN17" s="228"/>
      <c r="RO17" s="228"/>
      <c r="RP17" s="228"/>
      <c r="RQ17" s="228"/>
      <c r="RR17" s="228"/>
      <c r="RS17" s="228"/>
      <c r="RT17" s="228"/>
      <c r="RU17" s="228"/>
      <c r="RV17" s="228"/>
      <c r="RW17" s="228"/>
      <c r="RX17" s="228"/>
      <c r="RY17" s="228"/>
      <c r="RZ17" s="228"/>
      <c r="SA17" s="228"/>
      <c r="SB17" s="228"/>
      <c r="SC17" s="228"/>
      <c r="SD17" s="228"/>
      <c r="SE17" s="228"/>
      <c r="SF17" s="228"/>
      <c r="SG17" s="228"/>
    </row>
    <row r="18" spans="2:501" ht="97.5" customHeight="1">
      <c r="C18" s="227" t="s">
        <v>1778</v>
      </c>
      <c r="D18" s="225" t="s">
        <v>1779</v>
      </c>
      <c r="E18" s="226" t="s">
        <v>1780</v>
      </c>
      <c r="F18" s="225" t="s">
        <v>1781</v>
      </c>
      <c r="G18" s="225" t="s">
        <v>1342</v>
      </c>
      <c r="H18" s="225" t="s">
        <v>1741</v>
      </c>
      <c r="I18" s="226" t="s">
        <v>1782</v>
      </c>
      <c r="J18" s="226" t="s">
        <v>1783</v>
      </c>
      <c r="K18" s="225" t="s">
        <v>1784</v>
      </c>
      <c r="L18" s="225" t="s">
        <v>1760</v>
      </c>
      <c r="M18" s="226" t="s">
        <v>1785</v>
      </c>
      <c r="N18" s="228"/>
      <c r="O18" s="228"/>
      <c r="P18" s="228"/>
      <c r="Q18" s="228"/>
      <c r="R18" s="228"/>
      <c r="S18" s="228"/>
      <c r="T18" s="228"/>
      <c r="U18" s="228"/>
      <c r="V18" s="228"/>
      <c r="W18" s="228"/>
      <c r="X18" s="228"/>
      <c r="Y18" s="228"/>
      <c r="Z18" s="228"/>
      <c r="AA18" s="228"/>
      <c r="AB18" s="228"/>
      <c r="AC18" s="228"/>
      <c r="AD18" s="228"/>
      <c r="AE18" s="228"/>
      <c r="AF18" s="228"/>
      <c r="AG18" s="228"/>
      <c r="AH18" s="228"/>
      <c r="AI18" s="228"/>
      <c r="AJ18" s="228"/>
      <c r="AK18" s="228"/>
      <c r="AL18" s="228"/>
      <c r="AM18" s="228"/>
      <c r="AN18" s="228"/>
      <c r="AO18" s="228"/>
      <c r="AP18" s="228"/>
      <c r="AQ18" s="228"/>
      <c r="AR18" s="228"/>
      <c r="AS18" s="228"/>
      <c r="AT18" s="228"/>
      <c r="AU18" s="228"/>
      <c r="AV18" s="228"/>
      <c r="AW18" s="228"/>
      <c r="AX18" s="228"/>
      <c r="AY18" s="228"/>
      <c r="AZ18" s="228"/>
      <c r="BA18" s="228"/>
      <c r="BB18" s="228"/>
      <c r="BC18" s="228"/>
      <c r="BD18" s="228"/>
      <c r="BE18" s="228"/>
      <c r="BF18" s="228"/>
      <c r="BG18" s="228"/>
      <c r="BH18" s="228"/>
      <c r="BI18" s="228"/>
      <c r="BJ18" s="228"/>
      <c r="BK18" s="228"/>
      <c r="BL18" s="228"/>
      <c r="BM18" s="228"/>
      <c r="BN18" s="228"/>
      <c r="BO18" s="228"/>
      <c r="BP18" s="228"/>
      <c r="BQ18" s="228"/>
      <c r="BR18" s="228"/>
      <c r="BS18" s="228"/>
      <c r="BT18" s="228"/>
      <c r="BU18" s="228"/>
      <c r="BV18" s="228"/>
      <c r="BW18" s="228"/>
      <c r="BX18" s="228"/>
      <c r="BY18" s="228"/>
      <c r="BZ18" s="228"/>
      <c r="CA18" s="228"/>
      <c r="CB18" s="228"/>
      <c r="CC18" s="228"/>
      <c r="CD18" s="228"/>
      <c r="CE18" s="228"/>
      <c r="CF18" s="228"/>
      <c r="CG18" s="228"/>
      <c r="CH18" s="228"/>
      <c r="CI18" s="228"/>
      <c r="CJ18" s="228"/>
      <c r="CK18" s="228"/>
      <c r="CL18" s="228"/>
      <c r="CM18" s="228"/>
      <c r="CN18" s="228"/>
      <c r="CO18" s="228"/>
      <c r="CP18" s="228"/>
      <c r="CQ18" s="228"/>
      <c r="CR18" s="228"/>
      <c r="CS18" s="228"/>
      <c r="CT18" s="228"/>
      <c r="CU18" s="228"/>
      <c r="CV18" s="228"/>
      <c r="CW18" s="228"/>
      <c r="CX18" s="228"/>
      <c r="CY18" s="228"/>
      <c r="CZ18" s="228"/>
      <c r="DA18" s="228"/>
      <c r="DB18" s="228"/>
      <c r="DC18" s="228"/>
      <c r="DD18" s="228"/>
      <c r="DE18" s="228"/>
      <c r="DF18" s="228"/>
      <c r="DG18" s="228"/>
      <c r="DH18" s="228"/>
      <c r="DI18" s="228"/>
      <c r="DJ18" s="228"/>
      <c r="DK18" s="228"/>
      <c r="DL18" s="228"/>
      <c r="DM18" s="228"/>
      <c r="DN18" s="228"/>
      <c r="DO18" s="228"/>
      <c r="DP18" s="228"/>
      <c r="DQ18" s="228"/>
      <c r="DR18" s="228"/>
      <c r="DS18" s="228"/>
      <c r="DT18" s="228"/>
      <c r="DU18" s="228"/>
      <c r="DV18" s="228"/>
      <c r="DW18" s="228"/>
      <c r="DX18" s="228"/>
      <c r="DY18" s="228"/>
      <c r="DZ18" s="228"/>
      <c r="EA18" s="228"/>
      <c r="EB18" s="228"/>
      <c r="EC18" s="228"/>
      <c r="ED18" s="228"/>
      <c r="EE18" s="228"/>
      <c r="EF18" s="228"/>
      <c r="EG18" s="228"/>
      <c r="EH18" s="228"/>
      <c r="EI18" s="228"/>
      <c r="EJ18" s="228"/>
      <c r="EK18" s="228"/>
      <c r="EL18" s="228"/>
      <c r="EM18" s="228"/>
      <c r="EN18" s="228"/>
      <c r="EO18" s="228"/>
      <c r="EP18" s="228"/>
      <c r="EQ18" s="228"/>
      <c r="ER18" s="228"/>
      <c r="ES18" s="228"/>
      <c r="ET18" s="228"/>
      <c r="EU18" s="228"/>
      <c r="EV18" s="228"/>
      <c r="EW18" s="228"/>
      <c r="EX18" s="228"/>
      <c r="EY18" s="228"/>
      <c r="EZ18" s="228"/>
      <c r="FA18" s="228"/>
      <c r="FB18" s="228"/>
      <c r="FC18" s="228"/>
      <c r="FD18" s="228"/>
      <c r="FE18" s="228"/>
      <c r="FF18" s="228"/>
      <c r="FG18" s="228"/>
      <c r="FH18" s="228"/>
      <c r="FI18" s="228"/>
      <c r="FJ18" s="228"/>
      <c r="FK18" s="228"/>
      <c r="FL18" s="228"/>
      <c r="FM18" s="228"/>
      <c r="FN18" s="228"/>
      <c r="FO18" s="228"/>
      <c r="FP18" s="228"/>
      <c r="FQ18" s="228"/>
      <c r="FR18" s="228"/>
      <c r="FS18" s="228"/>
      <c r="FT18" s="228"/>
      <c r="FU18" s="228"/>
      <c r="FV18" s="228"/>
      <c r="FW18" s="228"/>
      <c r="FX18" s="228"/>
      <c r="FY18" s="228"/>
      <c r="FZ18" s="228"/>
      <c r="GA18" s="228"/>
      <c r="GB18" s="228"/>
      <c r="GC18" s="228"/>
      <c r="GD18" s="228"/>
      <c r="GE18" s="228"/>
      <c r="GF18" s="228"/>
      <c r="GG18" s="228"/>
      <c r="GH18" s="228"/>
      <c r="GI18" s="228"/>
      <c r="GJ18" s="228"/>
      <c r="GK18" s="228"/>
      <c r="GL18" s="228"/>
      <c r="GM18" s="228"/>
      <c r="GN18" s="228"/>
      <c r="GO18" s="228"/>
      <c r="GP18" s="228"/>
      <c r="GQ18" s="228"/>
      <c r="GR18" s="228"/>
      <c r="GS18" s="228"/>
      <c r="GT18" s="228"/>
      <c r="GU18" s="228"/>
      <c r="GV18" s="228"/>
      <c r="GW18" s="228"/>
      <c r="GX18" s="228"/>
      <c r="GY18" s="228"/>
      <c r="GZ18" s="228"/>
      <c r="HA18" s="228"/>
      <c r="HB18" s="228"/>
      <c r="HC18" s="228"/>
      <c r="HD18" s="228"/>
      <c r="HE18" s="228"/>
      <c r="HF18" s="228"/>
      <c r="HG18" s="228"/>
      <c r="HH18" s="228"/>
      <c r="HI18" s="228"/>
      <c r="HJ18" s="228"/>
      <c r="HK18" s="228"/>
      <c r="HL18" s="228"/>
      <c r="HM18" s="228"/>
      <c r="HN18" s="228"/>
      <c r="HO18" s="228"/>
      <c r="HP18" s="228"/>
      <c r="HQ18" s="228"/>
      <c r="HR18" s="228"/>
      <c r="HS18" s="228"/>
      <c r="HT18" s="228"/>
      <c r="HU18" s="228"/>
      <c r="HV18" s="228"/>
      <c r="HW18" s="228"/>
      <c r="HX18" s="228"/>
      <c r="HY18" s="228"/>
      <c r="HZ18" s="228"/>
      <c r="IA18" s="228"/>
      <c r="IB18" s="228"/>
      <c r="IC18" s="228"/>
      <c r="ID18" s="228"/>
      <c r="IE18" s="228"/>
      <c r="IF18" s="228"/>
      <c r="IG18" s="228"/>
      <c r="IH18" s="228"/>
      <c r="II18" s="228"/>
      <c r="IJ18" s="228"/>
      <c r="IK18" s="228"/>
      <c r="IL18" s="228"/>
      <c r="IM18" s="228"/>
      <c r="IN18" s="228"/>
      <c r="IO18" s="228"/>
      <c r="IP18" s="228"/>
      <c r="IQ18" s="228"/>
      <c r="IR18" s="228"/>
      <c r="IS18" s="228"/>
      <c r="IT18" s="228"/>
      <c r="IU18" s="228"/>
      <c r="IV18" s="228"/>
      <c r="IW18" s="228"/>
      <c r="IX18" s="228"/>
      <c r="IY18" s="228"/>
      <c r="IZ18" s="228"/>
      <c r="JA18" s="228"/>
      <c r="JB18" s="228"/>
      <c r="JC18" s="228"/>
      <c r="JD18" s="228"/>
      <c r="JE18" s="228"/>
      <c r="JF18" s="228"/>
      <c r="JG18" s="228"/>
      <c r="JH18" s="228"/>
      <c r="JI18" s="228"/>
      <c r="JJ18" s="228"/>
      <c r="JK18" s="228"/>
      <c r="JL18" s="228"/>
      <c r="JM18" s="228"/>
      <c r="JN18" s="228"/>
      <c r="JO18" s="228"/>
      <c r="JP18" s="228"/>
      <c r="JQ18" s="228"/>
      <c r="JR18" s="228"/>
      <c r="JS18" s="228"/>
      <c r="JT18" s="228"/>
      <c r="JU18" s="228"/>
      <c r="JV18" s="228"/>
      <c r="JW18" s="228"/>
      <c r="JX18" s="228"/>
      <c r="JY18" s="228"/>
      <c r="JZ18" s="228"/>
      <c r="KA18" s="228"/>
      <c r="KB18" s="228"/>
      <c r="KC18" s="228"/>
      <c r="KD18" s="228"/>
      <c r="KE18" s="228"/>
      <c r="KF18" s="228"/>
      <c r="KG18" s="228"/>
      <c r="KH18" s="228"/>
      <c r="KI18" s="228"/>
      <c r="KJ18" s="228"/>
      <c r="KK18" s="228"/>
      <c r="KL18" s="228"/>
      <c r="KM18" s="228"/>
      <c r="KN18" s="228"/>
      <c r="KO18" s="228"/>
      <c r="KP18" s="228"/>
      <c r="KQ18" s="228"/>
      <c r="KR18" s="228"/>
      <c r="KS18" s="228"/>
      <c r="KT18" s="228"/>
      <c r="KU18" s="228"/>
      <c r="KV18" s="228"/>
      <c r="KW18" s="228"/>
      <c r="KX18" s="228"/>
      <c r="KY18" s="228"/>
      <c r="KZ18" s="228"/>
      <c r="LA18" s="228"/>
      <c r="LB18" s="228"/>
      <c r="LC18" s="228"/>
      <c r="LD18" s="228"/>
      <c r="LE18" s="228"/>
      <c r="LF18" s="228"/>
      <c r="LG18" s="228"/>
      <c r="LH18" s="228"/>
      <c r="LI18" s="228"/>
      <c r="LJ18" s="228"/>
      <c r="LK18" s="228"/>
      <c r="LL18" s="228"/>
      <c r="LM18" s="228"/>
      <c r="LN18" s="228"/>
      <c r="LO18" s="228"/>
      <c r="LP18" s="228"/>
      <c r="LQ18" s="228"/>
      <c r="LR18" s="228"/>
      <c r="LS18" s="228"/>
      <c r="LT18" s="228"/>
      <c r="LU18" s="228"/>
      <c r="LV18" s="228"/>
      <c r="LW18" s="228"/>
      <c r="LX18" s="228"/>
      <c r="LY18" s="228"/>
      <c r="LZ18" s="228"/>
      <c r="MA18" s="228"/>
      <c r="MB18" s="228"/>
      <c r="MC18" s="228"/>
      <c r="MD18" s="228"/>
      <c r="ME18" s="228"/>
      <c r="MF18" s="228"/>
      <c r="MG18" s="228"/>
      <c r="MH18" s="228"/>
      <c r="MI18" s="228"/>
      <c r="MJ18" s="228"/>
      <c r="MK18" s="228"/>
      <c r="ML18" s="228"/>
      <c r="MM18" s="228"/>
      <c r="MN18" s="228"/>
      <c r="MO18" s="228"/>
      <c r="MP18" s="228"/>
      <c r="MQ18" s="228"/>
      <c r="MR18" s="228"/>
      <c r="MS18" s="228"/>
      <c r="MT18" s="228"/>
      <c r="MU18" s="228"/>
      <c r="MV18" s="228"/>
      <c r="MW18" s="228"/>
      <c r="MX18" s="228"/>
      <c r="MY18" s="228"/>
      <c r="MZ18" s="228"/>
      <c r="NA18" s="228"/>
      <c r="NB18" s="228"/>
      <c r="NC18" s="228"/>
      <c r="ND18" s="228"/>
      <c r="NE18" s="228"/>
      <c r="NF18" s="228"/>
      <c r="NG18" s="228"/>
      <c r="NH18" s="228"/>
      <c r="NI18" s="228"/>
      <c r="NJ18" s="228"/>
      <c r="NK18" s="228"/>
      <c r="NL18" s="228"/>
      <c r="NM18" s="228"/>
      <c r="NN18" s="228"/>
      <c r="NO18" s="228"/>
      <c r="NP18" s="228"/>
      <c r="NQ18" s="228"/>
      <c r="NR18" s="228"/>
      <c r="NS18" s="228"/>
      <c r="NT18" s="228"/>
      <c r="NU18" s="228"/>
      <c r="NV18" s="228"/>
      <c r="NW18" s="228"/>
      <c r="NX18" s="228"/>
      <c r="NY18" s="228"/>
      <c r="NZ18" s="228"/>
      <c r="OA18" s="228"/>
      <c r="OB18" s="228"/>
      <c r="OC18" s="228"/>
      <c r="OD18" s="228"/>
      <c r="OE18" s="228"/>
      <c r="OF18" s="228"/>
      <c r="OG18" s="228"/>
      <c r="OH18" s="228"/>
      <c r="OI18" s="228"/>
      <c r="OJ18" s="228"/>
      <c r="OK18" s="228"/>
      <c r="OL18" s="228"/>
      <c r="OM18" s="228"/>
      <c r="ON18" s="228"/>
      <c r="OO18" s="228"/>
      <c r="OP18" s="228"/>
      <c r="OQ18" s="228"/>
      <c r="OR18" s="228"/>
      <c r="OS18" s="228"/>
      <c r="OT18" s="228"/>
      <c r="OU18" s="228"/>
      <c r="OV18" s="228"/>
      <c r="OW18" s="228"/>
      <c r="OX18" s="228"/>
      <c r="OY18" s="228"/>
      <c r="OZ18" s="228"/>
      <c r="PA18" s="228"/>
      <c r="PB18" s="228"/>
      <c r="PC18" s="228"/>
      <c r="PD18" s="228"/>
      <c r="PE18" s="228"/>
      <c r="PF18" s="228"/>
      <c r="PG18" s="228"/>
      <c r="PH18" s="228"/>
      <c r="PI18" s="228"/>
      <c r="PJ18" s="228"/>
      <c r="PK18" s="228"/>
      <c r="PL18" s="228"/>
      <c r="PM18" s="228"/>
      <c r="PN18" s="228"/>
      <c r="PO18" s="228"/>
      <c r="PP18" s="228"/>
      <c r="PQ18" s="228"/>
      <c r="PR18" s="228"/>
      <c r="PS18" s="228"/>
      <c r="PT18" s="228"/>
      <c r="PU18" s="228"/>
      <c r="PV18" s="228"/>
      <c r="PW18" s="228"/>
      <c r="PX18" s="228"/>
      <c r="PY18" s="228"/>
      <c r="PZ18" s="228"/>
      <c r="QA18" s="228"/>
      <c r="QB18" s="228"/>
      <c r="QC18" s="228"/>
      <c r="QD18" s="228"/>
      <c r="QE18" s="228"/>
      <c r="QF18" s="228"/>
      <c r="QG18" s="228"/>
      <c r="QH18" s="228"/>
      <c r="QI18" s="228"/>
      <c r="QJ18" s="228"/>
      <c r="QK18" s="228"/>
      <c r="QL18" s="228"/>
      <c r="QM18" s="228"/>
      <c r="QN18" s="228"/>
      <c r="QO18" s="228"/>
      <c r="QP18" s="228"/>
      <c r="QQ18" s="228"/>
      <c r="QR18" s="228"/>
      <c r="QS18" s="228"/>
      <c r="QT18" s="228"/>
      <c r="QU18" s="228"/>
      <c r="QV18" s="228"/>
      <c r="QW18" s="228"/>
      <c r="QX18" s="228"/>
      <c r="QY18" s="228"/>
      <c r="QZ18" s="228"/>
      <c r="RA18" s="228"/>
      <c r="RB18" s="228"/>
      <c r="RC18" s="228"/>
      <c r="RD18" s="228"/>
      <c r="RE18" s="228"/>
      <c r="RF18" s="228"/>
      <c r="RG18" s="228"/>
      <c r="RH18" s="228"/>
      <c r="RI18" s="228"/>
      <c r="RJ18" s="228"/>
      <c r="RK18" s="228"/>
      <c r="RL18" s="228"/>
      <c r="RM18" s="228"/>
      <c r="RN18" s="228"/>
      <c r="RO18" s="228"/>
      <c r="RP18" s="228"/>
      <c r="RQ18" s="228"/>
      <c r="RR18" s="228"/>
      <c r="RS18" s="228"/>
      <c r="RT18" s="228"/>
      <c r="RU18" s="228"/>
      <c r="RV18" s="228"/>
      <c r="RW18" s="228"/>
      <c r="RX18" s="228"/>
      <c r="RY18" s="228"/>
      <c r="RZ18" s="228"/>
      <c r="SA18" s="228"/>
      <c r="SB18" s="228"/>
      <c r="SC18" s="228"/>
      <c r="SD18" s="228"/>
      <c r="SE18" s="228"/>
      <c r="SF18" s="228"/>
      <c r="SG18" s="228"/>
    </row>
    <row r="19" spans="2:501" ht="69.75" customHeight="1">
      <c r="C19" s="227" t="s">
        <v>1786</v>
      </c>
      <c r="D19" s="225" t="s">
        <v>1787</v>
      </c>
      <c r="E19" s="226" t="s">
        <v>1788</v>
      </c>
      <c r="F19" s="225" t="s">
        <v>1789</v>
      </c>
      <c r="G19" s="225" t="s">
        <v>1740</v>
      </c>
      <c r="H19" s="225" t="s">
        <v>1741</v>
      </c>
      <c r="I19" s="226" t="s">
        <v>1790</v>
      </c>
      <c r="J19" s="226" t="s">
        <v>1791</v>
      </c>
      <c r="K19" s="225" t="s">
        <v>1784</v>
      </c>
      <c r="L19" s="225" t="s">
        <v>1792</v>
      </c>
      <c r="M19" s="226" t="s">
        <v>1793</v>
      </c>
      <c r="N19" s="228"/>
      <c r="O19" s="228"/>
      <c r="P19" s="228"/>
      <c r="Q19" s="228"/>
      <c r="R19" s="228"/>
      <c r="S19" s="228"/>
      <c r="T19" s="228"/>
      <c r="U19" s="228"/>
      <c r="V19" s="228"/>
      <c r="W19" s="228"/>
      <c r="X19" s="228"/>
      <c r="Y19" s="228"/>
      <c r="Z19" s="228"/>
      <c r="AA19" s="228"/>
      <c r="AB19" s="228"/>
      <c r="AC19" s="228"/>
      <c r="AD19" s="228"/>
      <c r="AE19" s="228"/>
      <c r="AF19" s="228"/>
      <c r="AG19" s="228"/>
      <c r="AH19" s="228"/>
      <c r="AI19" s="228"/>
      <c r="AJ19" s="228"/>
      <c r="AK19" s="228"/>
      <c r="AL19" s="228"/>
      <c r="AM19" s="228"/>
      <c r="AN19" s="228"/>
      <c r="AO19" s="228"/>
      <c r="AP19" s="228"/>
      <c r="AQ19" s="228"/>
      <c r="AR19" s="228"/>
      <c r="AS19" s="228"/>
      <c r="AT19" s="228"/>
      <c r="AU19" s="228"/>
      <c r="AV19" s="228"/>
      <c r="AW19" s="228"/>
      <c r="AX19" s="228"/>
      <c r="AY19" s="228"/>
      <c r="AZ19" s="228"/>
      <c r="BA19" s="228"/>
      <c r="BB19" s="228"/>
      <c r="BC19" s="228"/>
      <c r="BD19" s="228"/>
      <c r="BE19" s="228"/>
      <c r="BF19" s="228"/>
      <c r="BG19" s="228"/>
      <c r="BH19" s="228"/>
      <c r="BI19" s="228"/>
      <c r="BJ19" s="228"/>
      <c r="BK19" s="228"/>
      <c r="BL19" s="228"/>
      <c r="BM19" s="228"/>
      <c r="BN19" s="228"/>
      <c r="BO19" s="228"/>
      <c r="BP19" s="228"/>
      <c r="BQ19" s="228"/>
      <c r="BR19" s="228"/>
      <c r="BS19" s="228"/>
      <c r="BT19" s="228"/>
      <c r="BU19" s="228"/>
      <c r="BV19" s="228"/>
      <c r="BW19" s="228"/>
      <c r="BX19" s="228"/>
      <c r="BY19" s="228"/>
      <c r="BZ19" s="228"/>
      <c r="CA19" s="228"/>
      <c r="CB19" s="228"/>
      <c r="CC19" s="228"/>
      <c r="CD19" s="228"/>
      <c r="CE19" s="228"/>
      <c r="CF19" s="228"/>
      <c r="CG19" s="228"/>
      <c r="CH19" s="228"/>
      <c r="CI19" s="228"/>
      <c r="CJ19" s="228"/>
      <c r="CK19" s="228"/>
      <c r="CL19" s="228"/>
      <c r="CM19" s="228"/>
      <c r="CN19" s="228"/>
      <c r="CO19" s="228"/>
      <c r="CP19" s="228"/>
      <c r="CQ19" s="228"/>
      <c r="CR19" s="228"/>
      <c r="CS19" s="228"/>
      <c r="CT19" s="228"/>
      <c r="CU19" s="228"/>
      <c r="CV19" s="228"/>
      <c r="CW19" s="228"/>
      <c r="CX19" s="228"/>
      <c r="CY19" s="228"/>
      <c r="CZ19" s="228"/>
      <c r="DA19" s="228"/>
      <c r="DB19" s="228"/>
      <c r="DC19" s="228"/>
      <c r="DD19" s="228"/>
      <c r="DE19" s="228"/>
      <c r="DF19" s="228"/>
      <c r="DG19" s="228"/>
      <c r="DH19" s="228"/>
      <c r="DI19" s="228"/>
      <c r="DJ19" s="228"/>
      <c r="DK19" s="228"/>
      <c r="DL19" s="228"/>
      <c r="DM19" s="228"/>
      <c r="DN19" s="228"/>
      <c r="DO19" s="228"/>
      <c r="DP19" s="228"/>
      <c r="DQ19" s="228"/>
      <c r="DR19" s="228"/>
      <c r="DS19" s="228"/>
      <c r="DT19" s="228"/>
      <c r="DU19" s="228"/>
      <c r="DV19" s="228"/>
      <c r="DW19" s="228"/>
      <c r="DX19" s="228"/>
      <c r="DY19" s="228"/>
      <c r="DZ19" s="228"/>
      <c r="EA19" s="228"/>
      <c r="EB19" s="228"/>
      <c r="EC19" s="228"/>
      <c r="ED19" s="228"/>
      <c r="EE19" s="228"/>
      <c r="EF19" s="228"/>
      <c r="EG19" s="228"/>
      <c r="EH19" s="228"/>
      <c r="EI19" s="228"/>
      <c r="EJ19" s="228"/>
      <c r="EK19" s="228"/>
      <c r="EL19" s="228"/>
      <c r="EM19" s="228"/>
      <c r="EN19" s="228"/>
      <c r="EO19" s="228"/>
      <c r="EP19" s="228"/>
      <c r="EQ19" s="228"/>
      <c r="ER19" s="228"/>
      <c r="ES19" s="228"/>
      <c r="ET19" s="228"/>
      <c r="EU19" s="228"/>
      <c r="EV19" s="228"/>
      <c r="EW19" s="228"/>
      <c r="EX19" s="228"/>
      <c r="EY19" s="228"/>
      <c r="EZ19" s="228"/>
      <c r="FA19" s="228"/>
      <c r="FB19" s="228"/>
      <c r="FC19" s="228"/>
      <c r="FD19" s="228"/>
      <c r="FE19" s="228"/>
      <c r="FF19" s="228"/>
      <c r="FG19" s="228"/>
      <c r="FH19" s="228"/>
      <c r="FI19" s="228"/>
      <c r="FJ19" s="228"/>
      <c r="FK19" s="228"/>
      <c r="FL19" s="228"/>
      <c r="FM19" s="228"/>
      <c r="FN19" s="228"/>
      <c r="FO19" s="228"/>
      <c r="FP19" s="228"/>
      <c r="FQ19" s="228"/>
      <c r="FR19" s="228"/>
      <c r="FS19" s="228"/>
      <c r="FT19" s="228"/>
      <c r="FU19" s="228"/>
      <c r="FV19" s="228"/>
      <c r="FW19" s="228"/>
      <c r="FX19" s="228"/>
      <c r="FY19" s="228"/>
      <c r="FZ19" s="228"/>
      <c r="GA19" s="228"/>
      <c r="GB19" s="228"/>
      <c r="GC19" s="228"/>
      <c r="GD19" s="228"/>
      <c r="GE19" s="228"/>
      <c r="GF19" s="228"/>
      <c r="GG19" s="228"/>
      <c r="GH19" s="228"/>
      <c r="GI19" s="228"/>
      <c r="GJ19" s="228"/>
      <c r="GK19" s="228"/>
      <c r="GL19" s="228"/>
      <c r="GM19" s="228"/>
      <c r="GN19" s="228"/>
      <c r="GO19" s="228"/>
      <c r="GP19" s="228"/>
      <c r="GQ19" s="228"/>
      <c r="GR19" s="228"/>
      <c r="GS19" s="228"/>
      <c r="GT19" s="228"/>
      <c r="GU19" s="228"/>
      <c r="GV19" s="228"/>
      <c r="GW19" s="228"/>
      <c r="GX19" s="228"/>
      <c r="GY19" s="228"/>
      <c r="GZ19" s="228"/>
      <c r="HA19" s="228"/>
      <c r="HB19" s="228"/>
      <c r="HC19" s="228"/>
      <c r="HD19" s="228"/>
      <c r="HE19" s="228"/>
      <c r="HF19" s="228"/>
      <c r="HG19" s="228"/>
      <c r="HH19" s="228"/>
      <c r="HI19" s="228"/>
      <c r="HJ19" s="228"/>
      <c r="HK19" s="228"/>
      <c r="HL19" s="228"/>
      <c r="HM19" s="228"/>
      <c r="HN19" s="228"/>
      <c r="HO19" s="228"/>
      <c r="HP19" s="228"/>
      <c r="HQ19" s="228"/>
      <c r="HR19" s="228"/>
      <c r="HS19" s="228"/>
      <c r="HT19" s="228"/>
      <c r="HU19" s="228"/>
      <c r="HV19" s="228"/>
      <c r="HW19" s="228"/>
      <c r="HX19" s="228"/>
      <c r="HY19" s="228"/>
      <c r="HZ19" s="228"/>
      <c r="IA19" s="228"/>
      <c r="IB19" s="228"/>
      <c r="IC19" s="228"/>
      <c r="ID19" s="228"/>
      <c r="IE19" s="228"/>
      <c r="IF19" s="228"/>
      <c r="IG19" s="228"/>
      <c r="IH19" s="228"/>
      <c r="II19" s="228"/>
      <c r="IJ19" s="228"/>
      <c r="IK19" s="228"/>
      <c r="IL19" s="228"/>
      <c r="IM19" s="228"/>
      <c r="IN19" s="228"/>
      <c r="IO19" s="228"/>
      <c r="IP19" s="228"/>
      <c r="IQ19" s="228"/>
      <c r="IR19" s="228"/>
      <c r="IS19" s="228"/>
      <c r="IT19" s="228"/>
      <c r="IU19" s="228"/>
      <c r="IV19" s="228"/>
      <c r="IW19" s="228"/>
      <c r="IX19" s="228"/>
      <c r="IY19" s="228"/>
      <c r="IZ19" s="228"/>
      <c r="JA19" s="228"/>
      <c r="JB19" s="228"/>
      <c r="JC19" s="228"/>
      <c r="JD19" s="228"/>
      <c r="JE19" s="228"/>
      <c r="JF19" s="228"/>
      <c r="JG19" s="228"/>
      <c r="JH19" s="228"/>
      <c r="JI19" s="228"/>
      <c r="JJ19" s="228"/>
      <c r="JK19" s="228"/>
      <c r="JL19" s="228"/>
      <c r="JM19" s="228"/>
      <c r="JN19" s="228"/>
      <c r="JO19" s="228"/>
      <c r="JP19" s="228"/>
      <c r="JQ19" s="228"/>
      <c r="JR19" s="228"/>
      <c r="JS19" s="228"/>
      <c r="JT19" s="228"/>
      <c r="JU19" s="228"/>
      <c r="JV19" s="228"/>
      <c r="JW19" s="228"/>
      <c r="JX19" s="228"/>
      <c r="JY19" s="228"/>
      <c r="JZ19" s="228"/>
      <c r="KA19" s="228"/>
      <c r="KB19" s="228"/>
      <c r="KC19" s="228"/>
      <c r="KD19" s="228"/>
      <c r="KE19" s="228"/>
      <c r="KF19" s="228"/>
      <c r="KG19" s="228"/>
      <c r="KH19" s="228"/>
      <c r="KI19" s="228"/>
      <c r="KJ19" s="228"/>
      <c r="KK19" s="228"/>
      <c r="KL19" s="228"/>
      <c r="KM19" s="228"/>
      <c r="KN19" s="228"/>
      <c r="KO19" s="228"/>
      <c r="KP19" s="228"/>
      <c r="KQ19" s="228"/>
      <c r="KR19" s="228"/>
      <c r="KS19" s="228"/>
      <c r="KT19" s="228"/>
      <c r="KU19" s="228"/>
      <c r="KV19" s="228"/>
      <c r="KW19" s="228"/>
      <c r="KX19" s="228"/>
      <c r="KY19" s="228"/>
      <c r="KZ19" s="228"/>
      <c r="LA19" s="228"/>
      <c r="LB19" s="228"/>
      <c r="LC19" s="228"/>
      <c r="LD19" s="228"/>
      <c r="LE19" s="228"/>
      <c r="LF19" s="228"/>
      <c r="LG19" s="228"/>
      <c r="LH19" s="228"/>
      <c r="LI19" s="228"/>
      <c r="LJ19" s="228"/>
      <c r="LK19" s="228"/>
      <c r="LL19" s="228"/>
      <c r="LM19" s="228"/>
      <c r="LN19" s="228"/>
      <c r="LO19" s="228"/>
      <c r="LP19" s="228"/>
      <c r="LQ19" s="228"/>
      <c r="LR19" s="228"/>
      <c r="LS19" s="228"/>
      <c r="LT19" s="228"/>
      <c r="LU19" s="228"/>
      <c r="LV19" s="228"/>
      <c r="LW19" s="228"/>
      <c r="LX19" s="228"/>
      <c r="LY19" s="228"/>
      <c r="LZ19" s="228"/>
      <c r="MA19" s="228"/>
      <c r="MB19" s="228"/>
      <c r="MC19" s="228"/>
      <c r="MD19" s="228"/>
      <c r="ME19" s="228"/>
      <c r="MF19" s="228"/>
      <c r="MG19" s="228"/>
      <c r="MH19" s="228"/>
      <c r="MI19" s="228"/>
      <c r="MJ19" s="228"/>
      <c r="MK19" s="228"/>
      <c r="ML19" s="228"/>
      <c r="MM19" s="228"/>
      <c r="MN19" s="228"/>
      <c r="MO19" s="228"/>
      <c r="MP19" s="228"/>
      <c r="MQ19" s="228"/>
      <c r="MR19" s="228"/>
      <c r="MS19" s="228"/>
      <c r="MT19" s="228"/>
      <c r="MU19" s="228"/>
      <c r="MV19" s="228"/>
      <c r="MW19" s="228"/>
      <c r="MX19" s="228"/>
      <c r="MY19" s="228"/>
      <c r="MZ19" s="228"/>
      <c r="NA19" s="228"/>
      <c r="NB19" s="228"/>
      <c r="NC19" s="228"/>
      <c r="ND19" s="228"/>
      <c r="NE19" s="228"/>
      <c r="NF19" s="228"/>
      <c r="NG19" s="228"/>
      <c r="NH19" s="228"/>
      <c r="NI19" s="228"/>
      <c r="NJ19" s="228"/>
      <c r="NK19" s="228"/>
      <c r="NL19" s="228"/>
      <c r="NM19" s="228"/>
      <c r="NN19" s="228"/>
      <c r="NO19" s="228"/>
      <c r="NP19" s="228"/>
      <c r="NQ19" s="228"/>
      <c r="NR19" s="228"/>
      <c r="NS19" s="228"/>
      <c r="NT19" s="228"/>
      <c r="NU19" s="228"/>
      <c r="NV19" s="228"/>
      <c r="NW19" s="228"/>
      <c r="NX19" s="228"/>
      <c r="NY19" s="228"/>
      <c r="NZ19" s="228"/>
      <c r="OA19" s="228"/>
      <c r="OB19" s="228"/>
      <c r="OC19" s="228"/>
      <c r="OD19" s="228"/>
      <c r="OE19" s="228"/>
      <c r="OF19" s="228"/>
      <c r="OG19" s="228"/>
      <c r="OH19" s="228"/>
      <c r="OI19" s="228"/>
      <c r="OJ19" s="228"/>
      <c r="OK19" s="228"/>
      <c r="OL19" s="228"/>
      <c r="OM19" s="228"/>
      <c r="ON19" s="228"/>
      <c r="OO19" s="228"/>
      <c r="OP19" s="228"/>
      <c r="OQ19" s="228"/>
      <c r="OR19" s="228"/>
      <c r="OS19" s="228"/>
      <c r="OT19" s="228"/>
      <c r="OU19" s="228"/>
      <c r="OV19" s="228"/>
      <c r="OW19" s="228"/>
      <c r="OX19" s="228"/>
      <c r="OY19" s="228"/>
      <c r="OZ19" s="228"/>
      <c r="PA19" s="228"/>
      <c r="PB19" s="228"/>
      <c r="PC19" s="228"/>
      <c r="PD19" s="228"/>
      <c r="PE19" s="228"/>
      <c r="PF19" s="228"/>
      <c r="PG19" s="228"/>
      <c r="PH19" s="228"/>
      <c r="PI19" s="228"/>
      <c r="PJ19" s="228"/>
      <c r="PK19" s="228"/>
      <c r="PL19" s="228"/>
      <c r="PM19" s="228"/>
      <c r="PN19" s="228"/>
      <c r="PO19" s="228"/>
      <c r="PP19" s="228"/>
      <c r="PQ19" s="228"/>
      <c r="PR19" s="228"/>
      <c r="PS19" s="228"/>
      <c r="PT19" s="228"/>
      <c r="PU19" s="228"/>
      <c r="PV19" s="228"/>
      <c r="PW19" s="228"/>
      <c r="PX19" s="228"/>
      <c r="PY19" s="228"/>
      <c r="PZ19" s="228"/>
      <c r="QA19" s="228"/>
      <c r="QB19" s="228"/>
      <c r="QC19" s="228"/>
      <c r="QD19" s="228"/>
      <c r="QE19" s="228"/>
      <c r="QF19" s="228"/>
      <c r="QG19" s="228"/>
      <c r="QH19" s="228"/>
      <c r="QI19" s="228"/>
      <c r="QJ19" s="228"/>
      <c r="QK19" s="228"/>
      <c r="QL19" s="228"/>
      <c r="QM19" s="228"/>
      <c r="QN19" s="228"/>
      <c r="QO19" s="228"/>
      <c r="QP19" s="228"/>
      <c r="QQ19" s="228"/>
      <c r="QR19" s="228"/>
      <c r="QS19" s="228"/>
      <c r="QT19" s="228"/>
      <c r="QU19" s="228"/>
      <c r="QV19" s="228"/>
      <c r="QW19" s="228"/>
      <c r="QX19" s="228"/>
      <c r="QY19" s="228"/>
      <c r="QZ19" s="228"/>
      <c r="RA19" s="228"/>
      <c r="RB19" s="228"/>
      <c r="RC19" s="228"/>
      <c r="RD19" s="228"/>
      <c r="RE19" s="228"/>
      <c r="RF19" s="228"/>
      <c r="RG19" s="228"/>
      <c r="RH19" s="228"/>
      <c r="RI19" s="228"/>
      <c r="RJ19" s="228"/>
      <c r="RK19" s="228"/>
      <c r="RL19" s="228"/>
      <c r="RM19" s="228"/>
      <c r="RN19" s="228"/>
      <c r="RO19" s="228"/>
      <c r="RP19" s="228"/>
      <c r="RQ19" s="228"/>
      <c r="RR19" s="228"/>
      <c r="RS19" s="228"/>
      <c r="RT19" s="228"/>
      <c r="RU19" s="228"/>
      <c r="RV19" s="228"/>
      <c r="RW19" s="228"/>
      <c r="RX19" s="228"/>
      <c r="RY19" s="228"/>
      <c r="RZ19" s="228"/>
      <c r="SA19" s="228"/>
      <c r="SB19" s="228"/>
      <c r="SC19" s="228"/>
      <c r="SD19" s="228"/>
      <c r="SE19" s="228"/>
      <c r="SF19" s="228"/>
      <c r="SG19" s="228"/>
    </row>
    <row r="20" spans="2:501" ht="84" customHeight="1">
      <c r="C20" s="227" t="s">
        <v>1794</v>
      </c>
      <c r="D20" s="225" t="s">
        <v>1795</v>
      </c>
      <c r="E20" s="226" t="s">
        <v>1796</v>
      </c>
      <c r="F20" s="225" t="s">
        <v>1797</v>
      </c>
      <c r="G20" s="225" t="s">
        <v>1342</v>
      </c>
      <c r="H20" s="225" t="s">
        <v>1741</v>
      </c>
      <c r="I20" s="226" t="s">
        <v>1798</v>
      </c>
      <c r="J20" s="226" t="s">
        <v>1799</v>
      </c>
      <c r="K20" s="225" t="s">
        <v>1784</v>
      </c>
      <c r="L20" s="225" t="s">
        <v>1760</v>
      </c>
      <c r="M20" s="226" t="s">
        <v>1800</v>
      </c>
      <c r="N20" s="228"/>
      <c r="O20" s="228"/>
      <c r="P20" s="228"/>
      <c r="Q20" s="228"/>
      <c r="R20" s="228"/>
      <c r="S20" s="228"/>
      <c r="T20" s="228"/>
      <c r="U20" s="228"/>
      <c r="V20" s="228"/>
      <c r="W20" s="228"/>
      <c r="X20" s="228"/>
      <c r="Y20" s="228"/>
      <c r="Z20" s="228"/>
      <c r="AA20" s="228"/>
      <c r="AB20" s="228"/>
      <c r="AC20" s="228"/>
      <c r="AD20" s="228"/>
      <c r="AE20" s="228"/>
      <c r="AF20" s="228"/>
      <c r="AG20" s="228"/>
      <c r="AH20" s="228"/>
      <c r="AI20" s="228"/>
      <c r="AJ20" s="228"/>
      <c r="AK20" s="228"/>
      <c r="AL20" s="228"/>
      <c r="AM20" s="228"/>
      <c r="AN20" s="228"/>
      <c r="AO20" s="228"/>
      <c r="AP20" s="228"/>
      <c r="AQ20" s="228"/>
      <c r="AR20" s="228"/>
      <c r="AS20" s="228"/>
      <c r="AT20" s="228"/>
      <c r="AU20" s="228"/>
      <c r="AV20" s="228"/>
      <c r="AW20" s="228"/>
      <c r="AX20" s="228"/>
      <c r="AY20" s="228"/>
      <c r="AZ20" s="228"/>
      <c r="BA20" s="228"/>
      <c r="BB20" s="228"/>
      <c r="BC20" s="228"/>
      <c r="BD20" s="228"/>
      <c r="BE20" s="228"/>
      <c r="BF20" s="228"/>
      <c r="BG20" s="228"/>
      <c r="BH20" s="228"/>
      <c r="BI20" s="228"/>
      <c r="BJ20" s="228"/>
      <c r="BK20" s="228"/>
      <c r="BL20" s="228"/>
      <c r="BM20" s="228"/>
      <c r="BN20" s="228"/>
      <c r="BO20" s="228"/>
      <c r="BP20" s="228"/>
      <c r="BQ20" s="228"/>
      <c r="BR20" s="228"/>
      <c r="BS20" s="228"/>
      <c r="BT20" s="228"/>
      <c r="BU20" s="228"/>
      <c r="BV20" s="228"/>
      <c r="BW20" s="228"/>
      <c r="BX20" s="228"/>
      <c r="BY20" s="228"/>
      <c r="BZ20" s="228"/>
      <c r="CA20" s="228"/>
      <c r="CB20" s="228"/>
      <c r="CC20" s="228"/>
      <c r="CD20" s="228"/>
      <c r="CE20" s="228"/>
      <c r="CF20" s="228"/>
      <c r="CG20" s="228"/>
      <c r="CH20" s="228"/>
      <c r="CI20" s="228"/>
      <c r="CJ20" s="228"/>
      <c r="CK20" s="228"/>
      <c r="CL20" s="228"/>
      <c r="CM20" s="228"/>
      <c r="CN20" s="228"/>
      <c r="CO20" s="228"/>
      <c r="CP20" s="228"/>
      <c r="CQ20" s="228"/>
      <c r="CR20" s="228"/>
      <c r="CS20" s="228"/>
      <c r="CT20" s="228"/>
      <c r="CU20" s="228"/>
      <c r="CV20" s="228"/>
      <c r="CW20" s="228"/>
      <c r="CX20" s="228"/>
      <c r="CY20" s="228"/>
      <c r="CZ20" s="228"/>
      <c r="DA20" s="228"/>
      <c r="DB20" s="228"/>
      <c r="DC20" s="228"/>
      <c r="DD20" s="228"/>
      <c r="DE20" s="228"/>
      <c r="DF20" s="228"/>
      <c r="DG20" s="228"/>
      <c r="DH20" s="228"/>
      <c r="DI20" s="228"/>
      <c r="DJ20" s="228"/>
      <c r="DK20" s="228"/>
      <c r="DL20" s="228"/>
      <c r="DM20" s="228"/>
      <c r="DN20" s="228"/>
      <c r="DO20" s="228"/>
      <c r="DP20" s="228"/>
      <c r="DQ20" s="228"/>
      <c r="DR20" s="228"/>
      <c r="DS20" s="228"/>
      <c r="DT20" s="228"/>
      <c r="DU20" s="228"/>
      <c r="DV20" s="228"/>
      <c r="DW20" s="228"/>
      <c r="DX20" s="228"/>
      <c r="DY20" s="228"/>
      <c r="DZ20" s="228"/>
      <c r="EA20" s="228"/>
      <c r="EB20" s="228"/>
      <c r="EC20" s="228"/>
      <c r="ED20" s="228"/>
      <c r="EE20" s="228"/>
      <c r="EF20" s="228"/>
      <c r="EG20" s="228"/>
      <c r="EH20" s="228"/>
      <c r="EI20" s="228"/>
      <c r="EJ20" s="228"/>
      <c r="EK20" s="228"/>
      <c r="EL20" s="228"/>
      <c r="EM20" s="228"/>
      <c r="EN20" s="228"/>
      <c r="EO20" s="228"/>
      <c r="EP20" s="228"/>
      <c r="EQ20" s="228"/>
      <c r="ER20" s="228"/>
      <c r="ES20" s="228"/>
      <c r="ET20" s="228"/>
      <c r="EU20" s="228"/>
      <c r="EV20" s="228"/>
      <c r="EW20" s="228"/>
      <c r="EX20" s="228"/>
      <c r="EY20" s="228"/>
      <c r="EZ20" s="228"/>
      <c r="FA20" s="228"/>
      <c r="FB20" s="228"/>
      <c r="FC20" s="228"/>
      <c r="FD20" s="228"/>
      <c r="FE20" s="228"/>
      <c r="FF20" s="228"/>
      <c r="FG20" s="228"/>
      <c r="FH20" s="228"/>
      <c r="FI20" s="228"/>
      <c r="FJ20" s="228"/>
      <c r="FK20" s="228"/>
      <c r="FL20" s="228"/>
      <c r="FM20" s="228"/>
      <c r="FN20" s="228"/>
      <c r="FO20" s="228"/>
      <c r="FP20" s="228"/>
      <c r="FQ20" s="228"/>
      <c r="FR20" s="228"/>
      <c r="FS20" s="228"/>
      <c r="FT20" s="228"/>
      <c r="FU20" s="228"/>
      <c r="FV20" s="228"/>
      <c r="FW20" s="228"/>
      <c r="FX20" s="228"/>
      <c r="FY20" s="228"/>
      <c r="FZ20" s="228"/>
      <c r="GA20" s="228"/>
      <c r="GB20" s="228"/>
      <c r="GC20" s="228"/>
      <c r="GD20" s="228"/>
      <c r="GE20" s="228"/>
      <c r="GF20" s="228"/>
      <c r="GG20" s="228"/>
      <c r="GH20" s="228"/>
      <c r="GI20" s="228"/>
      <c r="GJ20" s="228"/>
      <c r="GK20" s="228"/>
      <c r="GL20" s="228"/>
      <c r="GM20" s="228"/>
      <c r="GN20" s="228"/>
      <c r="GO20" s="228"/>
      <c r="GP20" s="228"/>
      <c r="GQ20" s="228"/>
      <c r="GR20" s="228"/>
      <c r="GS20" s="228"/>
      <c r="GT20" s="228"/>
      <c r="GU20" s="228"/>
      <c r="GV20" s="228"/>
      <c r="GW20" s="228"/>
      <c r="GX20" s="228"/>
      <c r="GY20" s="228"/>
      <c r="GZ20" s="228"/>
      <c r="HA20" s="228"/>
      <c r="HB20" s="228"/>
      <c r="HC20" s="228"/>
      <c r="HD20" s="228"/>
      <c r="HE20" s="228"/>
      <c r="HF20" s="228"/>
      <c r="HG20" s="228"/>
      <c r="HH20" s="228"/>
      <c r="HI20" s="228"/>
      <c r="HJ20" s="228"/>
      <c r="HK20" s="228"/>
      <c r="HL20" s="228"/>
      <c r="HM20" s="228"/>
      <c r="HN20" s="228"/>
      <c r="HO20" s="228"/>
      <c r="HP20" s="228"/>
      <c r="HQ20" s="228"/>
      <c r="HR20" s="228"/>
      <c r="HS20" s="228"/>
      <c r="HT20" s="228"/>
      <c r="HU20" s="228"/>
      <c r="HV20" s="228"/>
      <c r="HW20" s="228"/>
      <c r="HX20" s="228"/>
      <c r="HY20" s="228"/>
      <c r="HZ20" s="228"/>
      <c r="IA20" s="228"/>
      <c r="IB20" s="228"/>
      <c r="IC20" s="228"/>
      <c r="ID20" s="228"/>
      <c r="IE20" s="228"/>
      <c r="IF20" s="228"/>
      <c r="IG20" s="228"/>
      <c r="IH20" s="228"/>
      <c r="II20" s="228"/>
      <c r="IJ20" s="228"/>
      <c r="IK20" s="228"/>
      <c r="IL20" s="228"/>
      <c r="IM20" s="228"/>
      <c r="IN20" s="228"/>
      <c r="IO20" s="228"/>
      <c r="IP20" s="228"/>
      <c r="IQ20" s="228"/>
      <c r="IR20" s="228"/>
      <c r="IS20" s="228"/>
      <c r="IT20" s="228"/>
      <c r="IU20" s="228"/>
      <c r="IV20" s="228"/>
      <c r="IW20" s="228"/>
      <c r="IX20" s="228"/>
      <c r="IY20" s="228"/>
      <c r="IZ20" s="228"/>
      <c r="JA20" s="228"/>
      <c r="JB20" s="228"/>
      <c r="JC20" s="228"/>
      <c r="JD20" s="228"/>
      <c r="JE20" s="228"/>
      <c r="JF20" s="228"/>
      <c r="JG20" s="228"/>
      <c r="JH20" s="228"/>
      <c r="JI20" s="228"/>
      <c r="JJ20" s="228"/>
      <c r="JK20" s="228"/>
      <c r="JL20" s="228"/>
      <c r="JM20" s="228"/>
      <c r="JN20" s="228"/>
      <c r="JO20" s="228"/>
      <c r="JP20" s="228"/>
      <c r="JQ20" s="228"/>
      <c r="JR20" s="228"/>
      <c r="JS20" s="228"/>
      <c r="JT20" s="228"/>
      <c r="JU20" s="228"/>
      <c r="JV20" s="228"/>
      <c r="JW20" s="228"/>
      <c r="JX20" s="228"/>
      <c r="JY20" s="228"/>
      <c r="JZ20" s="228"/>
      <c r="KA20" s="228"/>
      <c r="KB20" s="228"/>
      <c r="KC20" s="228"/>
      <c r="KD20" s="228"/>
      <c r="KE20" s="228"/>
      <c r="KF20" s="228"/>
      <c r="KG20" s="228"/>
      <c r="KH20" s="228"/>
      <c r="KI20" s="228"/>
      <c r="KJ20" s="228"/>
      <c r="KK20" s="228"/>
      <c r="KL20" s="228"/>
      <c r="KM20" s="228"/>
      <c r="KN20" s="228"/>
      <c r="KO20" s="228"/>
      <c r="KP20" s="228"/>
      <c r="KQ20" s="228"/>
      <c r="KR20" s="228"/>
      <c r="KS20" s="228"/>
      <c r="KT20" s="228"/>
      <c r="KU20" s="228"/>
      <c r="KV20" s="228"/>
      <c r="KW20" s="228"/>
      <c r="KX20" s="228"/>
      <c r="KY20" s="228"/>
      <c r="KZ20" s="228"/>
      <c r="LA20" s="228"/>
      <c r="LB20" s="228"/>
      <c r="LC20" s="228"/>
      <c r="LD20" s="228"/>
      <c r="LE20" s="228"/>
      <c r="LF20" s="228"/>
      <c r="LG20" s="228"/>
      <c r="LH20" s="228"/>
      <c r="LI20" s="228"/>
      <c r="LJ20" s="228"/>
      <c r="LK20" s="228"/>
      <c r="LL20" s="228"/>
      <c r="LM20" s="228"/>
      <c r="LN20" s="228"/>
      <c r="LO20" s="228"/>
      <c r="LP20" s="228"/>
      <c r="LQ20" s="228"/>
      <c r="LR20" s="228"/>
      <c r="LS20" s="228"/>
      <c r="LT20" s="228"/>
      <c r="LU20" s="228"/>
      <c r="LV20" s="228"/>
      <c r="LW20" s="228"/>
      <c r="LX20" s="228"/>
      <c r="LY20" s="228"/>
      <c r="LZ20" s="228"/>
      <c r="MA20" s="228"/>
      <c r="MB20" s="228"/>
      <c r="MC20" s="228"/>
      <c r="MD20" s="228"/>
      <c r="ME20" s="228"/>
      <c r="MF20" s="228"/>
      <c r="MG20" s="228"/>
      <c r="MH20" s="228"/>
      <c r="MI20" s="228"/>
      <c r="MJ20" s="228"/>
      <c r="MK20" s="228"/>
      <c r="ML20" s="228"/>
      <c r="MM20" s="228"/>
      <c r="MN20" s="228"/>
      <c r="MO20" s="228"/>
      <c r="MP20" s="228"/>
      <c r="MQ20" s="228"/>
      <c r="MR20" s="228"/>
      <c r="MS20" s="228"/>
      <c r="MT20" s="228"/>
      <c r="MU20" s="228"/>
      <c r="MV20" s="228"/>
      <c r="MW20" s="228"/>
      <c r="MX20" s="228"/>
      <c r="MY20" s="228"/>
      <c r="MZ20" s="228"/>
      <c r="NA20" s="228"/>
      <c r="NB20" s="228"/>
      <c r="NC20" s="228"/>
      <c r="ND20" s="228"/>
      <c r="NE20" s="228"/>
      <c r="NF20" s="228"/>
      <c r="NG20" s="228"/>
      <c r="NH20" s="228"/>
      <c r="NI20" s="228"/>
      <c r="NJ20" s="228"/>
      <c r="NK20" s="228"/>
      <c r="NL20" s="228"/>
      <c r="NM20" s="228"/>
      <c r="NN20" s="228"/>
      <c r="NO20" s="228"/>
      <c r="NP20" s="228"/>
      <c r="NQ20" s="228"/>
      <c r="NR20" s="228"/>
      <c r="NS20" s="228"/>
      <c r="NT20" s="228"/>
      <c r="NU20" s="228"/>
      <c r="NV20" s="228"/>
      <c r="NW20" s="228"/>
      <c r="NX20" s="228"/>
      <c r="NY20" s="228"/>
      <c r="NZ20" s="228"/>
      <c r="OA20" s="228"/>
      <c r="OB20" s="228"/>
      <c r="OC20" s="228"/>
      <c r="OD20" s="228"/>
      <c r="OE20" s="228"/>
      <c r="OF20" s="228"/>
      <c r="OG20" s="228"/>
      <c r="OH20" s="228"/>
      <c r="OI20" s="228"/>
      <c r="OJ20" s="228"/>
      <c r="OK20" s="228"/>
      <c r="OL20" s="228"/>
      <c r="OM20" s="228"/>
      <c r="ON20" s="228"/>
      <c r="OO20" s="228"/>
      <c r="OP20" s="228"/>
      <c r="OQ20" s="228"/>
      <c r="OR20" s="228"/>
      <c r="OS20" s="228"/>
      <c r="OT20" s="228"/>
      <c r="OU20" s="228"/>
      <c r="OV20" s="228"/>
      <c r="OW20" s="228"/>
      <c r="OX20" s="228"/>
      <c r="OY20" s="228"/>
      <c r="OZ20" s="228"/>
      <c r="PA20" s="228"/>
      <c r="PB20" s="228"/>
      <c r="PC20" s="228"/>
      <c r="PD20" s="228"/>
      <c r="PE20" s="228"/>
      <c r="PF20" s="228"/>
      <c r="PG20" s="228"/>
      <c r="PH20" s="228"/>
      <c r="PI20" s="228"/>
      <c r="PJ20" s="228"/>
      <c r="PK20" s="228"/>
      <c r="PL20" s="228"/>
      <c r="PM20" s="228"/>
      <c r="PN20" s="228"/>
      <c r="PO20" s="228"/>
      <c r="PP20" s="228"/>
      <c r="PQ20" s="228"/>
      <c r="PR20" s="228"/>
      <c r="PS20" s="228"/>
      <c r="PT20" s="228"/>
      <c r="PU20" s="228"/>
      <c r="PV20" s="228"/>
      <c r="PW20" s="228"/>
      <c r="PX20" s="228"/>
      <c r="PY20" s="228"/>
      <c r="PZ20" s="228"/>
      <c r="QA20" s="228"/>
      <c r="QB20" s="228"/>
      <c r="QC20" s="228"/>
      <c r="QD20" s="228"/>
      <c r="QE20" s="228"/>
      <c r="QF20" s="228"/>
      <c r="QG20" s="228"/>
      <c r="QH20" s="228"/>
      <c r="QI20" s="228"/>
      <c r="QJ20" s="228"/>
      <c r="QK20" s="228"/>
      <c r="QL20" s="228"/>
      <c r="QM20" s="228"/>
      <c r="QN20" s="228"/>
      <c r="QO20" s="228"/>
      <c r="QP20" s="228"/>
      <c r="QQ20" s="228"/>
      <c r="QR20" s="228"/>
      <c r="QS20" s="228"/>
      <c r="QT20" s="228"/>
      <c r="QU20" s="228"/>
      <c r="QV20" s="228"/>
      <c r="QW20" s="228"/>
      <c r="QX20" s="228"/>
      <c r="QY20" s="228"/>
      <c r="QZ20" s="228"/>
      <c r="RA20" s="228"/>
      <c r="RB20" s="228"/>
      <c r="RC20" s="228"/>
      <c r="RD20" s="228"/>
      <c r="RE20" s="228"/>
      <c r="RF20" s="228"/>
      <c r="RG20" s="228"/>
      <c r="RH20" s="228"/>
      <c r="RI20" s="228"/>
      <c r="RJ20" s="228"/>
      <c r="RK20" s="228"/>
      <c r="RL20" s="228"/>
      <c r="RM20" s="228"/>
      <c r="RN20" s="228"/>
      <c r="RO20" s="228"/>
      <c r="RP20" s="228"/>
      <c r="RQ20" s="228"/>
      <c r="RR20" s="228"/>
      <c r="RS20" s="228"/>
      <c r="RT20" s="228"/>
      <c r="RU20" s="228"/>
      <c r="RV20" s="228"/>
      <c r="RW20" s="228"/>
      <c r="RX20" s="228"/>
      <c r="RY20" s="228"/>
      <c r="RZ20" s="228"/>
      <c r="SA20" s="228"/>
      <c r="SB20" s="228"/>
      <c r="SC20" s="228"/>
      <c r="SD20" s="228"/>
      <c r="SE20" s="228"/>
      <c r="SF20" s="228"/>
      <c r="SG20" s="228"/>
    </row>
    <row r="21" spans="2:501" ht="97.5" customHeight="1">
      <c r="C21" s="227" t="s">
        <v>1801</v>
      </c>
      <c r="D21" s="225" t="s">
        <v>1802</v>
      </c>
      <c r="E21" s="226" t="s">
        <v>1803</v>
      </c>
      <c r="F21" s="225" t="s">
        <v>1804</v>
      </c>
      <c r="G21" s="225" t="s">
        <v>1342</v>
      </c>
      <c r="H21" s="225" t="s">
        <v>1741</v>
      </c>
      <c r="I21" s="226" t="s">
        <v>1805</v>
      </c>
      <c r="J21" s="226" t="s">
        <v>1806</v>
      </c>
      <c r="K21" s="225" t="s">
        <v>1784</v>
      </c>
      <c r="L21" s="225" t="s">
        <v>1745</v>
      </c>
      <c r="M21" s="226" t="s">
        <v>1807</v>
      </c>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8"/>
      <c r="AQ21" s="228"/>
      <c r="AR21" s="228"/>
      <c r="AS21" s="228"/>
      <c r="AT21" s="228"/>
      <c r="AU21" s="228"/>
      <c r="AV21" s="228"/>
      <c r="AW21" s="228"/>
      <c r="AX21" s="228"/>
      <c r="AY21" s="228"/>
      <c r="AZ21" s="228"/>
      <c r="BA21" s="228"/>
      <c r="BB21" s="228"/>
      <c r="BC21" s="228"/>
      <c r="BD21" s="228"/>
      <c r="BE21" s="228"/>
      <c r="BF21" s="228"/>
      <c r="BG21" s="228"/>
      <c r="BH21" s="228"/>
      <c r="BI21" s="228"/>
      <c r="BJ21" s="228"/>
      <c r="BK21" s="228"/>
      <c r="BL21" s="228"/>
      <c r="BM21" s="228"/>
      <c r="BN21" s="228"/>
      <c r="BO21" s="228"/>
      <c r="BP21" s="228"/>
      <c r="BQ21" s="228"/>
      <c r="BR21" s="228"/>
      <c r="BS21" s="228"/>
      <c r="BT21" s="228"/>
      <c r="BU21" s="228"/>
      <c r="BV21" s="228"/>
      <c r="BW21" s="228"/>
      <c r="BX21" s="228"/>
      <c r="BY21" s="228"/>
      <c r="BZ21" s="228"/>
      <c r="CA21" s="228"/>
      <c r="CB21" s="228"/>
      <c r="CC21" s="228"/>
      <c r="CD21" s="228"/>
      <c r="CE21" s="228"/>
      <c r="CF21" s="228"/>
      <c r="CG21" s="228"/>
      <c r="CH21" s="228"/>
      <c r="CI21" s="228"/>
      <c r="CJ21" s="228"/>
      <c r="CK21" s="228"/>
      <c r="CL21" s="228"/>
      <c r="CM21" s="228"/>
      <c r="CN21" s="228"/>
      <c r="CO21" s="228"/>
      <c r="CP21" s="228"/>
      <c r="CQ21" s="228"/>
      <c r="CR21" s="228"/>
      <c r="CS21" s="228"/>
      <c r="CT21" s="228"/>
      <c r="CU21" s="228"/>
      <c r="CV21" s="228"/>
      <c r="CW21" s="228"/>
      <c r="CX21" s="228"/>
      <c r="CY21" s="228"/>
      <c r="CZ21" s="228"/>
      <c r="DA21" s="228"/>
      <c r="DB21" s="228"/>
      <c r="DC21" s="228"/>
      <c r="DD21" s="228"/>
      <c r="DE21" s="228"/>
      <c r="DF21" s="228"/>
      <c r="DG21" s="228"/>
      <c r="DH21" s="228"/>
      <c r="DI21" s="228"/>
      <c r="DJ21" s="228"/>
      <c r="DK21" s="228"/>
      <c r="DL21" s="228"/>
      <c r="DM21" s="228"/>
      <c r="DN21" s="228"/>
      <c r="DO21" s="228"/>
      <c r="DP21" s="228"/>
      <c r="DQ21" s="228"/>
      <c r="DR21" s="228"/>
      <c r="DS21" s="228"/>
      <c r="DT21" s="228"/>
      <c r="DU21" s="228"/>
      <c r="DV21" s="228"/>
      <c r="DW21" s="228"/>
      <c r="DX21" s="228"/>
      <c r="DY21" s="228"/>
      <c r="DZ21" s="228"/>
      <c r="EA21" s="228"/>
      <c r="EB21" s="228"/>
      <c r="EC21" s="228"/>
      <c r="ED21" s="228"/>
      <c r="EE21" s="228"/>
      <c r="EF21" s="228"/>
      <c r="EG21" s="228"/>
      <c r="EH21" s="228"/>
      <c r="EI21" s="228"/>
      <c r="EJ21" s="228"/>
      <c r="EK21" s="228"/>
      <c r="EL21" s="228"/>
      <c r="EM21" s="228"/>
      <c r="EN21" s="228"/>
      <c r="EO21" s="228"/>
      <c r="EP21" s="228"/>
      <c r="EQ21" s="228"/>
      <c r="ER21" s="228"/>
      <c r="ES21" s="228"/>
      <c r="ET21" s="228"/>
      <c r="EU21" s="228"/>
      <c r="EV21" s="228"/>
      <c r="EW21" s="228"/>
      <c r="EX21" s="228"/>
      <c r="EY21" s="228"/>
      <c r="EZ21" s="228"/>
      <c r="FA21" s="228"/>
      <c r="FB21" s="228"/>
      <c r="FC21" s="228"/>
      <c r="FD21" s="228"/>
      <c r="FE21" s="228"/>
      <c r="FF21" s="228"/>
      <c r="FG21" s="228"/>
      <c r="FH21" s="228"/>
      <c r="FI21" s="228"/>
      <c r="FJ21" s="228"/>
      <c r="FK21" s="228"/>
      <c r="FL21" s="228"/>
      <c r="FM21" s="228"/>
      <c r="FN21" s="228"/>
      <c r="FO21" s="228"/>
      <c r="FP21" s="228"/>
      <c r="FQ21" s="228"/>
      <c r="FR21" s="228"/>
      <c r="FS21" s="228"/>
      <c r="FT21" s="228"/>
      <c r="FU21" s="228"/>
      <c r="FV21" s="228"/>
      <c r="FW21" s="228"/>
      <c r="FX21" s="228"/>
      <c r="FY21" s="228"/>
      <c r="FZ21" s="228"/>
      <c r="GA21" s="228"/>
      <c r="GB21" s="228"/>
      <c r="GC21" s="228"/>
      <c r="GD21" s="228"/>
      <c r="GE21" s="228"/>
      <c r="GF21" s="228"/>
      <c r="GG21" s="228"/>
      <c r="GH21" s="228"/>
      <c r="GI21" s="228"/>
      <c r="GJ21" s="228"/>
      <c r="GK21" s="228"/>
      <c r="GL21" s="228"/>
      <c r="GM21" s="228"/>
      <c r="GN21" s="228"/>
      <c r="GO21" s="228"/>
      <c r="GP21" s="228"/>
      <c r="GQ21" s="228"/>
      <c r="GR21" s="228"/>
      <c r="GS21" s="228"/>
      <c r="GT21" s="228"/>
      <c r="GU21" s="228"/>
      <c r="GV21" s="228"/>
      <c r="GW21" s="228"/>
      <c r="GX21" s="228"/>
      <c r="GY21" s="228"/>
      <c r="GZ21" s="228"/>
      <c r="HA21" s="228"/>
      <c r="HB21" s="228"/>
      <c r="HC21" s="228"/>
      <c r="HD21" s="228"/>
      <c r="HE21" s="228"/>
      <c r="HF21" s="228"/>
      <c r="HG21" s="228"/>
      <c r="HH21" s="228"/>
      <c r="HI21" s="228"/>
      <c r="HJ21" s="228"/>
      <c r="HK21" s="228"/>
      <c r="HL21" s="228"/>
      <c r="HM21" s="228"/>
      <c r="HN21" s="228"/>
      <c r="HO21" s="228"/>
      <c r="HP21" s="228"/>
      <c r="HQ21" s="228"/>
      <c r="HR21" s="228"/>
      <c r="HS21" s="228"/>
      <c r="HT21" s="228"/>
      <c r="HU21" s="228"/>
      <c r="HV21" s="228"/>
      <c r="HW21" s="228"/>
      <c r="HX21" s="228"/>
      <c r="HY21" s="228"/>
      <c r="HZ21" s="228"/>
      <c r="IA21" s="228"/>
      <c r="IB21" s="228"/>
      <c r="IC21" s="228"/>
      <c r="ID21" s="228"/>
      <c r="IE21" s="228"/>
      <c r="IF21" s="228"/>
      <c r="IG21" s="228"/>
      <c r="IH21" s="228"/>
      <c r="II21" s="228"/>
      <c r="IJ21" s="228"/>
      <c r="IK21" s="228"/>
      <c r="IL21" s="228"/>
      <c r="IM21" s="228"/>
      <c r="IN21" s="228"/>
      <c r="IO21" s="228"/>
      <c r="IP21" s="228"/>
      <c r="IQ21" s="228"/>
      <c r="IR21" s="228"/>
      <c r="IS21" s="228"/>
      <c r="IT21" s="228"/>
      <c r="IU21" s="228"/>
      <c r="IV21" s="228"/>
      <c r="IW21" s="228"/>
      <c r="IX21" s="228"/>
      <c r="IY21" s="228"/>
      <c r="IZ21" s="228"/>
      <c r="JA21" s="228"/>
      <c r="JB21" s="228"/>
      <c r="JC21" s="228"/>
      <c r="JD21" s="228"/>
      <c r="JE21" s="228"/>
      <c r="JF21" s="228"/>
      <c r="JG21" s="228"/>
      <c r="JH21" s="228"/>
      <c r="JI21" s="228"/>
      <c r="JJ21" s="228"/>
      <c r="JK21" s="228"/>
      <c r="JL21" s="228"/>
      <c r="JM21" s="228"/>
      <c r="JN21" s="228"/>
      <c r="JO21" s="228"/>
      <c r="JP21" s="228"/>
      <c r="JQ21" s="228"/>
      <c r="JR21" s="228"/>
      <c r="JS21" s="228"/>
      <c r="JT21" s="228"/>
      <c r="JU21" s="228"/>
      <c r="JV21" s="228"/>
      <c r="JW21" s="228"/>
      <c r="JX21" s="228"/>
      <c r="JY21" s="228"/>
      <c r="JZ21" s="228"/>
      <c r="KA21" s="228"/>
      <c r="KB21" s="228"/>
      <c r="KC21" s="228"/>
      <c r="KD21" s="228"/>
      <c r="KE21" s="228"/>
      <c r="KF21" s="228"/>
      <c r="KG21" s="228"/>
      <c r="KH21" s="228"/>
      <c r="KI21" s="228"/>
      <c r="KJ21" s="228"/>
      <c r="KK21" s="228"/>
      <c r="KL21" s="228"/>
      <c r="KM21" s="228"/>
      <c r="KN21" s="228"/>
      <c r="KO21" s="228"/>
      <c r="KP21" s="228"/>
      <c r="KQ21" s="228"/>
      <c r="KR21" s="228"/>
      <c r="KS21" s="228"/>
      <c r="KT21" s="228"/>
      <c r="KU21" s="228"/>
      <c r="KV21" s="228"/>
      <c r="KW21" s="228"/>
      <c r="KX21" s="228"/>
      <c r="KY21" s="228"/>
      <c r="KZ21" s="228"/>
      <c r="LA21" s="228"/>
      <c r="LB21" s="228"/>
      <c r="LC21" s="228"/>
      <c r="LD21" s="228"/>
      <c r="LE21" s="228"/>
      <c r="LF21" s="228"/>
      <c r="LG21" s="228"/>
      <c r="LH21" s="228"/>
      <c r="LI21" s="228"/>
      <c r="LJ21" s="228"/>
      <c r="LK21" s="228"/>
      <c r="LL21" s="228"/>
      <c r="LM21" s="228"/>
      <c r="LN21" s="228"/>
      <c r="LO21" s="228"/>
      <c r="LP21" s="228"/>
      <c r="LQ21" s="228"/>
      <c r="LR21" s="228"/>
      <c r="LS21" s="228"/>
      <c r="LT21" s="228"/>
      <c r="LU21" s="228"/>
      <c r="LV21" s="228"/>
      <c r="LW21" s="228"/>
      <c r="LX21" s="228"/>
      <c r="LY21" s="228"/>
      <c r="LZ21" s="228"/>
      <c r="MA21" s="228"/>
      <c r="MB21" s="228"/>
      <c r="MC21" s="228"/>
      <c r="MD21" s="228"/>
      <c r="ME21" s="228"/>
      <c r="MF21" s="228"/>
      <c r="MG21" s="228"/>
      <c r="MH21" s="228"/>
      <c r="MI21" s="228"/>
      <c r="MJ21" s="228"/>
      <c r="MK21" s="228"/>
      <c r="ML21" s="228"/>
      <c r="MM21" s="228"/>
      <c r="MN21" s="228"/>
      <c r="MO21" s="228"/>
      <c r="MP21" s="228"/>
      <c r="MQ21" s="228"/>
      <c r="MR21" s="228"/>
      <c r="MS21" s="228"/>
      <c r="MT21" s="228"/>
      <c r="MU21" s="228"/>
      <c r="MV21" s="228"/>
      <c r="MW21" s="228"/>
      <c r="MX21" s="228"/>
      <c r="MY21" s="228"/>
      <c r="MZ21" s="228"/>
      <c r="NA21" s="228"/>
      <c r="NB21" s="228"/>
      <c r="NC21" s="228"/>
      <c r="ND21" s="228"/>
      <c r="NE21" s="228"/>
      <c r="NF21" s="228"/>
      <c r="NG21" s="228"/>
      <c r="NH21" s="228"/>
      <c r="NI21" s="228"/>
      <c r="NJ21" s="228"/>
      <c r="NK21" s="228"/>
      <c r="NL21" s="228"/>
      <c r="NM21" s="228"/>
      <c r="NN21" s="228"/>
      <c r="NO21" s="228"/>
      <c r="NP21" s="228"/>
      <c r="NQ21" s="228"/>
      <c r="NR21" s="228"/>
      <c r="NS21" s="228"/>
      <c r="NT21" s="228"/>
      <c r="NU21" s="228"/>
      <c r="NV21" s="228"/>
      <c r="NW21" s="228"/>
      <c r="NX21" s="228"/>
      <c r="NY21" s="228"/>
      <c r="NZ21" s="228"/>
      <c r="OA21" s="228"/>
      <c r="OB21" s="228"/>
      <c r="OC21" s="228"/>
      <c r="OD21" s="228"/>
      <c r="OE21" s="228"/>
      <c r="OF21" s="228"/>
      <c r="OG21" s="228"/>
      <c r="OH21" s="228"/>
      <c r="OI21" s="228"/>
      <c r="OJ21" s="228"/>
      <c r="OK21" s="228"/>
      <c r="OL21" s="228"/>
      <c r="OM21" s="228"/>
      <c r="ON21" s="228"/>
      <c r="OO21" s="228"/>
      <c r="OP21" s="228"/>
      <c r="OQ21" s="228"/>
      <c r="OR21" s="228"/>
      <c r="OS21" s="228"/>
      <c r="OT21" s="228"/>
      <c r="OU21" s="228"/>
      <c r="OV21" s="228"/>
      <c r="OW21" s="228"/>
      <c r="OX21" s="228"/>
      <c r="OY21" s="228"/>
      <c r="OZ21" s="228"/>
      <c r="PA21" s="228"/>
      <c r="PB21" s="228"/>
      <c r="PC21" s="228"/>
      <c r="PD21" s="228"/>
      <c r="PE21" s="228"/>
      <c r="PF21" s="228"/>
      <c r="PG21" s="228"/>
      <c r="PH21" s="228"/>
      <c r="PI21" s="228"/>
      <c r="PJ21" s="228"/>
      <c r="PK21" s="228"/>
      <c r="PL21" s="228"/>
      <c r="PM21" s="228"/>
      <c r="PN21" s="228"/>
      <c r="PO21" s="228"/>
      <c r="PP21" s="228"/>
      <c r="PQ21" s="228"/>
      <c r="PR21" s="228"/>
      <c r="PS21" s="228"/>
      <c r="PT21" s="228"/>
      <c r="PU21" s="228"/>
      <c r="PV21" s="228"/>
      <c r="PW21" s="228"/>
      <c r="PX21" s="228"/>
      <c r="PY21" s="228"/>
      <c r="PZ21" s="228"/>
      <c r="QA21" s="228"/>
      <c r="QB21" s="228"/>
      <c r="QC21" s="228"/>
      <c r="QD21" s="228"/>
      <c r="QE21" s="228"/>
      <c r="QF21" s="228"/>
      <c r="QG21" s="228"/>
      <c r="QH21" s="228"/>
      <c r="QI21" s="228"/>
      <c r="QJ21" s="228"/>
      <c r="QK21" s="228"/>
      <c r="QL21" s="228"/>
      <c r="QM21" s="228"/>
      <c r="QN21" s="228"/>
      <c r="QO21" s="228"/>
      <c r="QP21" s="228"/>
      <c r="QQ21" s="228"/>
      <c r="QR21" s="228"/>
      <c r="QS21" s="228"/>
      <c r="QT21" s="228"/>
      <c r="QU21" s="228"/>
      <c r="QV21" s="228"/>
      <c r="QW21" s="228"/>
      <c r="QX21" s="228"/>
      <c r="QY21" s="228"/>
      <c r="QZ21" s="228"/>
      <c r="RA21" s="228"/>
      <c r="RB21" s="228"/>
      <c r="RC21" s="228"/>
      <c r="RD21" s="228"/>
      <c r="RE21" s="228"/>
      <c r="RF21" s="228"/>
      <c r="RG21" s="228"/>
      <c r="RH21" s="228"/>
      <c r="RI21" s="228"/>
      <c r="RJ21" s="228"/>
      <c r="RK21" s="228"/>
      <c r="RL21" s="228"/>
      <c r="RM21" s="228"/>
      <c r="RN21" s="228"/>
      <c r="RO21" s="228"/>
      <c r="RP21" s="228"/>
      <c r="RQ21" s="228"/>
      <c r="RR21" s="228"/>
      <c r="RS21" s="228"/>
      <c r="RT21" s="228"/>
      <c r="RU21" s="228"/>
      <c r="RV21" s="228"/>
      <c r="RW21" s="228"/>
      <c r="RX21" s="228"/>
      <c r="RY21" s="228"/>
      <c r="RZ21" s="228"/>
      <c r="SA21" s="228"/>
      <c r="SB21" s="228"/>
      <c r="SC21" s="228"/>
      <c r="SD21" s="228"/>
      <c r="SE21" s="228"/>
      <c r="SF21" s="228"/>
      <c r="SG21" s="228"/>
    </row>
    <row r="22" spans="2:501" ht="69.75" customHeight="1">
      <c r="C22" s="227" t="s">
        <v>1808</v>
      </c>
      <c r="D22" s="225" t="s">
        <v>1809</v>
      </c>
      <c r="E22" s="226" t="s">
        <v>1810</v>
      </c>
      <c r="F22" s="225" t="s">
        <v>1811</v>
      </c>
      <c r="G22" s="225" t="s">
        <v>1740</v>
      </c>
      <c r="H22" s="225" t="s">
        <v>1741</v>
      </c>
      <c r="I22" s="226" t="s">
        <v>1812</v>
      </c>
      <c r="J22" s="226" t="s">
        <v>1813</v>
      </c>
      <c r="K22" s="225" t="s">
        <v>1814</v>
      </c>
      <c r="L22" s="225" t="s">
        <v>1760</v>
      </c>
      <c r="M22" s="226" t="s">
        <v>1815</v>
      </c>
      <c r="N22" s="228"/>
      <c r="O22" s="228"/>
      <c r="P22" s="228"/>
      <c r="Q22" s="228"/>
      <c r="R22" s="228"/>
      <c r="S22" s="228"/>
      <c r="T22" s="228"/>
      <c r="U22" s="228"/>
      <c r="V22" s="228"/>
      <c r="W22" s="228"/>
      <c r="X22" s="228"/>
      <c r="Y22" s="228"/>
      <c r="Z22" s="228"/>
      <c r="AA22" s="228"/>
      <c r="AB22" s="228"/>
      <c r="AC22" s="228"/>
      <c r="AD22" s="228"/>
      <c r="AE22" s="228"/>
      <c r="AF22" s="228"/>
      <c r="AG22" s="228"/>
      <c r="AH22" s="228"/>
      <c r="AI22" s="228"/>
      <c r="AJ22" s="228"/>
      <c r="AK22" s="228"/>
      <c r="AL22" s="228"/>
      <c r="AM22" s="228"/>
      <c r="AN22" s="228"/>
      <c r="AO22" s="228"/>
      <c r="AP22" s="228"/>
      <c r="AQ22" s="228"/>
      <c r="AR22" s="228"/>
      <c r="AS22" s="228"/>
      <c r="AT22" s="228"/>
      <c r="AU22" s="228"/>
      <c r="AV22" s="228"/>
      <c r="AW22" s="228"/>
      <c r="AX22" s="228"/>
      <c r="AY22" s="228"/>
      <c r="AZ22" s="228"/>
      <c r="BA22" s="228"/>
      <c r="BB22" s="228"/>
      <c r="BC22" s="228"/>
      <c r="BD22" s="228"/>
      <c r="BE22" s="228"/>
      <c r="BF22" s="228"/>
      <c r="BG22" s="228"/>
      <c r="BH22" s="228"/>
      <c r="BI22" s="228"/>
      <c r="BJ22" s="228"/>
      <c r="BK22" s="228"/>
      <c r="BL22" s="228"/>
      <c r="BM22" s="228"/>
      <c r="BN22" s="228"/>
      <c r="BO22" s="228"/>
      <c r="BP22" s="228"/>
      <c r="BQ22" s="228"/>
      <c r="BR22" s="228"/>
      <c r="BS22" s="228"/>
      <c r="BT22" s="228"/>
      <c r="BU22" s="228"/>
      <c r="BV22" s="228"/>
      <c r="BW22" s="228"/>
      <c r="BX22" s="228"/>
      <c r="BY22" s="228"/>
      <c r="BZ22" s="228"/>
      <c r="CA22" s="228"/>
      <c r="CB22" s="228"/>
      <c r="CC22" s="228"/>
      <c r="CD22" s="228"/>
      <c r="CE22" s="228"/>
      <c r="CF22" s="228"/>
      <c r="CG22" s="228"/>
      <c r="CH22" s="228"/>
      <c r="CI22" s="228"/>
      <c r="CJ22" s="228"/>
      <c r="CK22" s="228"/>
      <c r="CL22" s="228"/>
      <c r="CM22" s="228"/>
      <c r="CN22" s="228"/>
      <c r="CO22" s="228"/>
      <c r="CP22" s="228"/>
      <c r="CQ22" s="228"/>
      <c r="CR22" s="228"/>
      <c r="CS22" s="228"/>
      <c r="CT22" s="228"/>
      <c r="CU22" s="228"/>
      <c r="CV22" s="228"/>
      <c r="CW22" s="228"/>
      <c r="CX22" s="228"/>
      <c r="CY22" s="228"/>
      <c r="CZ22" s="228"/>
      <c r="DA22" s="228"/>
      <c r="DB22" s="228"/>
      <c r="DC22" s="228"/>
      <c r="DD22" s="228"/>
      <c r="DE22" s="228"/>
      <c r="DF22" s="228"/>
      <c r="DG22" s="228"/>
      <c r="DH22" s="228"/>
      <c r="DI22" s="228"/>
      <c r="DJ22" s="228"/>
      <c r="DK22" s="228"/>
      <c r="DL22" s="228"/>
      <c r="DM22" s="228"/>
      <c r="DN22" s="228"/>
      <c r="DO22" s="228"/>
      <c r="DP22" s="228"/>
      <c r="DQ22" s="228"/>
      <c r="DR22" s="228"/>
      <c r="DS22" s="228"/>
      <c r="DT22" s="228"/>
      <c r="DU22" s="228"/>
      <c r="DV22" s="228"/>
      <c r="DW22" s="228"/>
      <c r="DX22" s="228"/>
      <c r="DY22" s="228"/>
      <c r="DZ22" s="228"/>
      <c r="EA22" s="228"/>
      <c r="EB22" s="228"/>
      <c r="EC22" s="228"/>
      <c r="ED22" s="228"/>
      <c r="EE22" s="228"/>
      <c r="EF22" s="228"/>
      <c r="EG22" s="228"/>
      <c r="EH22" s="228"/>
      <c r="EI22" s="228"/>
      <c r="EJ22" s="228"/>
      <c r="EK22" s="228"/>
      <c r="EL22" s="228"/>
      <c r="EM22" s="228"/>
      <c r="EN22" s="228"/>
      <c r="EO22" s="228"/>
      <c r="EP22" s="228"/>
      <c r="EQ22" s="228"/>
      <c r="ER22" s="228"/>
      <c r="ES22" s="228"/>
      <c r="ET22" s="228"/>
      <c r="EU22" s="228"/>
      <c r="EV22" s="228"/>
      <c r="EW22" s="228"/>
      <c r="EX22" s="228"/>
      <c r="EY22" s="228"/>
      <c r="EZ22" s="228"/>
      <c r="FA22" s="228"/>
      <c r="FB22" s="228"/>
      <c r="FC22" s="228"/>
      <c r="FD22" s="228"/>
      <c r="FE22" s="228"/>
      <c r="FF22" s="228"/>
      <c r="FG22" s="228"/>
      <c r="FH22" s="228"/>
      <c r="FI22" s="228"/>
      <c r="FJ22" s="228"/>
      <c r="FK22" s="228"/>
      <c r="FL22" s="228"/>
      <c r="FM22" s="228"/>
      <c r="FN22" s="228"/>
      <c r="FO22" s="228"/>
      <c r="FP22" s="228"/>
      <c r="FQ22" s="228"/>
      <c r="FR22" s="228"/>
      <c r="FS22" s="228"/>
      <c r="FT22" s="228"/>
      <c r="FU22" s="228"/>
      <c r="FV22" s="228"/>
      <c r="FW22" s="228"/>
      <c r="FX22" s="228"/>
      <c r="FY22" s="228"/>
      <c r="FZ22" s="228"/>
      <c r="GA22" s="228"/>
      <c r="GB22" s="228"/>
      <c r="GC22" s="228"/>
      <c r="GD22" s="228"/>
      <c r="GE22" s="228"/>
      <c r="GF22" s="228"/>
      <c r="GG22" s="228"/>
      <c r="GH22" s="228"/>
      <c r="GI22" s="228"/>
      <c r="GJ22" s="228"/>
      <c r="GK22" s="228"/>
      <c r="GL22" s="228"/>
      <c r="GM22" s="228"/>
      <c r="GN22" s="228"/>
      <c r="GO22" s="228"/>
      <c r="GP22" s="228"/>
      <c r="GQ22" s="228"/>
      <c r="GR22" s="228"/>
      <c r="GS22" s="228"/>
      <c r="GT22" s="228"/>
      <c r="GU22" s="228"/>
      <c r="GV22" s="228"/>
      <c r="GW22" s="228"/>
      <c r="GX22" s="228"/>
      <c r="GY22" s="228"/>
      <c r="GZ22" s="228"/>
      <c r="HA22" s="228"/>
      <c r="HB22" s="228"/>
      <c r="HC22" s="228"/>
      <c r="HD22" s="228"/>
      <c r="HE22" s="228"/>
      <c r="HF22" s="228"/>
      <c r="HG22" s="228"/>
      <c r="HH22" s="228"/>
      <c r="HI22" s="228"/>
      <c r="HJ22" s="228"/>
      <c r="HK22" s="228"/>
      <c r="HL22" s="228"/>
      <c r="HM22" s="228"/>
      <c r="HN22" s="228"/>
      <c r="HO22" s="228"/>
      <c r="HP22" s="228"/>
      <c r="HQ22" s="228"/>
      <c r="HR22" s="228"/>
      <c r="HS22" s="228"/>
      <c r="HT22" s="228"/>
      <c r="HU22" s="228"/>
      <c r="HV22" s="228"/>
      <c r="HW22" s="228"/>
      <c r="HX22" s="228"/>
      <c r="HY22" s="228"/>
      <c r="HZ22" s="228"/>
      <c r="IA22" s="228"/>
      <c r="IB22" s="228"/>
      <c r="IC22" s="228"/>
      <c r="ID22" s="228"/>
      <c r="IE22" s="228"/>
      <c r="IF22" s="228"/>
      <c r="IG22" s="228"/>
      <c r="IH22" s="228"/>
      <c r="II22" s="228"/>
      <c r="IJ22" s="228"/>
      <c r="IK22" s="228"/>
      <c r="IL22" s="228"/>
      <c r="IM22" s="228"/>
      <c r="IN22" s="228"/>
      <c r="IO22" s="228"/>
      <c r="IP22" s="228"/>
      <c r="IQ22" s="228"/>
      <c r="IR22" s="228"/>
      <c r="IS22" s="228"/>
      <c r="IT22" s="228"/>
      <c r="IU22" s="228"/>
      <c r="IV22" s="228"/>
      <c r="IW22" s="228"/>
      <c r="IX22" s="228"/>
      <c r="IY22" s="228"/>
      <c r="IZ22" s="228"/>
      <c r="JA22" s="228"/>
      <c r="JB22" s="228"/>
      <c r="JC22" s="228"/>
      <c r="JD22" s="228"/>
      <c r="JE22" s="228"/>
      <c r="JF22" s="228"/>
      <c r="JG22" s="228"/>
      <c r="JH22" s="228"/>
      <c r="JI22" s="228"/>
      <c r="JJ22" s="228"/>
      <c r="JK22" s="228"/>
      <c r="JL22" s="228"/>
      <c r="JM22" s="228"/>
      <c r="JN22" s="228"/>
      <c r="JO22" s="228"/>
      <c r="JP22" s="228"/>
      <c r="JQ22" s="228"/>
      <c r="JR22" s="228"/>
      <c r="JS22" s="228"/>
      <c r="JT22" s="228"/>
      <c r="JU22" s="228"/>
      <c r="JV22" s="228"/>
      <c r="JW22" s="228"/>
      <c r="JX22" s="228"/>
      <c r="JY22" s="228"/>
      <c r="JZ22" s="228"/>
      <c r="KA22" s="228"/>
      <c r="KB22" s="228"/>
      <c r="KC22" s="228"/>
      <c r="KD22" s="228"/>
      <c r="KE22" s="228"/>
      <c r="KF22" s="228"/>
      <c r="KG22" s="228"/>
      <c r="KH22" s="228"/>
      <c r="KI22" s="228"/>
      <c r="KJ22" s="228"/>
      <c r="KK22" s="228"/>
      <c r="KL22" s="228"/>
      <c r="KM22" s="228"/>
      <c r="KN22" s="228"/>
      <c r="KO22" s="228"/>
      <c r="KP22" s="228"/>
      <c r="KQ22" s="228"/>
      <c r="KR22" s="228"/>
      <c r="KS22" s="228"/>
      <c r="KT22" s="228"/>
      <c r="KU22" s="228"/>
      <c r="KV22" s="228"/>
      <c r="KW22" s="228"/>
      <c r="KX22" s="228"/>
      <c r="KY22" s="228"/>
      <c r="KZ22" s="228"/>
      <c r="LA22" s="228"/>
      <c r="LB22" s="228"/>
      <c r="LC22" s="228"/>
      <c r="LD22" s="228"/>
      <c r="LE22" s="228"/>
      <c r="LF22" s="228"/>
      <c r="LG22" s="228"/>
      <c r="LH22" s="228"/>
      <c r="LI22" s="228"/>
      <c r="LJ22" s="228"/>
      <c r="LK22" s="228"/>
      <c r="LL22" s="228"/>
      <c r="LM22" s="228"/>
      <c r="LN22" s="228"/>
      <c r="LO22" s="228"/>
      <c r="LP22" s="228"/>
      <c r="LQ22" s="228"/>
      <c r="LR22" s="228"/>
      <c r="LS22" s="228"/>
      <c r="LT22" s="228"/>
      <c r="LU22" s="228"/>
      <c r="LV22" s="228"/>
      <c r="LW22" s="228"/>
      <c r="LX22" s="228"/>
      <c r="LY22" s="228"/>
      <c r="LZ22" s="228"/>
      <c r="MA22" s="228"/>
      <c r="MB22" s="228"/>
      <c r="MC22" s="228"/>
      <c r="MD22" s="228"/>
      <c r="ME22" s="228"/>
      <c r="MF22" s="228"/>
      <c r="MG22" s="228"/>
      <c r="MH22" s="228"/>
      <c r="MI22" s="228"/>
      <c r="MJ22" s="228"/>
      <c r="MK22" s="228"/>
      <c r="ML22" s="228"/>
      <c r="MM22" s="228"/>
      <c r="MN22" s="228"/>
      <c r="MO22" s="228"/>
      <c r="MP22" s="228"/>
      <c r="MQ22" s="228"/>
      <c r="MR22" s="228"/>
      <c r="MS22" s="228"/>
      <c r="MT22" s="228"/>
      <c r="MU22" s="228"/>
      <c r="MV22" s="228"/>
      <c r="MW22" s="228"/>
      <c r="MX22" s="228"/>
      <c r="MY22" s="228"/>
      <c r="MZ22" s="228"/>
      <c r="NA22" s="228"/>
      <c r="NB22" s="228"/>
      <c r="NC22" s="228"/>
      <c r="ND22" s="228"/>
      <c r="NE22" s="228"/>
      <c r="NF22" s="228"/>
      <c r="NG22" s="228"/>
      <c r="NH22" s="228"/>
      <c r="NI22" s="228"/>
      <c r="NJ22" s="228"/>
      <c r="NK22" s="228"/>
      <c r="NL22" s="228"/>
      <c r="NM22" s="228"/>
      <c r="NN22" s="228"/>
      <c r="NO22" s="228"/>
      <c r="NP22" s="228"/>
      <c r="NQ22" s="228"/>
      <c r="NR22" s="228"/>
      <c r="NS22" s="228"/>
      <c r="NT22" s="228"/>
      <c r="NU22" s="228"/>
      <c r="NV22" s="228"/>
      <c r="NW22" s="228"/>
      <c r="NX22" s="228"/>
      <c r="NY22" s="228"/>
      <c r="NZ22" s="228"/>
      <c r="OA22" s="228"/>
      <c r="OB22" s="228"/>
      <c r="OC22" s="228"/>
      <c r="OD22" s="228"/>
      <c r="OE22" s="228"/>
      <c r="OF22" s="228"/>
      <c r="OG22" s="228"/>
      <c r="OH22" s="228"/>
      <c r="OI22" s="228"/>
      <c r="OJ22" s="228"/>
      <c r="OK22" s="228"/>
      <c r="OL22" s="228"/>
      <c r="OM22" s="228"/>
      <c r="ON22" s="228"/>
      <c r="OO22" s="228"/>
      <c r="OP22" s="228"/>
      <c r="OQ22" s="228"/>
      <c r="OR22" s="228"/>
      <c r="OS22" s="228"/>
      <c r="OT22" s="228"/>
      <c r="OU22" s="228"/>
      <c r="OV22" s="228"/>
      <c r="OW22" s="228"/>
      <c r="OX22" s="228"/>
      <c r="OY22" s="228"/>
      <c r="OZ22" s="228"/>
      <c r="PA22" s="228"/>
      <c r="PB22" s="228"/>
      <c r="PC22" s="228"/>
      <c r="PD22" s="228"/>
      <c r="PE22" s="228"/>
      <c r="PF22" s="228"/>
      <c r="PG22" s="228"/>
      <c r="PH22" s="228"/>
      <c r="PI22" s="228"/>
      <c r="PJ22" s="228"/>
      <c r="PK22" s="228"/>
      <c r="PL22" s="228"/>
      <c r="PM22" s="228"/>
      <c r="PN22" s="228"/>
      <c r="PO22" s="228"/>
      <c r="PP22" s="228"/>
      <c r="PQ22" s="228"/>
      <c r="PR22" s="228"/>
      <c r="PS22" s="228"/>
      <c r="PT22" s="228"/>
      <c r="PU22" s="228"/>
      <c r="PV22" s="228"/>
      <c r="PW22" s="228"/>
      <c r="PX22" s="228"/>
      <c r="PY22" s="228"/>
      <c r="PZ22" s="228"/>
      <c r="QA22" s="228"/>
      <c r="QB22" s="228"/>
      <c r="QC22" s="228"/>
      <c r="QD22" s="228"/>
      <c r="QE22" s="228"/>
      <c r="QF22" s="228"/>
      <c r="QG22" s="228"/>
      <c r="QH22" s="228"/>
      <c r="QI22" s="228"/>
      <c r="QJ22" s="228"/>
      <c r="QK22" s="228"/>
      <c r="QL22" s="228"/>
      <c r="QM22" s="228"/>
      <c r="QN22" s="228"/>
      <c r="QO22" s="228"/>
      <c r="QP22" s="228"/>
      <c r="QQ22" s="228"/>
      <c r="QR22" s="228"/>
      <c r="QS22" s="228"/>
      <c r="QT22" s="228"/>
      <c r="QU22" s="228"/>
      <c r="QV22" s="228"/>
      <c r="QW22" s="228"/>
      <c r="QX22" s="228"/>
      <c r="QY22" s="228"/>
      <c r="QZ22" s="228"/>
      <c r="RA22" s="228"/>
      <c r="RB22" s="228"/>
      <c r="RC22" s="228"/>
      <c r="RD22" s="228"/>
      <c r="RE22" s="228"/>
      <c r="RF22" s="228"/>
      <c r="RG22" s="228"/>
      <c r="RH22" s="228"/>
      <c r="RI22" s="228"/>
      <c r="RJ22" s="228"/>
      <c r="RK22" s="228"/>
      <c r="RL22" s="228"/>
      <c r="RM22" s="228"/>
      <c r="RN22" s="228"/>
      <c r="RO22" s="228"/>
      <c r="RP22" s="228"/>
      <c r="RQ22" s="228"/>
      <c r="RR22" s="228"/>
      <c r="RS22" s="228"/>
      <c r="RT22" s="228"/>
      <c r="RU22" s="228"/>
      <c r="RV22" s="228"/>
      <c r="RW22" s="228"/>
      <c r="RX22" s="228"/>
      <c r="RY22" s="228"/>
      <c r="RZ22" s="228"/>
      <c r="SA22" s="228"/>
      <c r="SB22" s="228"/>
      <c r="SC22" s="228"/>
      <c r="SD22" s="228"/>
      <c r="SE22" s="228"/>
      <c r="SF22" s="228"/>
      <c r="SG22" s="228"/>
    </row>
    <row r="23" spans="2:501" ht="28.5" customHeight="1">
      <c r="C23" s="227" t="s">
        <v>1816</v>
      </c>
      <c r="D23" s="225" t="s">
        <v>1817</v>
      </c>
      <c r="E23" s="226" t="s">
        <v>1818</v>
      </c>
      <c r="F23" s="225" t="s">
        <v>1819</v>
      </c>
      <c r="G23" s="225" t="s">
        <v>1342</v>
      </c>
      <c r="H23" s="225" t="s">
        <v>1741</v>
      </c>
      <c r="I23" s="226" t="s">
        <v>1820</v>
      </c>
      <c r="J23" s="226" t="s">
        <v>1821</v>
      </c>
      <c r="K23" s="225" t="s">
        <v>1784</v>
      </c>
      <c r="L23" s="225" t="s">
        <v>1745</v>
      </c>
      <c r="M23" s="226" t="s">
        <v>1822</v>
      </c>
      <c r="N23" s="228"/>
      <c r="O23" s="228"/>
      <c r="P23" s="228"/>
      <c r="Q23" s="228"/>
      <c r="R23" s="228"/>
      <c r="S23" s="228"/>
      <c r="T23" s="228"/>
      <c r="U23" s="228"/>
      <c r="V23" s="228"/>
      <c r="W23" s="228"/>
      <c r="X23" s="228"/>
      <c r="Y23" s="228"/>
      <c r="Z23" s="228"/>
      <c r="AA23" s="228"/>
      <c r="AB23" s="228"/>
      <c r="AC23" s="228"/>
      <c r="AD23" s="228"/>
      <c r="AE23" s="228"/>
      <c r="AF23" s="228"/>
      <c r="AG23" s="228"/>
      <c r="AH23" s="228"/>
      <c r="AI23" s="228"/>
      <c r="AJ23" s="228"/>
      <c r="AK23" s="228"/>
      <c r="AL23" s="228"/>
      <c r="AM23" s="228"/>
      <c r="AN23" s="228"/>
      <c r="AO23" s="228"/>
      <c r="AP23" s="228"/>
      <c r="AQ23" s="228"/>
      <c r="AR23" s="228"/>
      <c r="AS23" s="228"/>
      <c r="AT23" s="228"/>
      <c r="AU23" s="228"/>
      <c r="AV23" s="228"/>
      <c r="AW23" s="228"/>
      <c r="AX23" s="228"/>
      <c r="AY23" s="228"/>
      <c r="AZ23" s="228"/>
      <c r="BA23" s="228"/>
      <c r="BB23" s="228"/>
      <c r="BC23" s="228"/>
      <c r="BD23" s="228"/>
      <c r="BE23" s="228"/>
      <c r="BF23" s="228"/>
      <c r="BG23" s="228"/>
      <c r="BH23" s="228"/>
      <c r="BI23" s="228"/>
      <c r="BJ23" s="228"/>
      <c r="BK23" s="228"/>
      <c r="BL23" s="228"/>
      <c r="BM23" s="228"/>
      <c r="BN23" s="228"/>
      <c r="BO23" s="228"/>
      <c r="BP23" s="228"/>
      <c r="BQ23" s="228"/>
      <c r="BR23" s="228"/>
      <c r="BS23" s="228"/>
      <c r="BT23" s="228"/>
      <c r="BU23" s="228"/>
      <c r="BV23" s="228"/>
      <c r="BW23" s="228"/>
      <c r="BX23" s="228"/>
      <c r="BY23" s="228"/>
      <c r="BZ23" s="228"/>
      <c r="CA23" s="228"/>
      <c r="CB23" s="228"/>
      <c r="CC23" s="228"/>
      <c r="CD23" s="228"/>
      <c r="CE23" s="228"/>
      <c r="CF23" s="228"/>
      <c r="CG23" s="228"/>
      <c r="CH23" s="228"/>
      <c r="CI23" s="228"/>
      <c r="CJ23" s="228"/>
      <c r="CK23" s="228"/>
      <c r="CL23" s="228"/>
      <c r="CM23" s="228"/>
      <c r="CN23" s="228"/>
      <c r="CO23" s="228"/>
      <c r="CP23" s="228"/>
      <c r="CQ23" s="228"/>
      <c r="CR23" s="228"/>
      <c r="CS23" s="228"/>
      <c r="CT23" s="228"/>
      <c r="CU23" s="228"/>
      <c r="CV23" s="228"/>
      <c r="CW23" s="228"/>
      <c r="CX23" s="228"/>
      <c r="CY23" s="228"/>
      <c r="CZ23" s="228"/>
      <c r="DA23" s="228"/>
      <c r="DB23" s="228"/>
      <c r="DC23" s="228"/>
      <c r="DD23" s="228"/>
      <c r="DE23" s="228"/>
      <c r="DF23" s="228"/>
      <c r="DG23" s="228"/>
      <c r="DH23" s="228"/>
      <c r="DI23" s="228"/>
      <c r="DJ23" s="228"/>
      <c r="DK23" s="228"/>
      <c r="DL23" s="228"/>
      <c r="DM23" s="228"/>
      <c r="DN23" s="228"/>
      <c r="DO23" s="228"/>
      <c r="DP23" s="228"/>
      <c r="DQ23" s="228"/>
      <c r="DR23" s="228"/>
      <c r="DS23" s="228"/>
      <c r="DT23" s="228"/>
      <c r="DU23" s="228"/>
      <c r="DV23" s="228"/>
      <c r="DW23" s="228"/>
      <c r="DX23" s="228"/>
      <c r="DY23" s="228"/>
      <c r="DZ23" s="228"/>
      <c r="EA23" s="228"/>
      <c r="EB23" s="228"/>
      <c r="EC23" s="228"/>
      <c r="ED23" s="228"/>
      <c r="EE23" s="228"/>
      <c r="EF23" s="228"/>
      <c r="EG23" s="228"/>
      <c r="EH23" s="228"/>
      <c r="EI23" s="228"/>
      <c r="EJ23" s="228"/>
      <c r="EK23" s="228"/>
      <c r="EL23" s="228"/>
      <c r="EM23" s="228"/>
      <c r="EN23" s="228"/>
      <c r="EO23" s="228"/>
      <c r="EP23" s="228"/>
      <c r="EQ23" s="228"/>
      <c r="ER23" s="228"/>
      <c r="ES23" s="228"/>
      <c r="ET23" s="228"/>
      <c r="EU23" s="228"/>
      <c r="EV23" s="228"/>
      <c r="EW23" s="228"/>
      <c r="EX23" s="228"/>
      <c r="EY23" s="228"/>
      <c r="EZ23" s="228"/>
      <c r="FA23" s="228"/>
      <c r="FB23" s="228"/>
      <c r="FC23" s="228"/>
      <c r="FD23" s="228"/>
      <c r="FE23" s="228"/>
      <c r="FF23" s="228"/>
      <c r="FG23" s="228"/>
      <c r="FH23" s="228"/>
      <c r="FI23" s="228"/>
      <c r="FJ23" s="228"/>
      <c r="FK23" s="228"/>
      <c r="FL23" s="228"/>
      <c r="FM23" s="228"/>
      <c r="FN23" s="228"/>
      <c r="FO23" s="228"/>
      <c r="FP23" s="228"/>
      <c r="FQ23" s="228"/>
      <c r="FR23" s="228"/>
      <c r="FS23" s="228"/>
      <c r="FT23" s="228"/>
      <c r="FU23" s="228"/>
      <c r="FV23" s="228"/>
      <c r="FW23" s="228"/>
      <c r="FX23" s="228"/>
      <c r="FY23" s="228"/>
      <c r="FZ23" s="228"/>
      <c r="GA23" s="228"/>
      <c r="GB23" s="228"/>
      <c r="GC23" s="228"/>
      <c r="GD23" s="228"/>
      <c r="GE23" s="228"/>
      <c r="GF23" s="228"/>
      <c r="GG23" s="228"/>
      <c r="GH23" s="228"/>
      <c r="GI23" s="228"/>
      <c r="GJ23" s="228"/>
      <c r="GK23" s="228"/>
      <c r="GL23" s="228"/>
      <c r="GM23" s="228"/>
      <c r="GN23" s="228"/>
      <c r="GO23" s="228"/>
      <c r="GP23" s="228"/>
      <c r="GQ23" s="228"/>
      <c r="GR23" s="228"/>
      <c r="GS23" s="228"/>
      <c r="GT23" s="228"/>
      <c r="GU23" s="228"/>
      <c r="GV23" s="228"/>
      <c r="GW23" s="228"/>
      <c r="GX23" s="228"/>
      <c r="GY23" s="228"/>
      <c r="GZ23" s="228"/>
      <c r="HA23" s="228"/>
      <c r="HB23" s="228"/>
      <c r="HC23" s="228"/>
      <c r="HD23" s="228"/>
      <c r="HE23" s="228"/>
      <c r="HF23" s="228"/>
      <c r="HG23" s="228"/>
      <c r="HH23" s="228"/>
      <c r="HI23" s="228"/>
      <c r="HJ23" s="228"/>
      <c r="HK23" s="228"/>
      <c r="HL23" s="228"/>
      <c r="HM23" s="228"/>
      <c r="HN23" s="228"/>
      <c r="HO23" s="228"/>
      <c r="HP23" s="228"/>
      <c r="HQ23" s="228"/>
      <c r="HR23" s="228"/>
      <c r="HS23" s="228"/>
      <c r="HT23" s="228"/>
      <c r="HU23" s="228"/>
      <c r="HV23" s="228"/>
      <c r="HW23" s="228"/>
      <c r="HX23" s="228"/>
      <c r="HY23" s="228"/>
      <c r="HZ23" s="228"/>
      <c r="IA23" s="228"/>
      <c r="IB23" s="228"/>
      <c r="IC23" s="228"/>
      <c r="ID23" s="228"/>
      <c r="IE23" s="228"/>
      <c r="IF23" s="228"/>
      <c r="IG23" s="228"/>
      <c r="IH23" s="228"/>
      <c r="II23" s="228"/>
      <c r="IJ23" s="228"/>
      <c r="IK23" s="228"/>
      <c r="IL23" s="228"/>
      <c r="IM23" s="228"/>
      <c r="IN23" s="228"/>
      <c r="IO23" s="228"/>
      <c r="IP23" s="228"/>
      <c r="IQ23" s="228"/>
      <c r="IR23" s="228"/>
      <c r="IS23" s="228"/>
      <c r="IT23" s="228"/>
      <c r="IU23" s="228"/>
      <c r="IV23" s="228"/>
      <c r="IW23" s="228"/>
      <c r="IX23" s="228"/>
      <c r="IY23" s="228"/>
      <c r="IZ23" s="228"/>
      <c r="JA23" s="228"/>
      <c r="JB23" s="228"/>
      <c r="JC23" s="228"/>
      <c r="JD23" s="228"/>
      <c r="JE23" s="228"/>
      <c r="JF23" s="228"/>
      <c r="JG23" s="228"/>
      <c r="JH23" s="228"/>
      <c r="JI23" s="228"/>
      <c r="JJ23" s="228"/>
      <c r="JK23" s="228"/>
      <c r="JL23" s="228"/>
      <c r="JM23" s="228"/>
      <c r="JN23" s="228"/>
      <c r="JO23" s="228"/>
      <c r="JP23" s="228"/>
      <c r="JQ23" s="228"/>
      <c r="JR23" s="228"/>
      <c r="JS23" s="228"/>
      <c r="JT23" s="228"/>
      <c r="JU23" s="228"/>
      <c r="JV23" s="228"/>
      <c r="JW23" s="228"/>
      <c r="JX23" s="228"/>
      <c r="JY23" s="228"/>
      <c r="JZ23" s="228"/>
      <c r="KA23" s="228"/>
      <c r="KB23" s="228"/>
      <c r="KC23" s="228"/>
      <c r="KD23" s="228"/>
      <c r="KE23" s="228"/>
      <c r="KF23" s="228"/>
      <c r="KG23" s="228"/>
      <c r="KH23" s="228"/>
      <c r="KI23" s="228"/>
      <c r="KJ23" s="228"/>
      <c r="KK23" s="228"/>
      <c r="KL23" s="228"/>
      <c r="KM23" s="228"/>
      <c r="KN23" s="228"/>
      <c r="KO23" s="228"/>
      <c r="KP23" s="228"/>
      <c r="KQ23" s="228"/>
      <c r="KR23" s="228"/>
      <c r="KS23" s="228"/>
      <c r="KT23" s="228"/>
      <c r="KU23" s="228"/>
      <c r="KV23" s="228"/>
      <c r="KW23" s="228"/>
      <c r="KX23" s="228"/>
      <c r="KY23" s="228"/>
      <c r="KZ23" s="228"/>
      <c r="LA23" s="228"/>
      <c r="LB23" s="228"/>
      <c r="LC23" s="228"/>
      <c r="LD23" s="228"/>
      <c r="LE23" s="228"/>
      <c r="LF23" s="228"/>
      <c r="LG23" s="228"/>
      <c r="LH23" s="228"/>
      <c r="LI23" s="228"/>
      <c r="LJ23" s="228"/>
      <c r="LK23" s="228"/>
      <c r="LL23" s="228"/>
      <c r="LM23" s="228"/>
      <c r="LN23" s="228"/>
      <c r="LO23" s="228"/>
      <c r="LP23" s="228"/>
      <c r="LQ23" s="228"/>
      <c r="LR23" s="228"/>
      <c r="LS23" s="228"/>
      <c r="LT23" s="228"/>
      <c r="LU23" s="228"/>
      <c r="LV23" s="228"/>
      <c r="LW23" s="228"/>
      <c r="LX23" s="228"/>
      <c r="LY23" s="228"/>
      <c r="LZ23" s="228"/>
      <c r="MA23" s="228"/>
      <c r="MB23" s="228"/>
      <c r="MC23" s="228"/>
      <c r="MD23" s="228"/>
      <c r="ME23" s="228"/>
      <c r="MF23" s="228"/>
      <c r="MG23" s="228"/>
      <c r="MH23" s="228"/>
      <c r="MI23" s="228"/>
      <c r="MJ23" s="228"/>
      <c r="MK23" s="228"/>
      <c r="ML23" s="228"/>
      <c r="MM23" s="228"/>
      <c r="MN23" s="228"/>
      <c r="MO23" s="228"/>
      <c r="MP23" s="228"/>
      <c r="MQ23" s="228"/>
      <c r="MR23" s="228"/>
      <c r="MS23" s="228"/>
      <c r="MT23" s="228"/>
      <c r="MU23" s="228"/>
      <c r="MV23" s="228"/>
      <c r="MW23" s="228"/>
      <c r="MX23" s="228"/>
      <c r="MY23" s="228"/>
      <c r="MZ23" s="228"/>
      <c r="NA23" s="228"/>
      <c r="NB23" s="228"/>
      <c r="NC23" s="228"/>
      <c r="ND23" s="228"/>
      <c r="NE23" s="228"/>
      <c r="NF23" s="228"/>
      <c r="NG23" s="228"/>
      <c r="NH23" s="228"/>
      <c r="NI23" s="228"/>
      <c r="NJ23" s="228"/>
      <c r="NK23" s="228"/>
      <c r="NL23" s="228"/>
      <c r="NM23" s="228"/>
      <c r="NN23" s="228"/>
      <c r="NO23" s="228"/>
      <c r="NP23" s="228"/>
      <c r="NQ23" s="228"/>
      <c r="NR23" s="228"/>
      <c r="NS23" s="228"/>
      <c r="NT23" s="228"/>
      <c r="NU23" s="228"/>
      <c r="NV23" s="228"/>
      <c r="NW23" s="228"/>
      <c r="NX23" s="228"/>
      <c r="NY23" s="228"/>
      <c r="NZ23" s="228"/>
      <c r="OA23" s="228"/>
      <c r="OB23" s="228"/>
      <c r="OC23" s="228"/>
      <c r="OD23" s="228"/>
      <c r="OE23" s="228"/>
      <c r="OF23" s="228"/>
      <c r="OG23" s="228"/>
      <c r="OH23" s="228"/>
      <c r="OI23" s="228"/>
      <c r="OJ23" s="228"/>
      <c r="OK23" s="228"/>
      <c r="OL23" s="228"/>
      <c r="OM23" s="228"/>
      <c r="ON23" s="228"/>
      <c r="OO23" s="228"/>
      <c r="OP23" s="228"/>
      <c r="OQ23" s="228"/>
      <c r="OR23" s="228"/>
      <c r="OS23" s="228"/>
      <c r="OT23" s="228"/>
      <c r="OU23" s="228"/>
      <c r="OV23" s="228"/>
      <c r="OW23" s="228"/>
      <c r="OX23" s="228"/>
      <c r="OY23" s="228"/>
      <c r="OZ23" s="228"/>
      <c r="PA23" s="228"/>
      <c r="PB23" s="228"/>
      <c r="PC23" s="228"/>
      <c r="PD23" s="228"/>
      <c r="PE23" s="228"/>
      <c r="PF23" s="228"/>
      <c r="PG23" s="228"/>
      <c r="PH23" s="228"/>
      <c r="PI23" s="228"/>
      <c r="PJ23" s="228"/>
      <c r="PK23" s="228"/>
      <c r="PL23" s="228"/>
      <c r="PM23" s="228"/>
      <c r="PN23" s="228"/>
      <c r="PO23" s="228"/>
      <c r="PP23" s="228"/>
      <c r="PQ23" s="228"/>
      <c r="PR23" s="228"/>
      <c r="PS23" s="228"/>
      <c r="PT23" s="228"/>
      <c r="PU23" s="228"/>
      <c r="PV23" s="228"/>
      <c r="PW23" s="228"/>
      <c r="PX23" s="228"/>
      <c r="PY23" s="228"/>
      <c r="PZ23" s="228"/>
      <c r="QA23" s="228"/>
      <c r="QB23" s="228"/>
      <c r="QC23" s="228"/>
      <c r="QD23" s="228"/>
      <c r="QE23" s="228"/>
      <c r="QF23" s="228"/>
      <c r="QG23" s="228"/>
      <c r="QH23" s="228"/>
      <c r="QI23" s="228"/>
      <c r="QJ23" s="228"/>
      <c r="QK23" s="228"/>
      <c r="QL23" s="228"/>
      <c r="QM23" s="228"/>
      <c r="QN23" s="228"/>
      <c r="QO23" s="228"/>
      <c r="QP23" s="228"/>
      <c r="QQ23" s="228"/>
      <c r="QR23" s="228"/>
      <c r="QS23" s="228"/>
      <c r="QT23" s="228"/>
      <c r="QU23" s="228"/>
      <c r="QV23" s="228"/>
      <c r="QW23" s="228"/>
      <c r="QX23" s="228"/>
      <c r="QY23" s="228"/>
      <c r="QZ23" s="228"/>
      <c r="RA23" s="228"/>
      <c r="RB23" s="228"/>
      <c r="RC23" s="228"/>
      <c r="RD23" s="228"/>
      <c r="RE23" s="228"/>
      <c r="RF23" s="228"/>
      <c r="RG23" s="228"/>
      <c r="RH23" s="228"/>
      <c r="RI23" s="228"/>
      <c r="RJ23" s="228"/>
      <c r="RK23" s="228"/>
      <c r="RL23" s="228"/>
      <c r="RM23" s="228"/>
      <c r="RN23" s="228"/>
      <c r="RO23" s="228"/>
      <c r="RP23" s="228"/>
      <c r="RQ23" s="228"/>
      <c r="RR23" s="228"/>
      <c r="RS23" s="228"/>
      <c r="RT23" s="228"/>
      <c r="RU23" s="228"/>
      <c r="RV23" s="228"/>
      <c r="RW23" s="228"/>
      <c r="RX23" s="228"/>
      <c r="RY23" s="228"/>
      <c r="RZ23" s="228"/>
      <c r="SA23" s="228"/>
      <c r="SB23" s="228"/>
      <c r="SC23" s="228"/>
      <c r="SD23" s="228"/>
      <c r="SE23" s="228"/>
      <c r="SF23" s="228"/>
      <c r="SG23" s="228"/>
    </row>
    <row r="24" spans="2:501" ht="14.25" customHeight="1"/>
    <row r="25" spans="2:501" ht="14.25" customHeight="1">
      <c r="B25" s="222" t="s">
        <v>1823</v>
      </c>
      <c r="C25" s="222"/>
      <c r="D25" s="197"/>
      <c r="E25" s="198"/>
    </row>
    <row r="26" spans="2:501" ht="14.25" customHeight="1">
      <c r="C26" s="223" t="s">
        <v>1111</v>
      </c>
      <c r="D26" s="223" t="s">
        <v>93</v>
      </c>
      <c r="E26" s="223" t="s">
        <v>1727</v>
      </c>
      <c r="F26" s="223" t="s">
        <v>1728</v>
      </c>
      <c r="G26" s="223" t="s">
        <v>1729</v>
      </c>
      <c r="H26" s="223" t="s">
        <v>1730</v>
      </c>
      <c r="I26" s="223" t="s">
        <v>1731</v>
      </c>
      <c r="J26" s="223" t="s">
        <v>1732</v>
      </c>
      <c r="K26" s="223" t="s">
        <v>1733</v>
      </c>
      <c r="L26" s="223" t="s">
        <v>1734</v>
      </c>
      <c r="M26" s="223" t="s">
        <v>1735</v>
      </c>
      <c r="N26" s="228"/>
      <c r="O26" s="228"/>
      <c r="P26" s="228"/>
      <c r="Q26" s="228"/>
      <c r="R26" s="228"/>
      <c r="S26" s="228"/>
      <c r="T26" s="228"/>
      <c r="U26" s="228"/>
      <c r="V26" s="228"/>
      <c r="W26" s="228"/>
      <c r="X26" s="228"/>
      <c r="Y26" s="228"/>
      <c r="Z26" s="228"/>
      <c r="AA26" s="228"/>
      <c r="AB26" s="228"/>
      <c r="AC26" s="228"/>
      <c r="AD26" s="228"/>
      <c r="AE26" s="228"/>
      <c r="AF26" s="228"/>
      <c r="AG26" s="228"/>
      <c r="AH26" s="228"/>
      <c r="AI26" s="228"/>
      <c r="AJ26" s="228"/>
      <c r="AK26" s="228"/>
      <c r="AL26" s="228"/>
      <c r="AM26" s="228"/>
      <c r="AN26" s="228"/>
      <c r="AO26" s="228"/>
      <c r="AP26" s="228"/>
      <c r="AQ26" s="228"/>
      <c r="AR26" s="228"/>
      <c r="AS26" s="228"/>
      <c r="AT26" s="228"/>
      <c r="AU26" s="228"/>
      <c r="AV26" s="228"/>
      <c r="AW26" s="228"/>
      <c r="AX26" s="228"/>
      <c r="AY26" s="228"/>
      <c r="AZ26" s="228"/>
      <c r="BA26" s="228"/>
      <c r="BB26" s="228"/>
      <c r="BC26" s="228"/>
      <c r="BD26" s="228"/>
      <c r="BE26" s="228"/>
      <c r="BF26" s="228"/>
      <c r="BG26" s="228"/>
      <c r="BH26" s="228"/>
      <c r="BI26" s="228"/>
      <c r="BJ26" s="228"/>
      <c r="BK26" s="228"/>
      <c r="BL26" s="228"/>
      <c r="BM26" s="228"/>
      <c r="BN26" s="228"/>
      <c r="BO26" s="228"/>
      <c r="BP26" s="228"/>
      <c r="BQ26" s="228"/>
      <c r="BR26" s="228"/>
      <c r="BS26" s="228"/>
      <c r="BT26" s="228"/>
      <c r="BU26" s="228"/>
      <c r="BV26" s="228"/>
      <c r="BW26" s="228"/>
      <c r="BX26" s="228"/>
      <c r="BY26" s="228"/>
      <c r="BZ26" s="228"/>
      <c r="CA26" s="228"/>
      <c r="CB26" s="228"/>
      <c r="CC26" s="228"/>
      <c r="CD26" s="228"/>
      <c r="CE26" s="228"/>
      <c r="CF26" s="228"/>
      <c r="CG26" s="228"/>
      <c r="CH26" s="228"/>
      <c r="CI26" s="228"/>
      <c r="CJ26" s="228"/>
      <c r="CK26" s="228"/>
      <c r="CL26" s="228"/>
      <c r="CM26" s="228"/>
      <c r="CN26" s="228"/>
      <c r="CO26" s="228"/>
      <c r="CP26" s="228"/>
      <c r="CQ26" s="228"/>
      <c r="CR26" s="228"/>
      <c r="CS26" s="228"/>
      <c r="CT26" s="228"/>
      <c r="CU26" s="228"/>
      <c r="CV26" s="228"/>
      <c r="CW26" s="228"/>
      <c r="CX26" s="228"/>
      <c r="CY26" s="228"/>
      <c r="CZ26" s="228"/>
      <c r="DA26" s="228"/>
      <c r="DB26" s="228"/>
      <c r="DC26" s="228"/>
      <c r="DD26" s="228"/>
      <c r="DE26" s="228"/>
      <c r="DF26" s="228"/>
      <c r="DG26" s="228"/>
      <c r="DH26" s="228"/>
      <c r="DI26" s="228"/>
      <c r="DJ26" s="228"/>
      <c r="DK26" s="228"/>
      <c r="DL26" s="228"/>
      <c r="DM26" s="228"/>
      <c r="DN26" s="228"/>
      <c r="DO26" s="228"/>
      <c r="DP26" s="228"/>
      <c r="DQ26" s="228"/>
      <c r="DR26" s="228"/>
      <c r="DS26" s="228"/>
      <c r="DT26" s="228"/>
      <c r="DU26" s="228"/>
      <c r="DV26" s="228"/>
      <c r="DW26" s="228"/>
      <c r="DX26" s="228"/>
      <c r="DY26" s="228"/>
      <c r="DZ26" s="228"/>
      <c r="EA26" s="228"/>
      <c r="EB26" s="228"/>
      <c r="EC26" s="228"/>
      <c r="ED26" s="228"/>
      <c r="EE26" s="228"/>
      <c r="EF26" s="228"/>
      <c r="EG26" s="228"/>
      <c r="EH26" s="228"/>
      <c r="EI26" s="228"/>
      <c r="EJ26" s="228"/>
      <c r="EK26" s="228"/>
      <c r="EL26" s="228"/>
      <c r="EM26" s="228"/>
      <c r="EN26" s="228"/>
      <c r="EO26" s="228"/>
      <c r="EP26" s="228"/>
      <c r="EQ26" s="228"/>
      <c r="ER26" s="228"/>
      <c r="ES26" s="228"/>
      <c r="ET26" s="228"/>
      <c r="EU26" s="228"/>
      <c r="EV26" s="228"/>
      <c r="EW26" s="228"/>
      <c r="EX26" s="228"/>
      <c r="EY26" s="228"/>
      <c r="EZ26" s="228"/>
      <c r="FA26" s="228"/>
      <c r="FB26" s="228"/>
      <c r="FC26" s="228"/>
      <c r="FD26" s="228"/>
      <c r="FE26" s="228"/>
      <c r="FF26" s="228"/>
      <c r="FG26" s="228"/>
      <c r="FH26" s="228"/>
      <c r="FI26" s="228"/>
      <c r="FJ26" s="228"/>
      <c r="FK26" s="228"/>
      <c r="FL26" s="228"/>
      <c r="FM26" s="228"/>
      <c r="FN26" s="228"/>
      <c r="FO26" s="228"/>
      <c r="FP26" s="228"/>
      <c r="FQ26" s="228"/>
      <c r="FR26" s="228"/>
      <c r="FS26" s="228"/>
      <c r="FT26" s="228"/>
      <c r="FU26" s="228"/>
      <c r="FV26" s="228"/>
      <c r="FW26" s="228"/>
      <c r="FX26" s="228"/>
      <c r="FY26" s="228"/>
      <c r="FZ26" s="228"/>
      <c r="GA26" s="228"/>
      <c r="GB26" s="228"/>
      <c r="GC26" s="228"/>
      <c r="GD26" s="228"/>
      <c r="GE26" s="228"/>
      <c r="GF26" s="228"/>
      <c r="GG26" s="228"/>
      <c r="GH26" s="228"/>
      <c r="GI26" s="228"/>
      <c r="GJ26" s="228"/>
      <c r="GK26" s="228"/>
      <c r="GL26" s="228"/>
      <c r="GM26" s="228"/>
      <c r="GN26" s="228"/>
      <c r="GO26" s="228"/>
      <c r="GP26" s="228"/>
      <c r="GQ26" s="228"/>
      <c r="GR26" s="228"/>
      <c r="GS26" s="228"/>
      <c r="GT26" s="228"/>
      <c r="GU26" s="228"/>
      <c r="GV26" s="228"/>
      <c r="GW26" s="228"/>
      <c r="GX26" s="228"/>
      <c r="GY26" s="228"/>
      <c r="GZ26" s="228"/>
      <c r="HA26" s="228"/>
      <c r="HB26" s="228"/>
      <c r="HC26" s="228"/>
      <c r="HD26" s="228"/>
      <c r="HE26" s="228"/>
      <c r="HF26" s="228"/>
      <c r="HG26" s="228"/>
      <c r="HH26" s="228"/>
      <c r="HI26" s="228"/>
      <c r="HJ26" s="228"/>
      <c r="HK26" s="228"/>
      <c r="HL26" s="228"/>
      <c r="HM26" s="228"/>
      <c r="HN26" s="228"/>
      <c r="HO26" s="228"/>
      <c r="HP26" s="228"/>
      <c r="HQ26" s="228"/>
      <c r="HR26" s="228"/>
      <c r="HS26" s="228"/>
      <c r="HT26" s="228"/>
      <c r="HU26" s="228"/>
      <c r="HV26" s="228"/>
      <c r="HW26" s="228"/>
      <c r="HX26" s="228"/>
      <c r="HY26" s="228"/>
      <c r="HZ26" s="228"/>
      <c r="IA26" s="228"/>
      <c r="IB26" s="228"/>
      <c r="IC26" s="228"/>
      <c r="ID26" s="228"/>
      <c r="IE26" s="228"/>
      <c r="IF26" s="228"/>
      <c r="IG26" s="228"/>
      <c r="IH26" s="228"/>
      <c r="II26" s="228"/>
      <c r="IJ26" s="228"/>
      <c r="IK26" s="228"/>
      <c r="IL26" s="228"/>
      <c r="IM26" s="228"/>
      <c r="IN26" s="228"/>
      <c r="IO26" s="228"/>
      <c r="IP26" s="228"/>
      <c r="IQ26" s="228"/>
      <c r="IR26" s="228"/>
      <c r="IS26" s="228"/>
      <c r="IT26" s="228"/>
      <c r="IU26" s="228"/>
      <c r="IV26" s="228"/>
      <c r="IW26" s="228"/>
      <c r="IX26" s="228"/>
      <c r="IY26" s="228"/>
      <c r="IZ26" s="228"/>
      <c r="JA26" s="228"/>
      <c r="JB26" s="228"/>
      <c r="JC26" s="228"/>
      <c r="JD26" s="228"/>
      <c r="JE26" s="228"/>
      <c r="JF26" s="228"/>
      <c r="JG26" s="228"/>
      <c r="JH26" s="228"/>
      <c r="JI26" s="228"/>
      <c r="JJ26" s="228"/>
      <c r="JK26" s="228"/>
      <c r="JL26" s="228"/>
      <c r="JM26" s="228"/>
      <c r="JN26" s="228"/>
      <c r="JO26" s="228"/>
      <c r="JP26" s="228"/>
      <c r="JQ26" s="228"/>
      <c r="JR26" s="228"/>
      <c r="JS26" s="228"/>
      <c r="JT26" s="228"/>
      <c r="JU26" s="228"/>
      <c r="JV26" s="228"/>
      <c r="JW26" s="228"/>
      <c r="JX26" s="228"/>
      <c r="JY26" s="228"/>
      <c r="JZ26" s="228"/>
      <c r="KA26" s="228"/>
      <c r="KB26" s="228"/>
      <c r="KC26" s="228"/>
      <c r="KD26" s="228"/>
      <c r="KE26" s="228"/>
      <c r="KF26" s="228"/>
      <c r="KG26" s="228"/>
      <c r="KH26" s="228"/>
      <c r="KI26" s="228"/>
      <c r="KJ26" s="228"/>
      <c r="KK26" s="228"/>
      <c r="KL26" s="228"/>
      <c r="KM26" s="228"/>
      <c r="KN26" s="228"/>
      <c r="KO26" s="228"/>
      <c r="KP26" s="228"/>
      <c r="KQ26" s="228"/>
      <c r="KR26" s="228"/>
      <c r="KS26" s="228"/>
      <c r="KT26" s="228"/>
      <c r="KU26" s="228"/>
      <c r="KV26" s="228"/>
      <c r="KW26" s="228"/>
      <c r="KX26" s="228"/>
      <c r="KY26" s="228"/>
      <c r="KZ26" s="228"/>
      <c r="LA26" s="228"/>
      <c r="LB26" s="228"/>
      <c r="LC26" s="228"/>
      <c r="LD26" s="228"/>
      <c r="LE26" s="228"/>
      <c r="LF26" s="228"/>
      <c r="LG26" s="228"/>
      <c r="LH26" s="228"/>
      <c r="LI26" s="228"/>
      <c r="LJ26" s="228"/>
      <c r="LK26" s="228"/>
      <c r="LL26" s="228"/>
      <c r="LM26" s="228"/>
      <c r="LN26" s="228"/>
      <c r="LO26" s="228"/>
      <c r="LP26" s="228"/>
      <c r="LQ26" s="228"/>
      <c r="LR26" s="228"/>
      <c r="LS26" s="228"/>
      <c r="LT26" s="228"/>
      <c r="LU26" s="228"/>
      <c r="LV26" s="228"/>
      <c r="LW26" s="228"/>
      <c r="LX26" s="228"/>
      <c r="LY26" s="228"/>
      <c r="LZ26" s="228"/>
      <c r="MA26" s="228"/>
      <c r="MB26" s="228"/>
      <c r="MC26" s="228"/>
      <c r="MD26" s="228"/>
      <c r="ME26" s="228"/>
      <c r="MF26" s="228"/>
      <c r="MG26" s="228"/>
      <c r="MH26" s="228"/>
      <c r="MI26" s="228"/>
      <c r="MJ26" s="228"/>
      <c r="MK26" s="228"/>
      <c r="ML26" s="228"/>
      <c r="MM26" s="228"/>
      <c r="MN26" s="228"/>
      <c r="MO26" s="228"/>
      <c r="MP26" s="228"/>
      <c r="MQ26" s="228"/>
      <c r="MR26" s="228"/>
      <c r="MS26" s="228"/>
      <c r="MT26" s="228"/>
      <c r="MU26" s="228"/>
      <c r="MV26" s="228"/>
      <c r="MW26" s="228"/>
      <c r="MX26" s="228"/>
      <c r="MY26" s="228"/>
      <c r="MZ26" s="228"/>
      <c r="NA26" s="228"/>
      <c r="NB26" s="228"/>
      <c r="NC26" s="228"/>
      <c r="ND26" s="228"/>
      <c r="NE26" s="228"/>
      <c r="NF26" s="228"/>
      <c r="NG26" s="228"/>
      <c r="NH26" s="228"/>
      <c r="NI26" s="228"/>
      <c r="NJ26" s="228"/>
      <c r="NK26" s="228"/>
      <c r="NL26" s="228"/>
      <c r="NM26" s="228"/>
      <c r="NN26" s="228"/>
      <c r="NO26" s="228"/>
      <c r="NP26" s="228"/>
      <c r="NQ26" s="228"/>
      <c r="NR26" s="228"/>
      <c r="NS26" s="228"/>
      <c r="NT26" s="228"/>
      <c r="NU26" s="228"/>
      <c r="NV26" s="228"/>
      <c r="NW26" s="228"/>
      <c r="NX26" s="228"/>
      <c r="NY26" s="228"/>
      <c r="NZ26" s="228"/>
      <c r="OA26" s="228"/>
      <c r="OB26" s="228"/>
      <c r="OC26" s="228"/>
      <c r="OD26" s="228"/>
      <c r="OE26" s="228"/>
      <c r="OF26" s="228"/>
      <c r="OG26" s="228"/>
      <c r="OH26" s="228"/>
      <c r="OI26" s="228"/>
      <c r="OJ26" s="228"/>
      <c r="OK26" s="228"/>
      <c r="OL26" s="228"/>
      <c r="OM26" s="228"/>
      <c r="ON26" s="228"/>
      <c r="OO26" s="228"/>
      <c r="OP26" s="228"/>
      <c r="OQ26" s="228"/>
      <c r="OR26" s="228"/>
      <c r="OS26" s="228"/>
      <c r="OT26" s="228"/>
      <c r="OU26" s="228"/>
      <c r="OV26" s="228"/>
      <c r="OW26" s="228"/>
      <c r="OX26" s="228"/>
      <c r="OY26" s="228"/>
      <c r="OZ26" s="228"/>
      <c r="PA26" s="228"/>
      <c r="PB26" s="228"/>
      <c r="PC26" s="228"/>
      <c r="PD26" s="228"/>
      <c r="PE26" s="228"/>
      <c r="PF26" s="228"/>
      <c r="PG26" s="228"/>
      <c r="PH26" s="228"/>
      <c r="PI26" s="228"/>
      <c r="PJ26" s="228"/>
      <c r="PK26" s="228"/>
      <c r="PL26" s="228"/>
      <c r="PM26" s="228"/>
      <c r="PN26" s="228"/>
      <c r="PO26" s="228"/>
      <c r="PP26" s="228"/>
      <c r="PQ26" s="228"/>
      <c r="PR26" s="228"/>
      <c r="PS26" s="228"/>
      <c r="PT26" s="228"/>
      <c r="PU26" s="228"/>
      <c r="PV26" s="228"/>
      <c r="PW26" s="228"/>
      <c r="PX26" s="228"/>
      <c r="PY26" s="228"/>
      <c r="PZ26" s="228"/>
      <c r="QA26" s="228"/>
      <c r="QB26" s="228"/>
      <c r="QC26" s="228"/>
      <c r="QD26" s="228"/>
      <c r="QE26" s="228"/>
      <c r="QF26" s="228"/>
      <c r="QG26" s="228"/>
      <c r="QH26" s="228"/>
      <c r="QI26" s="228"/>
      <c r="QJ26" s="228"/>
      <c r="QK26" s="228"/>
      <c r="QL26" s="228"/>
      <c r="QM26" s="228"/>
      <c r="QN26" s="228"/>
      <c r="QO26" s="228"/>
      <c r="QP26" s="228"/>
      <c r="QQ26" s="228"/>
      <c r="QR26" s="228"/>
      <c r="QS26" s="228"/>
      <c r="QT26" s="228"/>
      <c r="QU26" s="228"/>
      <c r="QV26" s="228"/>
      <c r="QW26" s="228"/>
      <c r="QX26" s="228"/>
      <c r="QY26" s="228"/>
      <c r="QZ26" s="228"/>
      <c r="RA26" s="228"/>
      <c r="RB26" s="228"/>
      <c r="RC26" s="228"/>
      <c r="RD26" s="228"/>
      <c r="RE26" s="228"/>
      <c r="RF26" s="228"/>
      <c r="RG26" s="228"/>
      <c r="RH26" s="228"/>
      <c r="RI26" s="228"/>
      <c r="RJ26" s="228"/>
      <c r="RK26" s="228"/>
      <c r="RL26" s="228"/>
      <c r="RM26" s="228"/>
      <c r="RN26" s="228"/>
      <c r="RO26" s="228"/>
      <c r="RP26" s="228"/>
      <c r="RQ26" s="228"/>
      <c r="RR26" s="228"/>
      <c r="RS26" s="228"/>
      <c r="RT26" s="228"/>
      <c r="RU26" s="228"/>
      <c r="RV26" s="228"/>
      <c r="RW26" s="228"/>
      <c r="RX26" s="228"/>
      <c r="RY26" s="228"/>
      <c r="RZ26" s="228"/>
      <c r="SA26" s="228"/>
      <c r="SB26" s="228"/>
      <c r="SC26" s="228"/>
      <c r="SD26" s="228"/>
      <c r="SE26" s="228"/>
      <c r="SF26" s="228"/>
      <c r="SG26" s="228"/>
    </row>
    <row r="27" spans="2:501" ht="97.5" customHeight="1">
      <c r="C27" s="227" t="s">
        <v>1824</v>
      </c>
      <c r="D27" s="225" t="s">
        <v>1825</v>
      </c>
      <c r="E27" s="225" t="s">
        <v>1826</v>
      </c>
      <c r="F27" s="225" t="s">
        <v>1827</v>
      </c>
      <c r="G27" s="225" t="s">
        <v>1740</v>
      </c>
      <c r="H27" s="225" t="s">
        <v>1741</v>
      </c>
      <c r="I27" s="226" t="s">
        <v>1828</v>
      </c>
      <c r="J27" s="226" t="s">
        <v>1829</v>
      </c>
      <c r="K27" s="225" t="s">
        <v>1814</v>
      </c>
      <c r="L27" s="225" t="s">
        <v>1760</v>
      </c>
      <c r="M27" s="226" t="s">
        <v>1830</v>
      </c>
      <c r="N27" s="228"/>
      <c r="O27" s="228"/>
      <c r="P27" s="228"/>
      <c r="Q27" s="228"/>
      <c r="R27" s="228"/>
      <c r="S27" s="228"/>
      <c r="T27" s="228"/>
      <c r="U27" s="228"/>
      <c r="V27" s="228"/>
      <c r="W27" s="228"/>
      <c r="X27" s="228"/>
      <c r="Y27" s="228"/>
      <c r="Z27" s="228"/>
      <c r="AA27" s="228"/>
      <c r="AB27" s="228"/>
      <c r="AC27" s="228"/>
      <c r="AD27" s="228"/>
      <c r="AE27" s="228"/>
      <c r="AF27" s="228"/>
      <c r="AG27" s="228"/>
      <c r="AH27" s="228"/>
      <c r="AI27" s="228"/>
      <c r="AJ27" s="228"/>
      <c r="AK27" s="228"/>
      <c r="AL27" s="228"/>
      <c r="AM27" s="228"/>
      <c r="AN27" s="228"/>
      <c r="AO27" s="228"/>
      <c r="AP27" s="228"/>
      <c r="AQ27" s="228"/>
      <c r="AR27" s="228"/>
      <c r="AS27" s="228"/>
      <c r="AT27" s="228"/>
      <c r="AU27" s="228"/>
      <c r="AV27" s="228"/>
      <c r="AW27" s="228"/>
      <c r="AX27" s="228"/>
      <c r="AY27" s="228"/>
      <c r="AZ27" s="228"/>
      <c r="BA27" s="228"/>
      <c r="BB27" s="228"/>
      <c r="BC27" s="228"/>
      <c r="BD27" s="228"/>
      <c r="BE27" s="228"/>
      <c r="BF27" s="228"/>
      <c r="BG27" s="228"/>
      <c r="BH27" s="228"/>
      <c r="BI27" s="228"/>
      <c r="BJ27" s="228"/>
      <c r="BK27" s="228"/>
      <c r="BL27" s="228"/>
      <c r="BM27" s="228"/>
      <c r="BN27" s="228"/>
      <c r="BO27" s="228"/>
      <c r="BP27" s="228"/>
      <c r="BQ27" s="228"/>
      <c r="BR27" s="228"/>
      <c r="BS27" s="228"/>
      <c r="BT27" s="228"/>
      <c r="BU27" s="228"/>
      <c r="BV27" s="228"/>
      <c r="BW27" s="228"/>
      <c r="BX27" s="228"/>
      <c r="BY27" s="228"/>
      <c r="BZ27" s="228"/>
      <c r="CA27" s="228"/>
      <c r="CB27" s="228"/>
      <c r="CC27" s="228"/>
      <c r="CD27" s="228"/>
      <c r="CE27" s="228"/>
      <c r="CF27" s="228"/>
      <c r="CG27" s="228"/>
      <c r="CH27" s="228"/>
      <c r="CI27" s="228"/>
      <c r="CJ27" s="228"/>
      <c r="CK27" s="228"/>
      <c r="CL27" s="228"/>
      <c r="CM27" s="228"/>
      <c r="CN27" s="228"/>
      <c r="CO27" s="228"/>
      <c r="CP27" s="228"/>
      <c r="CQ27" s="228"/>
      <c r="CR27" s="228"/>
      <c r="CS27" s="228"/>
      <c r="CT27" s="228"/>
      <c r="CU27" s="228"/>
      <c r="CV27" s="228"/>
      <c r="CW27" s="228"/>
      <c r="CX27" s="228"/>
      <c r="CY27" s="228"/>
      <c r="CZ27" s="228"/>
      <c r="DA27" s="228"/>
      <c r="DB27" s="228"/>
      <c r="DC27" s="228"/>
      <c r="DD27" s="228"/>
      <c r="DE27" s="228"/>
      <c r="DF27" s="228"/>
      <c r="DG27" s="228"/>
      <c r="DH27" s="228"/>
      <c r="DI27" s="228"/>
      <c r="DJ27" s="228"/>
      <c r="DK27" s="228"/>
      <c r="DL27" s="228"/>
      <c r="DM27" s="228"/>
      <c r="DN27" s="228"/>
      <c r="DO27" s="228"/>
      <c r="DP27" s="228"/>
      <c r="DQ27" s="228"/>
      <c r="DR27" s="228"/>
      <c r="DS27" s="228"/>
      <c r="DT27" s="228"/>
      <c r="DU27" s="228"/>
      <c r="DV27" s="228"/>
      <c r="DW27" s="228"/>
      <c r="DX27" s="228"/>
      <c r="DY27" s="228"/>
      <c r="DZ27" s="228"/>
      <c r="EA27" s="228"/>
      <c r="EB27" s="228"/>
      <c r="EC27" s="228"/>
      <c r="ED27" s="228"/>
      <c r="EE27" s="228"/>
      <c r="EF27" s="228"/>
      <c r="EG27" s="228"/>
      <c r="EH27" s="228"/>
      <c r="EI27" s="228"/>
      <c r="EJ27" s="228"/>
      <c r="EK27" s="228"/>
      <c r="EL27" s="228"/>
      <c r="EM27" s="228"/>
      <c r="EN27" s="228"/>
      <c r="EO27" s="228"/>
      <c r="EP27" s="228"/>
      <c r="EQ27" s="228"/>
      <c r="ER27" s="228"/>
      <c r="ES27" s="228"/>
      <c r="ET27" s="228"/>
      <c r="EU27" s="228"/>
      <c r="EV27" s="228"/>
      <c r="EW27" s="228"/>
      <c r="EX27" s="228"/>
      <c r="EY27" s="228"/>
      <c r="EZ27" s="228"/>
      <c r="FA27" s="228"/>
      <c r="FB27" s="228"/>
      <c r="FC27" s="228"/>
      <c r="FD27" s="228"/>
      <c r="FE27" s="228"/>
      <c r="FF27" s="228"/>
      <c r="FG27" s="228"/>
      <c r="FH27" s="228"/>
      <c r="FI27" s="228"/>
      <c r="FJ27" s="228"/>
      <c r="FK27" s="228"/>
      <c r="FL27" s="228"/>
      <c r="FM27" s="228"/>
      <c r="FN27" s="228"/>
      <c r="FO27" s="228"/>
      <c r="FP27" s="228"/>
      <c r="FQ27" s="228"/>
      <c r="FR27" s="228"/>
      <c r="FS27" s="228"/>
      <c r="FT27" s="228"/>
      <c r="FU27" s="228"/>
      <c r="FV27" s="228"/>
      <c r="FW27" s="228"/>
      <c r="FX27" s="228"/>
      <c r="FY27" s="228"/>
      <c r="FZ27" s="228"/>
      <c r="GA27" s="228"/>
      <c r="GB27" s="228"/>
      <c r="GC27" s="228"/>
      <c r="GD27" s="228"/>
      <c r="GE27" s="228"/>
      <c r="GF27" s="228"/>
      <c r="GG27" s="228"/>
      <c r="GH27" s="228"/>
      <c r="GI27" s="228"/>
      <c r="GJ27" s="228"/>
      <c r="GK27" s="228"/>
      <c r="GL27" s="228"/>
      <c r="GM27" s="228"/>
      <c r="GN27" s="228"/>
      <c r="GO27" s="228"/>
      <c r="GP27" s="228"/>
      <c r="GQ27" s="228"/>
      <c r="GR27" s="228"/>
      <c r="GS27" s="228"/>
      <c r="GT27" s="228"/>
      <c r="GU27" s="228"/>
      <c r="GV27" s="228"/>
      <c r="GW27" s="228"/>
      <c r="GX27" s="228"/>
      <c r="GY27" s="228"/>
      <c r="GZ27" s="228"/>
      <c r="HA27" s="228"/>
      <c r="HB27" s="228"/>
      <c r="HC27" s="228"/>
      <c r="HD27" s="228"/>
      <c r="HE27" s="228"/>
      <c r="HF27" s="228"/>
      <c r="HG27" s="228"/>
      <c r="HH27" s="228"/>
      <c r="HI27" s="228"/>
      <c r="HJ27" s="228"/>
      <c r="HK27" s="228"/>
      <c r="HL27" s="228"/>
      <c r="HM27" s="228"/>
      <c r="HN27" s="228"/>
      <c r="HO27" s="228"/>
      <c r="HP27" s="228"/>
      <c r="HQ27" s="228"/>
      <c r="HR27" s="228"/>
      <c r="HS27" s="228"/>
      <c r="HT27" s="228"/>
      <c r="HU27" s="228"/>
      <c r="HV27" s="228"/>
      <c r="HW27" s="228"/>
      <c r="HX27" s="228"/>
      <c r="HY27" s="228"/>
      <c r="HZ27" s="228"/>
      <c r="IA27" s="228"/>
      <c r="IB27" s="228"/>
      <c r="IC27" s="228"/>
      <c r="ID27" s="228"/>
      <c r="IE27" s="228"/>
      <c r="IF27" s="228"/>
      <c r="IG27" s="228"/>
      <c r="IH27" s="228"/>
      <c r="II27" s="228"/>
      <c r="IJ27" s="228"/>
      <c r="IK27" s="228"/>
      <c r="IL27" s="228"/>
      <c r="IM27" s="228"/>
      <c r="IN27" s="228"/>
      <c r="IO27" s="228"/>
      <c r="IP27" s="228"/>
      <c r="IQ27" s="228"/>
      <c r="IR27" s="228"/>
      <c r="IS27" s="228"/>
      <c r="IT27" s="228"/>
      <c r="IU27" s="228"/>
      <c r="IV27" s="228"/>
      <c r="IW27" s="228"/>
      <c r="IX27" s="228"/>
      <c r="IY27" s="228"/>
      <c r="IZ27" s="228"/>
      <c r="JA27" s="228"/>
      <c r="JB27" s="228"/>
      <c r="JC27" s="228"/>
      <c r="JD27" s="228"/>
      <c r="JE27" s="228"/>
      <c r="JF27" s="228"/>
      <c r="JG27" s="228"/>
      <c r="JH27" s="228"/>
      <c r="JI27" s="228"/>
      <c r="JJ27" s="228"/>
      <c r="JK27" s="228"/>
      <c r="JL27" s="228"/>
      <c r="JM27" s="228"/>
      <c r="JN27" s="228"/>
      <c r="JO27" s="228"/>
      <c r="JP27" s="228"/>
      <c r="JQ27" s="228"/>
      <c r="JR27" s="228"/>
      <c r="JS27" s="228"/>
      <c r="JT27" s="228"/>
      <c r="JU27" s="228"/>
      <c r="JV27" s="228"/>
      <c r="JW27" s="228"/>
      <c r="JX27" s="228"/>
      <c r="JY27" s="228"/>
      <c r="JZ27" s="228"/>
      <c r="KA27" s="228"/>
      <c r="KB27" s="228"/>
      <c r="KC27" s="228"/>
      <c r="KD27" s="228"/>
      <c r="KE27" s="228"/>
      <c r="KF27" s="228"/>
      <c r="KG27" s="228"/>
      <c r="KH27" s="228"/>
      <c r="KI27" s="228"/>
      <c r="KJ27" s="228"/>
      <c r="KK27" s="228"/>
      <c r="KL27" s="228"/>
      <c r="KM27" s="228"/>
      <c r="KN27" s="228"/>
      <c r="KO27" s="228"/>
      <c r="KP27" s="228"/>
      <c r="KQ27" s="228"/>
      <c r="KR27" s="228"/>
      <c r="KS27" s="228"/>
      <c r="KT27" s="228"/>
      <c r="KU27" s="228"/>
      <c r="KV27" s="228"/>
      <c r="KW27" s="228"/>
      <c r="KX27" s="228"/>
      <c r="KY27" s="228"/>
      <c r="KZ27" s="228"/>
      <c r="LA27" s="228"/>
      <c r="LB27" s="228"/>
      <c r="LC27" s="228"/>
      <c r="LD27" s="228"/>
      <c r="LE27" s="228"/>
      <c r="LF27" s="228"/>
      <c r="LG27" s="228"/>
      <c r="LH27" s="228"/>
      <c r="LI27" s="228"/>
      <c r="LJ27" s="228"/>
      <c r="LK27" s="228"/>
      <c r="LL27" s="228"/>
      <c r="LM27" s="228"/>
      <c r="LN27" s="228"/>
      <c r="LO27" s="228"/>
      <c r="LP27" s="228"/>
      <c r="LQ27" s="228"/>
      <c r="LR27" s="228"/>
      <c r="LS27" s="228"/>
      <c r="LT27" s="228"/>
      <c r="LU27" s="228"/>
      <c r="LV27" s="228"/>
      <c r="LW27" s="228"/>
      <c r="LX27" s="228"/>
      <c r="LY27" s="228"/>
      <c r="LZ27" s="228"/>
      <c r="MA27" s="228"/>
      <c r="MB27" s="228"/>
      <c r="MC27" s="228"/>
      <c r="MD27" s="228"/>
      <c r="ME27" s="228"/>
      <c r="MF27" s="228"/>
      <c r="MG27" s="228"/>
      <c r="MH27" s="228"/>
      <c r="MI27" s="228"/>
      <c r="MJ27" s="228"/>
      <c r="MK27" s="228"/>
      <c r="ML27" s="228"/>
      <c r="MM27" s="228"/>
      <c r="MN27" s="228"/>
      <c r="MO27" s="228"/>
      <c r="MP27" s="228"/>
      <c r="MQ27" s="228"/>
      <c r="MR27" s="228"/>
      <c r="MS27" s="228"/>
      <c r="MT27" s="228"/>
      <c r="MU27" s="228"/>
      <c r="MV27" s="228"/>
      <c r="MW27" s="228"/>
      <c r="MX27" s="228"/>
      <c r="MY27" s="228"/>
      <c r="MZ27" s="228"/>
      <c r="NA27" s="228"/>
      <c r="NB27" s="228"/>
      <c r="NC27" s="228"/>
      <c r="ND27" s="228"/>
      <c r="NE27" s="228"/>
      <c r="NF27" s="228"/>
      <c r="NG27" s="228"/>
      <c r="NH27" s="228"/>
      <c r="NI27" s="228"/>
      <c r="NJ27" s="228"/>
      <c r="NK27" s="228"/>
      <c r="NL27" s="228"/>
      <c r="NM27" s="228"/>
      <c r="NN27" s="228"/>
      <c r="NO27" s="228"/>
      <c r="NP27" s="228"/>
      <c r="NQ27" s="228"/>
      <c r="NR27" s="228"/>
      <c r="NS27" s="228"/>
      <c r="NT27" s="228"/>
      <c r="NU27" s="228"/>
      <c r="NV27" s="228"/>
      <c r="NW27" s="228"/>
      <c r="NX27" s="228"/>
      <c r="NY27" s="228"/>
      <c r="NZ27" s="228"/>
      <c r="OA27" s="228"/>
      <c r="OB27" s="228"/>
      <c r="OC27" s="228"/>
      <c r="OD27" s="228"/>
      <c r="OE27" s="228"/>
      <c r="OF27" s="228"/>
      <c r="OG27" s="228"/>
      <c r="OH27" s="228"/>
      <c r="OI27" s="228"/>
      <c r="OJ27" s="228"/>
      <c r="OK27" s="228"/>
      <c r="OL27" s="228"/>
      <c r="OM27" s="228"/>
      <c r="ON27" s="228"/>
      <c r="OO27" s="228"/>
      <c r="OP27" s="228"/>
      <c r="OQ27" s="228"/>
      <c r="OR27" s="228"/>
      <c r="OS27" s="228"/>
      <c r="OT27" s="228"/>
      <c r="OU27" s="228"/>
      <c r="OV27" s="228"/>
      <c r="OW27" s="228"/>
      <c r="OX27" s="228"/>
      <c r="OY27" s="228"/>
      <c r="OZ27" s="228"/>
      <c r="PA27" s="228"/>
      <c r="PB27" s="228"/>
      <c r="PC27" s="228"/>
      <c r="PD27" s="228"/>
      <c r="PE27" s="228"/>
      <c r="PF27" s="228"/>
      <c r="PG27" s="228"/>
      <c r="PH27" s="228"/>
      <c r="PI27" s="228"/>
      <c r="PJ27" s="228"/>
      <c r="PK27" s="228"/>
      <c r="PL27" s="228"/>
      <c r="PM27" s="228"/>
      <c r="PN27" s="228"/>
      <c r="PO27" s="228"/>
      <c r="PP27" s="228"/>
      <c r="PQ27" s="228"/>
      <c r="PR27" s="228"/>
      <c r="PS27" s="228"/>
      <c r="PT27" s="228"/>
      <c r="PU27" s="228"/>
      <c r="PV27" s="228"/>
      <c r="PW27" s="228"/>
      <c r="PX27" s="228"/>
      <c r="PY27" s="228"/>
      <c r="PZ27" s="228"/>
      <c r="QA27" s="228"/>
      <c r="QB27" s="228"/>
      <c r="QC27" s="228"/>
      <c r="QD27" s="228"/>
      <c r="QE27" s="228"/>
      <c r="QF27" s="228"/>
      <c r="QG27" s="228"/>
      <c r="QH27" s="228"/>
      <c r="QI27" s="228"/>
      <c r="QJ27" s="228"/>
      <c r="QK27" s="228"/>
      <c r="QL27" s="228"/>
      <c r="QM27" s="228"/>
      <c r="QN27" s="228"/>
      <c r="QO27" s="228"/>
      <c r="QP27" s="228"/>
      <c r="QQ27" s="228"/>
      <c r="QR27" s="228"/>
      <c r="QS27" s="228"/>
      <c r="QT27" s="228"/>
      <c r="QU27" s="228"/>
      <c r="QV27" s="228"/>
      <c r="QW27" s="228"/>
      <c r="QX27" s="228"/>
      <c r="QY27" s="228"/>
      <c r="QZ27" s="228"/>
      <c r="RA27" s="228"/>
      <c r="RB27" s="228"/>
      <c r="RC27" s="228"/>
      <c r="RD27" s="228"/>
      <c r="RE27" s="228"/>
      <c r="RF27" s="228"/>
      <c r="RG27" s="228"/>
      <c r="RH27" s="228"/>
      <c r="RI27" s="228"/>
      <c r="RJ27" s="228"/>
      <c r="RK27" s="228"/>
      <c r="RL27" s="228"/>
      <c r="RM27" s="228"/>
      <c r="RN27" s="228"/>
      <c r="RO27" s="228"/>
      <c r="RP27" s="228"/>
      <c r="RQ27" s="228"/>
      <c r="RR27" s="228"/>
      <c r="RS27" s="228"/>
      <c r="RT27" s="228"/>
      <c r="RU27" s="228"/>
      <c r="RV27" s="228"/>
      <c r="RW27" s="228"/>
      <c r="RX27" s="228"/>
      <c r="RY27" s="228"/>
      <c r="RZ27" s="228"/>
      <c r="SA27" s="228"/>
      <c r="SB27" s="228"/>
      <c r="SC27" s="228"/>
      <c r="SD27" s="228"/>
      <c r="SE27" s="228"/>
      <c r="SF27" s="228"/>
      <c r="SG27" s="228"/>
    </row>
    <row r="28" spans="2:501" ht="69.75" customHeight="1">
      <c r="C28" s="227" t="s">
        <v>1831</v>
      </c>
      <c r="D28" s="225" t="s">
        <v>1832</v>
      </c>
      <c r="E28" s="225" t="s">
        <v>1833</v>
      </c>
      <c r="F28" s="225" t="s">
        <v>1834</v>
      </c>
      <c r="G28" s="225" t="s">
        <v>1740</v>
      </c>
      <c r="H28" s="225" t="s">
        <v>1741</v>
      </c>
      <c r="I28" s="226" t="s">
        <v>1835</v>
      </c>
      <c r="J28" s="226" t="s">
        <v>1836</v>
      </c>
      <c r="K28" s="225" t="s">
        <v>1768</v>
      </c>
      <c r="L28" s="225" t="s">
        <v>1760</v>
      </c>
      <c r="M28" s="226" t="s">
        <v>1837</v>
      </c>
      <c r="N28" s="228"/>
      <c r="O28" s="228"/>
      <c r="P28" s="228"/>
      <c r="Q28" s="228"/>
      <c r="R28" s="228"/>
      <c r="S28" s="228"/>
      <c r="T28" s="228"/>
      <c r="U28" s="228"/>
      <c r="V28" s="228"/>
      <c r="W28" s="228"/>
      <c r="X28" s="228"/>
      <c r="Y28" s="228"/>
      <c r="Z28" s="228"/>
      <c r="AA28" s="228"/>
      <c r="AB28" s="228"/>
      <c r="AC28" s="228"/>
      <c r="AD28" s="228"/>
      <c r="AE28" s="228"/>
      <c r="AF28" s="228"/>
      <c r="AG28" s="228"/>
      <c r="AH28" s="228"/>
      <c r="AI28" s="228"/>
      <c r="AJ28" s="228"/>
      <c r="AK28" s="228"/>
      <c r="AL28" s="228"/>
      <c r="AM28" s="228"/>
      <c r="AN28" s="228"/>
      <c r="AO28" s="228"/>
      <c r="AP28" s="228"/>
      <c r="AQ28" s="228"/>
      <c r="AR28" s="228"/>
      <c r="AS28" s="228"/>
      <c r="AT28" s="228"/>
      <c r="AU28" s="228"/>
      <c r="AV28" s="228"/>
      <c r="AW28" s="228"/>
      <c r="AX28" s="228"/>
      <c r="AY28" s="228"/>
      <c r="AZ28" s="228"/>
      <c r="BA28" s="228"/>
      <c r="BB28" s="228"/>
      <c r="BC28" s="228"/>
      <c r="BD28" s="228"/>
      <c r="BE28" s="228"/>
      <c r="BF28" s="228"/>
      <c r="BG28" s="228"/>
      <c r="BH28" s="228"/>
      <c r="BI28" s="228"/>
      <c r="BJ28" s="228"/>
      <c r="BK28" s="228"/>
      <c r="BL28" s="228"/>
      <c r="BM28" s="228"/>
      <c r="BN28" s="228"/>
      <c r="BO28" s="228"/>
      <c r="BP28" s="228"/>
      <c r="BQ28" s="228"/>
      <c r="BR28" s="228"/>
      <c r="BS28" s="228"/>
      <c r="BT28" s="228"/>
      <c r="BU28" s="228"/>
      <c r="BV28" s="228"/>
      <c r="BW28" s="228"/>
      <c r="BX28" s="228"/>
      <c r="BY28" s="228"/>
      <c r="BZ28" s="228"/>
      <c r="CA28" s="228"/>
      <c r="CB28" s="228"/>
      <c r="CC28" s="228"/>
      <c r="CD28" s="228"/>
      <c r="CE28" s="228"/>
      <c r="CF28" s="228"/>
      <c r="CG28" s="228"/>
      <c r="CH28" s="228"/>
      <c r="CI28" s="228"/>
      <c r="CJ28" s="228"/>
      <c r="CK28" s="228"/>
      <c r="CL28" s="228"/>
      <c r="CM28" s="228"/>
      <c r="CN28" s="228"/>
      <c r="CO28" s="228"/>
      <c r="CP28" s="228"/>
      <c r="CQ28" s="228"/>
      <c r="CR28" s="228"/>
      <c r="CS28" s="228"/>
      <c r="CT28" s="228"/>
      <c r="CU28" s="228"/>
      <c r="CV28" s="228"/>
      <c r="CW28" s="228"/>
      <c r="CX28" s="228"/>
      <c r="CY28" s="228"/>
      <c r="CZ28" s="228"/>
      <c r="DA28" s="228"/>
      <c r="DB28" s="228"/>
      <c r="DC28" s="228"/>
      <c r="DD28" s="228"/>
      <c r="DE28" s="228"/>
      <c r="DF28" s="228"/>
      <c r="DG28" s="228"/>
      <c r="DH28" s="228"/>
      <c r="DI28" s="228"/>
      <c r="DJ28" s="228"/>
      <c r="DK28" s="228"/>
      <c r="DL28" s="228"/>
      <c r="DM28" s="228"/>
      <c r="DN28" s="228"/>
      <c r="DO28" s="228"/>
      <c r="DP28" s="228"/>
      <c r="DQ28" s="228"/>
      <c r="DR28" s="228"/>
      <c r="DS28" s="228"/>
      <c r="DT28" s="228"/>
      <c r="DU28" s="228"/>
      <c r="DV28" s="228"/>
      <c r="DW28" s="228"/>
      <c r="DX28" s="228"/>
      <c r="DY28" s="228"/>
      <c r="DZ28" s="228"/>
      <c r="EA28" s="228"/>
      <c r="EB28" s="228"/>
      <c r="EC28" s="228"/>
      <c r="ED28" s="228"/>
      <c r="EE28" s="228"/>
      <c r="EF28" s="228"/>
      <c r="EG28" s="228"/>
      <c r="EH28" s="228"/>
      <c r="EI28" s="228"/>
      <c r="EJ28" s="228"/>
      <c r="EK28" s="228"/>
      <c r="EL28" s="228"/>
      <c r="EM28" s="228"/>
      <c r="EN28" s="228"/>
      <c r="EO28" s="228"/>
      <c r="EP28" s="228"/>
      <c r="EQ28" s="228"/>
      <c r="ER28" s="228"/>
      <c r="ES28" s="228"/>
      <c r="ET28" s="228"/>
      <c r="EU28" s="228"/>
      <c r="EV28" s="228"/>
      <c r="EW28" s="228"/>
      <c r="EX28" s="228"/>
      <c r="EY28" s="228"/>
      <c r="EZ28" s="228"/>
      <c r="FA28" s="228"/>
      <c r="FB28" s="228"/>
      <c r="FC28" s="228"/>
      <c r="FD28" s="228"/>
      <c r="FE28" s="228"/>
      <c r="FF28" s="228"/>
      <c r="FG28" s="228"/>
      <c r="FH28" s="228"/>
      <c r="FI28" s="228"/>
      <c r="FJ28" s="228"/>
      <c r="FK28" s="228"/>
      <c r="FL28" s="228"/>
      <c r="FM28" s="228"/>
      <c r="FN28" s="228"/>
      <c r="FO28" s="228"/>
      <c r="FP28" s="228"/>
      <c r="FQ28" s="228"/>
      <c r="FR28" s="228"/>
      <c r="FS28" s="228"/>
      <c r="FT28" s="228"/>
      <c r="FU28" s="228"/>
      <c r="FV28" s="228"/>
      <c r="FW28" s="228"/>
      <c r="FX28" s="228"/>
      <c r="FY28" s="228"/>
      <c r="FZ28" s="228"/>
      <c r="GA28" s="228"/>
      <c r="GB28" s="228"/>
      <c r="GC28" s="228"/>
      <c r="GD28" s="228"/>
      <c r="GE28" s="228"/>
      <c r="GF28" s="228"/>
      <c r="GG28" s="228"/>
      <c r="GH28" s="228"/>
      <c r="GI28" s="228"/>
      <c r="GJ28" s="228"/>
      <c r="GK28" s="228"/>
      <c r="GL28" s="228"/>
      <c r="GM28" s="228"/>
      <c r="GN28" s="228"/>
      <c r="GO28" s="228"/>
      <c r="GP28" s="228"/>
      <c r="GQ28" s="228"/>
      <c r="GR28" s="228"/>
      <c r="GS28" s="228"/>
      <c r="GT28" s="228"/>
      <c r="GU28" s="228"/>
      <c r="GV28" s="228"/>
      <c r="GW28" s="228"/>
      <c r="GX28" s="228"/>
      <c r="GY28" s="228"/>
      <c r="GZ28" s="228"/>
      <c r="HA28" s="228"/>
      <c r="HB28" s="228"/>
      <c r="HC28" s="228"/>
      <c r="HD28" s="228"/>
      <c r="HE28" s="228"/>
      <c r="HF28" s="228"/>
      <c r="HG28" s="228"/>
      <c r="HH28" s="228"/>
      <c r="HI28" s="228"/>
      <c r="HJ28" s="228"/>
      <c r="HK28" s="228"/>
      <c r="HL28" s="228"/>
      <c r="HM28" s="228"/>
      <c r="HN28" s="228"/>
      <c r="HO28" s="228"/>
      <c r="HP28" s="228"/>
      <c r="HQ28" s="228"/>
      <c r="HR28" s="228"/>
      <c r="HS28" s="228"/>
      <c r="HT28" s="228"/>
      <c r="HU28" s="228"/>
      <c r="HV28" s="228"/>
      <c r="HW28" s="228"/>
      <c r="HX28" s="228"/>
      <c r="HY28" s="228"/>
      <c r="HZ28" s="228"/>
      <c r="IA28" s="228"/>
      <c r="IB28" s="228"/>
      <c r="IC28" s="228"/>
      <c r="ID28" s="228"/>
      <c r="IE28" s="228"/>
      <c r="IF28" s="228"/>
      <c r="IG28" s="228"/>
      <c r="IH28" s="228"/>
      <c r="II28" s="228"/>
      <c r="IJ28" s="228"/>
      <c r="IK28" s="228"/>
      <c r="IL28" s="228"/>
      <c r="IM28" s="228"/>
      <c r="IN28" s="228"/>
      <c r="IO28" s="228"/>
      <c r="IP28" s="228"/>
      <c r="IQ28" s="228"/>
      <c r="IR28" s="228"/>
      <c r="IS28" s="228"/>
      <c r="IT28" s="228"/>
      <c r="IU28" s="228"/>
      <c r="IV28" s="228"/>
      <c r="IW28" s="228"/>
      <c r="IX28" s="228"/>
      <c r="IY28" s="228"/>
      <c r="IZ28" s="228"/>
      <c r="JA28" s="228"/>
      <c r="JB28" s="228"/>
      <c r="JC28" s="228"/>
      <c r="JD28" s="228"/>
      <c r="JE28" s="228"/>
      <c r="JF28" s="228"/>
      <c r="JG28" s="228"/>
      <c r="JH28" s="228"/>
      <c r="JI28" s="228"/>
      <c r="JJ28" s="228"/>
      <c r="JK28" s="228"/>
      <c r="JL28" s="228"/>
      <c r="JM28" s="228"/>
      <c r="JN28" s="228"/>
      <c r="JO28" s="228"/>
      <c r="JP28" s="228"/>
      <c r="JQ28" s="228"/>
      <c r="JR28" s="228"/>
      <c r="JS28" s="228"/>
      <c r="JT28" s="228"/>
      <c r="JU28" s="228"/>
      <c r="JV28" s="228"/>
      <c r="JW28" s="228"/>
      <c r="JX28" s="228"/>
      <c r="JY28" s="228"/>
      <c r="JZ28" s="228"/>
      <c r="KA28" s="228"/>
      <c r="KB28" s="228"/>
      <c r="KC28" s="228"/>
      <c r="KD28" s="228"/>
      <c r="KE28" s="228"/>
      <c r="KF28" s="228"/>
      <c r="KG28" s="228"/>
      <c r="KH28" s="228"/>
      <c r="KI28" s="228"/>
      <c r="KJ28" s="228"/>
      <c r="KK28" s="228"/>
      <c r="KL28" s="228"/>
      <c r="KM28" s="228"/>
      <c r="KN28" s="228"/>
      <c r="KO28" s="228"/>
      <c r="KP28" s="228"/>
      <c r="KQ28" s="228"/>
      <c r="KR28" s="228"/>
      <c r="KS28" s="228"/>
      <c r="KT28" s="228"/>
      <c r="KU28" s="228"/>
      <c r="KV28" s="228"/>
      <c r="KW28" s="228"/>
      <c r="KX28" s="228"/>
      <c r="KY28" s="228"/>
      <c r="KZ28" s="228"/>
      <c r="LA28" s="228"/>
      <c r="LB28" s="228"/>
      <c r="LC28" s="228"/>
      <c r="LD28" s="228"/>
      <c r="LE28" s="228"/>
      <c r="LF28" s="228"/>
      <c r="LG28" s="228"/>
      <c r="LH28" s="228"/>
      <c r="LI28" s="228"/>
      <c r="LJ28" s="228"/>
      <c r="LK28" s="228"/>
      <c r="LL28" s="228"/>
      <c r="LM28" s="228"/>
      <c r="LN28" s="228"/>
      <c r="LO28" s="228"/>
      <c r="LP28" s="228"/>
      <c r="LQ28" s="228"/>
      <c r="LR28" s="228"/>
      <c r="LS28" s="228"/>
      <c r="LT28" s="228"/>
      <c r="LU28" s="228"/>
      <c r="LV28" s="228"/>
      <c r="LW28" s="228"/>
      <c r="LX28" s="228"/>
      <c r="LY28" s="228"/>
      <c r="LZ28" s="228"/>
      <c r="MA28" s="228"/>
      <c r="MB28" s="228"/>
      <c r="MC28" s="228"/>
      <c r="MD28" s="228"/>
      <c r="ME28" s="228"/>
      <c r="MF28" s="228"/>
      <c r="MG28" s="228"/>
      <c r="MH28" s="228"/>
      <c r="MI28" s="228"/>
      <c r="MJ28" s="228"/>
      <c r="MK28" s="228"/>
      <c r="ML28" s="228"/>
      <c r="MM28" s="228"/>
      <c r="MN28" s="228"/>
      <c r="MO28" s="228"/>
      <c r="MP28" s="228"/>
      <c r="MQ28" s="228"/>
      <c r="MR28" s="228"/>
      <c r="MS28" s="228"/>
      <c r="MT28" s="228"/>
      <c r="MU28" s="228"/>
      <c r="MV28" s="228"/>
      <c r="MW28" s="228"/>
      <c r="MX28" s="228"/>
      <c r="MY28" s="228"/>
      <c r="MZ28" s="228"/>
      <c r="NA28" s="228"/>
      <c r="NB28" s="228"/>
      <c r="NC28" s="228"/>
      <c r="ND28" s="228"/>
      <c r="NE28" s="228"/>
      <c r="NF28" s="228"/>
      <c r="NG28" s="228"/>
      <c r="NH28" s="228"/>
      <c r="NI28" s="228"/>
      <c r="NJ28" s="228"/>
      <c r="NK28" s="228"/>
      <c r="NL28" s="228"/>
      <c r="NM28" s="228"/>
      <c r="NN28" s="228"/>
      <c r="NO28" s="228"/>
      <c r="NP28" s="228"/>
      <c r="NQ28" s="228"/>
      <c r="NR28" s="228"/>
      <c r="NS28" s="228"/>
      <c r="NT28" s="228"/>
      <c r="NU28" s="228"/>
      <c r="NV28" s="228"/>
      <c r="NW28" s="228"/>
      <c r="NX28" s="228"/>
      <c r="NY28" s="228"/>
      <c r="NZ28" s="228"/>
      <c r="OA28" s="228"/>
      <c r="OB28" s="228"/>
      <c r="OC28" s="228"/>
      <c r="OD28" s="228"/>
      <c r="OE28" s="228"/>
      <c r="OF28" s="228"/>
      <c r="OG28" s="228"/>
      <c r="OH28" s="228"/>
      <c r="OI28" s="228"/>
      <c r="OJ28" s="228"/>
      <c r="OK28" s="228"/>
      <c r="OL28" s="228"/>
      <c r="OM28" s="228"/>
      <c r="ON28" s="228"/>
      <c r="OO28" s="228"/>
      <c r="OP28" s="228"/>
      <c r="OQ28" s="228"/>
      <c r="OR28" s="228"/>
      <c r="OS28" s="228"/>
      <c r="OT28" s="228"/>
      <c r="OU28" s="228"/>
      <c r="OV28" s="228"/>
      <c r="OW28" s="228"/>
      <c r="OX28" s="228"/>
      <c r="OY28" s="228"/>
      <c r="OZ28" s="228"/>
      <c r="PA28" s="228"/>
      <c r="PB28" s="228"/>
      <c r="PC28" s="228"/>
      <c r="PD28" s="228"/>
      <c r="PE28" s="228"/>
      <c r="PF28" s="228"/>
      <c r="PG28" s="228"/>
      <c r="PH28" s="228"/>
      <c r="PI28" s="228"/>
      <c r="PJ28" s="228"/>
      <c r="PK28" s="228"/>
      <c r="PL28" s="228"/>
      <c r="PM28" s="228"/>
      <c r="PN28" s="228"/>
      <c r="PO28" s="228"/>
      <c r="PP28" s="228"/>
      <c r="PQ28" s="228"/>
      <c r="PR28" s="228"/>
      <c r="PS28" s="228"/>
      <c r="PT28" s="228"/>
      <c r="PU28" s="228"/>
      <c r="PV28" s="228"/>
      <c r="PW28" s="228"/>
      <c r="PX28" s="228"/>
      <c r="PY28" s="228"/>
      <c r="PZ28" s="228"/>
      <c r="QA28" s="228"/>
      <c r="QB28" s="228"/>
      <c r="QC28" s="228"/>
      <c r="QD28" s="228"/>
      <c r="QE28" s="228"/>
      <c r="QF28" s="228"/>
      <c r="QG28" s="228"/>
      <c r="QH28" s="228"/>
      <c r="QI28" s="228"/>
      <c r="QJ28" s="228"/>
      <c r="QK28" s="228"/>
      <c r="QL28" s="228"/>
      <c r="QM28" s="228"/>
      <c r="QN28" s="228"/>
      <c r="QO28" s="228"/>
      <c r="QP28" s="228"/>
      <c r="QQ28" s="228"/>
      <c r="QR28" s="228"/>
      <c r="QS28" s="228"/>
      <c r="QT28" s="228"/>
      <c r="QU28" s="228"/>
      <c r="QV28" s="228"/>
      <c r="QW28" s="228"/>
      <c r="QX28" s="228"/>
      <c r="QY28" s="228"/>
      <c r="QZ28" s="228"/>
      <c r="RA28" s="228"/>
      <c r="RB28" s="228"/>
      <c r="RC28" s="228"/>
      <c r="RD28" s="228"/>
      <c r="RE28" s="228"/>
      <c r="RF28" s="228"/>
      <c r="RG28" s="228"/>
      <c r="RH28" s="228"/>
      <c r="RI28" s="228"/>
      <c r="RJ28" s="228"/>
      <c r="RK28" s="228"/>
      <c r="RL28" s="228"/>
      <c r="RM28" s="228"/>
      <c r="RN28" s="228"/>
      <c r="RO28" s="228"/>
      <c r="RP28" s="228"/>
      <c r="RQ28" s="228"/>
      <c r="RR28" s="228"/>
      <c r="RS28" s="228"/>
      <c r="RT28" s="228"/>
      <c r="RU28" s="228"/>
      <c r="RV28" s="228"/>
      <c r="RW28" s="228"/>
      <c r="RX28" s="228"/>
      <c r="RY28" s="228"/>
      <c r="RZ28" s="228"/>
      <c r="SA28" s="228"/>
      <c r="SB28" s="228"/>
      <c r="SC28" s="228"/>
      <c r="SD28" s="228"/>
      <c r="SE28" s="228"/>
      <c r="SF28" s="228"/>
      <c r="SG28" s="228"/>
    </row>
    <row r="29" spans="2:501" ht="69.75" customHeight="1">
      <c r="C29" s="227" t="s">
        <v>1838</v>
      </c>
      <c r="D29" s="225" t="s">
        <v>1839</v>
      </c>
      <c r="E29" s="225" t="s">
        <v>1840</v>
      </c>
      <c r="F29" s="225" t="s">
        <v>1841</v>
      </c>
      <c r="G29" s="225" t="s">
        <v>1342</v>
      </c>
      <c r="H29" s="225" t="s">
        <v>1741</v>
      </c>
      <c r="I29" s="226" t="s">
        <v>1842</v>
      </c>
      <c r="J29" s="226" t="s">
        <v>1843</v>
      </c>
      <c r="K29" s="225" t="s">
        <v>1844</v>
      </c>
      <c r="L29" s="225" t="s">
        <v>1792</v>
      </c>
      <c r="M29" s="226" t="s">
        <v>1845</v>
      </c>
      <c r="N29" s="228"/>
      <c r="O29" s="228"/>
      <c r="P29" s="228"/>
      <c r="Q29" s="228"/>
      <c r="R29" s="228"/>
      <c r="S29" s="228"/>
      <c r="T29" s="228"/>
      <c r="U29" s="228"/>
      <c r="V29" s="228"/>
      <c r="W29" s="228"/>
      <c r="X29" s="228"/>
      <c r="Y29" s="228"/>
      <c r="Z29" s="228"/>
      <c r="AA29" s="228"/>
      <c r="AB29" s="228"/>
      <c r="AC29" s="228"/>
      <c r="AD29" s="228"/>
      <c r="AE29" s="228"/>
      <c r="AF29" s="228"/>
      <c r="AG29" s="228"/>
      <c r="AH29" s="228"/>
      <c r="AI29" s="228"/>
      <c r="AJ29" s="228"/>
      <c r="AK29" s="228"/>
      <c r="AL29" s="228"/>
      <c r="AM29" s="228"/>
      <c r="AN29" s="228"/>
      <c r="AO29" s="228"/>
      <c r="AP29" s="228"/>
      <c r="AQ29" s="228"/>
      <c r="AR29" s="228"/>
      <c r="AS29" s="228"/>
      <c r="AT29" s="228"/>
      <c r="AU29" s="228"/>
      <c r="AV29" s="228"/>
      <c r="AW29" s="228"/>
      <c r="AX29" s="228"/>
      <c r="AY29" s="228"/>
      <c r="AZ29" s="228"/>
      <c r="BA29" s="228"/>
      <c r="BB29" s="228"/>
      <c r="BC29" s="228"/>
      <c r="BD29" s="228"/>
      <c r="BE29" s="228"/>
      <c r="BF29" s="228"/>
      <c r="BG29" s="228"/>
      <c r="BH29" s="228"/>
      <c r="BI29" s="228"/>
      <c r="BJ29" s="228"/>
      <c r="BK29" s="228"/>
      <c r="BL29" s="228"/>
      <c r="BM29" s="228"/>
      <c r="BN29" s="228"/>
      <c r="BO29" s="228"/>
      <c r="BP29" s="228"/>
      <c r="BQ29" s="228"/>
      <c r="BR29" s="228"/>
      <c r="BS29" s="228"/>
      <c r="BT29" s="228"/>
      <c r="BU29" s="228"/>
      <c r="BV29" s="228"/>
      <c r="BW29" s="228"/>
      <c r="BX29" s="228"/>
      <c r="BY29" s="228"/>
      <c r="BZ29" s="228"/>
      <c r="CA29" s="228"/>
      <c r="CB29" s="228"/>
      <c r="CC29" s="228"/>
      <c r="CD29" s="228"/>
      <c r="CE29" s="228"/>
      <c r="CF29" s="228"/>
      <c r="CG29" s="228"/>
      <c r="CH29" s="228"/>
      <c r="CI29" s="228"/>
      <c r="CJ29" s="228"/>
      <c r="CK29" s="228"/>
      <c r="CL29" s="228"/>
      <c r="CM29" s="228"/>
      <c r="CN29" s="228"/>
      <c r="CO29" s="228"/>
      <c r="CP29" s="228"/>
      <c r="CQ29" s="228"/>
      <c r="CR29" s="228"/>
      <c r="CS29" s="228"/>
      <c r="CT29" s="228"/>
      <c r="CU29" s="228"/>
      <c r="CV29" s="228"/>
      <c r="CW29" s="228"/>
      <c r="CX29" s="228"/>
      <c r="CY29" s="228"/>
      <c r="CZ29" s="228"/>
      <c r="DA29" s="228"/>
      <c r="DB29" s="228"/>
      <c r="DC29" s="228"/>
      <c r="DD29" s="228"/>
      <c r="DE29" s="228"/>
      <c r="DF29" s="228"/>
      <c r="DG29" s="228"/>
      <c r="DH29" s="228"/>
      <c r="DI29" s="228"/>
      <c r="DJ29" s="228"/>
      <c r="DK29" s="228"/>
      <c r="DL29" s="228"/>
      <c r="DM29" s="228"/>
      <c r="DN29" s="228"/>
      <c r="DO29" s="228"/>
      <c r="DP29" s="228"/>
      <c r="DQ29" s="228"/>
      <c r="DR29" s="228"/>
      <c r="DS29" s="228"/>
      <c r="DT29" s="228"/>
      <c r="DU29" s="228"/>
      <c r="DV29" s="228"/>
      <c r="DW29" s="228"/>
      <c r="DX29" s="228"/>
      <c r="DY29" s="228"/>
      <c r="DZ29" s="228"/>
      <c r="EA29" s="228"/>
      <c r="EB29" s="228"/>
      <c r="EC29" s="228"/>
      <c r="ED29" s="228"/>
      <c r="EE29" s="228"/>
      <c r="EF29" s="228"/>
      <c r="EG29" s="228"/>
      <c r="EH29" s="228"/>
      <c r="EI29" s="228"/>
      <c r="EJ29" s="228"/>
      <c r="EK29" s="228"/>
      <c r="EL29" s="228"/>
      <c r="EM29" s="228"/>
      <c r="EN29" s="228"/>
      <c r="EO29" s="228"/>
      <c r="EP29" s="228"/>
      <c r="EQ29" s="228"/>
      <c r="ER29" s="228"/>
      <c r="ES29" s="228"/>
      <c r="ET29" s="228"/>
      <c r="EU29" s="228"/>
      <c r="EV29" s="228"/>
      <c r="EW29" s="228"/>
      <c r="EX29" s="228"/>
      <c r="EY29" s="228"/>
      <c r="EZ29" s="228"/>
      <c r="FA29" s="228"/>
      <c r="FB29" s="228"/>
      <c r="FC29" s="228"/>
      <c r="FD29" s="228"/>
      <c r="FE29" s="228"/>
      <c r="FF29" s="228"/>
      <c r="FG29" s="228"/>
      <c r="FH29" s="228"/>
      <c r="FI29" s="228"/>
      <c r="FJ29" s="228"/>
      <c r="FK29" s="228"/>
      <c r="FL29" s="228"/>
      <c r="FM29" s="228"/>
      <c r="FN29" s="228"/>
      <c r="FO29" s="228"/>
      <c r="FP29" s="228"/>
      <c r="FQ29" s="228"/>
      <c r="FR29" s="228"/>
      <c r="FS29" s="228"/>
      <c r="FT29" s="228"/>
      <c r="FU29" s="228"/>
      <c r="FV29" s="228"/>
      <c r="FW29" s="228"/>
      <c r="FX29" s="228"/>
      <c r="FY29" s="228"/>
      <c r="FZ29" s="228"/>
      <c r="GA29" s="228"/>
      <c r="GB29" s="228"/>
      <c r="GC29" s="228"/>
      <c r="GD29" s="228"/>
      <c r="GE29" s="228"/>
      <c r="GF29" s="228"/>
      <c r="GG29" s="228"/>
      <c r="GH29" s="228"/>
      <c r="GI29" s="228"/>
      <c r="GJ29" s="228"/>
      <c r="GK29" s="228"/>
      <c r="GL29" s="228"/>
      <c r="GM29" s="228"/>
      <c r="GN29" s="228"/>
      <c r="GO29" s="228"/>
      <c r="GP29" s="228"/>
      <c r="GQ29" s="228"/>
      <c r="GR29" s="228"/>
      <c r="GS29" s="228"/>
      <c r="GT29" s="228"/>
      <c r="GU29" s="228"/>
      <c r="GV29" s="228"/>
      <c r="GW29" s="228"/>
      <c r="GX29" s="228"/>
      <c r="GY29" s="228"/>
      <c r="GZ29" s="228"/>
      <c r="HA29" s="228"/>
      <c r="HB29" s="228"/>
      <c r="HC29" s="228"/>
      <c r="HD29" s="228"/>
      <c r="HE29" s="228"/>
      <c r="HF29" s="228"/>
      <c r="HG29" s="228"/>
      <c r="HH29" s="228"/>
      <c r="HI29" s="228"/>
      <c r="HJ29" s="228"/>
      <c r="HK29" s="228"/>
      <c r="HL29" s="228"/>
      <c r="HM29" s="228"/>
      <c r="HN29" s="228"/>
      <c r="HO29" s="228"/>
      <c r="HP29" s="228"/>
      <c r="HQ29" s="228"/>
      <c r="HR29" s="228"/>
      <c r="HS29" s="228"/>
      <c r="HT29" s="228"/>
      <c r="HU29" s="228"/>
      <c r="HV29" s="228"/>
      <c r="HW29" s="228"/>
      <c r="HX29" s="228"/>
      <c r="HY29" s="228"/>
      <c r="HZ29" s="228"/>
      <c r="IA29" s="228"/>
      <c r="IB29" s="228"/>
      <c r="IC29" s="228"/>
      <c r="ID29" s="228"/>
      <c r="IE29" s="228"/>
      <c r="IF29" s="228"/>
      <c r="IG29" s="228"/>
      <c r="IH29" s="228"/>
      <c r="II29" s="228"/>
      <c r="IJ29" s="228"/>
      <c r="IK29" s="228"/>
      <c r="IL29" s="228"/>
      <c r="IM29" s="228"/>
      <c r="IN29" s="228"/>
      <c r="IO29" s="228"/>
      <c r="IP29" s="228"/>
      <c r="IQ29" s="228"/>
      <c r="IR29" s="228"/>
      <c r="IS29" s="228"/>
      <c r="IT29" s="228"/>
      <c r="IU29" s="228"/>
      <c r="IV29" s="228"/>
      <c r="IW29" s="228"/>
      <c r="IX29" s="228"/>
      <c r="IY29" s="228"/>
      <c r="IZ29" s="228"/>
      <c r="JA29" s="228"/>
      <c r="JB29" s="228"/>
      <c r="JC29" s="228"/>
      <c r="JD29" s="228"/>
      <c r="JE29" s="228"/>
      <c r="JF29" s="228"/>
      <c r="JG29" s="228"/>
      <c r="JH29" s="228"/>
      <c r="JI29" s="228"/>
      <c r="JJ29" s="228"/>
      <c r="JK29" s="228"/>
      <c r="JL29" s="228"/>
      <c r="JM29" s="228"/>
      <c r="JN29" s="228"/>
      <c r="JO29" s="228"/>
      <c r="JP29" s="228"/>
      <c r="JQ29" s="228"/>
      <c r="JR29" s="228"/>
      <c r="JS29" s="228"/>
      <c r="JT29" s="228"/>
      <c r="JU29" s="228"/>
      <c r="JV29" s="228"/>
      <c r="JW29" s="228"/>
      <c r="JX29" s="228"/>
      <c r="JY29" s="228"/>
      <c r="JZ29" s="228"/>
      <c r="KA29" s="228"/>
      <c r="KB29" s="228"/>
      <c r="KC29" s="228"/>
      <c r="KD29" s="228"/>
      <c r="KE29" s="228"/>
      <c r="KF29" s="228"/>
      <c r="KG29" s="228"/>
      <c r="KH29" s="228"/>
      <c r="KI29" s="228"/>
      <c r="KJ29" s="228"/>
      <c r="KK29" s="228"/>
      <c r="KL29" s="228"/>
      <c r="KM29" s="228"/>
      <c r="KN29" s="228"/>
      <c r="KO29" s="228"/>
      <c r="KP29" s="228"/>
      <c r="KQ29" s="228"/>
      <c r="KR29" s="228"/>
      <c r="KS29" s="228"/>
      <c r="KT29" s="228"/>
      <c r="KU29" s="228"/>
      <c r="KV29" s="228"/>
      <c r="KW29" s="228"/>
      <c r="KX29" s="228"/>
      <c r="KY29" s="228"/>
      <c r="KZ29" s="228"/>
      <c r="LA29" s="228"/>
      <c r="LB29" s="228"/>
      <c r="LC29" s="228"/>
      <c r="LD29" s="228"/>
      <c r="LE29" s="228"/>
      <c r="LF29" s="228"/>
      <c r="LG29" s="228"/>
      <c r="LH29" s="228"/>
      <c r="LI29" s="228"/>
      <c r="LJ29" s="228"/>
      <c r="LK29" s="228"/>
      <c r="LL29" s="228"/>
      <c r="LM29" s="228"/>
      <c r="LN29" s="228"/>
      <c r="LO29" s="228"/>
      <c r="LP29" s="228"/>
      <c r="LQ29" s="228"/>
      <c r="LR29" s="228"/>
      <c r="LS29" s="228"/>
      <c r="LT29" s="228"/>
      <c r="LU29" s="228"/>
      <c r="LV29" s="228"/>
      <c r="LW29" s="228"/>
      <c r="LX29" s="228"/>
      <c r="LY29" s="228"/>
      <c r="LZ29" s="228"/>
      <c r="MA29" s="228"/>
      <c r="MB29" s="228"/>
      <c r="MC29" s="228"/>
      <c r="MD29" s="228"/>
      <c r="ME29" s="228"/>
      <c r="MF29" s="228"/>
      <c r="MG29" s="228"/>
      <c r="MH29" s="228"/>
      <c r="MI29" s="228"/>
      <c r="MJ29" s="228"/>
      <c r="MK29" s="228"/>
      <c r="ML29" s="228"/>
      <c r="MM29" s="228"/>
      <c r="MN29" s="228"/>
      <c r="MO29" s="228"/>
      <c r="MP29" s="228"/>
      <c r="MQ29" s="228"/>
      <c r="MR29" s="228"/>
      <c r="MS29" s="228"/>
      <c r="MT29" s="228"/>
      <c r="MU29" s="228"/>
      <c r="MV29" s="228"/>
      <c r="MW29" s="228"/>
      <c r="MX29" s="228"/>
      <c r="MY29" s="228"/>
      <c r="MZ29" s="228"/>
      <c r="NA29" s="228"/>
      <c r="NB29" s="228"/>
      <c r="NC29" s="228"/>
      <c r="ND29" s="228"/>
      <c r="NE29" s="228"/>
      <c r="NF29" s="228"/>
      <c r="NG29" s="228"/>
      <c r="NH29" s="228"/>
      <c r="NI29" s="228"/>
      <c r="NJ29" s="228"/>
      <c r="NK29" s="228"/>
      <c r="NL29" s="228"/>
      <c r="NM29" s="228"/>
      <c r="NN29" s="228"/>
      <c r="NO29" s="228"/>
      <c r="NP29" s="228"/>
      <c r="NQ29" s="228"/>
      <c r="NR29" s="228"/>
      <c r="NS29" s="228"/>
      <c r="NT29" s="228"/>
      <c r="NU29" s="228"/>
      <c r="NV29" s="228"/>
      <c r="NW29" s="228"/>
      <c r="NX29" s="228"/>
      <c r="NY29" s="228"/>
      <c r="NZ29" s="228"/>
      <c r="OA29" s="228"/>
      <c r="OB29" s="228"/>
      <c r="OC29" s="228"/>
      <c r="OD29" s="228"/>
      <c r="OE29" s="228"/>
      <c r="OF29" s="228"/>
      <c r="OG29" s="228"/>
      <c r="OH29" s="228"/>
      <c r="OI29" s="228"/>
      <c r="OJ29" s="228"/>
      <c r="OK29" s="228"/>
      <c r="OL29" s="228"/>
      <c r="OM29" s="228"/>
      <c r="ON29" s="228"/>
      <c r="OO29" s="228"/>
      <c r="OP29" s="228"/>
      <c r="OQ29" s="228"/>
      <c r="OR29" s="228"/>
      <c r="OS29" s="228"/>
      <c r="OT29" s="228"/>
      <c r="OU29" s="228"/>
      <c r="OV29" s="228"/>
      <c r="OW29" s="228"/>
      <c r="OX29" s="228"/>
      <c r="OY29" s="228"/>
      <c r="OZ29" s="228"/>
      <c r="PA29" s="228"/>
      <c r="PB29" s="228"/>
      <c r="PC29" s="228"/>
      <c r="PD29" s="228"/>
      <c r="PE29" s="228"/>
      <c r="PF29" s="228"/>
      <c r="PG29" s="228"/>
      <c r="PH29" s="228"/>
      <c r="PI29" s="228"/>
      <c r="PJ29" s="228"/>
      <c r="PK29" s="228"/>
      <c r="PL29" s="228"/>
      <c r="PM29" s="228"/>
      <c r="PN29" s="228"/>
      <c r="PO29" s="228"/>
      <c r="PP29" s="228"/>
      <c r="PQ29" s="228"/>
      <c r="PR29" s="228"/>
      <c r="PS29" s="228"/>
      <c r="PT29" s="228"/>
      <c r="PU29" s="228"/>
      <c r="PV29" s="228"/>
      <c r="PW29" s="228"/>
      <c r="PX29" s="228"/>
      <c r="PY29" s="228"/>
      <c r="PZ29" s="228"/>
      <c r="QA29" s="228"/>
      <c r="QB29" s="228"/>
      <c r="QC29" s="228"/>
      <c r="QD29" s="228"/>
      <c r="QE29" s="228"/>
      <c r="QF29" s="228"/>
      <c r="QG29" s="228"/>
      <c r="QH29" s="228"/>
      <c r="QI29" s="228"/>
      <c r="QJ29" s="228"/>
      <c r="QK29" s="228"/>
      <c r="QL29" s="228"/>
      <c r="QM29" s="228"/>
      <c r="QN29" s="228"/>
      <c r="QO29" s="228"/>
      <c r="QP29" s="228"/>
      <c r="QQ29" s="228"/>
      <c r="QR29" s="228"/>
      <c r="QS29" s="228"/>
      <c r="QT29" s="228"/>
      <c r="QU29" s="228"/>
      <c r="QV29" s="228"/>
      <c r="QW29" s="228"/>
      <c r="QX29" s="228"/>
      <c r="QY29" s="228"/>
      <c r="QZ29" s="228"/>
      <c r="RA29" s="228"/>
      <c r="RB29" s="228"/>
      <c r="RC29" s="228"/>
      <c r="RD29" s="228"/>
      <c r="RE29" s="228"/>
      <c r="RF29" s="228"/>
      <c r="RG29" s="228"/>
      <c r="RH29" s="228"/>
      <c r="RI29" s="228"/>
      <c r="RJ29" s="228"/>
      <c r="RK29" s="228"/>
      <c r="RL29" s="228"/>
      <c r="RM29" s="228"/>
      <c r="RN29" s="228"/>
      <c r="RO29" s="228"/>
      <c r="RP29" s="228"/>
      <c r="RQ29" s="228"/>
      <c r="RR29" s="228"/>
      <c r="RS29" s="228"/>
      <c r="RT29" s="228"/>
      <c r="RU29" s="228"/>
      <c r="RV29" s="228"/>
      <c r="RW29" s="228"/>
      <c r="RX29" s="228"/>
      <c r="RY29" s="228"/>
      <c r="RZ29" s="228"/>
      <c r="SA29" s="228"/>
      <c r="SB29" s="228"/>
      <c r="SC29" s="228"/>
      <c r="SD29" s="228"/>
      <c r="SE29" s="228"/>
      <c r="SF29" s="228"/>
      <c r="SG29" s="228"/>
    </row>
    <row r="30" spans="2:501" ht="336" customHeight="1">
      <c r="C30" s="227" t="s">
        <v>1846</v>
      </c>
      <c r="D30" s="225" t="s">
        <v>1847</v>
      </c>
      <c r="E30" s="225" t="s">
        <v>1848</v>
      </c>
      <c r="F30" s="225" t="s">
        <v>1849</v>
      </c>
      <c r="G30" s="225" t="s">
        <v>1342</v>
      </c>
      <c r="H30" s="225" t="s">
        <v>1741</v>
      </c>
      <c r="I30" s="226" t="s">
        <v>1850</v>
      </c>
      <c r="J30" s="226" t="s">
        <v>1829</v>
      </c>
      <c r="K30" s="225" t="s">
        <v>1844</v>
      </c>
      <c r="L30" s="225" t="s">
        <v>1760</v>
      </c>
      <c r="M30" s="226" t="s">
        <v>1851</v>
      </c>
      <c r="N30" s="228"/>
      <c r="O30" s="228"/>
      <c r="P30" s="228"/>
      <c r="Q30" s="228"/>
      <c r="R30" s="228"/>
      <c r="S30" s="228"/>
      <c r="T30" s="228"/>
      <c r="U30" s="228"/>
      <c r="V30" s="228"/>
      <c r="W30" s="228"/>
      <c r="X30" s="228"/>
      <c r="Y30" s="228"/>
      <c r="Z30" s="228"/>
      <c r="AA30" s="228"/>
      <c r="AB30" s="228"/>
      <c r="AC30" s="228"/>
      <c r="AD30" s="228"/>
      <c r="AE30" s="228"/>
      <c r="AF30" s="228"/>
      <c r="AG30" s="228"/>
      <c r="AH30" s="228"/>
      <c r="AI30" s="228"/>
      <c r="AJ30" s="228"/>
      <c r="AK30" s="228"/>
      <c r="AL30" s="228"/>
      <c r="AM30" s="228"/>
      <c r="AN30" s="228"/>
      <c r="AO30" s="228"/>
      <c r="AP30" s="228"/>
      <c r="AQ30" s="228"/>
      <c r="AR30" s="228"/>
      <c r="AS30" s="228"/>
      <c r="AT30" s="228"/>
      <c r="AU30" s="228"/>
      <c r="AV30" s="228"/>
      <c r="AW30" s="228"/>
      <c r="AX30" s="228"/>
      <c r="AY30" s="228"/>
      <c r="AZ30" s="228"/>
      <c r="BA30" s="228"/>
      <c r="BB30" s="228"/>
      <c r="BC30" s="228"/>
      <c r="BD30" s="228"/>
      <c r="BE30" s="228"/>
      <c r="BF30" s="228"/>
      <c r="BG30" s="228"/>
      <c r="BH30" s="228"/>
      <c r="BI30" s="228"/>
      <c r="BJ30" s="228"/>
      <c r="BK30" s="228"/>
      <c r="BL30" s="228"/>
      <c r="BM30" s="228"/>
      <c r="BN30" s="228"/>
      <c r="BO30" s="228"/>
      <c r="BP30" s="228"/>
      <c r="BQ30" s="228"/>
      <c r="BR30" s="228"/>
      <c r="BS30" s="228"/>
      <c r="BT30" s="228"/>
      <c r="BU30" s="228"/>
      <c r="BV30" s="228"/>
      <c r="BW30" s="228"/>
      <c r="BX30" s="228"/>
      <c r="BY30" s="228"/>
      <c r="BZ30" s="228"/>
      <c r="CA30" s="228"/>
      <c r="CB30" s="228"/>
      <c r="CC30" s="228"/>
      <c r="CD30" s="228"/>
      <c r="CE30" s="228"/>
      <c r="CF30" s="228"/>
      <c r="CG30" s="228"/>
      <c r="CH30" s="228"/>
      <c r="CI30" s="228"/>
      <c r="CJ30" s="228"/>
      <c r="CK30" s="228"/>
      <c r="CL30" s="228"/>
      <c r="CM30" s="228"/>
      <c r="CN30" s="228"/>
      <c r="CO30" s="228"/>
      <c r="CP30" s="228"/>
      <c r="CQ30" s="228"/>
      <c r="CR30" s="228"/>
      <c r="CS30" s="228"/>
      <c r="CT30" s="228"/>
      <c r="CU30" s="228"/>
      <c r="CV30" s="228"/>
      <c r="CW30" s="228"/>
      <c r="CX30" s="228"/>
      <c r="CY30" s="228"/>
      <c r="CZ30" s="228"/>
      <c r="DA30" s="228"/>
      <c r="DB30" s="228"/>
      <c r="DC30" s="228"/>
      <c r="DD30" s="228"/>
      <c r="DE30" s="228"/>
      <c r="DF30" s="228"/>
      <c r="DG30" s="228"/>
      <c r="DH30" s="228"/>
      <c r="DI30" s="228"/>
      <c r="DJ30" s="228"/>
      <c r="DK30" s="228"/>
      <c r="DL30" s="228"/>
      <c r="DM30" s="228"/>
      <c r="DN30" s="228"/>
      <c r="DO30" s="228"/>
      <c r="DP30" s="228"/>
      <c r="DQ30" s="228"/>
      <c r="DR30" s="228"/>
      <c r="DS30" s="228"/>
      <c r="DT30" s="228"/>
      <c r="DU30" s="228"/>
      <c r="DV30" s="228"/>
      <c r="DW30" s="228"/>
      <c r="DX30" s="228"/>
      <c r="DY30" s="228"/>
      <c r="DZ30" s="228"/>
      <c r="EA30" s="228"/>
      <c r="EB30" s="228"/>
      <c r="EC30" s="228"/>
      <c r="ED30" s="228"/>
      <c r="EE30" s="228"/>
      <c r="EF30" s="228"/>
      <c r="EG30" s="228"/>
      <c r="EH30" s="228"/>
      <c r="EI30" s="228"/>
      <c r="EJ30" s="228"/>
      <c r="EK30" s="228"/>
      <c r="EL30" s="228"/>
      <c r="EM30" s="228"/>
      <c r="EN30" s="228"/>
      <c r="EO30" s="228"/>
      <c r="EP30" s="228"/>
      <c r="EQ30" s="228"/>
      <c r="ER30" s="228"/>
      <c r="ES30" s="228"/>
      <c r="ET30" s="228"/>
      <c r="EU30" s="228"/>
      <c r="EV30" s="228"/>
      <c r="EW30" s="228"/>
      <c r="EX30" s="228"/>
      <c r="EY30" s="228"/>
      <c r="EZ30" s="228"/>
      <c r="FA30" s="228"/>
      <c r="FB30" s="228"/>
      <c r="FC30" s="228"/>
      <c r="FD30" s="228"/>
      <c r="FE30" s="228"/>
      <c r="FF30" s="228"/>
      <c r="FG30" s="228"/>
      <c r="FH30" s="228"/>
      <c r="FI30" s="228"/>
      <c r="FJ30" s="228"/>
      <c r="FK30" s="228"/>
      <c r="FL30" s="228"/>
      <c r="FM30" s="228"/>
      <c r="FN30" s="228"/>
      <c r="FO30" s="228"/>
      <c r="FP30" s="228"/>
      <c r="FQ30" s="228"/>
      <c r="FR30" s="228"/>
      <c r="FS30" s="228"/>
      <c r="FT30" s="228"/>
      <c r="FU30" s="228"/>
      <c r="FV30" s="228"/>
      <c r="FW30" s="228"/>
      <c r="FX30" s="228"/>
      <c r="FY30" s="228"/>
      <c r="FZ30" s="228"/>
      <c r="GA30" s="228"/>
      <c r="GB30" s="228"/>
      <c r="GC30" s="228"/>
      <c r="GD30" s="228"/>
      <c r="GE30" s="228"/>
      <c r="GF30" s="228"/>
      <c r="GG30" s="228"/>
      <c r="GH30" s="228"/>
      <c r="GI30" s="228"/>
      <c r="GJ30" s="228"/>
      <c r="GK30" s="228"/>
      <c r="GL30" s="228"/>
      <c r="GM30" s="228"/>
      <c r="GN30" s="228"/>
      <c r="GO30" s="228"/>
      <c r="GP30" s="228"/>
      <c r="GQ30" s="228"/>
      <c r="GR30" s="228"/>
      <c r="GS30" s="228"/>
      <c r="GT30" s="228"/>
      <c r="GU30" s="228"/>
      <c r="GV30" s="228"/>
      <c r="GW30" s="228"/>
      <c r="GX30" s="228"/>
      <c r="GY30" s="228"/>
      <c r="GZ30" s="228"/>
      <c r="HA30" s="228"/>
      <c r="HB30" s="228"/>
      <c r="HC30" s="228"/>
      <c r="HD30" s="228"/>
      <c r="HE30" s="228"/>
      <c r="HF30" s="228"/>
      <c r="HG30" s="228"/>
      <c r="HH30" s="228"/>
      <c r="HI30" s="228"/>
      <c r="HJ30" s="228"/>
      <c r="HK30" s="228"/>
      <c r="HL30" s="228"/>
      <c r="HM30" s="228"/>
      <c r="HN30" s="228"/>
      <c r="HO30" s="228"/>
      <c r="HP30" s="228"/>
      <c r="HQ30" s="228"/>
      <c r="HR30" s="228"/>
      <c r="HS30" s="228"/>
      <c r="HT30" s="228"/>
      <c r="HU30" s="228"/>
      <c r="HV30" s="228"/>
      <c r="HW30" s="228"/>
      <c r="HX30" s="228"/>
      <c r="HY30" s="228"/>
      <c r="HZ30" s="228"/>
      <c r="IA30" s="228"/>
      <c r="IB30" s="228"/>
      <c r="IC30" s="228"/>
      <c r="ID30" s="228"/>
      <c r="IE30" s="228"/>
      <c r="IF30" s="228"/>
      <c r="IG30" s="228"/>
      <c r="IH30" s="228"/>
      <c r="II30" s="228"/>
      <c r="IJ30" s="228"/>
      <c r="IK30" s="228"/>
      <c r="IL30" s="228"/>
      <c r="IM30" s="228"/>
      <c r="IN30" s="228"/>
      <c r="IO30" s="228"/>
      <c r="IP30" s="228"/>
      <c r="IQ30" s="228"/>
      <c r="IR30" s="228"/>
      <c r="IS30" s="228"/>
      <c r="IT30" s="228"/>
      <c r="IU30" s="228"/>
      <c r="IV30" s="228"/>
      <c r="IW30" s="228"/>
      <c r="IX30" s="228"/>
      <c r="IY30" s="228"/>
      <c r="IZ30" s="228"/>
      <c r="JA30" s="228"/>
      <c r="JB30" s="228"/>
      <c r="JC30" s="228"/>
      <c r="JD30" s="228"/>
      <c r="JE30" s="228"/>
      <c r="JF30" s="228"/>
      <c r="JG30" s="228"/>
      <c r="JH30" s="228"/>
      <c r="JI30" s="228"/>
      <c r="JJ30" s="228"/>
      <c r="JK30" s="228"/>
      <c r="JL30" s="228"/>
      <c r="JM30" s="228"/>
      <c r="JN30" s="228"/>
      <c r="JO30" s="228"/>
      <c r="JP30" s="228"/>
      <c r="JQ30" s="228"/>
      <c r="JR30" s="228"/>
      <c r="JS30" s="228"/>
      <c r="JT30" s="228"/>
      <c r="JU30" s="228"/>
      <c r="JV30" s="228"/>
      <c r="JW30" s="228"/>
      <c r="JX30" s="228"/>
      <c r="JY30" s="228"/>
      <c r="JZ30" s="228"/>
      <c r="KA30" s="228"/>
      <c r="KB30" s="228"/>
      <c r="KC30" s="228"/>
      <c r="KD30" s="228"/>
      <c r="KE30" s="228"/>
      <c r="KF30" s="228"/>
      <c r="KG30" s="228"/>
      <c r="KH30" s="228"/>
      <c r="KI30" s="228"/>
      <c r="KJ30" s="228"/>
      <c r="KK30" s="228"/>
      <c r="KL30" s="228"/>
      <c r="KM30" s="228"/>
      <c r="KN30" s="228"/>
      <c r="KO30" s="228"/>
      <c r="KP30" s="228"/>
      <c r="KQ30" s="228"/>
      <c r="KR30" s="228"/>
      <c r="KS30" s="228"/>
      <c r="KT30" s="228"/>
      <c r="KU30" s="228"/>
      <c r="KV30" s="228"/>
      <c r="KW30" s="228"/>
      <c r="KX30" s="228"/>
      <c r="KY30" s="228"/>
      <c r="KZ30" s="228"/>
      <c r="LA30" s="228"/>
      <c r="LB30" s="228"/>
      <c r="LC30" s="228"/>
      <c r="LD30" s="228"/>
      <c r="LE30" s="228"/>
      <c r="LF30" s="228"/>
      <c r="LG30" s="228"/>
      <c r="LH30" s="228"/>
      <c r="LI30" s="228"/>
      <c r="LJ30" s="228"/>
      <c r="LK30" s="228"/>
      <c r="LL30" s="228"/>
      <c r="LM30" s="228"/>
      <c r="LN30" s="228"/>
      <c r="LO30" s="228"/>
      <c r="LP30" s="228"/>
      <c r="LQ30" s="228"/>
      <c r="LR30" s="228"/>
      <c r="LS30" s="228"/>
      <c r="LT30" s="228"/>
      <c r="LU30" s="228"/>
      <c r="LV30" s="228"/>
      <c r="LW30" s="228"/>
      <c r="LX30" s="228"/>
      <c r="LY30" s="228"/>
      <c r="LZ30" s="228"/>
      <c r="MA30" s="228"/>
      <c r="MB30" s="228"/>
      <c r="MC30" s="228"/>
      <c r="MD30" s="228"/>
      <c r="ME30" s="228"/>
      <c r="MF30" s="228"/>
      <c r="MG30" s="228"/>
      <c r="MH30" s="228"/>
      <c r="MI30" s="228"/>
      <c r="MJ30" s="228"/>
      <c r="MK30" s="228"/>
      <c r="ML30" s="228"/>
      <c r="MM30" s="228"/>
      <c r="MN30" s="228"/>
      <c r="MO30" s="228"/>
      <c r="MP30" s="228"/>
      <c r="MQ30" s="228"/>
      <c r="MR30" s="228"/>
      <c r="MS30" s="228"/>
      <c r="MT30" s="228"/>
      <c r="MU30" s="228"/>
      <c r="MV30" s="228"/>
      <c r="MW30" s="228"/>
      <c r="MX30" s="228"/>
      <c r="MY30" s="228"/>
      <c r="MZ30" s="228"/>
      <c r="NA30" s="228"/>
      <c r="NB30" s="228"/>
      <c r="NC30" s="228"/>
      <c r="ND30" s="228"/>
      <c r="NE30" s="228"/>
      <c r="NF30" s="228"/>
      <c r="NG30" s="228"/>
      <c r="NH30" s="228"/>
      <c r="NI30" s="228"/>
      <c r="NJ30" s="228"/>
      <c r="NK30" s="228"/>
      <c r="NL30" s="228"/>
      <c r="NM30" s="228"/>
      <c r="NN30" s="228"/>
      <c r="NO30" s="228"/>
      <c r="NP30" s="228"/>
      <c r="NQ30" s="228"/>
      <c r="NR30" s="228"/>
      <c r="NS30" s="228"/>
      <c r="NT30" s="228"/>
      <c r="NU30" s="228"/>
      <c r="NV30" s="228"/>
      <c r="NW30" s="228"/>
      <c r="NX30" s="228"/>
      <c r="NY30" s="228"/>
      <c r="NZ30" s="228"/>
      <c r="OA30" s="228"/>
      <c r="OB30" s="228"/>
      <c r="OC30" s="228"/>
      <c r="OD30" s="228"/>
      <c r="OE30" s="228"/>
      <c r="OF30" s="228"/>
      <c r="OG30" s="228"/>
      <c r="OH30" s="228"/>
      <c r="OI30" s="228"/>
      <c r="OJ30" s="228"/>
      <c r="OK30" s="228"/>
      <c r="OL30" s="228"/>
      <c r="OM30" s="228"/>
      <c r="ON30" s="228"/>
      <c r="OO30" s="228"/>
      <c r="OP30" s="228"/>
      <c r="OQ30" s="228"/>
      <c r="OR30" s="228"/>
      <c r="OS30" s="228"/>
      <c r="OT30" s="228"/>
      <c r="OU30" s="228"/>
      <c r="OV30" s="228"/>
      <c r="OW30" s="228"/>
      <c r="OX30" s="228"/>
      <c r="OY30" s="228"/>
      <c r="OZ30" s="228"/>
      <c r="PA30" s="228"/>
      <c r="PB30" s="228"/>
      <c r="PC30" s="228"/>
      <c r="PD30" s="228"/>
      <c r="PE30" s="228"/>
      <c r="PF30" s="228"/>
      <c r="PG30" s="228"/>
      <c r="PH30" s="228"/>
      <c r="PI30" s="228"/>
      <c r="PJ30" s="228"/>
      <c r="PK30" s="228"/>
      <c r="PL30" s="228"/>
      <c r="PM30" s="228"/>
      <c r="PN30" s="228"/>
      <c r="PO30" s="228"/>
      <c r="PP30" s="228"/>
      <c r="PQ30" s="228"/>
      <c r="PR30" s="228"/>
      <c r="PS30" s="228"/>
      <c r="PT30" s="228"/>
      <c r="PU30" s="228"/>
      <c r="PV30" s="228"/>
      <c r="PW30" s="228"/>
      <c r="PX30" s="228"/>
      <c r="PY30" s="228"/>
      <c r="PZ30" s="228"/>
      <c r="QA30" s="228"/>
      <c r="QB30" s="228"/>
      <c r="QC30" s="228"/>
      <c r="QD30" s="228"/>
      <c r="QE30" s="228"/>
      <c r="QF30" s="228"/>
      <c r="QG30" s="228"/>
      <c r="QH30" s="228"/>
      <c r="QI30" s="228"/>
      <c r="QJ30" s="228"/>
      <c r="QK30" s="228"/>
      <c r="QL30" s="228"/>
      <c r="QM30" s="228"/>
      <c r="QN30" s="228"/>
      <c r="QO30" s="228"/>
      <c r="QP30" s="228"/>
      <c r="QQ30" s="228"/>
      <c r="QR30" s="228"/>
      <c r="QS30" s="228"/>
      <c r="QT30" s="228"/>
      <c r="QU30" s="228"/>
      <c r="QV30" s="228"/>
      <c r="QW30" s="228"/>
      <c r="QX30" s="228"/>
      <c r="QY30" s="228"/>
      <c r="QZ30" s="228"/>
      <c r="RA30" s="228"/>
      <c r="RB30" s="228"/>
      <c r="RC30" s="228"/>
      <c r="RD30" s="228"/>
      <c r="RE30" s="228"/>
      <c r="RF30" s="228"/>
      <c r="RG30" s="228"/>
      <c r="RH30" s="228"/>
      <c r="RI30" s="228"/>
      <c r="RJ30" s="228"/>
      <c r="RK30" s="228"/>
      <c r="RL30" s="228"/>
      <c r="RM30" s="228"/>
      <c r="RN30" s="228"/>
      <c r="RO30" s="228"/>
      <c r="RP30" s="228"/>
      <c r="RQ30" s="228"/>
      <c r="RR30" s="228"/>
      <c r="RS30" s="228"/>
      <c r="RT30" s="228"/>
      <c r="RU30" s="228"/>
      <c r="RV30" s="228"/>
      <c r="RW30" s="228"/>
      <c r="RX30" s="228"/>
      <c r="RY30" s="228"/>
      <c r="RZ30" s="228"/>
      <c r="SA30" s="228"/>
      <c r="SB30" s="228"/>
      <c r="SC30" s="228"/>
      <c r="SD30" s="228"/>
      <c r="SE30" s="228"/>
      <c r="SF30" s="228"/>
      <c r="SG30" s="228"/>
    </row>
    <row r="31" spans="2:501" ht="84" customHeight="1">
      <c r="C31" s="227" t="s">
        <v>1852</v>
      </c>
      <c r="D31" s="225" t="s">
        <v>1853</v>
      </c>
      <c r="E31" s="225" t="s">
        <v>1854</v>
      </c>
      <c r="F31" s="225" t="s">
        <v>1855</v>
      </c>
      <c r="G31" s="225" t="s">
        <v>1740</v>
      </c>
      <c r="H31" s="225" t="s">
        <v>1741</v>
      </c>
      <c r="I31" s="226" t="s">
        <v>1856</v>
      </c>
      <c r="J31" s="226" t="s">
        <v>1740</v>
      </c>
      <c r="K31" s="225" t="s">
        <v>1768</v>
      </c>
      <c r="L31" s="225" t="s">
        <v>1760</v>
      </c>
      <c r="M31" s="226" t="s">
        <v>1857</v>
      </c>
      <c r="N31" s="228"/>
      <c r="O31" s="228"/>
      <c r="P31" s="228"/>
      <c r="Q31" s="228"/>
      <c r="R31" s="228"/>
      <c r="S31" s="228"/>
      <c r="T31" s="228"/>
      <c r="U31" s="228"/>
      <c r="V31" s="228"/>
      <c r="W31" s="228"/>
      <c r="X31" s="228"/>
      <c r="Y31" s="228"/>
      <c r="Z31" s="228"/>
      <c r="AA31" s="228"/>
      <c r="AB31" s="228"/>
      <c r="AC31" s="228"/>
      <c r="AD31" s="228"/>
      <c r="AE31" s="228"/>
      <c r="AF31" s="228"/>
      <c r="AG31" s="228"/>
      <c r="AH31" s="228"/>
      <c r="AI31" s="228"/>
      <c r="AJ31" s="228"/>
      <c r="AK31" s="228"/>
      <c r="AL31" s="228"/>
      <c r="AM31" s="228"/>
      <c r="AN31" s="228"/>
      <c r="AO31" s="228"/>
      <c r="AP31" s="228"/>
      <c r="AQ31" s="228"/>
      <c r="AR31" s="228"/>
      <c r="AS31" s="228"/>
      <c r="AT31" s="228"/>
      <c r="AU31" s="228"/>
      <c r="AV31" s="228"/>
      <c r="AW31" s="228"/>
      <c r="AX31" s="228"/>
      <c r="AY31" s="228"/>
      <c r="AZ31" s="228"/>
      <c r="BA31" s="228"/>
      <c r="BB31" s="228"/>
      <c r="BC31" s="228"/>
      <c r="BD31" s="228"/>
      <c r="BE31" s="228"/>
      <c r="BF31" s="228"/>
      <c r="BG31" s="228"/>
      <c r="BH31" s="228"/>
      <c r="BI31" s="228"/>
      <c r="BJ31" s="228"/>
      <c r="BK31" s="228"/>
      <c r="BL31" s="228"/>
      <c r="BM31" s="228"/>
      <c r="BN31" s="228"/>
      <c r="BO31" s="228"/>
      <c r="BP31" s="228"/>
      <c r="BQ31" s="228"/>
      <c r="BR31" s="228"/>
      <c r="BS31" s="228"/>
      <c r="BT31" s="228"/>
      <c r="BU31" s="228"/>
      <c r="BV31" s="228"/>
      <c r="BW31" s="228"/>
      <c r="BX31" s="228"/>
      <c r="BY31" s="228"/>
      <c r="BZ31" s="228"/>
      <c r="CA31" s="228"/>
      <c r="CB31" s="228"/>
      <c r="CC31" s="228"/>
      <c r="CD31" s="228"/>
      <c r="CE31" s="228"/>
      <c r="CF31" s="228"/>
      <c r="CG31" s="228"/>
      <c r="CH31" s="228"/>
      <c r="CI31" s="228"/>
      <c r="CJ31" s="228"/>
      <c r="CK31" s="228"/>
      <c r="CL31" s="228"/>
      <c r="CM31" s="228"/>
      <c r="CN31" s="228"/>
      <c r="CO31" s="228"/>
      <c r="CP31" s="228"/>
      <c r="CQ31" s="228"/>
      <c r="CR31" s="228"/>
      <c r="CS31" s="228"/>
      <c r="CT31" s="228"/>
      <c r="CU31" s="228"/>
      <c r="CV31" s="228"/>
      <c r="CW31" s="228"/>
      <c r="CX31" s="228"/>
      <c r="CY31" s="228"/>
      <c r="CZ31" s="228"/>
      <c r="DA31" s="228"/>
      <c r="DB31" s="228"/>
      <c r="DC31" s="228"/>
      <c r="DD31" s="228"/>
      <c r="DE31" s="228"/>
      <c r="DF31" s="228"/>
      <c r="DG31" s="228"/>
      <c r="DH31" s="228"/>
      <c r="DI31" s="228"/>
      <c r="DJ31" s="228"/>
      <c r="DK31" s="228"/>
      <c r="DL31" s="228"/>
      <c r="DM31" s="228"/>
      <c r="DN31" s="228"/>
      <c r="DO31" s="228"/>
      <c r="DP31" s="228"/>
      <c r="DQ31" s="228"/>
      <c r="DR31" s="228"/>
      <c r="DS31" s="228"/>
      <c r="DT31" s="228"/>
      <c r="DU31" s="228"/>
      <c r="DV31" s="228"/>
      <c r="DW31" s="228"/>
      <c r="DX31" s="228"/>
      <c r="DY31" s="228"/>
      <c r="DZ31" s="228"/>
      <c r="EA31" s="228"/>
      <c r="EB31" s="228"/>
      <c r="EC31" s="228"/>
      <c r="ED31" s="228"/>
      <c r="EE31" s="228"/>
      <c r="EF31" s="228"/>
      <c r="EG31" s="228"/>
      <c r="EH31" s="228"/>
      <c r="EI31" s="228"/>
      <c r="EJ31" s="228"/>
      <c r="EK31" s="228"/>
      <c r="EL31" s="228"/>
      <c r="EM31" s="228"/>
      <c r="EN31" s="228"/>
      <c r="EO31" s="228"/>
      <c r="EP31" s="228"/>
      <c r="EQ31" s="228"/>
      <c r="ER31" s="228"/>
      <c r="ES31" s="228"/>
      <c r="ET31" s="228"/>
      <c r="EU31" s="228"/>
      <c r="EV31" s="228"/>
      <c r="EW31" s="228"/>
      <c r="EX31" s="228"/>
      <c r="EY31" s="228"/>
      <c r="EZ31" s="228"/>
      <c r="FA31" s="228"/>
      <c r="FB31" s="228"/>
      <c r="FC31" s="228"/>
      <c r="FD31" s="228"/>
      <c r="FE31" s="228"/>
      <c r="FF31" s="228"/>
      <c r="FG31" s="228"/>
      <c r="FH31" s="228"/>
      <c r="FI31" s="228"/>
      <c r="FJ31" s="228"/>
      <c r="FK31" s="228"/>
      <c r="FL31" s="228"/>
      <c r="FM31" s="228"/>
      <c r="FN31" s="228"/>
      <c r="FO31" s="228"/>
      <c r="FP31" s="228"/>
      <c r="FQ31" s="228"/>
      <c r="FR31" s="228"/>
      <c r="FS31" s="228"/>
      <c r="FT31" s="228"/>
      <c r="FU31" s="228"/>
      <c r="FV31" s="228"/>
      <c r="FW31" s="228"/>
      <c r="FX31" s="228"/>
      <c r="FY31" s="228"/>
      <c r="FZ31" s="228"/>
      <c r="GA31" s="228"/>
      <c r="GB31" s="228"/>
      <c r="GC31" s="228"/>
      <c r="GD31" s="228"/>
      <c r="GE31" s="228"/>
      <c r="GF31" s="228"/>
      <c r="GG31" s="228"/>
      <c r="GH31" s="228"/>
      <c r="GI31" s="228"/>
      <c r="GJ31" s="228"/>
      <c r="GK31" s="228"/>
      <c r="GL31" s="228"/>
      <c r="GM31" s="228"/>
      <c r="GN31" s="228"/>
      <c r="GO31" s="228"/>
      <c r="GP31" s="228"/>
      <c r="GQ31" s="228"/>
      <c r="GR31" s="228"/>
      <c r="GS31" s="228"/>
      <c r="GT31" s="228"/>
      <c r="GU31" s="228"/>
      <c r="GV31" s="228"/>
      <c r="GW31" s="228"/>
      <c r="GX31" s="228"/>
      <c r="GY31" s="228"/>
      <c r="GZ31" s="228"/>
      <c r="HA31" s="228"/>
      <c r="HB31" s="228"/>
      <c r="HC31" s="228"/>
      <c r="HD31" s="228"/>
      <c r="HE31" s="228"/>
      <c r="HF31" s="228"/>
      <c r="HG31" s="228"/>
      <c r="HH31" s="228"/>
      <c r="HI31" s="228"/>
      <c r="HJ31" s="228"/>
      <c r="HK31" s="228"/>
      <c r="HL31" s="228"/>
      <c r="HM31" s="228"/>
      <c r="HN31" s="228"/>
      <c r="HO31" s="228"/>
      <c r="HP31" s="228"/>
      <c r="HQ31" s="228"/>
      <c r="HR31" s="228"/>
      <c r="HS31" s="228"/>
      <c r="HT31" s="228"/>
      <c r="HU31" s="228"/>
      <c r="HV31" s="228"/>
      <c r="HW31" s="228"/>
      <c r="HX31" s="228"/>
      <c r="HY31" s="228"/>
      <c r="HZ31" s="228"/>
      <c r="IA31" s="228"/>
      <c r="IB31" s="228"/>
      <c r="IC31" s="228"/>
      <c r="ID31" s="228"/>
      <c r="IE31" s="228"/>
      <c r="IF31" s="228"/>
      <c r="IG31" s="228"/>
      <c r="IH31" s="228"/>
      <c r="II31" s="228"/>
      <c r="IJ31" s="228"/>
      <c r="IK31" s="228"/>
      <c r="IL31" s="228"/>
      <c r="IM31" s="228"/>
      <c r="IN31" s="228"/>
      <c r="IO31" s="228"/>
      <c r="IP31" s="228"/>
      <c r="IQ31" s="228"/>
      <c r="IR31" s="228"/>
      <c r="IS31" s="228"/>
      <c r="IT31" s="228"/>
      <c r="IU31" s="228"/>
      <c r="IV31" s="228"/>
      <c r="IW31" s="228"/>
      <c r="IX31" s="228"/>
      <c r="IY31" s="228"/>
      <c r="IZ31" s="228"/>
      <c r="JA31" s="228"/>
      <c r="JB31" s="228"/>
      <c r="JC31" s="228"/>
      <c r="JD31" s="228"/>
      <c r="JE31" s="228"/>
      <c r="JF31" s="228"/>
      <c r="JG31" s="228"/>
      <c r="JH31" s="228"/>
      <c r="JI31" s="228"/>
      <c r="JJ31" s="228"/>
      <c r="JK31" s="228"/>
      <c r="JL31" s="228"/>
      <c r="JM31" s="228"/>
      <c r="JN31" s="228"/>
      <c r="JO31" s="228"/>
      <c r="JP31" s="228"/>
      <c r="JQ31" s="228"/>
      <c r="JR31" s="228"/>
      <c r="JS31" s="228"/>
      <c r="JT31" s="228"/>
      <c r="JU31" s="228"/>
      <c r="JV31" s="228"/>
      <c r="JW31" s="228"/>
      <c r="JX31" s="228"/>
      <c r="JY31" s="228"/>
      <c r="JZ31" s="228"/>
      <c r="KA31" s="228"/>
      <c r="KB31" s="228"/>
      <c r="KC31" s="228"/>
      <c r="KD31" s="228"/>
      <c r="KE31" s="228"/>
      <c r="KF31" s="228"/>
      <c r="KG31" s="228"/>
      <c r="KH31" s="228"/>
      <c r="KI31" s="228"/>
      <c r="KJ31" s="228"/>
      <c r="KK31" s="228"/>
      <c r="KL31" s="228"/>
      <c r="KM31" s="228"/>
      <c r="KN31" s="228"/>
      <c r="KO31" s="228"/>
      <c r="KP31" s="228"/>
      <c r="KQ31" s="228"/>
      <c r="KR31" s="228"/>
      <c r="KS31" s="228"/>
      <c r="KT31" s="228"/>
      <c r="KU31" s="228"/>
      <c r="KV31" s="228"/>
      <c r="KW31" s="228"/>
      <c r="KX31" s="228"/>
      <c r="KY31" s="228"/>
      <c r="KZ31" s="228"/>
      <c r="LA31" s="228"/>
      <c r="LB31" s="228"/>
      <c r="LC31" s="228"/>
      <c r="LD31" s="228"/>
      <c r="LE31" s="228"/>
      <c r="LF31" s="228"/>
      <c r="LG31" s="228"/>
      <c r="LH31" s="228"/>
      <c r="LI31" s="228"/>
      <c r="LJ31" s="228"/>
      <c r="LK31" s="228"/>
      <c r="LL31" s="228"/>
      <c r="LM31" s="228"/>
      <c r="LN31" s="228"/>
      <c r="LO31" s="228"/>
      <c r="LP31" s="228"/>
      <c r="LQ31" s="228"/>
      <c r="LR31" s="228"/>
      <c r="LS31" s="228"/>
      <c r="LT31" s="228"/>
      <c r="LU31" s="228"/>
      <c r="LV31" s="228"/>
      <c r="LW31" s="228"/>
      <c r="LX31" s="228"/>
      <c r="LY31" s="228"/>
      <c r="LZ31" s="228"/>
      <c r="MA31" s="228"/>
      <c r="MB31" s="228"/>
      <c r="MC31" s="228"/>
      <c r="MD31" s="228"/>
      <c r="ME31" s="228"/>
      <c r="MF31" s="228"/>
      <c r="MG31" s="228"/>
      <c r="MH31" s="228"/>
      <c r="MI31" s="228"/>
      <c r="MJ31" s="228"/>
      <c r="MK31" s="228"/>
      <c r="ML31" s="228"/>
      <c r="MM31" s="228"/>
      <c r="MN31" s="228"/>
      <c r="MO31" s="228"/>
      <c r="MP31" s="228"/>
      <c r="MQ31" s="228"/>
      <c r="MR31" s="228"/>
      <c r="MS31" s="228"/>
      <c r="MT31" s="228"/>
      <c r="MU31" s="228"/>
      <c r="MV31" s="228"/>
      <c r="MW31" s="228"/>
      <c r="MX31" s="228"/>
      <c r="MY31" s="228"/>
      <c r="MZ31" s="228"/>
      <c r="NA31" s="228"/>
      <c r="NB31" s="228"/>
      <c r="NC31" s="228"/>
      <c r="ND31" s="228"/>
      <c r="NE31" s="228"/>
      <c r="NF31" s="228"/>
      <c r="NG31" s="228"/>
      <c r="NH31" s="228"/>
      <c r="NI31" s="228"/>
      <c r="NJ31" s="228"/>
      <c r="NK31" s="228"/>
      <c r="NL31" s="228"/>
      <c r="NM31" s="228"/>
      <c r="NN31" s="228"/>
      <c r="NO31" s="228"/>
      <c r="NP31" s="228"/>
      <c r="NQ31" s="228"/>
      <c r="NR31" s="228"/>
      <c r="NS31" s="228"/>
      <c r="NT31" s="228"/>
      <c r="NU31" s="228"/>
      <c r="NV31" s="228"/>
      <c r="NW31" s="228"/>
      <c r="NX31" s="228"/>
      <c r="NY31" s="228"/>
      <c r="NZ31" s="228"/>
      <c r="OA31" s="228"/>
      <c r="OB31" s="228"/>
      <c r="OC31" s="228"/>
      <c r="OD31" s="228"/>
      <c r="OE31" s="228"/>
      <c r="OF31" s="228"/>
      <c r="OG31" s="228"/>
      <c r="OH31" s="228"/>
      <c r="OI31" s="228"/>
      <c r="OJ31" s="228"/>
      <c r="OK31" s="228"/>
      <c r="OL31" s="228"/>
      <c r="OM31" s="228"/>
      <c r="ON31" s="228"/>
      <c r="OO31" s="228"/>
      <c r="OP31" s="228"/>
      <c r="OQ31" s="228"/>
      <c r="OR31" s="228"/>
      <c r="OS31" s="228"/>
      <c r="OT31" s="228"/>
      <c r="OU31" s="228"/>
      <c r="OV31" s="228"/>
      <c r="OW31" s="228"/>
      <c r="OX31" s="228"/>
      <c r="OY31" s="228"/>
      <c r="OZ31" s="228"/>
      <c r="PA31" s="228"/>
      <c r="PB31" s="228"/>
      <c r="PC31" s="228"/>
      <c r="PD31" s="228"/>
      <c r="PE31" s="228"/>
      <c r="PF31" s="228"/>
      <c r="PG31" s="228"/>
      <c r="PH31" s="228"/>
      <c r="PI31" s="228"/>
      <c r="PJ31" s="228"/>
      <c r="PK31" s="228"/>
      <c r="PL31" s="228"/>
      <c r="PM31" s="228"/>
      <c r="PN31" s="228"/>
      <c r="PO31" s="228"/>
      <c r="PP31" s="228"/>
      <c r="PQ31" s="228"/>
      <c r="PR31" s="228"/>
      <c r="PS31" s="228"/>
      <c r="PT31" s="228"/>
      <c r="PU31" s="228"/>
      <c r="PV31" s="228"/>
      <c r="PW31" s="228"/>
      <c r="PX31" s="228"/>
      <c r="PY31" s="228"/>
      <c r="PZ31" s="228"/>
      <c r="QA31" s="228"/>
      <c r="QB31" s="228"/>
      <c r="QC31" s="228"/>
      <c r="QD31" s="228"/>
      <c r="QE31" s="228"/>
      <c r="QF31" s="228"/>
      <c r="QG31" s="228"/>
      <c r="QH31" s="228"/>
      <c r="QI31" s="228"/>
      <c r="QJ31" s="228"/>
      <c r="QK31" s="228"/>
      <c r="QL31" s="228"/>
      <c r="QM31" s="228"/>
      <c r="QN31" s="228"/>
      <c r="QO31" s="228"/>
      <c r="QP31" s="228"/>
      <c r="QQ31" s="228"/>
      <c r="QR31" s="228"/>
      <c r="QS31" s="228"/>
      <c r="QT31" s="228"/>
      <c r="QU31" s="228"/>
      <c r="QV31" s="228"/>
      <c r="QW31" s="228"/>
      <c r="QX31" s="228"/>
      <c r="QY31" s="228"/>
      <c r="QZ31" s="228"/>
      <c r="RA31" s="228"/>
      <c r="RB31" s="228"/>
      <c r="RC31" s="228"/>
      <c r="RD31" s="228"/>
      <c r="RE31" s="228"/>
      <c r="RF31" s="228"/>
      <c r="RG31" s="228"/>
      <c r="RH31" s="228"/>
      <c r="RI31" s="228"/>
      <c r="RJ31" s="228"/>
      <c r="RK31" s="228"/>
      <c r="RL31" s="228"/>
      <c r="RM31" s="228"/>
      <c r="RN31" s="228"/>
      <c r="RO31" s="228"/>
      <c r="RP31" s="228"/>
      <c r="RQ31" s="228"/>
      <c r="RR31" s="228"/>
      <c r="RS31" s="228"/>
      <c r="RT31" s="228"/>
      <c r="RU31" s="228"/>
      <c r="RV31" s="228"/>
      <c r="RW31" s="228"/>
      <c r="RX31" s="228"/>
      <c r="RY31" s="228"/>
      <c r="RZ31" s="228"/>
      <c r="SA31" s="228"/>
      <c r="SB31" s="228"/>
      <c r="SC31" s="228"/>
      <c r="SD31" s="228"/>
      <c r="SE31" s="228"/>
      <c r="SF31" s="228"/>
      <c r="SG31" s="228"/>
    </row>
    <row r="32" spans="2:501" ht="97.5" customHeight="1">
      <c r="C32" s="227" t="s">
        <v>1858</v>
      </c>
      <c r="D32" s="225" t="s">
        <v>1859</v>
      </c>
      <c r="E32" s="225" t="s">
        <v>1860</v>
      </c>
      <c r="F32" s="225" t="s">
        <v>1861</v>
      </c>
      <c r="G32" s="225" t="s">
        <v>1740</v>
      </c>
      <c r="H32" s="225" t="s">
        <v>1741</v>
      </c>
      <c r="I32" s="226" t="s">
        <v>1862</v>
      </c>
      <c r="J32" s="226" t="s">
        <v>1863</v>
      </c>
      <c r="K32" s="225" t="s">
        <v>1844</v>
      </c>
      <c r="L32" s="225" t="s">
        <v>1792</v>
      </c>
      <c r="M32" s="226" t="s">
        <v>1864</v>
      </c>
      <c r="N32" s="228"/>
      <c r="O32" s="228"/>
      <c r="P32" s="228"/>
      <c r="Q32" s="228"/>
      <c r="R32" s="228"/>
      <c r="S32" s="228"/>
      <c r="T32" s="228"/>
      <c r="U32" s="228"/>
      <c r="V32" s="228"/>
      <c r="W32" s="228"/>
      <c r="X32" s="228"/>
      <c r="Y32" s="228"/>
      <c r="Z32" s="228"/>
      <c r="AA32" s="228"/>
      <c r="AB32" s="228"/>
      <c r="AC32" s="228"/>
      <c r="AD32" s="228"/>
      <c r="AE32" s="228"/>
      <c r="AF32" s="228"/>
      <c r="AG32" s="228"/>
      <c r="AH32" s="228"/>
      <c r="AI32" s="228"/>
      <c r="AJ32" s="228"/>
      <c r="AK32" s="228"/>
      <c r="AL32" s="228"/>
      <c r="AM32" s="228"/>
      <c r="AN32" s="228"/>
      <c r="AO32" s="228"/>
      <c r="AP32" s="228"/>
      <c r="AQ32" s="228"/>
      <c r="AR32" s="228"/>
      <c r="AS32" s="228"/>
      <c r="AT32" s="228"/>
      <c r="AU32" s="228"/>
      <c r="AV32" s="228"/>
      <c r="AW32" s="228"/>
      <c r="AX32" s="228"/>
      <c r="AY32" s="228"/>
      <c r="AZ32" s="228"/>
      <c r="BA32" s="228"/>
      <c r="BB32" s="228"/>
      <c r="BC32" s="228"/>
      <c r="BD32" s="228"/>
      <c r="BE32" s="228"/>
      <c r="BF32" s="228"/>
      <c r="BG32" s="228"/>
      <c r="BH32" s="228"/>
      <c r="BI32" s="228"/>
      <c r="BJ32" s="228"/>
      <c r="BK32" s="228"/>
      <c r="BL32" s="228"/>
      <c r="BM32" s="228"/>
      <c r="BN32" s="228"/>
      <c r="BO32" s="228"/>
      <c r="BP32" s="228"/>
      <c r="BQ32" s="228"/>
      <c r="BR32" s="228"/>
      <c r="BS32" s="228"/>
      <c r="BT32" s="228"/>
      <c r="BU32" s="228"/>
      <c r="BV32" s="228"/>
      <c r="BW32" s="228"/>
      <c r="BX32" s="228"/>
      <c r="BY32" s="228"/>
      <c r="BZ32" s="228"/>
      <c r="CA32" s="228"/>
      <c r="CB32" s="228"/>
      <c r="CC32" s="228"/>
      <c r="CD32" s="228"/>
      <c r="CE32" s="228"/>
      <c r="CF32" s="228"/>
      <c r="CG32" s="228"/>
      <c r="CH32" s="228"/>
      <c r="CI32" s="228"/>
      <c r="CJ32" s="228"/>
      <c r="CK32" s="228"/>
      <c r="CL32" s="228"/>
      <c r="CM32" s="228"/>
      <c r="CN32" s="228"/>
      <c r="CO32" s="228"/>
      <c r="CP32" s="228"/>
      <c r="CQ32" s="228"/>
      <c r="CR32" s="228"/>
      <c r="CS32" s="228"/>
      <c r="CT32" s="228"/>
      <c r="CU32" s="228"/>
      <c r="CV32" s="228"/>
      <c r="CW32" s="228"/>
      <c r="CX32" s="228"/>
      <c r="CY32" s="228"/>
      <c r="CZ32" s="228"/>
      <c r="DA32" s="228"/>
      <c r="DB32" s="228"/>
      <c r="DC32" s="228"/>
      <c r="DD32" s="228"/>
      <c r="DE32" s="228"/>
      <c r="DF32" s="228"/>
      <c r="DG32" s="228"/>
      <c r="DH32" s="228"/>
      <c r="DI32" s="228"/>
      <c r="DJ32" s="228"/>
      <c r="DK32" s="228"/>
      <c r="DL32" s="228"/>
      <c r="DM32" s="228"/>
      <c r="DN32" s="228"/>
      <c r="DO32" s="228"/>
      <c r="DP32" s="228"/>
      <c r="DQ32" s="228"/>
      <c r="DR32" s="228"/>
      <c r="DS32" s="228"/>
      <c r="DT32" s="228"/>
      <c r="DU32" s="228"/>
      <c r="DV32" s="228"/>
      <c r="DW32" s="228"/>
      <c r="DX32" s="228"/>
      <c r="DY32" s="228"/>
      <c r="DZ32" s="228"/>
      <c r="EA32" s="228"/>
      <c r="EB32" s="228"/>
      <c r="EC32" s="228"/>
      <c r="ED32" s="228"/>
      <c r="EE32" s="228"/>
      <c r="EF32" s="228"/>
      <c r="EG32" s="228"/>
      <c r="EH32" s="228"/>
      <c r="EI32" s="228"/>
      <c r="EJ32" s="228"/>
      <c r="EK32" s="228"/>
      <c r="EL32" s="228"/>
      <c r="EM32" s="228"/>
      <c r="EN32" s="228"/>
      <c r="EO32" s="228"/>
      <c r="EP32" s="228"/>
      <c r="EQ32" s="228"/>
      <c r="ER32" s="228"/>
      <c r="ES32" s="228"/>
      <c r="ET32" s="228"/>
      <c r="EU32" s="228"/>
      <c r="EV32" s="228"/>
      <c r="EW32" s="228"/>
      <c r="EX32" s="228"/>
      <c r="EY32" s="228"/>
      <c r="EZ32" s="228"/>
      <c r="FA32" s="228"/>
      <c r="FB32" s="228"/>
      <c r="FC32" s="228"/>
      <c r="FD32" s="228"/>
      <c r="FE32" s="228"/>
      <c r="FF32" s="228"/>
      <c r="FG32" s="228"/>
      <c r="FH32" s="228"/>
      <c r="FI32" s="228"/>
      <c r="FJ32" s="228"/>
      <c r="FK32" s="228"/>
      <c r="FL32" s="228"/>
      <c r="FM32" s="228"/>
      <c r="FN32" s="228"/>
      <c r="FO32" s="228"/>
      <c r="FP32" s="228"/>
      <c r="FQ32" s="228"/>
      <c r="FR32" s="228"/>
      <c r="FS32" s="228"/>
      <c r="FT32" s="228"/>
      <c r="FU32" s="228"/>
      <c r="FV32" s="228"/>
      <c r="FW32" s="228"/>
      <c r="FX32" s="228"/>
      <c r="FY32" s="228"/>
      <c r="FZ32" s="228"/>
      <c r="GA32" s="228"/>
      <c r="GB32" s="228"/>
      <c r="GC32" s="228"/>
      <c r="GD32" s="228"/>
      <c r="GE32" s="228"/>
      <c r="GF32" s="228"/>
      <c r="GG32" s="228"/>
      <c r="GH32" s="228"/>
      <c r="GI32" s="228"/>
      <c r="GJ32" s="228"/>
      <c r="GK32" s="228"/>
      <c r="GL32" s="228"/>
      <c r="GM32" s="228"/>
      <c r="GN32" s="228"/>
      <c r="GO32" s="228"/>
      <c r="GP32" s="228"/>
      <c r="GQ32" s="228"/>
      <c r="GR32" s="228"/>
      <c r="GS32" s="228"/>
      <c r="GT32" s="228"/>
      <c r="GU32" s="228"/>
      <c r="GV32" s="228"/>
      <c r="GW32" s="228"/>
      <c r="GX32" s="228"/>
      <c r="GY32" s="228"/>
      <c r="GZ32" s="228"/>
      <c r="HA32" s="228"/>
      <c r="HB32" s="228"/>
      <c r="HC32" s="228"/>
      <c r="HD32" s="228"/>
      <c r="HE32" s="228"/>
      <c r="HF32" s="228"/>
      <c r="HG32" s="228"/>
      <c r="HH32" s="228"/>
      <c r="HI32" s="228"/>
      <c r="HJ32" s="228"/>
      <c r="HK32" s="228"/>
      <c r="HL32" s="228"/>
      <c r="HM32" s="228"/>
      <c r="HN32" s="228"/>
      <c r="HO32" s="228"/>
      <c r="HP32" s="228"/>
      <c r="HQ32" s="228"/>
      <c r="HR32" s="228"/>
      <c r="HS32" s="228"/>
      <c r="HT32" s="228"/>
      <c r="HU32" s="228"/>
      <c r="HV32" s="228"/>
      <c r="HW32" s="228"/>
      <c r="HX32" s="228"/>
      <c r="HY32" s="228"/>
      <c r="HZ32" s="228"/>
      <c r="IA32" s="228"/>
      <c r="IB32" s="228"/>
      <c r="IC32" s="228"/>
      <c r="ID32" s="228"/>
      <c r="IE32" s="228"/>
      <c r="IF32" s="228"/>
      <c r="IG32" s="228"/>
      <c r="IH32" s="228"/>
      <c r="II32" s="228"/>
      <c r="IJ32" s="228"/>
      <c r="IK32" s="228"/>
      <c r="IL32" s="228"/>
      <c r="IM32" s="228"/>
      <c r="IN32" s="228"/>
      <c r="IO32" s="228"/>
      <c r="IP32" s="228"/>
      <c r="IQ32" s="228"/>
      <c r="IR32" s="228"/>
      <c r="IS32" s="228"/>
      <c r="IT32" s="228"/>
      <c r="IU32" s="228"/>
      <c r="IV32" s="228"/>
      <c r="IW32" s="228"/>
      <c r="IX32" s="228"/>
      <c r="IY32" s="228"/>
      <c r="IZ32" s="228"/>
      <c r="JA32" s="228"/>
      <c r="JB32" s="228"/>
      <c r="JC32" s="228"/>
      <c r="JD32" s="228"/>
      <c r="JE32" s="228"/>
      <c r="JF32" s="228"/>
      <c r="JG32" s="228"/>
      <c r="JH32" s="228"/>
      <c r="JI32" s="228"/>
      <c r="JJ32" s="228"/>
      <c r="JK32" s="228"/>
      <c r="JL32" s="228"/>
      <c r="JM32" s="228"/>
      <c r="JN32" s="228"/>
      <c r="JO32" s="228"/>
      <c r="JP32" s="228"/>
      <c r="JQ32" s="228"/>
      <c r="JR32" s="228"/>
      <c r="JS32" s="228"/>
      <c r="JT32" s="228"/>
      <c r="JU32" s="228"/>
      <c r="JV32" s="228"/>
      <c r="JW32" s="228"/>
      <c r="JX32" s="228"/>
      <c r="JY32" s="228"/>
      <c r="JZ32" s="228"/>
      <c r="KA32" s="228"/>
      <c r="KB32" s="228"/>
      <c r="KC32" s="228"/>
      <c r="KD32" s="228"/>
      <c r="KE32" s="228"/>
      <c r="KF32" s="228"/>
      <c r="KG32" s="228"/>
      <c r="KH32" s="228"/>
      <c r="KI32" s="228"/>
      <c r="KJ32" s="228"/>
      <c r="KK32" s="228"/>
      <c r="KL32" s="228"/>
      <c r="KM32" s="228"/>
      <c r="KN32" s="228"/>
      <c r="KO32" s="228"/>
      <c r="KP32" s="228"/>
      <c r="KQ32" s="228"/>
      <c r="KR32" s="228"/>
      <c r="KS32" s="228"/>
      <c r="KT32" s="228"/>
      <c r="KU32" s="228"/>
      <c r="KV32" s="228"/>
      <c r="KW32" s="228"/>
      <c r="KX32" s="228"/>
      <c r="KY32" s="228"/>
      <c r="KZ32" s="228"/>
      <c r="LA32" s="228"/>
      <c r="LB32" s="228"/>
      <c r="LC32" s="228"/>
      <c r="LD32" s="228"/>
      <c r="LE32" s="228"/>
      <c r="LF32" s="228"/>
      <c r="LG32" s="228"/>
      <c r="LH32" s="228"/>
      <c r="LI32" s="228"/>
      <c r="LJ32" s="228"/>
      <c r="LK32" s="228"/>
      <c r="LL32" s="228"/>
      <c r="LM32" s="228"/>
      <c r="LN32" s="228"/>
      <c r="LO32" s="228"/>
      <c r="LP32" s="228"/>
      <c r="LQ32" s="228"/>
      <c r="LR32" s="228"/>
      <c r="LS32" s="228"/>
      <c r="LT32" s="228"/>
      <c r="LU32" s="228"/>
      <c r="LV32" s="228"/>
      <c r="LW32" s="228"/>
      <c r="LX32" s="228"/>
      <c r="LY32" s="228"/>
      <c r="LZ32" s="228"/>
      <c r="MA32" s="228"/>
      <c r="MB32" s="228"/>
      <c r="MC32" s="228"/>
      <c r="MD32" s="228"/>
      <c r="ME32" s="228"/>
      <c r="MF32" s="228"/>
      <c r="MG32" s="228"/>
      <c r="MH32" s="228"/>
      <c r="MI32" s="228"/>
      <c r="MJ32" s="228"/>
      <c r="MK32" s="228"/>
      <c r="ML32" s="228"/>
      <c r="MM32" s="228"/>
      <c r="MN32" s="228"/>
      <c r="MO32" s="228"/>
      <c r="MP32" s="228"/>
      <c r="MQ32" s="228"/>
      <c r="MR32" s="228"/>
      <c r="MS32" s="228"/>
      <c r="MT32" s="228"/>
      <c r="MU32" s="228"/>
      <c r="MV32" s="228"/>
      <c r="MW32" s="228"/>
      <c r="MX32" s="228"/>
      <c r="MY32" s="228"/>
      <c r="MZ32" s="228"/>
      <c r="NA32" s="228"/>
      <c r="NB32" s="228"/>
      <c r="NC32" s="228"/>
      <c r="ND32" s="228"/>
      <c r="NE32" s="228"/>
      <c r="NF32" s="228"/>
      <c r="NG32" s="228"/>
      <c r="NH32" s="228"/>
      <c r="NI32" s="228"/>
      <c r="NJ32" s="228"/>
      <c r="NK32" s="228"/>
      <c r="NL32" s="228"/>
      <c r="NM32" s="228"/>
      <c r="NN32" s="228"/>
      <c r="NO32" s="228"/>
      <c r="NP32" s="228"/>
      <c r="NQ32" s="228"/>
      <c r="NR32" s="228"/>
      <c r="NS32" s="228"/>
      <c r="NT32" s="228"/>
      <c r="NU32" s="228"/>
      <c r="NV32" s="228"/>
      <c r="NW32" s="228"/>
      <c r="NX32" s="228"/>
      <c r="NY32" s="228"/>
      <c r="NZ32" s="228"/>
      <c r="OA32" s="228"/>
      <c r="OB32" s="228"/>
      <c r="OC32" s="228"/>
      <c r="OD32" s="228"/>
      <c r="OE32" s="228"/>
      <c r="OF32" s="228"/>
      <c r="OG32" s="228"/>
      <c r="OH32" s="228"/>
      <c r="OI32" s="228"/>
      <c r="OJ32" s="228"/>
      <c r="OK32" s="228"/>
      <c r="OL32" s="228"/>
      <c r="OM32" s="228"/>
      <c r="ON32" s="228"/>
      <c r="OO32" s="228"/>
      <c r="OP32" s="228"/>
      <c r="OQ32" s="228"/>
      <c r="OR32" s="228"/>
      <c r="OS32" s="228"/>
      <c r="OT32" s="228"/>
      <c r="OU32" s="228"/>
      <c r="OV32" s="228"/>
      <c r="OW32" s="228"/>
      <c r="OX32" s="228"/>
      <c r="OY32" s="228"/>
      <c r="OZ32" s="228"/>
      <c r="PA32" s="228"/>
      <c r="PB32" s="228"/>
      <c r="PC32" s="228"/>
      <c r="PD32" s="228"/>
      <c r="PE32" s="228"/>
      <c r="PF32" s="228"/>
      <c r="PG32" s="228"/>
      <c r="PH32" s="228"/>
      <c r="PI32" s="228"/>
      <c r="PJ32" s="228"/>
      <c r="PK32" s="228"/>
      <c r="PL32" s="228"/>
      <c r="PM32" s="228"/>
      <c r="PN32" s="228"/>
      <c r="PO32" s="228"/>
      <c r="PP32" s="228"/>
      <c r="PQ32" s="228"/>
      <c r="PR32" s="228"/>
      <c r="PS32" s="228"/>
      <c r="PT32" s="228"/>
      <c r="PU32" s="228"/>
      <c r="PV32" s="228"/>
      <c r="PW32" s="228"/>
      <c r="PX32" s="228"/>
      <c r="PY32" s="228"/>
      <c r="PZ32" s="228"/>
      <c r="QA32" s="228"/>
      <c r="QB32" s="228"/>
      <c r="QC32" s="228"/>
      <c r="QD32" s="228"/>
      <c r="QE32" s="228"/>
      <c r="QF32" s="228"/>
      <c r="QG32" s="228"/>
      <c r="QH32" s="228"/>
      <c r="QI32" s="228"/>
      <c r="QJ32" s="228"/>
      <c r="QK32" s="228"/>
      <c r="QL32" s="228"/>
      <c r="QM32" s="228"/>
      <c r="QN32" s="228"/>
      <c r="QO32" s="228"/>
      <c r="QP32" s="228"/>
      <c r="QQ32" s="228"/>
      <c r="QR32" s="228"/>
      <c r="QS32" s="228"/>
      <c r="QT32" s="228"/>
      <c r="QU32" s="228"/>
      <c r="QV32" s="228"/>
      <c r="QW32" s="228"/>
      <c r="QX32" s="228"/>
      <c r="QY32" s="228"/>
      <c r="QZ32" s="228"/>
      <c r="RA32" s="228"/>
      <c r="RB32" s="228"/>
      <c r="RC32" s="228"/>
      <c r="RD32" s="228"/>
      <c r="RE32" s="228"/>
      <c r="RF32" s="228"/>
      <c r="RG32" s="228"/>
      <c r="RH32" s="228"/>
      <c r="RI32" s="228"/>
      <c r="RJ32" s="228"/>
      <c r="RK32" s="228"/>
      <c r="RL32" s="228"/>
      <c r="RM32" s="228"/>
      <c r="RN32" s="228"/>
      <c r="RO32" s="228"/>
      <c r="RP32" s="228"/>
      <c r="RQ32" s="228"/>
      <c r="RR32" s="228"/>
      <c r="RS32" s="228"/>
      <c r="RT32" s="228"/>
      <c r="RU32" s="228"/>
      <c r="RV32" s="228"/>
      <c r="RW32" s="228"/>
      <c r="RX32" s="228"/>
      <c r="RY32" s="228"/>
      <c r="RZ32" s="228"/>
      <c r="SA32" s="228"/>
      <c r="SB32" s="228"/>
      <c r="SC32" s="228"/>
      <c r="SD32" s="228"/>
      <c r="SE32" s="228"/>
      <c r="SF32" s="228"/>
      <c r="SG32" s="228"/>
    </row>
    <row r="33" spans="2:501" ht="126" customHeight="1">
      <c r="C33" s="227" t="s">
        <v>1865</v>
      </c>
      <c r="D33" s="225" t="s">
        <v>1866</v>
      </c>
      <c r="E33" s="225" t="s">
        <v>1867</v>
      </c>
      <c r="F33" s="225" t="s">
        <v>1868</v>
      </c>
      <c r="G33" s="225" t="s">
        <v>1740</v>
      </c>
      <c r="H33" s="225" t="s">
        <v>1741</v>
      </c>
      <c r="I33" s="226" t="s">
        <v>1869</v>
      </c>
      <c r="J33" s="226" t="s">
        <v>1870</v>
      </c>
      <c r="K33" s="225" t="s">
        <v>1844</v>
      </c>
      <c r="L33" s="225" t="s">
        <v>1760</v>
      </c>
      <c r="M33" s="226" t="s">
        <v>1871</v>
      </c>
      <c r="N33" s="228"/>
      <c r="O33" s="228"/>
      <c r="P33" s="228"/>
      <c r="Q33" s="228"/>
      <c r="R33" s="228"/>
      <c r="S33" s="228"/>
      <c r="T33" s="228"/>
      <c r="U33" s="228"/>
      <c r="V33" s="228"/>
      <c r="W33" s="228"/>
      <c r="X33" s="228"/>
      <c r="Y33" s="228"/>
      <c r="Z33" s="228"/>
      <c r="AA33" s="228"/>
      <c r="AB33" s="228"/>
      <c r="AC33" s="228"/>
      <c r="AD33" s="228"/>
      <c r="AE33" s="228"/>
      <c r="AF33" s="228"/>
      <c r="AG33" s="228"/>
      <c r="AH33" s="228"/>
      <c r="AI33" s="228"/>
      <c r="AJ33" s="228"/>
      <c r="AK33" s="228"/>
      <c r="AL33" s="228"/>
      <c r="AM33" s="228"/>
      <c r="AN33" s="228"/>
      <c r="AO33" s="228"/>
      <c r="AP33" s="228"/>
      <c r="AQ33" s="228"/>
      <c r="AR33" s="228"/>
      <c r="AS33" s="228"/>
      <c r="AT33" s="228"/>
      <c r="AU33" s="228"/>
      <c r="AV33" s="228"/>
      <c r="AW33" s="228"/>
      <c r="AX33" s="228"/>
      <c r="AY33" s="228"/>
      <c r="AZ33" s="228"/>
      <c r="BA33" s="228"/>
      <c r="BB33" s="228"/>
      <c r="BC33" s="228"/>
      <c r="BD33" s="228"/>
      <c r="BE33" s="228"/>
      <c r="BF33" s="228"/>
      <c r="BG33" s="228"/>
      <c r="BH33" s="228"/>
      <c r="BI33" s="228"/>
      <c r="BJ33" s="228"/>
      <c r="BK33" s="228"/>
      <c r="BL33" s="228"/>
      <c r="BM33" s="228"/>
      <c r="BN33" s="228"/>
      <c r="BO33" s="228"/>
      <c r="BP33" s="228"/>
      <c r="BQ33" s="228"/>
      <c r="BR33" s="228"/>
      <c r="BS33" s="228"/>
      <c r="BT33" s="228"/>
      <c r="BU33" s="228"/>
      <c r="BV33" s="228"/>
      <c r="BW33" s="228"/>
      <c r="BX33" s="228"/>
      <c r="BY33" s="228"/>
      <c r="BZ33" s="228"/>
      <c r="CA33" s="228"/>
      <c r="CB33" s="228"/>
      <c r="CC33" s="228"/>
      <c r="CD33" s="228"/>
      <c r="CE33" s="228"/>
      <c r="CF33" s="228"/>
      <c r="CG33" s="228"/>
      <c r="CH33" s="228"/>
      <c r="CI33" s="228"/>
      <c r="CJ33" s="228"/>
      <c r="CK33" s="228"/>
      <c r="CL33" s="228"/>
      <c r="CM33" s="228"/>
      <c r="CN33" s="228"/>
      <c r="CO33" s="228"/>
      <c r="CP33" s="228"/>
      <c r="CQ33" s="228"/>
      <c r="CR33" s="228"/>
      <c r="CS33" s="228"/>
      <c r="CT33" s="228"/>
      <c r="CU33" s="228"/>
      <c r="CV33" s="228"/>
      <c r="CW33" s="228"/>
      <c r="CX33" s="228"/>
      <c r="CY33" s="228"/>
      <c r="CZ33" s="228"/>
      <c r="DA33" s="228"/>
      <c r="DB33" s="228"/>
      <c r="DC33" s="228"/>
      <c r="DD33" s="228"/>
      <c r="DE33" s="228"/>
      <c r="DF33" s="228"/>
      <c r="DG33" s="228"/>
      <c r="DH33" s="228"/>
      <c r="DI33" s="228"/>
      <c r="DJ33" s="228"/>
      <c r="DK33" s="228"/>
      <c r="DL33" s="228"/>
      <c r="DM33" s="228"/>
      <c r="DN33" s="228"/>
      <c r="DO33" s="228"/>
      <c r="DP33" s="228"/>
      <c r="DQ33" s="228"/>
      <c r="DR33" s="228"/>
      <c r="DS33" s="228"/>
      <c r="DT33" s="228"/>
      <c r="DU33" s="228"/>
      <c r="DV33" s="228"/>
      <c r="DW33" s="228"/>
      <c r="DX33" s="228"/>
      <c r="DY33" s="228"/>
      <c r="DZ33" s="228"/>
      <c r="EA33" s="228"/>
      <c r="EB33" s="228"/>
      <c r="EC33" s="228"/>
      <c r="ED33" s="228"/>
      <c r="EE33" s="228"/>
      <c r="EF33" s="228"/>
      <c r="EG33" s="228"/>
      <c r="EH33" s="228"/>
      <c r="EI33" s="228"/>
      <c r="EJ33" s="228"/>
      <c r="EK33" s="228"/>
      <c r="EL33" s="228"/>
      <c r="EM33" s="228"/>
      <c r="EN33" s="228"/>
      <c r="EO33" s="228"/>
      <c r="EP33" s="228"/>
      <c r="EQ33" s="228"/>
      <c r="ER33" s="228"/>
      <c r="ES33" s="228"/>
      <c r="ET33" s="228"/>
      <c r="EU33" s="228"/>
      <c r="EV33" s="228"/>
      <c r="EW33" s="228"/>
      <c r="EX33" s="228"/>
      <c r="EY33" s="228"/>
      <c r="EZ33" s="228"/>
      <c r="FA33" s="228"/>
      <c r="FB33" s="228"/>
      <c r="FC33" s="228"/>
      <c r="FD33" s="228"/>
      <c r="FE33" s="228"/>
      <c r="FF33" s="228"/>
      <c r="FG33" s="228"/>
      <c r="FH33" s="228"/>
      <c r="FI33" s="228"/>
      <c r="FJ33" s="228"/>
      <c r="FK33" s="228"/>
      <c r="FL33" s="228"/>
      <c r="FM33" s="228"/>
      <c r="FN33" s="228"/>
      <c r="FO33" s="228"/>
      <c r="FP33" s="228"/>
      <c r="FQ33" s="228"/>
      <c r="FR33" s="228"/>
      <c r="FS33" s="228"/>
      <c r="FT33" s="228"/>
      <c r="FU33" s="228"/>
      <c r="FV33" s="228"/>
      <c r="FW33" s="228"/>
      <c r="FX33" s="228"/>
      <c r="FY33" s="228"/>
      <c r="FZ33" s="228"/>
      <c r="GA33" s="228"/>
      <c r="GB33" s="228"/>
      <c r="GC33" s="228"/>
      <c r="GD33" s="228"/>
      <c r="GE33" s="228"/>
      <c r="GF33" s="228"/>
      <c r="GG33" s="228"/>
      <c r="GH33" s="228"/>
      <c r="GI33" s="228"/>
      <c r="GJ33" s="228"/>
      <c r="GK33" s="228"/>
      <c r="GL33" s="228"/>
      <c r="GM33" s="228"/>
      <c r="GN33" s="228"/>
      <c r="GO33" s="228"/>
      <c r="GP33" s="228"/>
      <c r="GQ33" s="228"/>
      <c r="GR33" s="228"/>
      <c r="GS33" s="228"/>
      <c r="GT33" s="228"/>
      <c r="GU33" s="228"/>
      <c r="GV33" s="228"/>
      <c r="GW33" s="228"/>
      <c r="GX33" s="228"/>
      <c r="GY33" s="228"/>
      <c r="GZ33" s="228"/>
      <c r="HA33" s="228"/>
      <c r="HB33" s="228"/>
      <c r="HC33" s="228"/>
      <c r="HD33" s="228"/>
      <c r="HE33" s="228"/>
      <c r="HF33" s="228"/>
      <c r="HG33" s="228"/>
      <c r="HH33" s="228"/>
      <c r="HI33" s="228"/>
      <c r="HJ33" s="228"/>
      <c r="HK33" s="228"/>
      <c r="HL33" s="228"/>
      <c r="HM33" s="228"/>
      <c r="HN33" s="228"/>
      <c r="HO33" s="228"/>
      <c r="HP33" s="228"/>
      <c r="HQ33" s="228"/>
      <c r="HR33" s="228"/>
      <c r="HS33" s="228"/>
      <c r="HT33" s="228"/>
      <c r="HU33" s="228"/>
      <c r="HV33" s="228"/>
      <c r="HW33" s="228"/>
      <c r="HX33" s="228"/>
      <c r="HY33" s="228"/>
      <c r="HZ33" s="228"/>
      <c r="IA33" s="228"/>
      <c r="IB33" s="228"/>
      <c r="IC33" s="228"/>
      <c r="ID33" s="228"/>
      <c r="IE33" s="228"/>
      <c r="IF33" s="228"/>
      <c r="IG33" s="228"/>
      <c r="IH33" s="228"/>
      <c r="II33" s="228"/>
      <c r="IJ33" s="228"/>
      <c r="IK33" s="228"/>
      <c r="IL33" s="228"/>
      <c r="IM33" s="228"/>
      <c r="IN33" s="228"/>
      <c r="IO33" s="228"/>
      <c r="IP33" s="228"/>
      <c r="IQ33" s="228"/>
      <c r="IR33" s="228"/>
      <c r="IS33" s="228"/>
      <c r="IT33" s="228"/>
      <c r="IU33" s="228"/>
      <c r="IV33" s="228"/>
      <c r="IW33" s="228"/>
      <c r="IX33" s="228"/>
      <c r="IY33" s="228"/>
      <c r="IZ33" s="228"/>
      <c r="JA33" s="228"/>
      <c r="JB33" s="228"/>
      <c r="JC33" s="228"/>
      <c r="JD33" s="228"/>
      <c r="JE33" s="228"/>
      <c r="JF33" s="228"/>
      <c r="JG33" s="228"/>
      <c r="JH33" s="228"/>
      <c r="JI33" s="228"/>
      <c r="JJ33" s="228"/>
      <c r="JK33" s="228"/>
      <c r="JL33" s="228"/>
      <c r="JM33" s="228"/>
      <c r="JN33" s="228"/>
      <c r="JO33" s="228"/>
      <c r="JP33" s="228"/>
      <c r="JQ33" s="228"/>
      <c r="JR33" s="228"/>
      <c r="JS33" s="228"/>
      <c r="JT33" s="228"/>
      <c r="JU33" s="228"/>
      <c r="JV33" s="228"/>
      <c r="JW33" s="228"/>
      <c r="JX33" s="228"/>
      <c r="JY33" s="228"/>
      <c r="JZ33" s="228"/>
      <c r="KA33" s="228"/>
      <c r="KB33" s="228"/>
      <c r="KC33" s="228"/>
      <c r="KD33" s="228"/>
      <c r="KE33" s="228"/>
      <c r="KF33" s="228"/>
      <c r="KG33" s="228"/>
      <c r="KH33" s="228"/>
      <c r="KI33" s="228"/>
      <c r="KJ33" s="228"/>
      <c r="KK33" s="228"/>
      <c r="KL33" s="228"/>
      <c r="KM33" s="228"/>
      <c r="KN33" s="228"/>
      <c r="KO33" s="228"/>
      <c r="KP33" s="228"/>
      <c r="KQ33" s="228"/>
      <c r="KR33" s="228"/>
      <c r="KS33" s="228"/>
      <c r="KT33" s="228"/>
      <c r="KU33" s="228"/>
      <c r="KV33" s="228"/>
      <c r="KW33" s="228"/>
      <c r="KX33" s="228"/>
      <c r="KY33" s="228"/>
      <c r="KZ33" s="228"/>
      <c r="LA33" s="228"/>
      <c r="LB33" s="228"/>
      <c r="LC33" s="228"/>
      <c r="LD33" s="228"/>
      <c r="LE33" s="228"/>
      <c r="LF33" s="228"/>
      <c r="LG33" s="228"/>
      <c r="LH33" s="228"/>
      <c r="LI33" s="228"/>
      <c r="LJ33" s="228"/>
      <c r="LK33" s="228"/>
      <c r="LL33" s="228"/>
      <c r="LM33" s="228"/>
      <c r="LN33" s="228"/>
      <c r="LO33" s="228"/>
      <c r="LP33" s="228"/>
      <c r="LQ33" s="228"/>
      <c r="LR33" s="228"/>
      <c r="LS33" s="228"/>
      <c r="LT33" s="228"/>
      <c r="LU33" s="228"/>
      <c r="LV33" s="228"/>
      <c r="LW33" s="228"/>
      <c r="LX33" s="228"/>
      <c r="LY33" s="228"/>
      <c r="LZ33" s="228"/>
      <c r="MA33" s="228"/>
      <c r="MB33" s="228"/>
      <c r="MC33" s="228"/>
      <c r="MD33" s="228"/>
      <c r="ME33" s="228"/>
      <c r="MF33" s="228"/>
      <c r="MG33" s="228"/>
      <c r="MH33" s="228"/>
      <c r="MI33" s="228"/>
      <c r="MJ33" s="228"/>
      <c r="MK33" s="228"/>
      <c r="ML33" s="228"/>
      <c r="MM33" s="228"/>
      <c r="MN33" s="228"/>
      <c r="MO33" s="228"/>
      <c r="MP33" s="228"/>
      <c r="MQ33" s="228"/>
      <c r="MR33" s="228"/>
      <c r="MS33" s="228"/>
      <c r="MT33" s="228"/>
      <c r="MU33" s="228"/>
      <c r="MV33" s="228"/>
      <c r="MW33" s="228"/>
      <c r="MX33" s="228"/>
      <c r="MY33" s="228"/>
      <c r="MZ33" s="228"/>
      <c r="NA33" s="228"/>
      <c r="NB33" s="228"/>
      <c r="NC33" s="228"/>
      <c r="ND33" s="228"/>
      <c r="NE33" s="228"/>
      <c r="NF33" s="228"/>
      <c r="NG33" s="228"/>
      <c r="NH33" s="228"/>
      <c r="NI33" s="228"/>
      <c r="NJ33" s="228"/>
      <c r="NK33" s="228"/>
      <c r="NL33" s="228"/>
      <c r="NM33" s="228"/>
      <c r="NN33" s="228"/>
      <c r="NO33" s="228"/>
      <c r="NP33" s="228"/>
      <c r="NQ33" s="228"/>
      <c r="NR33" s="228"/>
      <c r="NS33" s="228"/>
      <c r="NT33" s="228"/>
      <c r="NU33" s="228"/>
      <c r="NV33" s="228"/>
      <c r="NW33" s="228"/>
      <c r="NX33" s="228"/>
      <c r="NY33" s="228"/>
      <c r="NZ33" s="228"/>
      <c r="OA33" s="228"/>
      <c r="OB33" s="228"/>
      <c r="OC33" s="228"/>
      <c r="OD33" s="228"/>
      <c r="OE33" s="228"/>
      <c r="OF33" s="228"/>
      <c r="OG33" s="228"/>
      <c r="OH33" s="228"/>
      <c r="OI33" s="228"/>
      <c r="OJ33" s="228"/>
      <c r="OK33" s="228"/>
      <c r="OL33" s="228"/>
      <c r="OM33" s="228"/>
      <c r="ON33" s="228"/>
      <c r="OO33" s="228"/>
      <c r="OP33" s="228"/>
      <c r="OQ33" s="228"/>
      <c r="OR33" s="228"/>
      <c r="OS33" s="228"/>
      <c r="OT33" s="228"/>
      <c r="OU33" s="228"/>
      <c r="OV33" s="228"/>
      <c r="OW33" s="228"/>
      <c r="OX33" s="228"/>
      <c r="OY33" s="228"/>
      <c r="OZ33" s="228"/>
      <c r="PA33" s="228"/>
      <c r="PB33" s="228"/>
      <c r="PC33" s="228"/>
      <c r="PD33" s="228"/>
      <c r="PE33" s="228"/>
      <c r="PF33" s="228"/>
      <c r="PG33" s="228"/>
      <c r="PH33" s="228"/>
      <c r="PI33" s="228"/>
      <c r="PJ33" s="228"/>
      <c r="PK33" s="228"/>
      <c r="PL33" s="228"/>
      <c r="PM33" s="228"/>
      <c r="PN33" s="228"/>
      <c r="PO33" s="228"/>
      <c r="PP33" s="228"/>
      <c r="PQ33" s="228"/>
      <c r="PR33" s="228"/>
      <c r="PS33" s="228"/>
      <c r="PT33" s="228"/>
      <c r="PU33" s="228"/>
      <c r="PV33" s="228"/>
      <c r="PW33" s="228"/>
      <c r="PX33" s="228"/>
      <c r="PY33" s="228"/>
      <c r="PZ33" s="228"/>
      <c r="QA33" s="228"/>
      <c r="QB33" s="228"/>
      <c r="QC33" s="228"/>
      <c r="QD33" s="228"/>
      <c r="QE33" s="228"/>
      <c r="QF33" s="228"/>
      <c r="QG33" s="228"/>
      <c r="QH33" s="228"/>
      <c r="QI33" s="228"/>
      <c r="QJ33" s="228"/>
      <c r="QK33" s="228"/>
      <c r="QL33" s="228"/>
      <c r="QM33" s="228"/>
      <c r="QN33" s="228"/>
      <c r="QO33" s="228"/>
      <c r="QP33" s="228"/>
      <c r="QQ33" s="228"/>
      <c r="QR33" s="228"/>
      <c r="QS33" s="228"/>
      <c r="QT33" s="228"/>
      <c r="QU33" s="228"/>
      <c r="QV33" s="228"/>
      <c r="QW33" s="228"/>
      <c r="QX33" s="228"/>
      <c r="QY33" s="228"/>
      <c r="QZ33" s="228"/>
      <c r="RA33" s="228"/>
      <c r="RB33" s="228"/>
      <c r="RC33" s="228"/>
      <c r="RD33" s="228"/>
      <c r="RE33" s="228"/>
      <c r="RF33" s="228"/>
      <c r="RG33" s="228"/>
      <c r="RH33" s="228"/>
      <c r="RI33" s="228"/>
      <c r="RJ33" s="228"/>
      <c r="RK33" s="228"/>
      <c r="RL33" s="228"/>
      <c r="RM33" s="228"/>
      <c r="RN33" s="228"/>
      <c r="RO33" s="228"/>
      <c r="RP33" s="228"/>
      <c r="RQ33" s="228"/>
      <c r="RR33" s="228"/>
      <c r="RS33" s="228"/>
      <c r="RT33" s="228"/>
      <c r="RU33" s="228"/>
      <c r="RV33" s="228"/>
      <c r="RW33" s="228"/>
      <c r="RX33" s="228"/>
      <c r="RY33" s="228"/>
      <c r="RZ33" s="228"/>
      <c r="SA33" s="228"/>
      <c r="SB33" s="228"/>
      <c r="SC33" s="228"/>
      <c r="SD33" s="228"/>
      <c r="SE33" s="228"/>
      <c r="SF33" s="228"/>
      <c r="SG33" s="228"/>
    </row>
    <row r="34" spans="2:501" ht="84" customHeight="1">
      <c r="C34" s="227" t="s">
        <v>1872</v>
      </c>
      <c r="D34" s="225" t="s">
        <v>1873</v>
      </c>
      <c r="E34" s="225" t="s">
        <v>1874</v>
      </c>
      <c r="F34" s="225" t="s">
        <v>1863</v>
      </c>
      <c r="G34" s="225" t="s">
        <v>1342</v>
      </c>
      <c r="H34" s="225" t="s">
        <v>1741</v>
      </c>
      <c r="I34" s="226" t="s">
        <v>1875</v>
      </c>
      <c r="J34" s="226" t="s">
        <v>1876</v>
      </c>
      <c r="K34" s="225" t="s">
        <v>1844</v>
      </c>
      <c r="L34" s="225" t="s">
        <v>1792</v>
      </c>
      <c r="M34" s="226" t="s">
        <v>1877</v>
      </c>
      <c r="N34" s="228"/>
      <c r="O34" s="228"/>
      <c r="P34" s="228"/>
      <c r="Q34" s="228"/>
      <c r="R34" s="228"/>
      <c r="S34" s="228"/>
      <c r="T34" s="228"/>
      <c r="U34" s="228"/>
      <c r="V34" s="228"/>
      <c r="W34" s="228"/>
      <c r="X34" s="228"/>
      <c r="Y34" s="228"/>
      <c r="Z34" s="228"/>
      <c r="AA34" s="228"/>
      <c r="AB34" s="228"/>
      <c r="AC34" s="228"/>
      <c r="AD34" s="228"/>
      <c r="AE34" s="228"/>
      <c r="AF34" s="228"/>
      <c r="AG34" s="228"/>
      <c r="AH34" s="228"/>
      <c r="AI34" s="228"/>
      <c r="AJ34" s="228"/>
      <c r="AK34" s="228"/>
      <c r="AL34" s="228"/>
      <c r="AM34" s="228"/>
      <c r="AN34" s="228"/>
      <c r="AO34" s="228"/>
      <c r="AP34" s="228"/>
      <c r="AQ34" s="228"/>
      <c r="AR34" s="228"/>
      <c r="AS34" s="228"/>
      <c r="AT34" s="228"/>
      <c r="AU34" s="228"/>
      <c r="AV34" s="228"/>
      <c r="AW34" s="228"/>
      <c r="AX34" s="228"/>
      <c r="AY34" s="228"/>
      <c r="AZ34" s="228"/>
      <c r="BA34" s="228"/>
      <c r="BB34" s="228"/>
      <c r="BC34" s="228"/>
      <c r="BD34" s="228"/>
      <c r="BE34" s="228"/>
      <c r="BF34" s="228"/>
      <c r="BG34" s="228"/>
      <c r="BH34" s="228"/>
      <c r="BI34" s="228"/>
      <c r="BJ34" s="228"/>
      <c r="BK34" s="228"/>
      <c r="BL34" s="228"/>
      <c r="BM34" s="228"/>
      <c r="BN34" s="228"/>
      <c r="BO34" s="228"/>
      <c r="BP34" s="228"/>
      <c r="BQ34" s="228"/>
      <c r="BR34" s="228"/>
      <c r="BS34" s="228"/>
      <c r="BT34" s="228"/>
      <c r="BU34" s="228"/>
      <c r="BV34" s="228"/>
      <c r="BW34" s="228"/>
      <c r="BX34" s="228"/>
      <c r="BY34" s="228"/>
      <c r="BZ34" s="228"/>
      <c r="CA34" s="228"/>
      <c r="CB34" s="228"/>
      <c r="CC34" s="228"/>
      <c r="CD34" s="228"/>
      <c r="CE34" s="228"/>
      <c r="CF34" s="228"/>
      <c r="CG34" s="228"/>
      <c r="CH34" s="228"/>
      <c r="CI34" s="228"/>
      <c r="CJ34" s="228"/>
      <c r="CK34" s="228"/>
      <c r="CL34" s="228"/>
      <c r="CM34" s="228"/>
      <c r="CN34" s="228"/>
      <c r="CO34" s="228"/>
      <c r="CP34" s="228"/>
      <c r="CQ34" s="228"/>
      <c r="CR34" s="228"/>
      <c r="CS34" s="228"/>
      <c r="CT34" s="228"/>
      <c r="CU34" s="228"/>
      <c r="CV34" s="228"/>
      <c r="CW34" s="228"/>
      <c r="CX34" s="228"/>
      <c r="CY34" s="228"/>
      <c r="CZ34" s="228"/>
      <c r="DA34" s="228"/>
      <c r="DB34" s="228"/>
      <c r="DC34" s="228"/>
      <c r="DD34" s="228"/>
      <c r="DE34" s="228"/>
      <c r="DF34" s="228"/>
      <c r="DG34" s="228"/>
      <c r="DH34" s="228"/>
      <c r="DI34" s="228"/>
      <c r="DJ34" s="228"/>
      <c r="DK34" s="228"/>
      <c r="DL34" s="228"/>
      <c r="DM34" s="228"/>
      <c r="DN34" s="228"/>
      <c r="DO34" s="228"/>
      <c r="DP34" s="228"/>
      <c r="DQ34" s="228"/>
      <c r="DR34" s="228"/>
      <c r="DS34" s="228"/>
      <c r="DT34" s="228"/>
      <c r="DU34" s="228"/>
      <c r="DV34" s="228"/>
      <c r="DW34" s="228"/>
      <c r="DX34" s="228"/>
      <c r="DY34" s="228"/>
      <c r="DZ34" s="228"/>
      <c r="EA34" s="228"/>
      <c r="EB34" s="228"/>
      <c r="EC34" s="228"/>
      <c r="ED34" s="228"/>
      <c r="EE34" s="228"/>
      <c r="EF34" s="228"/>
      <c r="EG34" s="228"/>
      <c r="EH34" s="228"/>
      <c r="EI34" s="228"/>
      <c r="EJ34" s="228"/>
      <c r="EK34" s="228"/>
      <c r="EL34" s="228"/>
      <c r="EM34" s="228"/>
      <c r="EN34" s="228"/>
      <c r="EO34" s="228"/>
      <c r="EP34" s="228"/>
      <c r="EQ34" s="228"/>
      <c r="ER34" s="228"/>
      <c r="ES34" s="228"/>
      <c r="ET34" s="228"/>
      <c r="EU34" s="228"/>
      <c r="EV34" s="228"/>
      <c r="EW34" s="228"/>
      <c r="EX34" s="228"/>
      <c r="EY34" s="228"/>
      <c r="EZ34" s="228"/>
      <c r="FA34" s="228"/>
      <c r="FB34" s="228"/>
      <c r="FC34" s="228"/>
      <c r="FD34" s="228"/>
      <c r="FE34" s="228"/>
      <c r="FF34" s="228"/>
      <c r="FG34" s="228"/>
      <c r="FH34" s="228"/>
      <c r="FI34" s="228"/>
      <c r="FJ34" s="228"/>
      <c r="FK34" s="228"/>
      <c r="FL34" s="228"/>
      <c r="FM34" s="228"/>
      <c r="FN34" s="228"/>
      <c r="FO34" s="228"/>
      <c r="FP34" s="228"/>
      <c r="FQ34" s="228"/>
      <c r="FR34" s="228"/>
      <c r="FS34" s="228"/>
      <c r="FT34" s="228"/>
      <c r="FU34" s="228"/>
      <c r="FV34" s="228"/>
      <c r="FW34" s="228"/>
      <c r="FX34" s="228"/>
      <c r="FY34" s="228"/>
      <c r="FZ34" s="228"/>
      <c r="GA34" s="228"/>
      <c r="GB34" s="228"/>
      <c r="GC34" s="228"/>
      <c r="GD34" s="228"/>
      <c r="GE34" s="228"/>
      <c r="GF34" s="228"/>
      <c r="GG34" s="228"/>
      <c r="GH34" s="228"/>
      <c r="GI34" s="228"/>
      <c r="GJ34" s="228"/>
      <c r="GK34" s="228"/>
      <c r="GL34" s="228"/>
      <c r="GM34" s="228"/>
      <c r="GN34" s="228"/>
      <c r="GO34" s="228"/>
      <c r="GP34" s="228"/>
      <c r="GQ34" s="228"/>
      <c r="GR34" s="228"/>
      <c r="GS34" s="228"/>
      <c r="GT34" s="228"/>
      <c r="GU34" s="228"/>
      <c r="GV34" s="228"/>
      <c r="GW34" s="228"/>
      <c r="GX34" s="228"/>
      <c r="GY34" s="228"/>
      <c r="GZ34" s="228"/>
      <c r="HA34" s="228"/>
      <c r="HB34" s="228"/>
      <c r="HC34" s="228"/>
      <c r="HD34" s="228"/>
      <c r="HE34" s="228"/>
      <c r="HF34" s="228"/>
      <c r="HG34" s="228"/>
      <c r="HH34" s="228"/>
      <c r="HI34" s="228"/>
      <c r="HJ34" s="228"/>
      <c r="HK34" s="228"/>
      <c r="HL34" s="228"/>
      <c r="HM34" s="228"/>
      <c r="HN34" s="228"/>
      <c r="HO34" s="228"/>
      <c r="HP34" s="228"/>
      <c r="HQ34" s="228"/>
      <c r="HR34" s="228"/>
      <c r="HS34" s="228"/>
      <c r="HT34" s="228"/>
      <c r="HU34" s="228"/>
      <c r="HV34" s="228"/>
      <c r="HW34" s="228"/>
      <c r="HX34" s="228"/>
      <c r="HY34" s="228"/>
      <c r="HZ34" s="228"/>
      <c r="IA34" s="228"/>
      <c r="IB34" s="228"/>
      <c r="IC34" s="228"/>
      <c r="ID34" s="228"/>
      <c r="IE34" s="228"/>
      <c r="IF34" s="228"/>
      <c r="IG34" s="228"/>
      <c r="IH34" s="228"/>
      <c r="II34" s="228"/>
      <c r="IJ34" s="228"/>
      <c r="IK34" s="228"/>
      <c r="IL34" s="228"/>
      <c r="IM34" s="228"/>
      <c r="IN34" s="228"/>
      <c r="IO34" s="228"/>
      <c r="IP34" s="228"/>
      <c r="IQ34" s="228"/>
      <c r="IR34" s="228"/>
      <c r="IS34" s="228"/>
      <c r="IT34" s="228"/>
      <c r="IU34" s="228"/>
      <c r="IV34" s="228"/>
      <c r="IW34" s="228"/>
      <c r="IX34" s="228"/>
      <c r="IY34" s="228"/>
      <c r="IZ34" s="228"/>
      <c r="JA34" s="228"/>
      <c r="JB34" s="228"/>
      <c r="JC34" s="228"/>
      <c r="JD34" s="228"/>
      <c r="JE34" s="228"/>
      <c r="JF34" s="228"/>
      <c r="JG34" s="228"/>
      <c r="JH34" s="228"/>
      <c r="JI34" s="228"/>
      <c r="JJ34" s="228"/>
      <c r="JK34" s="228"/>
      <c r="JL34" s="228"/>
      <c r="JM34" s="228"/>
      <c r="JN34" s="228"/>
      <c r="JO34" s="228"/>
      <c r="JP34" s="228"/>
      <c r="JQ34" s="228"/>
      <c r="JR34" s="228"/>
      <c r="JS34" s="228"/>
      <c r="JT34" s="228"/>
      <c r="JU34" s="228"/>
      <c r="JV34" s="228"/>
      <c r="JW34" s="228"/>
      <c r="JX34" s="228"/>
      <c r="JY34" s="228"/>
      <c r="JZ34" s="228"/>
      <c r="KA34" s="228"/>
      <c r="KB34" s="228"/>
      <c r="KC34" s="228"/>
      <c r="KD34" s="228"/>
      <c r="KE34" s="228"/>
      <c r="KF34" s="228"/>
      <c r="KG34" s="228"/>
      <c r="KH34" s="228"/>
      <c r="KI34" s="228"/>
      <c r="KJ34" s="228"/>
      <c r="KK34" s="228"/>
      <c r="KL34" s="228"/>
      <c r="KM34" s="228"/>
      <c r="KN34" s="228"/>
      <c r="KO34" s="228"/>
      <c r="KP34" s="228"/>
      <c r="KQ34" s="228"/>
      <c r="KR34" s="228"/>
      <c r="KS34" s="228"/>
      <c r="KT34" s="228"/>
      <c r="KU34" s="228"/>
      <c r="KV34" s="228"/>
      <c r="KW34" s="228"/>
      <c r="KX34" s="228"/>
      <c r="KY34" s="228"/>
      <c r="KZ34" s="228"/>
      <c r="LA34" s="228"/>
      <c r="LB34" s="228"/>
      <c r="LC34" s="228"/>
      <c r="LD34" s="228"/>
      <c r="LE34" s="228"/>
      <c r="LF34" s="228"/>
      <c r="LG34" s="228"/>
      <c r="LH34" s="228"/>
      <c r="LI34" s="228"/>
      <c r="LJ34" s="228"/>
      <c r="LK34" s="228"/>
      <c r="LL34" s="228"/>
      <c r="LM34" s="228"/>
      <c r="LN34" s="228"/>
      <c r="LO34" s="228"/>
      <c r="LP34" s="228"/>
      <c r="LQ34" s="228"/>
      <c r="LR34" s="228"/>
      <c r="LS34" s="228"/>
      <c r="LT34" s="228"/>
      <c r="LU34" s="228"/>
      <c r="LV34" s="228"/>
      <c r="LW34" s="228"/>
      <c r="LX34" s="228"/>
      <c r="LY34" s="228"/>
      <c r="LZ34" s="228"/>
      <c r="MA34" s="228"/>
      <c r="MB34" s="228"/>
      <c r="MC34" s="228"/>
      <c r="MD34" s="228"/>
      <c r="ME34" s="228"/>
      <c r="MF34" s="228"/>
      <c r="MG34" s="228"/>
      <c r="MH34" s="228"/>
      <c r="MI34" s="228"/>
      <c r="MJ34" s="228"/>
      <c r="MK34" s="228"/>
      <c r="ML34" s="228"/>
      <c r="MM34" s="228"/>
      <c r="MN34" s="228"/>
      <c r="MO34" s="228"/>
      <c r="MP34" s="228"/>
      <c r="MQ34" s="228"/>
      <c r="MR34" s="228"/>
      <c r="MS34" s="228"/>
      <c r="MT34" s="228"/>
      <c r="MU34" s="228"/>
      <c r="MV34" s="228"/>
      <c r="MW34" s="228"/>
      <c r="MX34" s="228"/>
      <c r="MY34" s="228"/>
      <c r="MZ34" s="228"/>
      <c r="NA34" s="228"/>
      <c r="NB34" s="228"/>
      <c r="NC34" s="228"/>
      <c r="ND34" s="228"/>
      <c r="NE34" s="228"/>
      <c r="NF34" s="228"/>
      <c r="NG34" s="228"/>
      <c r="NH34" s="228"/>
      <c r="NI34" s="228"/>
      <c r="NJ34" s="228"/>
      <c r="NK34" s="228"/>
      <c r="NL34" s="228"/>
      <c r="NM34" s="228"/>
      <c r="NN34" s="228"/>
      <c r="NO34" s="228"/>
      <c r="NP34" s="228"/>
      <c r="NQ34" s="228"/>
      <c r="NR34" s="228"/>
      <c r="NS34" s="228"/>
      <c r="NT34" s="228"/>
      <c r="NU34" s="228"/>
      <c r="NV34" s="228"/>
      <c r="NW34" s="228"/>
      <c r="NX34" s="228"/>
      <c r="NY34" s="228"/>
      <c r="NZ34" s="228"/>
      <c r="OA34" s="228"/>
      <c r="OB34" s="228"/>
      <c r="OC34" s="228"/>
      <c r="OD34" s="228"/>
      <c r="OE34" s="228"/>
      <c r="OF34" s="228"/>
      <c r="OG34" s="228"/>
      <c r="OH34" s="228"/>
      <c r="OI34" s="228"/>
      <c r="OJ34" s="228"/>
      <c r="OK34" s="228"/>
      <c r="OL34" s="228"/>
      <c r="OM34" s="228"/>
      <c r="ON34" s="228"/>
      <c r="OO34" s="228"/>
      <c r="OP34" s="228"/>
      <c r="OQ34" s="228"/>
      <c r="OR34" s="228"/>
      <c r="OS34" s="228"/>
      <c r="OT34" s="228"/>
      <c r="OU34" s="228"/>
      <c r="OV34" s="228"/>
      <c r="OW34" s="228"/>
      <c r="OX34" s="228"/>
      <c r="OY34" s="228"/>
      <c r="OZ34" s="228"/>
      <c r="PA34" s="228"/>
      <c r="PB34" s="228"/>
      <c r="PC34" s="228"/>
      <c r="PD34" s="228"/>
      <c r="PE34" s="228"/>
      <c r="PF34" s="228"/>
      <c r="PG34" s="228"/>
      <c r="PH34" s="228"/>
      <c r="PI34" s="228"/>
      <c r="PJ34" s="228"/>
      <c r="PK34" s="228"/>
      <c r="PL34" s="228"/>
      <c r="PM34" s="228"/>
      <c r="PN34" s="228"/>
      <c r="PO34" s="228"/>
      <c r="PP34" s="228"/>
      <c r="PQ34" s="228"/>
      <c r="PR34" s="228"/>
      <c r="PS34" s="228"/>
      <c r="PT34" s="228"/>
      <c r="PU34" s="228"/>
      <c r="PV34" s="228"/>
      <c r="PW34" s="228"/>
      <c r="PX34" s="228"/>
      <c r="PY34" s="228"/>
      <c r="PZ34" s="228"/>
      <c r="QA34" s="228"/>
      <c r="QB34" s="228"/>
      <c r="QC34" s="228"/>
      <c r="QD34" s="228"/>
      <c r="QE34" s="228"/>
      <c r="QF34" s="228"/>
      <c r="QG34" s="228"/>
      <c r="QH34" s="228"/>
      <c r="QI34" s="228"/>
      <c r="QJ34" s="228"/>
      <c r="QK34" s="228"/>
      <c r="QL34" s="228"/>
      <c r="QM34" s="228"/>
      <c r="QN34" s="228"/>
      <c r="QO34" s="228"/>
      <c r="QP34" s="228"/>
      <c r="QQ34" s="228"/>
      <c r="QR34" s="228"/>
      <c r="QS34" s="228"/>
      <c r="QT34" s="228"/>
      <c r="QU34" s="228"/>
      <c r="QV34" s="228"/>
      <c r="QW34" s="228"/>
      <c r="QX34" s="228"/>
      <c r="QY34" s="228"/>
      <c r="QZ34" s="228"/>
      <c r="RA34" s="228"/>
      <c r="RB34" s="228"/>
      <c r="RC34" s="228"/>
      <c r="RD34" s="228"/>
      <c r="RE34" s="228"/>
      <c r="RF34" s="228"/>
      <c r="RG34" s="228"/>
      <c r="RH34" s="228"/>
      <c r="RI34" s="228"/>
      <c r="RJ34" s="228"/>
      <c r="RK34" s="228"/>
      <c r="RL34" s="228"/>
      <c r="RM34" s="228"/>
      <c r="RN34" s="228"/>
      <c r="RO34" s="228"/>
      <c r="RP34" s="228"/>
      <c r="RQ34" s="228"/>
      <c r="RR34" s="228"/>
      <c r="RS34" s="228"/>
      <c r="RT34" s="228"/>
      <c r="RU34" s="228"/>
      <c r="RV34" s="228"/>
      <c r="RW34" s="228"/>
      <c r="RX34" s="228"/>
      <c r="RY34" s="228"/>
      <c r="RZ34" s="228"/>
      <c r="SA34" s="228"/>
      <c r="SB34" s="228"/>
      <c r="SC34" s="228"/>
      <c r="SD34" s="228"/>
      <c r="SE34" s="228"/>
      <c r="SF34" s="228"/>
      <c r="SG34" s="228"/>
    </row>
    <row r="35" spans="2:501" ht="84" customHeight="1">
      <c r="C35" s="227" t="s">
        <v>1878</v>
      </c>
      <c r="D35" s="225" t="s">
        <v>1879</v>
      </c>
      <c r="E35" s="225" t="s">
        <v>1880</v>
      </c>
      <c r="F35" s="225" t="s">
        <v>1881</v>
      </c>
      <c r="G35" s="225" t="s">
        <v>1740</v>
      </c>
      <c r="H35" s="225" t="s">
        <v>1741</v>
      </c>
      <c r="I35" s="226" t="s">
        <v>1882</v>
      </c>
      <c r="J35" s="226" t="s">
        <v>1740</v>
      </c>
      <c r="K35" s="225" t="s">
        <v>1844</v>
      </c>
      <c r="L35" s="225" t="s">
        <v>1760</v>
      </c>
      <c r="M35" s="226" t="s">
        <v>1883</v>
      </c>
      <c r="N35" s="228"/>
      <c r="O35" s="228"/>
      <c r="P35" s="228"/>
      <c r="Q35" s="228"/>
      <c r="R35" s="228"/>
      <c r="S35" s="228"/>
      <c r="T35" s="228"/>
      <c r="U35" s="228"/>
      <c r="V35" s="228"/>
      <c r="W35" s="228"/>
      <c r="X35" s="228"/>
      <c r="Y35" s="228"/>
      <c r="Z35" s="228"/>
      <c r="AA35" s="228"/>
      <c r="AB35" s="228"/>
      <c r="AC35" s="228"/>
      <c r="AD35" s="228"/>
      <c r="AE35" s="228"/>
      <c r="AF35" s="228"/>
      <c r="AG35" s="228"/>
      <c r="AH35" s="228"/>
      <c r="AI35" s="228"/>
      <c r="AJ35" s="228"/>
      <c r="AK35" s="228"/>
      <c r="AL35" s="228"/>
      <c r="AM35" s="228"/>
      <c r="AN35" s="228"/>
      <c r="AO35" s="228"/>
      <c r="AP35" s="228"/>
      <c r="AQ35" s="228"/>
      <c r="AR35" s="228"/>
      <c r="AS35" s="228"/>
      <c r="AT35" s="228"/>
      <c r="AU35" s="228"/>
      <c r="AV35" s="228"/>
      <c r="AW35" s="228"/>
      <c r="AX35" s="228"/>
      <c r="AY35" s="228"/>
      <c r="AZ35" s="228"/>
      <c r="BA35" s="228"/>
      <c r="BB35" s="228"/>
      <c r="BC35" s="228"/>
      <c r="BD35" s="228"/>
      <c r="BE35" s="228"/>
      <c r="BF35" s="228"/>
      <c r="BG35" s="228"/>
      <c r="BH35" s="228"/>
      <c r="BI35" s="228"/>
      <c r="BJ35" s="228"/>
      <c r="BK35" s="228"/>
      <c r="BL35" s="228"/>
      <c r="BM35" s="228"/>
      <c r="BN35" s="228"/>
      <c r="BO35" s="228"/>
      <c r="BP35" s="228"/>
      <c r="BQ35" s="228"/>
      <c r="BR35" s="228"/>
      <c r="BS35" s="228"/>
      <c r="BT35" s="228"/>
      <c r="BU35" s="228"/>
      <c r="BV35" s="228"/>
      <c r="BW35" s="228"/>
      <c r="BX35" s="228"/>
      <c r="BY35" s="228"/>
      <c r="BZ35" s="228"/>
      <c r="CA35" s="228"/>
      <c r="CB35" s="228"/>
      <c r="CC35" s="228"/>
      <c r="CD35" s="228"/>
      <c r="CE35" s="228"/>
      <c r="CF35" s="228"/>
      <c r="CG35" s="228"/>
      <c r="CH35" s="228"/>
      <c r="CI35" s="228"/>
      <c r="CJ35" s="228"/>
      <c r="CK35" s="228"/>
      <c r="CL35" s="228"/>
      <c r="CM35" s="228"/>
      <c r="CN35" s="228"/>
      <c r="CO35" s="228"/>
      <c r="CP35" s="228"/>
      <c r="CQ35" s="228"/>
      <c r="CR35" s="228"/>
      <c r="CS35" s="228"/>
      <c r="CT35" s="228"/>
      <c r="CU35" s="228"/>
      <c r="CV35" s="228"/>
      <c r="CW35" s="228"/>
      <c r="CX35" s="228"/>
      <c r="CY35" s="228"/>
      <c r="CZ35" s="228"/>
      <c r="DA35" s="228"/>
      <c r="DB35" s="228"/>
      <c r="DC35" s="228"/>
      <c r="DD35" s="228"/>
      <c r="DE35" s="228"/>
      <c r="DF35" s="228"/>
      <c r="DG35" s="228"/>
      <c r="DH35" s="228"/>
      <c r="DI35" s="228"/>
      <c r="DJ35" s="228"/>
      <c r="DK35" s="228"/>
      <c r="DL35" s="228"/>
      <c r="DM35" s="228"/>
      <c r="DN35" s="228"/>
      <c r="DO35" s="228"/>
      <c r="DP35" s="228"/>
      <c r="DQ35" s="228"/>
      <c r="DR35" s="228"/>
      <c r="DS35" s="228"/>
      <c r="DT35" s="228"/>
      <c r="DU35" s="228"/>
      <c r="DV35" s="228"/>
      <c r="DW35" s="228"/>
      <c r="DX35" s="228"/>
      <c r="DY35" s="228"/>
      <c r="DZ35" s="228"/>
      <c r="EA35" s="228"/>
      <c r="EB35" s="228"/>
      <c r="EC35" s="228"/>
      <c r="ED35" s="228"/>
      <c r="EE35" s="228"/>
      <c r="EF35" s="228"/>
      <c r="EG35" s="228"/>
      <c r="EH35" s="228"/>
      <c r="EI35" s="228"/>
      <c r="EJ35" s="228"/>
      <c r="EK35" s="228"/>
      <c r="EL35" s="228"/>
      <c r="EM35" s="228"/>
      <c r="EN35" s="228"/>
      <c r="EO35" s="228"/>
      <c r="EP35" s="228"/>
      <c r="EQ35" s="228"/>
      <c r="ER35" s="228"/>
      <c r="ES35" s="228"/>
      <c r="ET35" s="228"/>
      <c r="EU35" s="228"/>
      <c r="EV35" s="228"/>
      <c r="EW35" s="228"/>
      <c r="EX35" s="228"/>
      <c r="EY35" s="228"/>
      <c r="EZ35" s="228"/>
      <c r="FA35" s="228"/>
      <c r="FB35" s="228"/>
      <c r="FC35" s="228"/>
      <c r="FD35" s="228"/>
      <c r="FE35" s="228"/>
      <c r="FF35" s="228"/>
      <c r="FG35" s="228"/>
      <c r="FH35" s="228"/>
      <c r="FI35" s="228"/>
      <c r="FJ35" s="228"/>
      <c r="FK35" s="228"/>
      <c r="FL35" s="228"/>
      <c r="FM35" s="228"/>
      <c r="FN35" s="228"/>
      <c r="FO35" s="228"/>
      <c r="FP35" s="228"/>
      <c r="FQ35" s="228"/>
      <c r="FR35" s="228"/>
      <c r="FS35" s="228"/>
      <c r="FT35" s="228"/>
      <c r="FU35" s="228"/>
      <c r="FV35" s="228"/>
      <c r="FW35" s="228"/>
      <c r="FX35" s="228"/>
      <c r="FY35" s="228"/>
      <c r="FZ35" s="228"/>
      <c r="GA35" s="228"/>
      <c r="GB35" s="228"/>
      <c r="GC35" s="228"/>
      <c r="GD35" s="228"/>
      <c r="GE35" s="228"/>
      <c r="GF35" s="228"/>
      <c r="GG35" s="228"/>
      <c r="GH35" s="228"/>
      <c r="GI35" s="228"/>
      <c r="GJ35" s="228"/>
      <c r="GK35" s="228"/>
      <c r="GL35" s="228"/>
      <c r="GM35" s="228"/>
      <c r="GN35" s="228"/>
      <c r="GO35" s="228"/>
      <c r="GP35" s="228"/>
      <c r="GQ35" s="228"/>
      <c r="GR35" s="228"/>
      <c r="GS35" s="228"/>
      <c r="GT35" s="228"/>
      <c r="GU35" s="228"/>
      <c r="GV35" s="228"/>
      <c r="GW35" s="228"/>
      <c r="GX35" s="228"/>
      <c r="GY35" s="228"/>
      <c r="GZ35" s="228"/>
      <c r="HA35" s="228"/>
      <c r="HB35" s="228"/>
      <c r="HC35" s="228"/>
      <c r="HD35" s="228"/>
      <c r="HE35" s="228"/>
      <c r="HF35" s="228"/>
      <c r="HG35" s="228"/>
      <c r="HH35" s="228"/>
      <c r="HI35" s="228"/>
      <c r="HJ35" s="228"/>
      <c r="HK35" s="228"/>
      <c r="HL35" s="228"/>
      <c r="HM35" s="228"/>
      <c r="HN35" s="228"/>
      <c r="HO35" s="228"/>
      <c r="HP35" s="228"/>
      <c r="HQ35" s="228"/>
      <c r="HR35" s="228"/>
      <c r="HS35" s="228"/>
      <c r="HT35" s="228"/>
      <c r="HU35" s="228"/>
      <c r="HV35" s="228"/>
      <c r="HW35" s="228"/>
      <c r="HX35" s="228"/>
      <c r="HY35" s="228"/>
      <c r="HZ35" s="228"/>
      <c r="IA35" s="228"/>
      <c r="IB35" s="228"/>
      <c r="IC35" s="228"/>
      <c r="ID35" s="228"/>
      <c r="IE35" s="228"/>
      <c r="IF35" s="228"/>
      <c r="IG35" s="228"/>
      <c r="IH35" s="228"/>
      <c r="II35" s="228"/>
      <c r="IJ35" s="228"/>
      <c r="IK35" s="228"/>
      <c r="IL35" s="228"/>
      <c r="IM35" s="228"/>
      <c r="IN35" s="228"/>
      <c r="IO35" s="228"/>
      <c r="IP35" s="228"/>
      <c r="IQ35" s="228"/>
      <c r="IR35" s="228"/>
      <c r="IS35" s="228"/>
      <c r="IT35" s="228"/>
      <c r="IU35" s="228"/>
      <c r="IV35" s="228"/>
      <c r="IW35" s="228"/>
      <c r="IX35" s="228"/>
      <c r="IY35" s="228"/>
      <c r="IZ35" s="228"/>
      <c r="JA35" s="228"/>
      <c r="JB35" s="228"/>
      <c r="JC35" s="228"/>
      <c r="JD35" s="228"/>
      <c r="JE35" s="228"/>
      <c r="JF35" s="228"/>
      <c r="JG35" s="228"/>
      <c r="JH35" s="228"/>
      <c r="JI35" s="228"/>
      <c r="JJ35" s="228"/>
      <c r="JK35" s="228"/>
      <c r="JL35" s="228"/>
      <c r="JM35" s="228"/>
      <c r="JN35" s="228"/>
      <c r="JO35" s="228"/>
      <c r="JP35" s="228"/>
      <c r="JQ35" s="228"/>
      <c r="JR35" s="228"/>
      <c r="JS35" s="228"/>
      <c r="JT35" s="228"/>
      <c r="JU35" s="228"/>
      <c r="JV35" s="228"/>
      <c r="JW35" s="228"/>
      <c r="JX35" s="228"/>
      <c r="JY35" s="228"/>
      <c r="JZ35" s="228"/>
      <c r="KA35" s="228"/>
      <c r="KB35" s="228"/>
      <c r="KC35" s="228"/>
      <c r="KD35" s="228"/>
      <c r="KE35" s="228"/>
      <c r="KF35" s="228"/>
      <c r="KG35" s="228"/>
      <c r="KH35" s="228"/>
      <c r="KI35" s="228"/>
      <c r="KJ35" s="228"/>
      <c r="KK35" s="228"/>
      <c r="KL35" s="228"/>
      <c r="KM35" s="228"/>
      <c r="KN35" s="228"/>
      <c r="KO35" s="228"/>
      <c r="KP35" s="228"/>
      <c r="KQ35" s="228"/>
      <c r="KR35" s="228"/>
      <c r="KS35" s="228"/>
      <c r="KT35" s="228"/>
      <c r="KU35" s="228"/>
      <c r="KV35" s="228"/>
      <c r="KW35" s="228"/>
      <c r="KX35" s="228"/>
      <c r="KY35" s="228"/>
      <c r="KZ35" s="228"/>
      <c r="LA35" s="228"/>
      <c r="LB35" s="228"/>
      <c r="LC35" s="228"/>
      <c r="LD35" s="228"/>
      <c r="LE35" s="228"/>
      <c r="LF35" s="228"/>
      <c r="LG35" s="228"/>
      <c r="LH35" s="228"/>
      <c r="LI35" s="228"/>
      <c r="LJ35" s="228"/>
      <c r="LK35" s="228"/>
      <c r="LL35" s="228"/>
      <c r="LM35" s="228"/>
      <c r="LN35" s="228"/>
      <c r="LO35" s="228"/>
      <c r="LP35" s="228"/>
      <c r="LQ35" s="228"/>
      <c r="LR35" s="228"/>
      <c r="LS35" s="228"/>
      <c r="LT35" s="228"/>
      <c r="LU35" s="228"/>
      <c r="LV35" s="228"/>
      <c r="LW35" s="228"/>
      <c r="LX35" s="228"/>
      <c r="LY35" s="228"/>
      <c r="LZ35" s="228"/>
      <c r="MA35" s="228"/>
      <c r="MB35" s="228"/>
      <c r="MC35" s="228"/>
      <c r="MD35" s="228"/>
      <c r="ME35" s="228"/>
      <c r="MF35" s="228"/>
      <c r="MG35" s="228"/>
      <c r="MH35" s="228"/>
      <c r="MI35" s="228"/>
      <c r="MJ35" s="228"/>
      <c r="MK35" s="228"/>
      <c r="ML35" s="228"/>
      <c r="MM35" s="228"/>
      <c r="MN35" s="228"/>
      <c r="MO35" s="228"/>
      <c r="MP35" s="228"/>
      <c r="MQ35" s="228"/>
      <c r="MR35" s="228"/>
      <c r="MS35" s="228"/>
      <c r="MT35" s="228"/>
      <c r="MU35" s="228"/>
      <c r="MV35" s="228"/>
      <c r="MW35" s="228"/>
      <c r="MX35" s="228"/>
      <c r="MY35" s="228"/>
      <c r="MZ35" s="228"/>
      <c r="NA35" s="228"/>
      <c r="NB35" s="228"/>
      <c r="NC35" s="228"/>
      <c r="ND35" s="228"/>
      <c r="NE35" s="228"/>
      <c r="NF35" s="228"/>
      <c r="NG35" s="228"/>
      <c r="NH35" s="228"/>
      <c r="NI35" s="228"/>
      <c r="NJ35" s="228"/>
      <c r="NK35" s="228"/>
      <c r="NL35" s="228"/>
      <c r="NM35" s="228"/>
      <c r="NN35" s="228"/>
      <c r="NO35" s="228"/>
      <c r="NP35" s="228"/>
      <c r="NQ35" s="228"/>
      <c r="NR35" s="228"/>
      <c r="NS35" s="228"/>
      <c r="NT35" s="228"/>
      <c r="NU35" s="228"/>
      <c r="NV35" s="228"/>
      <c r="NW35" s="228"/>
      <c r="NX35" s="228"/>
      <c r="NY35" s="228"/>
      <c r="NZ35" s="228"/>
      <c r="OA35" s="228"/>
      <c r="OB35" s="228"/>
      <c r="OC35" s="228"/>
      <c r="OD35" s="228"/>
      <c r="OE35" s="228"/>
      <c r="OF35" s="228"/>
      <c r="OG35" s="228"/>
      <c r="OH35" s="228"/>
      <c r="OI35" s="228"/>
      <c r="OJ35" s="228"/>
      <c r="OK35" s="228"/>
      <c r="OL35" s="228"/>
      <c r="OM35" s="228"/>
      <c r="ON35" s="228"/>
      <c r="OO35" s="228"/>
      <c r="OP35" s="228"/>
      <c r="OQ35" s="228"/>
      <c r="OR35" s="228"/>
      <c r="OS35" s="228"/>
      <c r="OT35" s="228"/>
      <c r="OU35" s="228"/>
      <c r="OV35" s="228"/>
      <c r="OW35" s="228"/>
      <c r="OX35" s="228"/>
      <c r="OY35" s="228"/>
      <c r="OZ35" s="228"/>
      <c r="PA35" s="228"/>
      <c r="PB35" s="228"/>
      <c r="PC35" s="228"/>
      <c r="PD35" s="228"/>
      <c r="PE35" s="228"/>
      <c r="PF35" s="228"/>
      <c r="PG35" s="228"/>
      <c r="PH35" s="228"/>
      <c r="PI35" s="228"/>
      <c r="PJ35" s="228"/>
      <c r="PK35" s="228"/>
      <c r="PL35" s="228"/>
      <c r="PM35" s="228"/>
      <c r="PN35" s="228"/>
      <c r="PO35" s="228"/>
      <c r="PP35" s="228"/>
      <c r="PQ35" s="228"/>
      <c r="PR35" s="228"/>
      <c r="PS35" s="228"/>
      <c r="PT35" s="228"/>
      <c r="PU35" s="228"/>
      <c r="PV35" s="228"/>
      <c r="PW35" s="228"/>
      <c r="PX35" s="228"/>
      <c r="PY35" s="228"/>
      <c r="PZ35" s="228"/>
      <c r="QA35" s="228"/>
      <c r="QB35" s="228"/>
      <c r="QC35" s="228"/>
      <c r="QD35" s="228"/>
      <c r="QE35" s="228"/>
      <c r="QF35" s="228"/>
      <c r="QG35" s="228"/>
      <c r="QH35" s="228"/>
      <c r="QI35" s="228"/>
      <c r="QJ35" s="228"/>
      <c r="QK35" s="228"/>
      <c r="QL35" s="228"/>
      <c r="QM35" s="228"/>
      <c r="QN35" s="228"/>
      <c r="QO35" s="228"/>
      <c r="QP35" s="228"/>
      <c r="QQ35" s="228"/>
      <c r="QR35" s="228"/>
      <c r="QS35" s="228"/>
      <c r="QT35" s="228"/>
      <c r="QU35" s="228"/>
      <c r="QV35" s="228"/>
      <c r="QW35" s="228"/>
      <c r="QX35" s="228"/>
      <c r="QY35" s="228"/>
      <c r="QZ35" s="228"/>
      <c r="RA35" s="228"/>
      <c r="RB35" s="228"/>
      <c r="RC35" s="228"/>
      <c r="RD35" s="228"/>
      <c r="RE35" s="228"/>
      <c r="RF35" s="228"/>
      <c r="RG35" s="228"/>
      <c r="RH35" s="228"/>
      <c r="RI35" s="228"/>
      <c r="RJ35" s="228"/>
      <c r="RK35" s="228"/>
      <c r="RL35" s="228"/>
      <c r="RM35" s="228"/>
      <c r="RN35" s="228"/>
      <c r="RO35" s="228"/>
      <c r="RP35" s="228"/>
      <c r="RQ35" s="228"/>
      <c r="RR35" s="228"/>
      <c r="RS35" s="228"/>
      <c r="RT35" s="228"/>
      <c r="RU35" s="228"/>
      <c r="RV35" s="228"/>
      <c r="RW35" s="228"/>
      <c r="RX35" s="228"/>
      <c r="RY35" s="228"/>
      <c r="RZ35" s="228"/>
      <c r="SA35" s="228"/>
      <c r="SB35" s="228"/>
      <c r="SC35" s="228"/>
      <c r="SD35" s="228"/>
      <c r="SE35" s="228"/>
      <c r="SF35" s="228"/>
      <c r="SG35" s="228"/>
    </row>
    <row r="36" spans="2:501" ht="55.5" customHeight="1">
      <c r="C36" s="227" t="s">
        <v>1884</v>
      </c>
      <c r="D36" s="225" t="s">
        <v>1885</v>
      </c>
      <c r="E36" s="225" t="s">
        <v>1886</v>
      </c>
      <c r="F36" s="225" t="s">
        <v>1887</v>
      </c>
      <c r="G36" s="225" t="s">
        <v>1342</v>
      </c>
      <c r="H36" s="225" t="s">
        <v>1741</v>
      </c>
      <c r="I36" s="226" t="s">
        <v>1888</v>
      </c>
      <c r="J36" s="226" t="s">
        <v>1843</v>
      </c>
      <c r="K36" s="225" t="s">
        <v>1784</v>
      </c>
      <c r="L36" s="225" t="s">
        <v>1745</v>
      </c>
      <c r="M36" s="226" t="s">
        <v>1822</v>
      </c>
      <c r="N36" s="228"/>
      <c r="O36" s="228"/>
      <c r="P36" s="228"/>
      <c r="Q36" s="228"/>
      <c r="R36" s="228"/>
      <c r="S36" s="228"/>
      <c r="T36" s="228"/>
      <c r="U36" s="228"/>
      <c r="V36" s="228"/>
      <c r="W36" s="228"/>
      <c r="X36" s="228"/>
      <c r="Y36" s="228"/>
      <c r="Z36" s="228"/>
      <c r="AA36" s="228"/>
      <c r="AB36" s="228"/>
      <c r="AC36" s="228"/>
      <c r="AD36" s="228"/>
      <c r="AE36" s="228"/>
      <c r="AF36" s="228"/>
      <c r="AG36" s="228"/>
      <c r="AH36" s="228"/>
      <c r="AI36" s="228"/>
      <c r="AJ36" s="228"/>
      <c r="AK36" s="228"/>
      <c r="AL36" s="228"/>
      <c r="AM36" s="228"/>
      <c r="AN36" s="228"/>
      <c r="AO36" s="228"/>
      <c r="AP36" s="228"/>
      <c r="AQ36" s="228"/>
      <c r="AR36" s="228"/>
      <c r="AS36" s="228"/>
      <c r="AT36" s="228"/>
      <c r="AU36" s="228"/>
      <c r="AV36" s="228"/>
      <c r="AW36" s="228"/>
      <c r="AX36" s="228"/>
      <c r="AY36" s="228"/>
      <c r="AZ36" s="228"/>
      <c r="BA36" s="228"/>
      <c r="BB36" s="228"/>
      <c r="BC36" s="228"/>
      <c r="BD36" s="228"/>
      <c r="BE36" s="228"/>
      <c r="BF36" s="228"/>
      <c r="BG36" s="228"/>
      <c r="BH36" s="228"/>
      <c r="BI36" s="228"/>
      <c r="BJ36" s="228"/>
      <c r="BK36" s="228"/>
      <c r="BL36" s="228"/>
      <c r="BM36" s="228"/>
      <c r="BN36" s="228"/>
      <c r="BO36" s="228"/>
      <c r="BP36" s="228"/>
      <c r="BQ36" s="228"/>
      <c r="BR36" s="228"/>
      <c r="BS36" s="228"/>
      <c r="BT36" s="228"/>
      <c r="BU36" s="228"/>
      <c r="BV36" s="228"/>
      <c r="BW36" s="228"/>
      <c r="BX36" s="228"/>
      <c r="BY36" s="228"/>
      <c r="BZ36" s="228"/>
      <c r="CA36" s="228"/>
      <c r="CB36" s="228"/>
      <c r="CC36" s="228"/>
      <c r="CD36" s="228"/>
      <c r="CE36" s="228"/>
      <c r="CF36" s="228"/>
      <c r="CG36" s="228"/>
      <c r="CH36" s="228"/>
      <c r="CI36" s="228"/>
      <c r="CJ36" s="228"/>
      <c r="CK36" s="228"/>
      <c r="CL36" s="228"/>
      <c r="CM36" s="228"/>
      <c r="CN36" s="228"/>
      <c r="CO36" s="228"/>
      <c r="CP36" s="228"/>
      <c r="CQ36" s="228"/>
      <c r="CR36" s="228"/>
      <c r="CS36" s="228"/>
      <c r="CT36" s="228"/>
      <c r="CU36" s="228"/>
      <c r="CV36" s="228"/>
      <c r="CW36" s="228"/>
      <c r="CX36" s="228"/>
      <c r="CY36" s="228"/>
      <c r="CZ36" s="228"/>
      <c r="DA36" s="228"/>
      <c r="DB36" s="228"/>
      <c r="DC36" s="228"/>
      <c r="DD36" s="228"/>
      <c r="DE36" s="228"/>
      <c r="DF36" s="228"/>
      <c r="DG36" s="228"/>
      <c r="DH36" s="228"/>
      <c r="DI36" s="228"/>
      <c r="DJ36" s="228"/>
      <c r="DK36" s="228"/>
      <c r="DL36" s="228"/>
      <c r="DM36" s="228"/>
      <c r="DN36" s="228"/>
      <c r="DO36" s="228"/>
      <c r="DP36" s="228"/>
      <c r="DQ36" s="228"/>
      <c r="DR36" s="228"/>
      <c r="DS36" s="228"/>
      <c r="DT36" s="228"/>
      <c r="DU36" s="228"/>
      <c r="DV36" s="228"/>
      <c r="DW36" s="228"/>
      <c r="DX36" s="228"/>
      <c r="DY36" s="228"/>
      <c r="DZ36" s="228"/>
      <c r="EA36" s="228"/>
      <c r="EB36" s="228"/>
      <c r="EC36" s="228"/>
      <c r="ED36" s="228"/>
      <c r="EE36" s="228"/>
      <c r="EF36" s="228"/>
      <c r="EG36" s="228"/>
      <c r="EH36" s="228"/>
      <c r="EI36" s="228"/>
      <c r="EJ36" s="228"/>
      <c r="EK36" s="228"/>
      <c r="EL36" s="228"/>
      <c r="EM36" s="228"/>
      <c r="EN36" s="228"/>
      <c r="EO36" s="228"/>
      <c r="EP36" s="228"/>
      <c r="EQ36" s="228"/>
      <c r="ER36" s="228"/>
      <c r="ES36" s="228"/>
      <c r="ET36" s="228"/>
      <c r="EU36" s="228"/>
      <c r="EV36" s="228"/>
      <c r="EW36" s="228"/>
      <c r="EX36" s="228"/>
      <c r="EY36" s="228"/>
      <c r="EZ36" s="228"/>
      <c r="FA36" s="228"/>
      <c r="FB36" s="228"/>
      <c r="FC36" s="228"/>
      <c r="FD36" s="228"/>
      <c r="FE36" s="228"/>
      <c r="FF36" s="228"/>
      <c r="FG36" s="228"/>
      <c r="FH36" s="228"/>
      <c r="FI36" s="228"/>
      <c r="FJ36" s="228"/>
      <c r="FK36" s="228"/>
      <c r="FL36" s="228"/>
      <c r="FM36" s="228"/>
      <c r="FN36" s="228"/>
      <c r="FO36" s="228"/>
      <c r="FP36" s="228"/>
      <c r="FQ36" s="228"/>
      <c r="FR36" s="228"/>
      <c r="FS36" s="228"/>
      <c r="FT36" s="228"/>
      <c r="FU36" s="228"/>
      <c r="FV36" s="228"/>
      <c r="FW36" s="228"/>
      <c r="FX36" s="228"/>
      <c r="FY36" s="228"/>
      <c r="FZ36" s="228"/>
      <c r="GA36" s="228"/>
      <c r="GB36" s="228"/>
      <c r="GC36" s="228"/>
      <c r="GD36" s="228"/>
      <c r="GE36" s="228"/>
      <c r="GF36" s="228"/>
      <c r="GG36" s="228"/>
      <c r="GH36" s="228"/>
      <c r="GI36" s="228"/>
      <c r="GJ36" s="228"/>
      <c r="GK36" s="228"/>
      <c r="GL36" s="228"/>
      <c r="GM36" s="228"/>
      <c r="GN36" s="228"/>
      <c r="GO36" s="228"/>
      <c r="GP36" s="228"/>
      <c r="GQ36" s="228"/>
      <c r="GR36" s="228"/>
      <c r="GS36" s="228"/>
      <c r="GT36" s="228"/>
      <c r="GU36" s="228"/>
      <c r="GV36" s="228"/>
      <c r="GW36" s="228"/>
      <c r="GX36" s="228"/>
      <c r="GY36" s="228"/>
      <c r="GZ36" s="228"/>
      <c r="HA36" s="228"/>
      <c r="HB36" s="228"/>
      <c r="HC36" s="228"/>
      <c r="HD36" s="228"/>
      <c r="HE36" s="228"/>
      <c r="HF36" s="228"/>
      <c r="HG36" s="228"/>
      <c r="HH36" s="228"/>
      <c r="HI36" s="228"/>
      <c r="HJ36" s="228"/>
      <c r="HK36" s="228"/>
      <c r="HL36" s="228"/>
      <c r="HM36" s="228"/>
      <c r="HN36" s="228"/>
      <c r="HO36" s="228"/>
      <c r="HP36" s="228"/>
      <c r="HQ36" s="228"/>
      <c r="HR36" s="228"/>
      <c r="HS36" s="228"/>
      <c r="HT36" s="228"/>
      <c r="HU36" s="228"/>
      <c r="HV36" s="228"/>
      <c r="HW36" s="228"/>
      <c r="HX36" s="228"/>
      <c r="HY36" s="228"/>
      <c r="HZ36" s="228"/>
      <c r="IA36" s="228"/>
      <c r="IB36" s="228"/>
      <c r="IC36" s="228"/>
      <c r="ID36" s="228"/>
      <c r="IE36" s="228"/>
      <c r="IF36" s="228"/>
      <c r="IG36" s="228"/>
      <c r="IH36" s="228"/>
      <c r="II36" s="228"/>
      <c r="IJ36" s="228"/>
      <c r="IK36" s="228"/>
      <c r="IL36" s="228"/>
      <c r="IM36" s="228"/>
      <c r="IN36" s="228"/>
      <c r="IO36" s="228"/>
      <c r="IP36" s="228"/>
      <c r="IQ36" s="228"/>
      <c r="IR36" s="228"/>
      <c r="IS36" s="228"/>
      <c r="IT36" s="228"/>
      <c r="IU36" s="228"/>
      <c r="IV36" s="228"/>
      <c r="IW36" s="228"/>
      <c r="IX36" s="228"/>
      <c r="IY36" s="228"/>
      <c r="IZ36" s="228"/>
      <c r="JA36" s="228"/>
      <c r="JB36" s="228"/>
      <c r="JC36" s="228"/>
      <c r="JD36" s="228"/>
      <c r="JE36" s="228"/>
      <c r="JF36" s="228"/>
      <c r="JG36" s="228"/>
      <c r="JH36" s="228"/>
      <c r="JI36" s="228"/>
      <c r="JJ36" s="228"/>
      <c r="JK36" s="228"/>
      <c r="JL36" s="228"/>
      <c r="JM36" s="228"/>
      <c r="JN36" s="228"/>
      <c r="JO36" s="228"/>
      <c r="JP36" s="228"/>
      <c r="JQ36" s="228"/>
      <c r="JR36" s="228"/>
      <c r="JS36" s="228"/>
      <c r="JT36" s="228"/>
      <c r="JU36" s="228"/>
      <c r="JV36" s="228"/>
      <c r="JW36" s="228"/>
      <c r="JX36" s="228"/>
      <c r="JY36" s="228"/>
      <c r="JZ36" s="228"/>
      <c r="KA36" s="228"/>
      <c r="KB36" s="228"/>
      <c r="KC36" s="228"/>
      <c r="KD36" s="228"/>
      <c r="KE36" s="228"/>
      <c r="KF36" s="228"/>
      <c r="KG36" s="228"/>
      <c r="KH36" s="228"/>
      <c r="KI36" s="228"/>
      <c r="KJ36" s="228"/>
      <c r="KK36" s="228"/>
      <c r="KL36" s="228"/>
      <c r="KM36" s="228"/>
      <c r="KN36" s="228"/>
      <c r="KO36" s="228"/>
      <c r="KP36" s="228"/>
      <c r="KQ36" s="228"/>
      <c r="KR36" s="228"/>
      <c r="KS36" s="228"/>
      <c r="KT36" s="228"/>
      <c r="KU36" s="228"/>
      <c r="KV36" s="228"/>
      <c r="KW36" s="228"/>
      <c r="KX36" s="228"/>
      <c r="KY36" s="228"/>
      <c r="KZ36" s="228"/>
      <c r="LA36" s="228"/>
      <c r="LB36" s="228"/>
      <c r="LC36" s="228"/>
      <c r="LD36" s="228"/>
      <c r="LE36" s="228"/>
      <c r="LF36" s="228"/>
      <c r="LG36" s="228"/>
      <c r="LH36" s="228"/>
      <c r="LI36" s="228"/>
      <c r="LJ36" s="228"/>
      <c r="LK36" s="228"/>
      <c r="LL36" s="228"/>
      <c r="LM36" s="228"/>
      <c r="LN36" s="228"/>
      <c r="LO36" s="228"/>
      <c r="LP36" s="228"/>
      <c r="LQ36" s="228"/>
      <c r="LR36" s="228"/>
      <c r="LS36" s="228"/>
      <c r="LT36" s="228"/>
      <c r="LU36" s="228"/>
      <c r="LV36" s="228"/>
      <c r="LW36" s="228"/>
      <c r="LX36" s="228"/>
      <c r="LY36" s="228"/>
      <c r="LZ36" s="228"/>
      <c r="MA36" s="228"/>
      <c r="MB36" s="228"/>
      <c r="MC36" s="228"/>
      <c r="MD36" s="228"/>
      <c r="ME36" s="228"/>
      <c r="MF36" s="228"/>
      <c r="MG36" s="228"/>
      <c r="MH36" s="228"/>
      <c r="MI36" s="228"/>
      <c r="MJ36" s="228"/>
      <c r="MK36" s="228"/>
      <c r="ML36" s="228"/>
      <c r="MM36" s="228"/>
      <c r="MN36" s="228"/>
      <c r="MO36" s="228"/>
      <c r="MP36" s="228"/>
      <c r="MQ36" s="228"/>
      <c r="MR36" s="228"/>
      <c r="MS36" s="228"/>
      <c r="MT36" s="228"/>
      <c r="MU36" s="228"/>
      <c r="MV36" s="228"/>
      <c r="MW36" s="228"/>
      <c r="MX36" s="228"/>
      <c r="MY36" s="228"/>
      <c r="MZ36" s="228"/>
      <c r="NA36" s="228"/>
      <c r="NB36" s="228"/>
      <c r="NC36" s="228"/>
      <c r="ND36" s="228"/>
      <c r="NE36" s="228"/>
      <c r="NF36" s="228"/>
      <c r="NG36" s="228"/>
      <c r="NH36" s="228"/>
      <c r="NI36" s="228"/>
      <c r="NJ36" s="228"/>
      <c r="NK36" s="228"/>
      <c r="NL36" s="228"/>
      <c r="NM36" s="228"/>
      <c r="NN36" s="228"/>
      <c r="NO36" s="228"/>
      <c r="NP36" s="228"/>
      <c r="NQ36" s="228"/>
      <c r="NR36" s="228"/>
      <c r="NS36" s="228"/>
      <c r="NT36" s="228"/>
      <c r="NU36" s="228"/>
      <c r="NV36" s="228"/>
      <c r="NW36" s="228"/>
      <c r="NX36" s="228"/>
      <c r="NY36" s="228"/>
      <c r="NZ36" s="228"/>
      <c r="OA36" s="228"/>
      <c r="OB36" s="228"/>
      <c r="OC36" s="228"/>
      <c r="OD36" s="228"/>
      <c r="OE36" s="228"/>
      <c r="OF36" s="228"/>
      <c r="OG36" s="228"/>
      <c r="OH36" s="228"/>
      <c r="OI36" s="228"/>
      <c r="OJ36" s="228"/>
      <c r="OK36" s="228"/>
      <c r="OL36" s="228"/>
      <c r="OM36" s="228"/>
      <c r="ON36" s="228"/>
      <c r="OO36" s="228"/>
      <c r="OP36" s="228"/>
      <c r="OQ36" s="228"/>
      <c r="OR36" s="228"/>
      <c r="OS36" s="228"/>
      <c r="OT36" s="228"/>
      <c r="OU36" s="228"/>
      <c r="OV36" s="228"/>
      <c r="OW36" s="228"/>
      <c r="OX36" s="228"/>
      <c r="OY36" s="228"/>
      <c r="OZ36" s="228"/>
      <c r="PA36" s="228"/>
      <c r="PB36" s="228"/>
      <c r="PC36" s="228"/>
      <c r="PD36" s="228"/>
      <c r="PE36" s="228"/>
      <c r="PF36" s="228"/>
      <c r="PG36" s="228"/>
      <c r="PH36" s="228"/>
      <c r="PI36" s="228"/>
      <c r="PJ36" s="228"/>
      <c r="PK36" s="228"/>
      <c r="PL36" s="228"/>
      <c r="PM36" s="228"/>
      <c r="PN36" s="228"/>
      <c r="PO36" s="228"/>
      <c r="PP36" s="228"/>
      <c r="PQ36" s="228"/>
      <c r="PR36" s="228"/>
      <c r="PS36" s="228"/>
      <c r="PT36" s="228"/>
      <c r="PU36" s="228"/>
      <c r="PV36" s="228"/>
      <c r="PW36" s="228"/>
      <c r="PX36" s="228"/>
      <c r="PY36" s="228"/>
      <c r="PZ36" s="228"/>
      <c r="QA36" s="228"/>
      <c r="QB36" s="228"/>
      <c r="QC36" s="228"/>
      <c r="QD36" s="228"/>
      <c r="QE36" s="228"/>
      <c r="QF36" s="228"/>
      <c r="QG36" s="228"/>
      <c r="QH36" s="228"/>
      <c r="QI36" s="228"/>
      <c r="QJ36" s="228"/>
      <c r="QK36" s="228"/>
      <c r="QL36" s="228"/>
      <c r="QM36" s="228"/>
      <c r="QN36" s="228"/>
      <c r="QO36" s="228"/>
      <c r="QP36" s="228"/>
      <c r="QQ36" s="228"/>
      <c r="QR36" s="228"/>
      <c r="QS36" s="228"/>
      <c r="QT36" s="228"/>
      <c r="QU36" s="228"/>
      <c r="QV36" s="228"/>
      <c r="QW36" s="228"/>
      <c r="QX36" s="228"/>
      <c r="QY36" s="228"/>
      <c r="QZ36" s="228"/>
      <c r="RA36" s="228"/>
      <c r="RB36" s="228"/>
      <c r="RC36" s="228"/>
      <c r="RD36" s="228"/>
      <c r="RE36" s="228"/>
      <c r="RF36" s="228"/>
      <c r="RG36" s="228"/>
      <c r="RH36" s="228"/>
      <c r="RI36" s="228"/>
      <c r="RJ36" s="228"/>
      <c r="RK36" s="228"/>
      <c r="RL36" s="228"/>
      <c r="RM36" s="228"/>
      <c r="RN36" s="228"/>
      <c r="RO36" s="228"/>
      <c r="RP36" s="228"/>
      <c r="RQ36" s="228"/>
      <c r="RR36" s="228"/>
      <c r="RS36" s="228"/>
      <c r="RT36" s="228"/>
      <c r="RU36" s="228"/>
      <c r="RV36" s="228"/>
      <c r="RW36" s="228"/>
      <c r="RX36" s="228"/>
      <c r="RY36" s="228"/>
      <c r="RZ36" s="228"/>
      <c r="SA36" s="228"/>
      <c r="SB36" s="228"/>
      <c r="SC36" s="228"/>
      <c r="SD36" s="228"/>
      <c r="SE36" s="228"/>
      <c r="SF36" s="228"/>
      <c r="SG36" s="228"/>
    </row>
    <row r="37" spans="2:501" ht="84" customHeight="1">
      <c r="C37" s="227" t="s">
        <v>1889</v>
      </c>
      <c r="D37" s="225" t="s">
        <v>1890</v>
      </c>
      <c r="E37" s="225" t="s">
        <v>1891</v>
      </c>
      <c r="F37" s="225" t="s">
        <v>1892</v>
      </c>
      <c r="G37" s="225" t="s">
        <v>1342</v>
      </c>
      <c r="H37" s="225" t="s">
        <v>1741</v>
      </c>
      <c r="I37" s="226" t="s">
        <v>1893</v>
      </c>
      <c r="J37" s="226" t="s">
        <v>1843</v>
      </c>
      <c r="K37" s="225" t="s">
        <v>1768</v>
      </c>
      <c r="L37" s="225" t="s">
        <v>1760</v>
      </c>
      <c r="M37" s="226" t="s">
        <v>1894</v>
      </c>
      <c r="N37" s="228"/>
      <c r="O37" s="228"/>
      <c r="P37" s="228"/>
      <c r="Q37" s="228"/>
      <c r="R37" s="228"/>
      <c r="S37" s="228"/>
      <c r="T37" s="228"/>
      <c r="U37" s="228"/>
      <c r="V37" s="228"/>
      <c r="W37" s="228"/>
      <c r="X37" s="228"/>
      <c r="Y37" s="228"/>
      <c r="Z37" s="228"/>
      <c r="AA37" s="228"/>
      <c r="AB37" s="228"/>
      <c r="AC37" s="228"/>
      <c r="AD37" s="228"/>
      <c r="AE37" s="228"/>
      <c r="AF37" s="228"/>
      <c r="AG37" s="228"/>
      <c r="AH37" s="228"/>
      <c r="AI37" s="228"/>
      <c r="AJ37" s="228"/>
      <c r="AK37" s="228"/>
      <c r="AL37" s="228"/>
      <c r="AM37" s="228"/>
      <c r="AN37" s="228"/>
      <c r="AO37" s="228"/>
      <c r="AP37" s="228"/>
      <c r="AQ37" s="228"/>
      <c r="AR37" s="228"/>
      <c r="AS37" s="228"/>
      <c r="AT37" s="228"/>
      <c r="AU37" s="228"/>
      <c r="AV37" s="228"/>
      <c r="AW37" s="228"/>
      <c r="AX37" s="228"/>
      <c r="AY37" s="228"/>
      <c r="AZ37" s="228"/>
      <c r="BA37" s="228"/>
      <c r="BB37" s="228"/>
      <c r="BC37" s="228"/>
      <c r="BD37" s="228"/>
      <c r="BE37" s="228"/>
      <c r="BF37" s="228"/>
      <c r="BG37" s="228"/>
      <c r="BH37" s="228"/>
      <c r="BI37" s="228"/>
      <c r="BJ37" s="228"/>
      <c r="BK37" s="228"/>
      <c r="BL37" s="228"/>
      <c r="BM37" s="228"/>
      <c r="BN37" s="228"/>
      <c r="BO37" s="228"/>
      <c r="BP37" s="228"/>
      <c r="BQ37" s="228"/>
      <c r="BR37" s="228"/>
      <c r="BS37" s="228"/>
      <c r="BT37" s="228"/>
      <c r="BU37" s="228"/>
      <c r="BV37" s="228"/>
      <c r="BW37" s="228"/>
      <c r="BX37" s="228"/>
      <c r="BY37" s="228"/>
      <c r="BZ37" s="228"/>
      <c r="CA37" s="228"/>
      <c r="CB37" s="228"/>
      <c r="CC37" s="228"/>
      <c r="CD37" s="228"/>
      <c r="CE37" s="228"/>
      <c r="CF37" s="228"/>
      <c r="CG37" s="228"/>
      <c r="CH37" s="228"/>
      <c r="CI37" s="228"/>
      <c r="CJ37" s="228"/>
      <c r="CK37" s="228"/>
      <c r="CL37" s="228"/>
      <c r="CM37" s="228"/>
      <c r="CN37" s="228"/>
      <c r="CO37" s="228"/>
      <c r="CP37" s="228"/>
      <c r="CQ37" s="228"/>
      <c r="CR37" s="228"/>
      <c r="CS37" s="228"/>
      <c r="CT37" s="228"/>
      <c r="CU37" s="228"/>
      <c r="CV37" s="228"/>
      <c r="CW37" s="228"/>
      <c r="CX37" s="228"/>
      <c r="CY37" s="228"/>
      <c r="CZ37" s="228"/>
      <c r="DA37" s="228"/>
      <c r="DB37" s="228"/>
      <c r="DC37" s="228"/>
      <c r="DD37" s="228"/>
      <c r="DE37" s="228"/>
      <c r="DF37" s="228"/>
      <c r="DG37" s="228"/>
      <c r="DH37" s="228"/>
      <c r="DI37" s="228"/>
      <c r="DJ37" s="228"/>
      <c r="DK37" s="228"/>
      <c r="DL37" s="228"/>
      <c r="DM37" s="228"/>
      <c r="DN37" s="228"/>
      <c r="DO37" s="228"/>
      <c r="DP37" s="228"/>
      <c r="DQ37" s="228"/>
      <c r="DR37" s="228"/>
      <c r="DS37" s="228"/>
      <c r="DT37" s="228"/>
      <c r="DU37" s="228"/>
      <c r="DV37" s="228"/>
      <c r="DW37" s="228"/>
      <c r="DX37" s="228"/>
      <c r="DY37" s="228"/>
      <c r="DZ37" s="228"/>
      <c r="EA37" s="228"/>
      <c r="EB37" s="228"/>
      <c r="EC37" s="228"/>
      <c r="ED37" s="228"/>
      <c r="EE37" s="228"/>
      <c r="EF37" s="228"/>
      <c r="EG37" s="228"/>
      <c r="EH37" s="228"/>
      <c r="EI37" s="228"/>
      <c r="EJ37" s="228"/>
      <c r="EK37" s="228"/>
      <c r="EL37" s="228"/>
      <c r="EM37" s="228"/>
      <c r="EN37" s="228"/>
      <c r="EO37" s="228"/>
      <c r="EP37" s="228"/>
      <c r="EQ37" s="228"/>
      <c r="ER37" s="228"/>
      <c r="ES37" s="228"/>
      <c r="ET37" s="228"/>
      <c r="EU37" s="228"/>
      <c r="EV37" s="228"/>
      <c r="EW37" s="228"/>
      <c r="EX37" s="228"/>
      <c r="EY37" s="228"/>
      <c r="EZ37" s="228"/>
      <c r="FA37" s="228"/>
      <c r="FB37" s="228"/>
      <c r="FC37" s="228"/>
      <c r="FD37" s="228"/>
      <c r="FE37" s="228"/>
      <c r="FF37" s="228"/>
      <c r="FG37" s="228"/>
      <c r="FH37" s="228"/>
      <c r="FI37" s="228"/>
      <c r="FJ37" s="228"/>
      <c r="FK37" s="228"/>
      <c r="FL37" s="228"/>
      <c r="FM37" s="228"/>
      <c r="FN37" s="228"/>
      <c r="FO37" s="228"/>
      <c r="FP37" s="228"/>
      <c r="FQ37" s="228"/>
      <c r="FR37" s="228"/>
      <c r="FS37" s="228"/>
      <c r="FT37" s="228"/>
      <c r="FU37" s="228"/>
      <c r="FV37" s="228"/>
      <c r="FW37" s="228"/>
      <c r="FX37" s="228"/>
      <c r="FY37" s="228"/>
      <c r="FZ37" s="228"/>
      <c r="GA37" s="228"/>
      <c r="GB37" s="228"/>
      <c r="GC37" s="228"/>
      <c r="GD37" s="228"/>
      <c r="GE37" s="228"/>
      <c r="GF37" s="228"/>
      <c r="GG37" s="228"/>
      <c r="GH37" s="228"/>
      <c r="GI37" s="228"/>
      <c r="GJ37" s="228"/>
      <c r="GK37" s="228"/>
      <c r="GL37" s="228"/>
      <c r="GM37" s="228"/>
      <c r="GN37" s="228"/>
      <c r="GO37" s="228"/>
      <c r="GP37" s="228"/>
      <c r="GQ37" s="228"/>
      <c r="GR37" s="228"/>
      <c r="GS37" s="228"/>
      <c r="GT37" s="228"/>
      <c r="GU37" s="228"/>
      <c r="GV37" s="228"/>
      <c r="GW37" s="228"/>
      <c r="GX37" s="228"/>
      <c r="GY37" s="228"/>
      <c r="GZ37" s="228"/>
      <c r="HA37" s="228"/>
      <c r="HB37" s="228"/>
      <c r="HC37" s="228"/>
      <c r="HD37" s="228"/>
      <c r="HE37" s="228"/>
      <c r="HF37" s="228"/>
      <c r="HG37" s="228"/>
      <c r="HH37" s="228"/>
      <c r="HI37" s="228"/>
      <c r="HJ37" s="228"/>
      <c r="HK37" s="228"/>
      <c r="HL37" s="228"/>
      <c r="HM37" s="228"/>
      <c r="HN37" s="228"/>
      <c r="HO37" s="228"/>
      <c r="HP37" s="228"/>
      <c r="HQ37" s="228"/>
      <c r="HR37" s="228"/>
      <c r="HS37" s="228"/>
      <c r="HT37" s="228"/>
      <c r="HU37" s="228"/>
      <c r="HV37" s="228"/>
      <c r="HW37" s="228"/>
      <c r="HX37" s="228"/>
      <c r="HY37" s="228"/>
      <c r="HZ37" s="228"/>
      <c r="IA37" s="228"/>
      <c r="IB37" s="228"/>
      <c r="IC37" s="228"/>
      <c r="ID37" s="228"/>
      <c r="IE37" s="228"/>
      <c r="IF37" s="228"/>
      <c r="IG37" s="228"/>
      <c r="IH37" s="228"/>
      <c r="II37" s="228"/>
      <c r="IJ37" s="228"/>
      <c r="IK37" s="228"/>
      <c r="IL37" s="228"/>
      <c r="IM37" s="228"/>
      <c r="IN37" s="228"/>
      <c r="IO37" s="228"/>
      <c r="IP37" s="228"/>
      <c r="IQ37" s="228"/>
      <c r="IR37" s="228"/>
      <c r="IS37" s="228"/>
      <c r="IT37" s="228"/>
      <c r="IU37" s="228"/>
      <c r="IV37" s="228"/>
      <c r="IW37" s="228"/>
      <c r="IX37" s="228"/>
      <c r="IY37" s="228"/>
      <c r="IZ37" s="228"/>
      <c r="JA37" s="228"/>
      <c r="JB37" s="228"/>
      <c r="JC37" s="228"/>
      <c r="JD37" s="228"/>
      <c r="JE37" s="228"/>
      <c r="JF37" s="228"/>
      <c r="JG37" s="228"/>
      <c r="JH37" s="228"/>
      <c r="JI37" s="228"/>
      <c r="JJ37" s="228"/>
      <c r="JK37" s="228"/>
      <c r="JL37" s="228"/>
      <c r="JM37" s="228"/>
      <c r="JN37" s="228"/>
      <c r="JO37" s="228"/>
      <c r="JP37" s="228"/>
      <c r="JQ37" s="228"/>
      <c r="JR37" s="228"/>
      <c r="JS37" s="228"/>
      <c r="JT37" s="228"/>
      <c r="JU37" s="228"/>
      <c r="JV37" s="228"/>
      <c r="JW37" s="228"/>
      <c r="JX37" s="228"/>
      <c r="JY37" s="228"/>
      <c r="JZ37" s="228"/>
      <c r="KA37" s="228"/>
      <c r="KB37" s="228"/>
      <c r="KC37" s="228"/>
      <c r="KD37" s="228"/>
      <c r="KE37" s="228"/>
      <c r="KF37" s="228"/>
      <c r="KG37" s="228"/>
      <c r="KH37" s="228"/>
      <c r="KI37" s="228"/>
      <c r="KJ37" s="228"/>
      <c r="KK37" s="228"/>
      <c r="KL37" s="228"/>
      <c r="KM37" s="228"/>
      <c r="KN37" s="228"/>
      <c r="KO37" s="228"/>
      <c r="KP37" s="228"/>
      <c r="KQ37" s="228"/>
      <c r="KR37" s="228"/>
      <c r="KS37" s="228"/>
      <c r="KT37" s="228"/>
      <c r="KU37" s="228"/>
      <c r="KV37" s="228"/>
      <c r="KW37" s="228"/>
      <c r="KX37" s="228"/>
      <c r="KY37" s="228"/>
      <c r="KZ37" s="228"/>
      <c r="LA37" s="228"/>
      <c r="LB37" s="228"/>
      <c r="LC37" s="228"/>
      <c r="LD37" s="228"/>
      <c r="LE37" s="228"/>
      <c r="LF37" s="228"/>
      <c r="LG37" s="228"/>
      <c r="LH37" s="228"/>
      <c r="LI37" s="228"/>
      <c r="LJ37" s="228"/>
      <c r="LK37" s="228"/>
      <c r="LL37" s="228"/>
      <c r="LM37" s="228"/>
      <c r="LN37" s="228"/>
      <c r="LO37" s="228"/>
      <c r="LP37" s="228"/>
      <c r="LQ37" s="228"/>
      <c r="LR37" s="228"/>
      <c r="LS37" s="228"/>
      <c r="LT37" s="228"/>
      <c r="LU37" s="228"/>
      <c r="LV37" s="228"/>
      <c r="LW37" s="228"/>
      <c r="LX37" s="228"/>
      <c r="LY37" s="228"/>
      <c r="LZ37" s="228"/>
      <c r="MA37" s="228"/>
      <c r="MB37" s="228"/>
      <c r="MC37" s="228"/>
      <c r="MD37" s="228"/>
      <c r="ME37" s="228"/>
      <c r="MF37" s="228"/>
      <c r="MG37" s="228"/>
      <c r="MH37" s="228"/>
      <c r="MI37" s="228"/>
      <c r="MJ37" s="228"/>
      <c r="MK37" s="228"/>
      <c r="ML37" s="228"/>
      <c r="MM37" s="228"/>
      <c r="MN37" s="228"/>
      <c r="MO37" s="228"/>
      <c r="MP37" s="228"/>
      <c r="MQ37" s="228"/>
      <c r="MR37" s="228"/>
      <c r="MS37" s="228"/>
      <c r="MT37" s="228"/>
      <c r="MU37" s="228"/>
      <c r="MV37" s="228"/>
      <c r="MW37" s="228"/>
      <c r="MX37" s="228"/>
      <c r="MY37" s="228"/>
      <c r="MZ37" s="228"/>
      <c r="NA37" s="228"/>
      <c r="NB37" s="228"/>
      <c r="NC37" s="228"/>
      <c r="ND37" s="228"/>
      <c r="NE37" s="228"/>
      <c r="NF37" s="228"/>
      <c r="NG37" s="228"/>
      <c r="NH37" s="228"/>
      <c r="NI37" s="228"/>
      <c r="NJ37" s="228"/>
      <c r="NK37" s="228"/>
      <c r="NL37" s="228"/>
      <c r="NM37" s="228"/>
      <c r="NN37" s="228"/>
      <c r="NO37" s="228"/>
      <c r="NP37" s="228"/>
      <c r="NQ37" s="228"/>
      <c r="NR37" s="228"/>
      <c r="NS37" s="228"/>
      <c r="NT37" s="228"/>
      <c r="NU37" s="228"/>
      <c r="NV37" s="228"/>
      <c r="NW37" s="228"/>
      <c r="NX37" s="228"/>
      <c r="NY37" s="228"/>
      <c r="NZ37" s="228"/>
      <c r="OA37" s="228"/>
      <c r="OB37" s="228"/>
      <c r="OC37" s="228"/>
      <c r="OD37" s="228"/>
      <c r="OE37" s="228"/>
      <c r="OF37" s="228"/>
      <c r="OG37" s="228"/>
      <c r="OH37" s="228"/>
      <c r="OI37" s="228"/>
      <c r="OJ37" s="228"/>
      <c r="OK37" s="228"/>
      <c r="OL37" s="228"/>
      <c r="OM37" s="228"/>
      <c r="ON37" s="228"/>
      <c r="OO37" s="228"/>
      <c r="OP37" s="228"/>
      <c r="OQ37" s="228"/>
      <c r="OR37" s="228"/>
      <c r="OS37" s="228"/>
      <c r="OT37" s="228"/>
      <c r="OU37" s="228"/>
      <c r="OV37" s="228"/>
      <c r="OW37" s="228"/>
      <c r="OX37" s="228"/>
      <c r="OY37" s="228"/>
      <c r="OZ37" s="228"/>
      <c r="PA37" s="228"/>
      <c r="PB37" s="228"/>
      <c r="PC37" s="228"/>
      <c r="PD37" s="228"/>
      <c r="PE37" s="228"/>
      <c r="PF37" s="228"/>
      <c r="PG37" s="228"/>
      <c r="PH37" s="228"/>
      <c r="PI37" s="228"/>
      <c r="PJ37" s="228"/>
      <c r="PK37" s="228"/>
      <c r="PL37" s="228"/>
      <c r="PM37" s="228"/>
      <c r="PN37" s="228"/>
      <c r="PO37" s="228"/>
      <c r="PP37" s="228"/>
      <c r="PQ37" s="228"/>
      <c r="PR37" s="228"/>
      <c r="PS37" s="228"/>
      <c r="PT37" s="228"/>
      <c r="PU37" s="228"/>
      <c r="PV37" s="228"/>
      <c r="PW37" s="228"/>
      <c r="PX37" s="228"/>
      <c r="PY37" s="228"/>
      <c r="PZ37" s="228"/>
      <c r="QA37" s="228"/>
      <c r="QB37" s="228"/>
      <c r="QC37" s="228"/>
      <c r="QD37" s="228"/>
      <c r="QE37" s="228"/>
      <c r="QF37" s="228"/>
      <c r="QG37" s="228"/>
      <c r="QH37" s="228"/>
      <c r="QI37" s="228"/>
      <c r="QJ37" s="228"/>
      <c r="QK37" s="228"/>
      <c r="QL37" s="228"/>
      <c r="QM37" s="228"/>
      <c r="QN37" s="228"/>
      <c r="QO37" s="228"/>
      <c r="QP37" s="228"/>
      <c r="QQ37" s="228"/>
      <c r="QR37" s="228"/>
      <c r="QS37" s="228"/>
      <c r="QT37" s="228"/>
      <c r="QU37" s="228"/>
      <c r="QV37" s="228"/>
      <c r="QW37" s="228"/>
      <c r="QX37" s="228"/>
      <c r="QY37" s="228"/>
      <c r="QZ37" s="228"/>
      <c r="RA37" s="228"/>
      <c r="RB37" s="228"/>
      <c r="RC37" s="228"/>
      <c r="RD37" s="228"/>
      <c r="RE37" s="228"/>
      <c r="RF37" s="228"/>
      <c r="RG37" s="228"/>
      <c r="RH37" s="228"/>
      <c r="RI37" s="228"/>
      <c r="RJ37" s="228"/>
      <c r="RK37" s="228"/>
      <c r="RL37" s="228"/>
      <c r="RM37" s="228"/>
      <c r="RN37" s="228"/>
      <c r="RO37" s="228"/>
      <c r="RP37" s="228"/>
      <c r="RQ37" s="228"/>
      <c r="RR37" s="228"/>
      <c r="RS37" s="228"/>
      <c r="RT37" s="228"/>
      <c r="RU37" s="228"/>
      <c r="RV37" s="228"/>
      <c r="RW37" s="228"/>
      <c r="RX37" s="228"/>
      <c r="RY37" s="228"/>
      <c r="RZ37" s="228"/>
      <c r="SA37" s="228"/>
      <c r="SB37" s="228"/>
      <c r="SC37" s="228"/>
      <c r="SD37" s="228"/>
      <c r="SE37" s="228"/>
      <c r="SF37" s="228"/>
      <c r="SG37" s="228"/>
    </row>
    <row r="38" spans="2:501" ht="55.5" customHeight="1">
      <c r="C38" s="227" t="s">
        <v>1895</v>
      </c>
      <c r="D38" s="225" t="s">
        <v>1896</v>
      </c>
      <c r="E38" s="225" t="s">
        <v>1897</v>
      </c>
      <c r="F38" s="225" t="s">
        <v>1898</v>
      </c>
      <c r="G38" s="225" t="s">
        <v>1740</v>
      </c>
      <c r="H38" s="225" t="s">
        <v>1741</v>
      </c>
      <c r="I38" s="226" t="s">
        <v>1899</v>
      </c>
      <c r="J38" s="226" t="s">
        <v>1900</v>
      </c>
      <c r="K38" s="225" t="s">
        <v>1844</v>
      </c>
      <c r="L38" s="225" t="s">
        <v>1760</v>
      </c>
      <c r="M38" s="226" t="s">
        <v>1901</v>
      </c>
      <c r="N38" s="228"/>
      <c r="O38" s="228"/>
      <c r="P38" s="228"/>
      <c r="Q38" s="228"/>
      <c r="R38" s="228"/>
      <c r="S38" s="228"/>
      <c r="T38" s="228"/>
      <c r="U38" s="228"/>
      <c r="V38" s="228"/>
      <c r="W38" s="228"/>
      <c r="X38" s="228"/>
      <c r="Y38" s="228"/>
      <c r="Z38" s="228"/>
      <c r="AA38" s="228"/>
      <c r="AB38" s="228"/>
      <c r="AC38" s="228"/>
      <c r="AD38" s="228"/>
      <c r="AE38" s="228"/>
      <c r="AF38" s="228"/>
      <c r="AG38" s="228"/>
      <c r="AH38" s="228"/>
      <c r="AI38" s="228"/>
      <c r="AJ38" s="228"/>
      <c r="AK38" s="228"/>
      <c r="AL38" s="228"/>
      <c r="AM38" s="228"/>
      <c r="AN38" s="228"/>
      <c r="AO38" s="228"/>
      <c r="AP38" s="228"/>
      <c r="AQ38" s="228"/>
      <c r="AR38" s="228"/>
      <c r="AS38" s="228"/>
      <c r="AT38" s="228"/>
      <c r="AU38" s="228"/>
      <c r="AV38" s="228"/>
      <c r="AW38" s="228"/>
      <c r="AX38" s="228"/>
      <c r="AY38" s="228"/>
      <c r="AZ38" s="228"/>
      <c r="BA38" s="228"/>
      <c r="BB38" s="228"/>
      <c r="BC38" s="228"/>
      <c r="BD38" s="228"/>
      <c r="BE38" s="228"/>
      <c r="BF38" s="228"/>
      <c r="BG38" s="228"/>
      <c r="BH38" s="228"/>
      <c r="BI38" s="228"/>
      <c r="BJ38" s="228"/>
      <c r="BK38" s="228"/>
      <c r="BL38" s="228"/>
      <c r="BM38" s="228"/>
      <c r="BN38" s="228"/>
      <c r="BO38" s="228"/>
      <c r="BP38" s="228"/>
      <c r="BQ38" s="228"/>
      <c r="BR38" s="228"/>
      <c r="BS38" s="228"/>
      <c r="BT38" s="228"/>
      <c r="BU38" s="228"/>
      <c r="BV38" s="228"/>
      <c r="BW38" s="228"/>
      <c r="BX38" s="228"/>
      <c r="BY38" s="228"/>
      <c r="BZ38" s="228"/>
      <c r="CA38" s="228"/>
      <c r="CB38" s="228"/>
      <c r="CC38" s="228"/>
      <c r="CD38" s="228"/>
      <c r="CE38" s="228"/>
      <c r="CF38" s="228"/>
      <c r="CG38" s="228"/>
      <c r="CH38" s="228"/>
      <c r="CI38" s="228"/>
      <c r="CJ38" s="228"/>
      <c r="CK38" s="228"/>
      <c r="CL38" s="228"/>
      <c r="CM38" s="228"/>
      <c r="CN38" s="228"/>
      <c r="CO38" s="228"/>
      <c r="CP38" s="228"/>
      <c r="CQ38" s="228"/>
      <c r="CR38" s="228"/>
      <c r="CS38" s="228"/>
      <c r="CT38" s="228"/>
      <c r="CU38" s="228"/>
      <c r="CV38" s="228"/>
      <c r="CW38" s="228"/>
      <c r="CX38" s="228"/>
      <c r="CY38" s="228"/>
      <c r="CZ38" s="228"/>
      <c r="DA38" s="228"/>
      <c r="DB38" s="228"/>
      <c r="DC38" s="228"/>
      <c r="DD38" s="228"/>
      <c r="DE38" s="228"/>
      <c r="DF38" s="228"/>
      <c r="DG38" s="228"/>
      <c r="DH38" s="228"/>
      <c r="DI38" s="228"/>
      <c r="DJ38" s="228"/>
      <c r="DK38" s="228"/>
      <c r="DL38" s="228"/>
      <c r="DM38" s="228"/>
      <c r="DN38" s="228"/>
      <c r="DO38" s="228"/>
      <c r="DP38" s="228"/>
      <c r="DQ38" s="228"/>
      <c r="DR38" s="228"/>
      <c r="DS38" s="228"/>
      <c r="DT38" s="228"/>
      <c r="DU38" s="228"/>
      <c r="DV38" s="228"/>
      <c r="DW38" s="228"/>
      <c r="DX38" s="228"/>
      <c r="DY38" s="228"/>
      <c r="DZ38" s="228"/>
      <c r="EA38" s="228"/>
      <c r="EB38" s="228"/>
      <c r="EC38" s="228"/>
      <c r="ED38" s="228"/>
      <c r="EE38" s="228"/>
      <c r="EF38" s="228"/>
      <c r="EG38" s="228"/>
      <c r="EH38" s="228"/>
      <c r="EI38" s="228"/>
      <c r="EJ38" s="228"/>
      <c r="EK38" s="228"/>
      <c r="EL38" s="228"/>
      <c r="EM38" s="228"/>
      <c r="EN38" s="228"/>
      <c r="EO38" s="228"/>
      <c r="EP38" s="228"/>
      <c r="EQ38" s="228"/>
      <c r="ER38" s="228"/>
      <c r="ES38" s="228"/>
      <c r="ET38" s="228"/>
      <c r="EU38" s="228"/>
      <c r="EV38" s="228"/>
      <c r="EW38" s="228"/>
      <c r="EX38" s="228"/>
      <c r="EY38" s="228"/>
      <c r="EZ38" s="228"/>
      <c r="FA38" s="228"/>
      <c r="FB38" s="228"/>
      <c r="FC38" s="228"/>
      <c r="FD38" s="228"/>
      <c r="FE38" s="228"/>
      <c r="FF38" s="228"/>
      <c r="FG38" s="228"/>
      <c r="FH38" s="228"/>
      <c r="FI38" s="228"/>
      <c r="FJ38" s="228"/>
      <c r="FK38" s="228"/>
      <c r="FL38" s="228"/>
      <c r="FM38" s="228"/>
      <c r="FN38" s="228"/>
      <c r="FO38" s="228"/>
      <c r="FP38" s="228"/>
      <c r="FQ38" s="228"/>
      <c r="FR38" s="228"/>
      <c r="FS38" s="228"/>
      <c r="FT38" s="228"/>
      <c r="FU38" s="228"/>
      <c r="FV38" s="228"/>
      <c r="FW38" s="228"/>
      <c r="FX38" s="228"/>
      <c r="FY38" s="228"/>
      <c r="FZ38" s="228"/>
      <c r="GA38" s="228"/>
      <c r="GB38" s="228"/>
      <c r="GC38" s="228"/>
      <c r="GD38" s="228"/>
      <c r="GE38" s="228"/>
      <c r="GF38" s="228"/>
      <c r="GG38" s="228"/>
      <c r="GH38" s="228"/>
      <c r="GI38" s="228"/>
      <c r="GJ38" s="228"/>
      <c r="GK38" s="228"/>
      <c r="GL38" s="228"/>
      <c r="GM38" s="228"/>
      <c r="GN38" s="228"/>
      <c r="GO38" s="228"/>
      <c r="GP38" s="228"/>
      <c r="GQ38" s="228"/>
      <c r="GR38" s="228"/>
      <c r="GS38" s="228"/>
      <c r="GT38" s="228"/>
      <c r="GU38" s="228"/>
      <c r="GV38" s="228"/>
      <c r="GW38" s="228"/>
      <c r="GX38" s="228"/>
      <c r="GY38" s="228"/>
      <c r="GZ38" s="228"/>
      <c r="HA38" s="228"/>
      <c r="HB38" s="228"/>
      <c r="HC38" s="228"/>
      <c r="HD38" s="228"/>
      <c r="HE38" s="228"/>
      <c r="HF38" s="228"/>
      <c r="HG38" s="228"/>
      <c r="HH38" s="228"/>
      <c r="HI38" s="228"/>
      <c r="HJ38" s="228"/>
      <c r="HK38" s="228"/>
      <c r="HL38" s="228"/>
      <c r="HM38" s="228"/>
      <c r="HN38" s="228"/>
      <c r="HO38" s="228"/>
      <c r="HP38" s="228"/>
      <c r="HQ38" s="228"/>
      <c r="HR38" s="228"/>
      <c r="HS38" s="228"/>
      <c r="HT38" s="228"/>
      <c r="HU38" s="228"/>
      <c r="HV38" s="228"/>
      <c r="HW38" s="228"/>
      <c r="HX38" s="228"/>
      <c r="HY38" s="228"/>
      <c r="HZ38" s="228"/>
      <c r="IA38" s="228"/>
      <c r="IB38" s="228"/>
      <c r="IC38" s="228"/>
      <c r="ID38" s="228"/>
      <c r="IE38" s="228"/>
      <c r="IF38" s="228"/>
      <c r="IG38" s="228"/>
      <c r="IH38" s="228"/>
      <c r="II38" s="228"/>
      <c r="IJ38" s="228"/>
      <c r="IK38" s="228"/>
      <c r="IL38" s="228"/>
      <c r="IM38" s="228"/>
      <c r="IN38" s="228"/>
      <c r="IO38" s="228"/>
      <c r="IP38" s="228"/>
      <c r="IQ38" s="228"/>
      <c r="IR38" s="228"/>
      <c r="IS38" s="228"/>
      <c r="IT38" s="228"/>
      <c r="IU38" s="228"/>
      <c r="IV38" s="228"/>
      <c r="IW38" s="228"/>
      <c r="IX38" s="228"/>
      <c r="IY38" s="228"/>
      <c r="IZ38" s="228"/>
      <c r="JA38" s="228"/>
      <c r="JB38" s="228"/>
      <c r="JC38" s="228"/>
      <c r="JD38" s="228"/>
      <c r="JE38" s="228"/>
      <c r="JF38" s="228"/>
      <c r="JG38" s="228"/>
      <c r="JH38" s="228"/>
      <c r="JI38" s="228"/>
      <c r="JJ38" s="228"/>
      <c r="JK38" s="228"/>
      <c r="JL38" s="228"/>
      <c r="JM38" s="228"/>
      <c r="JN38" s="228"/>
      <c r="JO38" s="228"/>
      <c r="JP38" s="228"/>
      <c r="JQ38" s="228"/>
      <c r="JR38" s="228"/>
      <c r="JS38" s="228"/>
      <c r="JT38" s="228"/>
      <c r="JU38" s="228"/>
      <c r="JV38" s="228"/>
      <c r="JW38" s="228"/>
      <c r="JX38" s="228"/>
      <c r="JY38" s="228"/>
      <c r="JZ38" s="228"/>
      <c r="KA38" s="228"/>
      <c r="KB38" s="228"/>
      <c r="KC38" s="228"/>
      <c r="KD38" s="228"/>
      <c r="KE38" s="228"/>
      <c r="KF38" s="228"/>
      <c r="KG38" s="228"/>
      <c r="KH38" s="228"/>
      <c r="KI38" s="228"/>
      <c r="KJ38" s="228"/>
      <c r="KK38" s="228"/>
      <c r="KL38" s="228"/>
      <c r="KM38" s="228"/>
      <c r="KN38" s="228"/>
      <c r="KO38" s="228"/>
      <c r="KP38" s="228"/>
      <c r="KQ38" s="228"/>
      <c r="KR38" s="228"/>
      <c r="KS38" s="228"/>
      <c r="KT38" s="228"/>
      <c r="KU38" s="228"/>
      <c r="KV38" s="228"/>
      <c r="KW38" s="228"/>
      <c r="KX38" s="228"/>
      <c r="KY38" s="228"/>
      <c r="KZ38" s="228"/>
      <c r="LA38" s="228"/>
      <c r="LB38" s="228"/>
      <c r="LC38" s="228"/>
      <c r="LD38" s="228"/>
      <c r="LE38" s="228"/>
      <c r="LF38" s="228"/>
      <c r="LG38" s="228"/>
      <c r="LH38" s="228"/>
      <c r="LI38" s="228"/>
      <c r="LJ38" s="228"/>
      <c r="LK38" s="228"/>
      <c r="LL38" s="228"/>
      <c r="LM38" s="228"/>
      <c r="LN38" s="228"/>
      <c r="LO38" s="228"/>
      <c r="LP38" s="228"/>
      <c r="LQ38" s="228"/>
      <c r="LR38" s="228"/>
      <c r="LS38" s="228"/>
      <c r="LT38" s="228"/>
      <c r="LU38" s="228"/>
      <c r="LV38" s="228"/>
      <c r="LW38" s="228"/>
      <c r="LX38" s="228"/>
      <c r="LY38" s="228"/>
      <c r="LZ38" s="228"/>
      <c r="MA38" s="228"/>
      <c r="MB38" s="228"/>
      <c r="MC38" s="228"/>
      <c r="MD38" s="228"/>
      <c r="ME38" s="228"/>
      <c r="MF38" s="228"/>
      <c r="MG38" s="228"/>
      <c r="MH38" s="228"/>
      <c r="MI38" s="228"/>
      <c r="MJ38" s="228"/>
      <c r="MK38" s="228"/>
      <c r="ML38" s="228"/>
      <c r="MM38" s="228"/>
      <c r="MN38" s="228"/>
      <c r="MO38" s="228"/>
      <c r="MP38" s="228"/>
      <c r="MQ38" s="228"/>
      <c r="MR38" s="228"/>
      <c r="MS38" s="228"/>
      <c r="MT38" s="228"/>
      <c r="MU38" s="228"/>
      <c r="MV38" s="228"/>
      <c r="MW38" s="228"/>
      <c r="MX38" s="228"/>
      <c r="MY38" s="228"/>
      <c r="MZ38" s="228"/>
      <c r="NA38" s="228"/>
      <c r="NB38" s="228"/>
      <c r="NC38" s="228"/>
      <c r="ND38" s="228"/>
      <c r="NE38" s="228"/>
      <c r="NF38" s="228"/>
      <c r="NG38" s="228"/>
      <c r="NH38" s="228"/>
      <c r="NI38" s="228"/>
      <c r="NJ38" s="228"/>
      <c r="NK38" s="228"/>
      <c r="NL38" s="228"/>
      <c r="NM38" s="228"/>
      <c r="NN38" s="228"/>
      <c r="NO38" s="228"/>
      <c r="NP38" s="228"/>
      <c r="NQ38" s="228"/>
      <c r="NR38" s="228"/>
      <c r="NS38" s="228"/>
      <c r="NT38" s="228"/>
      <c r="NU38" s="228"/>
      <c r="NV38" s="228"/>
      <c r="NW38" s="228"/>
      <c r="NX38" s="228"/>
      <c r="NY38" s="228"/>
      <c r="NZ38" s="228"/>
      <c r="OA38" s="228"/>
      <c r="OB38" s="228"/>
      <c r="OC38" s="228"/>
      <c r="OD38" s="228"/>
      <c r="OE38" s="228"/>
      <c r="OF38" s="228"/>
      <c r="OG38" s="228"/>
      <c r="OH38" s="228"/>
      <c r="OI38" s="228"/>
      <c r="OJ38" s="228"/>
      <c r="OK38" s="228"/>
      <c r="OL38" s="228"/>
      <c r="OM38" s="228"/>
      <c r="ON38" s="228"/>
      <c r="OO38" s="228"/>
      <c r="OP38" s="228"/>
      <c r="OQ38" s="228"/>
      <c r="OR38" s="228"/>
      <c r="OS38" s="228"/>
      <c r="OT38" s="228"/>
      <c r="OU38" s="228"/>
      <c r="OV38" s="228"/>
      <c r="OW38" s="228"/>
      <c r="OX38" s="228"/>
      <c r="OY38" s="228"/>
      <c r="OZ38" s="228"/>
      <c r="PA38" s="228"/>
      <c r="PB38" s="228"/>
      <c r="PC38" s="228"/>
      <c r="PD38" s="228"/>
      <c r="PE38" s="228"/>
      <c r="PF38" s="228"/>
      <c r="PG38" s="228"/>
      <c r="PH38" s="228"/>
      <c r="PI38" s="228"/>
      <c r="PJ38" s="228"/>
      <c r="PK38" s="228"/>
      <c r="PL38" s="228"/>
      <c r="PM38" s="228"/>
      <c r="PN38" s="228"/>
      <c r="PO38" s="228"/>
      <c r="PP38" s="228"/>
      <c r="PQ38" s="228"/>
      <c r="PR38" s="228"/>
      <c r="PS38" s="228"/>
      <c r="PT38" s="228"/>
      <c r="PU38" s="228"/>
      <c r="PV38" s="228"/>
      <c r="PW38" s="228"/>
      <c r="PX38" s="228"/>
      <c r="PY38" s="228"/>
      <c r="PZ38" s="228"/>
      <c r="QA38" s="228"/>
      <c r="QB38" s="228"/>
      <c r="QC38" s="228"/>
      <c r="QD38" s="228"/>
      <c r="QE38" s="228"/>
      <c r="QF38" s="228"/>
      <c r="QG38" s="228"/>
      <c r="QH38" s="228"/>
      <c r="QI38" s="228"/>
      <c r="QJ38" s="228"/>
      <c r="QK38" s="228"/>
      <c r="QL38" s="228"/>
      <c r="QM38" s="228"/>
      <c r="QN38" s="228"/>
      <c r="QO38" s="228"/>
      <c r="QP38" s="228"/>
      <c r="QQ38" s="228"/>
      <c r="QR38" s="228"/>
      <c r="QS38" s="228"/>
      <c r="QT38" s="228"/>
      <c r="QU38" s="228"/>
      <c r="QV38" s="228"/>
      <c r="QW38" s="228"/>
      <c r="QX38" s="228"/>
      <c r="QY38" s="228"/>
      <c r="QZ38" s="228"/>
      <c r="RA38" s="228"/>
      <c r="RB38" s="228"/>
      <c r="RC38" s="228"/>
      <c r="RD38" s="228"/>
      <c r="RE38" s="228"/>
      <c r="RF38" s="228"/>
      <c r="RG38" s="228"/>
      <c r="RH38" s="228"/>
      <c r="RI38" s="228"/>
      <c r="RJ38" s="228"/>
      <c r="RK38" s="228"/>
      <c r="RL38" s="228"/>
      <c r="RM38" s="228"/>
      <c r="RN38" s="228"/>
      <c r="RO38" s="228"/>
      <c r="RP38" s="228"/>
      <c r="RQ38" s="228"/>
      <c r="RR38" s="228"/>
      <c r="RS38" s="228"/>
      <c r="RT38" s="228"/>
      <c r="RU38" s="228"/>
      <c r="RV38" s="228"/>
      <c r="RW38" s="228"/>
      <c r="RX38" s="228"/>
      <c r="RY38" s="228"/>
      <c r="RZ38" s="228"/>
      <c r="SA38" s="228"/>
      <c r="SB38" s="228"/>
      <c r="SC38" s="228"/>
      <c r="SD38" s="228"/>
      <c r="SE38" s="228"/>
      <c r="SF38" s="228"/>
      <c r="SG38" s="228"/>
    </row>
    <row r="39" spans="2:501" ht="69.75" customHeight="1">
      <c r="C39" s="227" t="s">
        <v>1902</v>
      </c>
      <c r="D39" s="225" t="s">
        <v>1903</v>
      </c>
      <c r="E39" s="225" t="s">
        <v>1904</v>
      </c>
      <c r="F39" s="225" t="s">
        <v>1905</v>
      </c>
      <c r="G39" s="225" t="s">
        <v>1342</v>
      </c>
      <c r="H39" s="225" t="s">
        <v>1741</v>
      </c>
      <c r="I39" s="226" t="s">
        <v>1906</v>
      </c>
      <c r="J39" s="226" t="s">
        <v>1907</v>
      </c>
      <c r="K39" s="225" t="s">
        <v>1844</v>
      </c>
      <c r="L39" s="225" t="s">
        <v>1792</v>
      </c>
      <c r="M39" s="226" t="s">
        <v>1908</v>
      </c>
      <c r="N39" s="228"/>
      <c r="O39" s="228"/>
      <c r="P39" s="228"/>
      <c r="Q39" s="228"/>
      <c r="R39" s="228"/>
      <c r="S39" s="228"/>
      <c r="T39" s="228"/>
      <c r="U39" s="228"/>
      <c r="V39" s="228"/>
      <c r="W39" s="228"/>
      <c r="X39" s="228"/>
      <c r="Y39" s="228"/>
      <c r="Z39" s="228"/>
      <c r="AA39" s="228"/>
      <c r="AB39" s="228"/>
      <c r="AC39" s="228"/>
      <c r="AD39" s="228"/>
      <c r="AE39" s="228"/>
      <c r="AF39" s="228"/>
      <c r="AG39" s="228"/>
      <c r="AH39" s="228"/>
      <c r="AI39" s="228"/>
      <c r="AJ39" s="228"/>
      <c r="AK39" s="228"/>
      <c r="AL39" s="228"/>
      <c r="AM39" s="228"/>
      <c r="AN39" s="228"/>
      <c r="AO39" s="228"/>
      <c r="AP39" s="228"/>
      <c r="AQ39" s="228"/>
      <c r="AR39" s="228"/>
      <c r="AS39" s="228"/>
      <c r="AT39" s="228"/>
      <c r="AU39" s="228"/>
      <c r="AV39" s="228"/>
      <c r="AW39" s="228"/>
      <c r="AX39" s="228"/>
      <c r="AY39" s="228"/>
      <c r="AZ39" s="228"/>
      <c r="BA39" s="228"/>
      <c r="BB39" s="228"/>
      <c r="BC39" s="228"/>
      <c r="BD39" s="228"/>
      <c r="BE39" s="228"/>
      <c r="BF39" s="228"/>
      <c r="BG39" s="228"/>
      <c r="BH39" s="228"/>
      <c r="BI39" s="228"/>
      <c r="BJ39" s="228"/>
      <c r="BK39" s="228"/>
      <c r="BL39" s="228"/>
      <c r="BM39" s="228"/>
      <c r="BN39" s="228"/>
      <c r="BO39" s="228"/>
      <c r="BP39" s="228"/>
      <c r="BQ39" s="228"/>
      <c r="BR39" s="228"/>
      <c r="BS39" s="228"/>
      <c r="BT39" s="228"/>
      <c r="BU39" s="228"/>
      <c r="BV39" s="228"/>
      <c r="BW39" s="228"/>
      <c r="BX39" s="228"/>
      <c r="BY39" s="228"/>
      <c r="BZ39" s="228"/>
      <c r="CA39" s="228"/>
      <c r="CB39" s="228"/>
      <c r="CC39" s="228"/>
      <c r="CD39" s="228"/>
      <c r="CE39" s="228"/>
      <c r="CF39" s="228"/>
      <c r="CG39" s="228"/>
      <c r="CH39" s="228"/>
      <c r="CI39" s="228"/>
      <c r="CJ39" s="228"/>
      <c r="CK39" s="228"/>
      <c r="CL39" s="228"/>
      <c r="CM39" s="228"/>
      <c r="CN39" s="228"/>
      <c r="CO39" s="228"/>
      <c r="CP39" s="228"/>
      <c r="CQ39" s="228"/>
      <c r="CR39" s="228"/>
      <c r="CS39" s="228"/>
      <c r="CT39" s="228"/>
      <c r="CU39" s="228"/>
      <c r="CV39" s="228"/>
      <c r="CW39" s="228"/>
      <c r="CX39" s="228"/>
      <c r="CY39" s="228"/>
      <c r="CZ39" s="228"/>
      <c r="DA39" s="228"/>
      <c r="DB39" s="228"/>
      <c r="DC39" s="228"/>
      <c r="DD39" s="228"/>
      <c r="DE39" s="228"/>
      <c r="DF39" s="228"/>
      <c r="DG39" s="228"/>
      <c r="DH39" s="228"/>
      <c r="DI39" s="228"/>
      <c r="DJ39" s="228"/>
      <c r="DK39" s="228"/>
      <c r="DL39" s="228"/>
      <c r="DM39" s="228"/>
      <c r="DN39" s="228"/>
      <c r="DO39" s="228"/>
      <c r="DP39" s="228"/>
      <c r="DQ39" s="228"/>
      <c r="DR39" s="228"/>
      <c r="DS39" s="228"/>
      <c r="DT39" s="228"/>
      <c r="DU39" s="228"/>
      <c r="DV39" s="228"/>
      <c r="DW39" s="228"/>
      <c r="DX39" s="228"/>
      <c r="DY39" s="228"/>
      <c r="DZ39" s="228"/>
      <c r="EA39" s="228"/>
      <c r="EB39" s="228"/>
      <c r="EC39" s="228"/>
      <c r="ED39" s="228"/>
      <c r="EE39" s="228"/>
      <c r="EF39" s="228"/>
      <c r="EG39" s="228"/>
      <c r="EH39" s="228"/>
      <c r="EI39" s="228"/>
      <c r="EJ39" s="228"/>
      <c r="EK39" s="228"/>
      <c r="EL39" s="228"/>
      <c r="EM39" s="228"/>
      <c r="EN39" s="228"/>
      <c r="EO39" s="228"/>
      <c r="EP39" s="228"/>
      <c r="EQ39" s="228"/>
      <c r="ER39" s="228"/>
      <c r="ES39" s="228"/>
      <c r="ET39" s="228"/>
      <c r="EU39" s="228"/>
      <c r="EV39" s="228"/>
      <c r="EW39" s="228"/>
      <c r="EX39" s="228"/>
      <c r="EY39" s="228"/>
      <c r="EZ39" s="228"/>
      <c r="FA39" s="228"/>
      <c r="FB39" s="228"/>
      <c r="FC39" s="228"/>
      <c r="FD39" s="228"/>
      <c r="FE39" s="228"/>
      <c r="FF39" s="228"/>
      <c r="FG39" s="228"/>
      <c r="FH39" s="228"/>
      <c r="FI39" s="228"/>
      <c r="FJ39" s="228"/>
      <c r="FK39" s="228"/>
      <c r="FL39" s="228"/>
      <c r="FM39" s="228"/>
      <c r="FN39" s="228"/>
      <c r="FO39" s="228"/>
      <c r="FP39" s="228"/>
      <c r="FQ39" s="228"/>
      <c r="FR39" s="228"/>
      <c r="FS39" s="228"/>
      <c r="FT39" s="228"/>
      <c r="FU39" s="228"/>
      <c r="FV39" s="228"/>
      <c r="FW39" s="228"/>
      <c r="FX39" s="228"/>
      <c r="FY39" s="228"/>
      <c r="FZ39" s="228"/>
      <c r="GA39" s="228"/>
      <c r="GB39" s="228"/>
      <c r="GC39" s="228"/>
      <c r="GD39" s="228"/>
      <c r="GE39" s="228"/>
      <c r="GF39" s="228"/>
      <c r="GG39" s="228"/>
      <c r="GH39" s="228"/>
      <c r="GI39" s="228"/>
      <c r="GJ39" s="228"/>
      <c r="GK39" s="228"/>
      <c r="GL39" s="228"/>
      <c r="GM39" s="228"/>
      <c r="GN39" s="228"/>
      <c r="GO39" s="228"/>
      <c r="GP39" s="228"/>
      <c r="GQ39" s="228"/>
      <c r="GR39" s="228"/>
      <c r="GS39" s="228"/>
      <c r="GT39" s="228"/>
      <c r="GU39" s="228"/>
      <c r="GV39" s="228"/>
      <c r="GW39" s="228"/>
      <c r="GX39" s="228"/>
      <c r="GY39" s="228"/>
      <c r="GZ39" s="228"/>
      <c r="HA39" s="228"/>
      <c r="HB39" s="228"/>
      <c r="HC39" s="228"/>
      <c r="HD39" s="228"/>
      <c r="HE39" s="228"/>
      <c r="HF39" s="228"/>
      <c r="HG39" s="228"/>
      <c r="HH39" s="228"/>
      <c r="HI39" s="228"/>
      <c r="HJ39" s="228"/>
      <c r="HK39" s="228"/>
      <c r="HL39" s="228"/>
      <c r="HM39" s="228"/>
      <c r="HN39" s="228"/>
      <c r="HO39" s="228"/>
      <c r="HP39" s="228"/>
      <c r="HQ39" s="228"/>
      <c r="HR39" s="228"/>
      <c r="HS39" s="228"/>
      <c r="HT39" s="228"/>
      <c r="HU39" s="228"/>
      <c r="HV39" s="228"/>
      <c r="HW39" s="228"/>
      <c r="HX39" s="228"/>
      <c r="HY39" s="228"/>
      <c r="HZ39" s="228"/>
      <c r="IA39" s="228"/>
      <c r="IB39" s="228"/>
      <c r="IC39" s="228"/>
      <c r="ID39" s="228"/>
      <c r="IE39" s="228"/>
      <c r="IF39" s="228"/>
      <c r="IG39" s="228"/>
      <c r="IH39" s="228"/>
      <c r="II39" s="228"/>
      <c r="IJ39" s="228"/>
      <c r="IK39" s="228"/>
      <c r="IL39" s="228"/>
      <c r="IM39" s="228"/>
      <c r="IN39" s="228"/>
      <c r="IO39" s="228"/>
      <c r="IP39" s="228"/>
      <c r="IQ39" s="228"/>
      <c r="IR39" s="228"/>
      <c r="IS39" s="228"/>
      <c r="IT39" s="228"/>
      <c r="IU39" s="228"/>
      <c r="IV39" s="228"/>
      <c r="IW39" s="228"/>
      <c r="IX39" s="228"/>
      <c r="IY39" s="228"/>
      <c r="IZ39" s="228"/>
      <c r="JA39" s="228"/>
      <c r="JB39" s="228"/>
      <c r="JC39" s="228"/>
      <c r="JD39" s="228"/>
      <c r="JE39" s="228"/>
      <c r="JF39" s="228"/>
      <c r="JG39" s="228"/>
      <c r="JH39" s="228"/>
      <c r="JI39" s="228"/>
      <c r="JJ39" s="228"/>
      <c r="JK39" s="228"/>
      <c r="JL39" s="228"/>
      <c r="JM39" s="228"/>
      <c r="JN39" s="228"/>
      <c r="JO39" s="228"/>
      <c r="JP39" s="228"/>
      <c r="JQ39" s="228"/>
      <c r="JR39" s="228"/>
      <c r="JS39" s="228"/>
      <c r="JT39" s="228"/>
      <c r="JU39" s="228"/>
      <c r="JV39" s="228"/>
      <c r="JW39" s="228"/>
      <c r="JX39" s="228"/>
      <c r="JY39" s="228"/>
      <c r="JZ39" s="228"/>
      <c r="KA39" s="228"/>
      <c r="KB39" s="228"/>
      <c r="KC39" s="228"/>
      <c r="KD39" s="228"/>
      <c r="KE39" s="228"/>
      <c r="KF39" s="228"/>
      <c r="KG39" s="228"/>
      <c r="KH39" s="228"/>
      <c r="KI39" s="228"/>
      <c r="KJ39" s="228"/>
      <c r="KK39" s="228"/>
      <c r="KL39" s="228"/>
      <c r="KM39" s="228"/>
      <c r="KN39" s="228"/>
      <c r="KO39" s="228"/>
      <c r="KP39" s="228"/>
      <c r="KQ39" s="228"/>
      <c r="KR39" s="228"/>
      <c r="KS39" s="228"/>
      <c r="KT39" s="228"/>
      <c r="KU39" s="228"/>
      <c r="KV39" s="228"/>
      <c r="KW39" s="228"/>
      <c r="KX39" s="228"/>
      <c r="KY39" s="228"/>
      <c r="KZ39" s="228"/>
      <c r="LA39" s="228"/>
      <c r="LB39" s="228"/>
      <c r="LC39" s="228"/>
      <c r="LD39" s="228"/>
      <c r="LE39" s="228"/>
      <c r="LF39" s="228"/>
      <c r="LG39" s="228"/>
      <c r="LH39" s="228"/>
      <c r="LI39" s="228"/>
      <c r="LJ39" s="228"/>
      <c r="LK39" s="228"/>
      <c r="LL39" s="228"/>
      <c r="LM39" s="228"/>
      <c r="LN39" s="228"/>
      <c r="LO39" s="228"/>
      <c r="LP39" s="228"/>
      <c r="LQ39" s="228"/>
      <c r="LR39" s="228"/>
      <c r="LS39" s="228"/>
      <c r="LT39" s="228"/>
      <c r="LU39" s="228"/>
      <c r="LV39" s="228"/>
      <c r="LW39" s="228"/>
      <c r="LX39" s="228"/>
      <c r="LY39" s="228"/>
      <c r="LZ39" s="228"/>
      <c r="MA39" s="228"/>
      <c r="MB39" s="228"/>
      <c r="MC39" s="228"/>
      <c r="MD39" s="228"/>
      <c r="ME39" s="228"/>
      <c r="MF39" s="228"/>
      <c r="MG39" s="228"/>
      <c r="MH39" s="228"/>
      <c r="MI39" s="228"/>
      <c r="MJ39" s="228"/>
      <c r="MK39" s="228"/>
      <c r="ML39" s="228"/>
      <c r="MM39" s="228"/>
      <c r="MN39" s="228"/>
      <c r="MO39" s="228"/>
      <c r="MP39" s="228"/>
      <c r="MQ39" s="228"/>
      <c r="MR39" s="228"/>
      <c r="MS39" s="228"/>
      <c r="MT39" s="228"/>
      <c r="MU39" s="228"/>
      <c r="MV39" s="228"/>
      <c r="MW39" s="228"/>
      <c r="MX39" s="228"/>
      <c r="MY39" s="228"/>
      <c r="MZ39" s="228"/>
      <c r="NA39" s="228"/>
      <c r="NB39" s="228"/>
      <c r="NC39" s="228"/>
      <c r="ND39" s="228"/>
      <c r="NE39" s="228"/>
      <c r="NF39" s="228"/>
      <c r="NG39" s="228"/>
      <c r="NH39" s="228"/>
      <c r="NI39" s="228"/>
      <c r="NJ39" s="228"/>
      <c r="NK39" s="228"/>
      <c r="NL39" s="228"/>
      <c r="NM39" s="228"/>
      <c r="NN39" s="228"/>
      <c r="NO39" s="228"/>
      <c r="NP39" s="228"/>
      <c r="NQ39" s="228"/>
      <c r="NR39" s="228"/>
      <c r="NS39" s="228"/>
      <c r="NT39" s="228"/>
      <c r="NU39" s="228"/>
      <c r="NV39" s="228"/>
      <c r="NW39" s="228"/>
      <c r="NX39" s="228"/>
      <c r="NY39" s="228"/>
      <c r="NZ39" s="228"/>
      <c r="OA39" s="228"/>
      <c r="OB39" s="228"/>
      <c r="OC39" s="228"/>
      <c r="OD39" s="228"/>
      <c r="OE39" s="228"/>
      <c r="OF39" s="228"/>
      <c r="OG39" s="228"/>
      <c r="OH39" s="228"/>
      <c r="OI39" s="228"/>
      <c r="OJ39" s="228"/>
      <c r="OK39" s="228"/>
      <c r="OL39" s="228"/>
      <c r="OM39" s="228"/>
      <c r="ON39" s="228"/>
      <c r="OO39" s="228"/>
      <c r="OP39" s="228"/>
      <c r="OQ39" s="228"/>
      <c r="OR39" s="228"/>
      <c r="OS39" s="228"/>
      <c r="OT39" s="228"/>
      <c r="OU39" s="228"/>
      <c r="OV39" s="228"/>
      <c r="OW39" s="228"/>
      <c r="OX39" s="228"/>
      <c r="OY39" s="228"/>
      <c r="OZ39" s="228"/>
      <c r="PA39" s="228"/>
      <c r="PB39" s="228"/>
      <c r="PC39" s="228"/>
      <c r="PD39" s="228"/>
      <c r="PE39" s="228"/>
      <c r="PF39" s="228"/>
      <c r="PG39" s="228"/>
      <c r="PH39" s="228"/>
      <c r="PI39" s="228"/>
      <c r="PJ39" s="228"/>
      <c r="PK39" s="228"/>
      <c r="PL39" s="228"/>
      <c r="PM39" s="228"/>
      <c r="PN39" s="228"/>
      <c r="PO39" s="228"/>
      <c r="PP39" s="228"/>
      <c r="PQ39" s="228"/>
      <c r="PR39" s="228"/>
      <c r="PS39" s="228"/>
      <c r="PT39" s="228"/>
      <c r="PU39" s="228"/>
      <c r="PV39" s="228"/>
      <c r="PW39" s="228"/>
      <c r="PX39" s="228"/>
      <c r="PY39" s="228"/>
      <c r="PZ39" s="228"/>
      <c r="QA39" s="228"/>
      <c r="QB39" s="228"/>
      <c r="QC39" s="228"/>
      <c r="QD39" s="228"/>
      <c r="QE39" s="228"/>
      <c r="QF39" s="228"/>
      <c r="QG39" s="228"/>
      <c r="QH39" s="228"/>
      <c r="QI39" s="228"/>
      <c r="QJ39" s="228"/>
      <c r="QK39" s="228"/>
      <c r="QL39" s="228"/>
      <c r="QM39" s="228"/>
      <c r="QN39" s="228"/>
      <c r="QO39" s="228"/>
      <c r="QP39" s="228"/>
      <c r="QQ39" s="228"/>
      <c r="QR39" s="228"/>
      <c r="QS39" s="228"/>
      <c r="QT39" s="228"/>
      <c r="QU39" s="228"/>
      <c r="QV39" s="228"/>
      <c r="QW39" s="228"/>
      <c r="QX39" s="228"/>
      <c r="QY39" s="228"/>
      <c r="QZ39" s="228"/>
      <c r="RA39" s="228"/>
      <c r="RB39" s="228"/>
      <c r="RC39" s="228"/>
      <c r="RD39" s="228"/>
      <c r="RE39" s="228"/>
      <c r="RF39" s="228"/>
      <c r="RG39" s="228"/>
      <c r="RH39" s="228"/>
      <c r="RI39" s="228"/>
      <c r="RJ39" s="228"/>
      <c r="RK39" s="228"/>
      <c r="RL39" s="228"/>
      <c r="RM39" s="228"/>
      <c r="RN39" s="228"/>
      <c r="RO39" s="228"/>
      <c r="RP39" s="228"/>
      <c r="RQ39" s="228"/>
      <c r="RR39" s="228"/>
      <c r="RS39" s="228"/>
      <c r="RT39" s="228"/>
      <c r="RU39" s="228"/>
      <c r="RV39" s="228"/>
      <c r="RW39" s="228"/>
      <c r="RX39" s="228"/>
      <c r="RY39" s="228"/>
      <c r="RZ39" s="228"/>
      <c r="SA39" s="228"/>
      <c r="SB39" s="228"/>
      <c r="SC39" s="228"/>
      <c r="SD39" s="228"/>
      <c r="SE39" s="228"/>
      <c r="SF39" s="228"/>
      <c r="SG39" s="228"/>
    </row>
    <row r="40" spans="2:501" ht="97.5" customHeight="1">
      <c r="C40" s="227" t="s">
        <v>1909</v>
      </c>
      <c r="D40" s="225" t="s">
        <v>1910</v>
      </c>
      <c r="E40" s="225" t="s">
        <v>1911</v>
      </c>
      <c r="F40" s="225" t="s">
        <v>1912</v>
      </c>
      <c r="G40" s="225" t="s">
        <v>1740</v>
      </c>
      <c r="H40" s="225" t="s">
        <v>1741</v>
      </c>
      <c r="I40" s="226" t="s">
        <v>1913</v>
      </c>
      <c r="J40" s="226" t="s">
        <v>1740</v>
      </c>
      <c r="K40" s="225" t="s">
        <v>1814</v>
      </c>
      <c r="L40" s="225" t="s">
        <v>1760</v>
      </c>
      <c r="M40" s="226" t="s">
        <v>1914</v>
      </c>
      <c r="N40" s="228"/>
      <c r="O40" s="228"/>
      <c r="P40" s="228"/>
      <c r="Q40" s="228"/>
      <c r="R40" s="228"/>
      <c r="S40" s="228"/>
      <c r="T40" s="228"/>
      <c r="U40" s="228"/>
      <c r="V40" s="228"/>
      <c r="W40" s="228"/>
      <c r="X40" s="228"/>
      <c r="Y40" s="228"/>
      <c r="Z40" s="228"/>
      <c r="AA40" s="228"/>
      <c r="AB40" s="228"/>
      <c r="AC40" s="228"/>
      <c r="AD40" s="228"/>
      <c r="AE40" s="228"/>
      <c r="AF40" s="228"/>
      <c r="AG40" s="228"/>
      <c r="AH40" s="228"/>
      <c r="AI40" s="228"/>
      <c r="AJ40" s="228"/>
      <c r="AK40" s="228"/>
      <c r="AL40" s="228"/>
      <c r="AM40" s="228"/>
      <c r="AN40" s="228"/>
      <c r="AO40" s="228"/>
      <c r="AP40" s="228"/>
      <c r="AQ40" s="228"/>
      <c r="AR40" s="228"/>
      <c r="AS40" s="228"/>
      <c r="AT40" s="228"/>
      <c r="AU40" s="228"/>
      <c r="AV40" s="228"/>
      <c r="AW40" s="228"/>
      <c r="AX40" s="228"/>
      <c r="AY40" s="228"/>
      <c r="AZ40" s="228"/>
      <c r="BA40" s="228"/>
      <c r="BB40" s="228"/>
      <c r="BC40" s="228"/>
      <c r="BD40" s="228"/>
      <c r="BE40" s="228"/>
      <c r="BF40" s="228"/>
      <c r="BG40" s="228"/>
      <c r="BH40" s="228"/>
      <c r="BI40" s="228"/>
      <c r="BJ40" s="228"/>
      <c r="BK40" s="228"/>
      <c r="BL40" s="228"/>
      <c r="BM40" s="228"/>
      <c r="BN40" s="228"/>
      <c r="BO40" s="228"/>
      <c r="BP40" s="228"/>
      <c r="BQ40" s="228"/>
      <c r="BR40" s="228"/>
      <c r="BS40" s="228"/>
      <c r="BT40" s="228"/>
      <c r="BU40" s="228"/>
      <c r="BV40" s="228"/>
      <c r="BW40" s="228"/>
      <c r="BX40" s="228"/>
      <c r="BY40" s="228"/>
      <c r="BZ40" s="228"/>
      <c r="CA40" s="228"/>
      <c r="CB40" s="228"/>
      <c r="CC40" s="228"/>
      <c r="CD40" s="228"/>
      <c r="CE40" s="228"/>
      <c r="CF40" s="228"/>
      <c r="CG40" s="228"/>
      <c r="CH40" s="228"/>
      <c r="CI40" s="228"/>
      <c r="CJ40" s="228"/>
      <c r="CK40" s="228"/>
      <c r="CL40" s="228"/>
      <c r="CM40" s="228"/>
      <c r="CN40" s="228"/>
      <c r="CO40" s="228"/>
      <c r="CP40" s="228"/>
      <c r="CQ40" s="228"/>
      <c r="CR40" s="228"/>
      <c r="CS40" s="228"/>
      <c r="CT40" s="228"/>
      <c r="CU40" s="228"/>
      <c r="CV40" s="228"/>
      <c r="CW40" s="228"/>
      <c r="CX40" s="228"/>
      <c r="CY40" s="228"/>
      <c r="CZ40" s="228"/>
      <c r="DA40" s="228"/>
      <c r="DB40" s="228"/>
      <c r="DC40" s="228"/>
      <c r="DD40" s="228"/>
      <c r="DE40" s="228"/>
      <c r="DF40" s="228"/>
      <c r="DG40" s="228"/>
      <c r="DH40" s="228"/>
      <c r="DI40" s="228"/>
      <c r="DJ40" s="228"/>
      <c r="DK40" s="228"/>
      <c r="DL40" s="228"/>
      <c r="DM40" s="228"/>
      <c r="DN40" s="228"/>
      <c r="DO40" s="228"/>
      <c r="DP40" s="228"/>
      <c r="DQ40" s="228"/>
      <c r="DR40" s="228"/>
      <c r="DS40" s="228"/>
      <c r="DT40" s="228"/>
      <c r="DU40" s="228"/>
      <c r="DV40" s="228"/>
      <c r="DW40" s="228"/>
      <c r="DX40" s="228"/>
      <c r="DY40" s="228"/>
      <c r="DZ40" s="228"/>
      <c r="EA40" s="228"/>
      <c r="EB40" s="228"/>
      <c r="EC40" s="228"/>
      <c r="ED40" s="228"/>
      <c r="EE40" s="228"/>
      <c r="EF40" s="228"/>
      <c r="EG40" s="228"/>
      <c r="EH40" s="228"/>
      <c r="EI40" s="228"/>
      <c r="EJ40" s="228"/>
      <c r="EK40" s="228"/>
      <c r="EL40" s="228"/>
      <c r="EM40" s="228"/>
      <c r="EN40" s="228"/>
      <c r="EO40" s="228"/>
      <c r="EP40" s="228"/>
      <c r="EQ40" s="228"/>
      <c r="ER40" s="228"/>
      <c r="ES40" s="228"/>
      <c r="ET40" s="228"/>
      <c r="EU40" s="228"/>
      <c r="EV40" s="228"/>
      <c r="EW40" s="228"/>
      <c r="EX40" s="228"/>
      <c r="EY40" s="228"/>
      <c r="EZ40" s="228"/>
      <c r="FA40" s="228"/>
      <c r="FB40" s="228"/>
      <c r="FC40" s="228"/>
      <c r="FD40" s="228"/>
      <c r="FE40" s="228"/>
      <c r="FF40" s="228"/>
      <c r="FG40" s="228"/>
      <c r="FH40" s="228"/>
      <c r="FI40" s="228"/>
      <c r="FJ40" s="228"/>
      <c r="FK40" s="228"/>
      <c r="FL40" s="228"/>
      <c r="FM40" s="228"/>
      <c r="FN40" s="228"/>
      <c r="FO40" s="228"/>
      <c r="FP40" s="228"/>
      <c r="FQ40" s="228"/>
      <c r="FR40" s="228"/>
      <c r="FS40" s="228"/>
      <c r="FT40" s="228"/>
      <c r="FU40" s="228"/>
      <c r="FV40" s="228"/>
      <c r="FW40" s="228"/>
      <c r="FX40" s="228"/>
      <c r="FY40" s="228"/>
      <c r="FZ40" s="228"/>
      <c r="GA40" s="228"/>
      <c r="GB40" s="228"/>
      <c r="GC40" s="228"/>
      <c r="GD40" s="228"/>
      <c r="GE40" s="228"/>
      <c r="GF40" s="228"/>
      <c r="GG40" s="228"/>
      <c r="GH40" s="228"/>
      <c r="GI40" s="228"/>
      <c r="GJ40" s="228"/>
      <c r="GK40" s="228"/>
      <c r="GL40" s="228"/>
      <c r="GM40" s="228"/>
      <c r="GN40" s="228"/>
      <c r="GO40" s="228"/>
      <c r="GP40" s="228"/>
      <c r="GQ40" s="228"/>
      <c r="GR40" s="228"/>
      <c r="GS40" s="228"/>
      <c r="GT40" s="228"/>
      <c r="GU40" s="228"/>
      <c r="GV40" s="228"/>
      <c r="GW40" s="228"/>
      <c r="GX40" s="228"/>
      <c r="GY40" s="228"/>
      <c r="GZ40" s="228"/>
      <c r="HA40" s="228"/>
      <c r="HB40" s="228"/>
      <c r="HC40" s="228"/>
      <c r="HD40" s="228"/>
      <c r="HE40" s="228"/>
      <c r="HF40" s="228"/>
      <c r="HG40" s="228"/>
      <c r="HH40" s="228"/>
      <c r="HI40" s="228"/>
      <c r="HJ40" s="228"/>
      <c r="HK40" s="228"/>
      <c r="HL40" s="228"/>
      <c r="HM40" s="228"/>
      <c r="HN40" s="228"/>
      <c r="HO40" s="228"/>
      <c r="HP40" s="228"/>
      <c r="HQ40" s="228"/>
      <c r="HR40" s="228"/>
      <c r="HS40" s="228"/>
      <c r="HT40" s="228"/>
      <c r="HU40" s="228"/>
      <c r="HV40" s="228"/>
      <c r="HW40" s="228"/>
      <c r="HX40" s="228"/>
      <c r="HY40" s="228"/>
      <c r="HZ40" s="228"/>
      <c r="IA40" s="228"/>
      <c r="IB40" s="228"/>
      <c r="IC40" s="228"/>
      <c r="ID40" s="228"/>
      <c r="IE40" s="228"/>
      <c r="IF40" s="228"/>
      <c r="IG40" s="228"/>
      <c r="IH40" s="228"/>
      <c r="II40" s="228"/>
      <c r="IJ40" s="228"/>
      <c r="IK40" s="228"/>
      <c r="IL40" s="228"/>
      <c r="IM40" s="228"/>
      <c r="IN40" s="228"/>
      <c r="IO40" s="228"/>
      <c r="IP40" s="228"/>
      <c r="IQ40" s="228"/>
      <c r="IR40" s="228"/>
      <c r="IS40" s="228"/>
      <c r="IT40" s="228"/>
      <c r="IU40" s="228"/>
      <c r="IV40" s="228"/>
      <c r="IW40" s="228"/>
      <c r="IX40" s="228"/>
      <c r="IY40" s="228"/>
      <c r="IZ40" s="228"/>
      <c r="JA40" s="228"/>
      <c r="JB40" s="228"/>
      <c r="JC40" s="228"/>
      <c r="JD40" s="228"/>
      <c r="JE40" s="228"/>
      <c r="JF40" s="228"/>
      <c r="JG40" s="228"/>
      <c r="JH40" s="228"/>
      <c r="JI40" s="228"/>
      <c r="JJ40" s="228"/>
      <c r="JK40" s="228"/>
      <c r="JL40" s="228"/>
      <c r="JM40" s="228"/>
      <c r="JN40" s="228"/>
      <c r="JO40" s="228"/>
      <c r="JP40" s="228"/>
      <c r="JQ40" s="228"/>
      <c r="JR40" s="228"/>
      <c r="JS40" s="228"/>
      <c r="JT40" s="228"/>
      <c r="JU40" s="228"/>
      <c r="JV40" s="228"/>
      <c r="JW40" s="228"/>
      <c r="JX40" s="228"/>
      <c r="JY40" s="228"/>
      <c r="JZ40" s="228"/>
      <c r="KA40" s="228"/>
      <c r="KB40" s="228"/>
      <c r="KC40" s="228"/>
      <c r="KD40" s="228"/>
      <c r="KE40" s="228"/>
      <c r="KF40" s="228"/>
      <c r="KG40" s="228"/>
      <c r="KH40" s="228"/>
      <c r="KI40" s="228"/>
      <c r="KJ40" s="228"/>
      <c r="KK40" s="228"/>
      <c r="KL40" s="228"/>
      <c r="KM40" s="228"/>
      <c r="KN40" s="228"/>
      <c r="KO40" s="228"/>
      <c r="KP40" s="228"/>
      <c r="KQ40" s="228"/>
      <c r="KR40" s="228"/>
      <c r="KS40" s="228"/>
      <c r="KT40" s="228"/>
      <c r="KU40" s="228"/>
      <c r="KV40" s="228"/>
      <c r="KW40" s="228"/>
      <c r="KX40" s="228"/>
      <c r="KY40" s="228"/>
      <c r="KZ40" s="228"/>
      <c r="LA40" s="228"/>
      <c r="LB40" s="228"/>
      <c r="LC40" s="228"/>
      <c r="LD40" s="228"/>
      <c r="LE40" s="228"/>
      <c r="LF40" s="228"/>
      <c r="LG40" s="228"/>
      <c r="LH40" s="228"/>
      <c r="LI40" s="228"/>
      <c r="LJ40" s="228"/>
      <c r="LK40" s="228"/>
      <c r="LL40" s="228"/>
      <c r="LM40" s="228"/>
      <c r="LN40" s="228"/>
      <c r="LO40" s="228"/>
      <c r="LP40" s="228"/>
      <c r="LQ40" s="228"/>
      <c r="LR40" s="228"/>
      <c r="LS40" s="228"/>
      <c r="LT40" s="228"/>
      <c r="LU40" s="228"/>
      <c r="LV40" s="228"/>
      <c r="LW40" s="228"/>
      <c r="LX40" s="228"/>
      <c r="LY40" s="228"/>
      <c r="LZ40" s="228"/>
      <c r="MA40" s="228"/>
      <c r="MB40" s="228"/>
      <c r="MC40" s="228"/>
      <c r="MD40" s="228"/>
      <c r="ME40" s="228"/>
      <c r="MF40" s="228"/>
      <c r="MG40" s="228"/>
      <c r="MH40" s="228"/>
      <c r="MI40" s="228"/>
      <c r="MJ40" s="228"/>
      <c r="MK40" s="228"/>
      <c r="ML40" s="228"/>
      <c r="MM40" s="228"/>
      <c r="MN40" s="228"/>
      <c r="MO40" s="228"/>
      <c r="MP40" s="228"/>
      <c r="MQ40" s="228"/>
      <c r="MR40" s="228"/>
      <c r="MS40" s="228"/>
      <c r="MT40" s="228"/>
      <c r="MU40" s="228"/>
      <c r="MV40" s="228"/>
      <c r="MW40" s="228"/>
      <c r="MX40" s="228"/>
      <c r="MY40" s="228"/>
      <c r="MZ40" s="228"/>
      <c r="NA40" s="228"/>
      <c r="NB40" s="228"/>
      <c r="NC40" s="228"/>
      <c r="ND40" s="228"/>
      <c r="NE40" s="228"/>
      <c r="NF40" s="228"/>
      <c r="NG40" s="228"/>
      <c r="NH40" s="228"/>
      <c r="NI40" s="228"/>
      <c r="NJ40" s="228"/>
      <c r="NK40" s="228"/>
      <c r="NL40" s="228"/>
      <c r="NM40" s="228"/>
      <c r="NN40" s="228"/>
      <c r="NO40" s="228"/>
      <c r="NP40" s="228"/>
      <c r="NQ40" s="228"/>
      <c r="NR40" s="228"/>
      <c r="NS40" s="228"/>
      <c r="NT40" s="228"/>
      <c r="NU40" s="228"/>
      <c r="NV40" s="228"/>
      <c r="NW40" s="228"/>
      <c r="NX40" s="228"/>
      <c r="NY40" s="228"/>
      <c r="NZ40" s="228"/>
      <c r="OA40" s="228"/>
      <c r="OB40" s="228"/>
      <c r="OC40" s="228"/>
      <c r="OD40" s="228"/>
      <c r="OE40" s="228"/>
      <c r="OF40" s="228"/>
      <c r="OG40" s="228"/>
      <c r="OH40" s="228"/>
      <c r="OI40" s="228"/>
      <c r="OJ40" s="228"/>
      <c r="OK40" s="228"/>
      <c r="OL40" s="228"/>
      <c r="OM40" s="228"/>
      <c r="ON40" s="228"/>
      <c r="OO40" s="228"/>
      <c r="OP40" s="228"/>
      <c r="OQ40" s="228"/>
      <c r="OR40" s="228"/>
      <c r="OS40" s="228"/>
      <c r="OT40" s="228"/>
      <c r="OU40" s="228"/>
      <c r="OV40" s="228"/>
      <c r="OW40" s="228"/>
      <c r="OX40" s="228"/>
      <c r="OY40" s="228"/>
      <c r="OZ40" s="228"/>
      <c r="PA40" s="228"/>
      <c r="PB40" s="228"/>
      <c r="PC40" s="228"/>
      <c r="PD40" s="228"/>
      <c r="PE40" s="228"/>
      <c r="PF40" s="228"/>
      <c r="PG40" s="228"/>
      <c r="PH40" s="228"/>
      <c r="PI40" s="228"/>
      <c r="PJ40" s="228"/>
      <c r="PK40" s="228"/>
      <c r="PL40" s="228"/>
      <c r="PM40" s="228"/>
      <c r="PN40" s="228"/>
      <c r="PO40" s="228"/>
      <c r="PP40" s="228"/>
      <c r="PQ40" s="228"/>
      <c r="PR40" s="228"/>
      <c r="PS40" s="228"/>
      <c r="PT40" s="228"/>
      <c r="PU40" s="228"/>
      <c r="PV40" s="228"/>
      <c r="PW40" s="228"/>
      <c r="PX40" s="228"/>
      <c r="PY40" s="228"/>
      <c r="PZ40" s="228"/>
      <c r="QA40" s="228"/>
      <c r="QB40" s="228"/>
      <c r="QC40" s="228"/>
      <c r="QD40" s="228"/>
      <c r="QE40" s="228"/>
      <c r="QF40" s="228"/>
      <c r="QG40" s="228"/>
      <c r="QH40" s="228"/>
      <c r="QI40" s="228"/>
      <c r="QJ40" s="228"/>
      <c r="QK40" s="228"/>
      <c r="QL40" s="228"/>
      <c r="QM40" s="228"/>
      <c r="QN40" s="228"/>
      <c r="QO40" s="228"/>
      <c r="QP40" s="228"/>
      <c r="QQ40" s="228"/>
      <c r="QR40" s="228"/>
      <c r="QS40" s="228"/>
      <c r="QT40" s="228"/>
      <c r="QU40" s="228"/>
      <c r="QV40" s="228"/>
      <c r="QW40" s="228"/>
      <c r="QX40" s="228"/>
      <c r="QY40" s="228"/>
      <c r="QZ40" s="228"/>
      <c r="RA40" s="228"/>
      <c r="RB40" s="228"/>
      <c r="RC40" s="228"/>
      <c r="RD40" s="228"/>
      <c r="RE40" s="228"/>
      <c r="RF40" s="228"/>
      <c r="RG40" s="228"/>
      <c r="RH40" s="228"/>
      <c r="RI40" s="228"/>
      <c r="RJ40" s="228"/>
      <c r="RK40" s="228"/>
      <c r="RL40" s="228"/>
      <c r="RM40" s="228"/>
      <c r="RN40" s="228"/>
      <c r="RO40" s="228"/>
      <c r="RP40" s="228"/>
      <c r="RQ40" s="228"/>
      <c r="RR40" s="228"/>
      <c r="RS40" s="228"/>
      <c r="RT40" s="228"/>
      <c r="RU40" s="228"/>
      <c r="RV40" s="228"/>
      <c r="RW40" s="228"/>
      <c r="RX40" s="228"/>
      <c r="RY40" s="228"/>
      <c r="RZ40" s="228"/>
      <c r="SA40" s="228"/>
      <c r="SB40" s="228"/>
      <c r="SC40" s="228"/>
      <c r="SD40" s="228"/>
      <c r="SE40" s="228"/>
      <c r="SF40" s="228"/>
      <c r="SG40" s="228"/>
    </row>
    <row r="41" spans="2:501" ht="14.25" customHeight="1"/>
    <row r="42" spans="2:501" ht="14.25" customHeight="1">
      <c r="B42" s="222" t="s">
        <v>1915</v>
      </c>
      <c r="C42" s="222"/>
      <c r="D42" s="197"/>
      <c r="E42" s="198"/>
    </row>
    <row r="43" spans="2:501" ht="14.25" customHeight="1">
      <c r="C43" s="223" t="s">
        <v>1111</v>
      </c>
      <c r="D43" s="223" t="s">
        <v>93</v>
      </c>
      <c r="E43" s="223" t="s">
        <v>1727</v>
      </c>
      <c r="F43" s="223" t="s">
        <v>1728</v>
      </c>
      <c r="G43" s="223" t="s">
        <v>1729</v>
      </c>
      <c r="H43" s="223" t="s">
        <v>1730</v>
      </c>
      <c r="I43" s="223" t="s">
        <v>1731</v>
      </c>
      <c r="J43" s="223" t="s">
        <v>1732</v>
      </c>
      <c r="K43" s="223" t="s">
        <v>1733</v>
      </c>
      <c r="L43" s="223" t="s">
        <v>1734</v>
      </c>
      <c r="M43" s="223" t="s">
        <v>1735</v>
      </c>
      <c r="N43" s="228"/>
      <c r="O43" s="228"/>
      <c r="P43" s="228"/>
      <c r="Q43" s="228"/>
      <c r="R43" s="228"/>
      <c r="S43" s="228"/>
      <c r="T43" s="228"/>
      <c r="U43" s="228"/>
      <c r="V43" s="228"/>
      <c r="W43" s="228"/>
      <c r="X43" s="228"/>
      <c r="Y43" s="228"/>
      <c r="Z43" s="228"/>
      <c r="AA43" s="228"/>
      <c r="AB43" s="228"/>
      <c r="AC43" s="228"/>
      <c r="AD43" s="228"/>
      <c r="AE43" s="228"/>
      <c r="AF43" s="228"/>
      <c r="AG43" s="228"/>
      <c r="AH43" s="228"/>
      <c r="AI43" s="228"/>
      <c r="AJ43" s="228"/>
      <c r="AK43" s="228"/>
      <c r="AL43" s="228"/>
      <c r="AM43" s="228"/>
      <c r="AN43" s="228"/>
      <c r="AO43" s="228"/>
      <c r="AP43" s="228"/>
      <c r="AQ43" s="228"/>
      <c r="AR43" s="228"/>
      <c r="AS43" s="228"/>
      <c r="AT43" s="228"/>
      <c r="AU43" s="228"/>
      <c r="AV43" s="228"/>
      <c r="AW43" s="228"/>
      <c r="AX43" s="228"/>
      <c r="AY43" s="228"/>
      <c r="AZ43" s="228"/>
      <c r="BA43" s="228"/>
      <c r="BB43" s="228"/>
      <c r="BC43" s="228"/>
      <c r="BD43" s="228"/>
      <c r="BE43" s="228"/>
      <c r="BF43" s="228"/>
      <c r="BG43" s="228"/>
      <c r="BH43" s="228"/>
      <c r="BI43" s="228"/>
      <c r="BJ43" s="228"/>
      <c r="BK43" s="228"/>
      <c r="BL43" s="228"/>
      <c r="BM43" s="228"/>
      <c r="BN43" s="228"/>
      <c r="BO43" s="228"/>
      <c r="BP43" s="228"/>
      <c r="BQ43" s="228"/>
      <c r="BR43" s="228"/>
      <c r="BS43" s="228"/>
      <c r="BT43" s="228"/>
      <c r="BU43" s="228"/>
      <c r="BV43" s="228"/>
      <c r="BW43" s="228"/>
      <c r="BX43" s="228"/>
      <c r="BY43" s="228"/>
      <c r="BZ43" s="228"/>
      <c r="CA43" s="228"/>
      <c r="CB43" s="228"/>
      <c r="CC43" s="228"/>
      <c r="CD43" s="228"/>
      <c r="CE43" s="228"/>
      <c r="CF43" s="228"/>
      <c r="CG43" s="228"/>
      <c r="CH43" s="228"/>
      <c r="CI43" s="228"/>
      <c r="CJ43" s="228"/>
      <c r="CK43" s="228"/>
      <c r="CL43" s="228"/>
      <c r="CM43" s="228"/>
      <c r="CN43" s="228"/>
      <c r="CO43" s="228"/>
      <c r="CP43" s="228"/>
      <c r="CQ43" s="228"/>
      <c r="CR43" s="228"/>
      <c r="CS43" s="228"/>
      <c r="CT43" s="228"/>
      <c r="CU43" s="228"/>
      <c r="CV43" s="228"/>
      <c r="CW43" s="228"/>
      <c r="CX43" s="228"/>
      <c r="CY43" s="228"/>
      <c r="CZ43" s="228"/>
      <c r="DA43" s="228"/>
      <c r="DB43" s="228"/>
      <c r="DC43" s="228"/>
      <c r="DD43" s="228"/>
      <c r="DE43" s="228"/>
      <c r="DF43" s="228"/>
      <c r="DG43" s="228"/>
      <c r="DH43" s="228"/>
      <c r="DI43" s="228"/>
      <c r="DJ43" s="228"/>
      <c r="DK43" s="228"/>
      <c r="DL43" s="228"/>
      <c r="DM43" s="228"/>
      <c r="DN43" s="228"/>
      <c r="DO43" s="228"/>
      <c r="DP43" s="228"/>
      <c r="DQ43" s="228"/>
      <c r="DR43" s="228"/>
      <c r="DS43" s="228"/>
      <c r="DT43" s="228"/>
      <c r="DU43" s="228"/>
      <c r="DV43" s="228"/>
      <c r="DW43" s="228"/>
      <c r="DX43" s="228"/>
      <c r="DY43" s="228"/>
      <c r="DZ43" s="228"/>
      <c r="EA43" s="228"/>
      <c r="EB43" s="228"/>
      <c r="EC43" s="228"/>
      <c r="ED43" s="228"/>
      <c r="EE43" s="228"/>
      <c r="EF43" s="228"/>
      <c r="EG43" s="228"/>
      <c r="EH43" s="228"/>
      <c r="EI43" s="228"/>
      <c r="EJ43" s="228"/>
      <c r="EK43" s="228"/>
      <c r="EL43" s="228"/>
      <c r="EM43" s="228"/>
      <c r="EN43" s="228"/>
      <c r="EO43" s="228"/>
      <c r="EP43" s="228"/>
      <c r="EQ43" s="228"/>
      <c r="ER43" s="228"/>
      <c r="ES43" s="228"/>
      <c r="ET43" s="228"/>
      <c r="EU43" s="228"/>
      <c r="EV43" s="228"/>
      <c r="EW43" s="228"/>
      <c r="EX43" s="228"/>
      <c r="EY43" s="228"/>
      <c r="EZ43" s="228"/>
      <c r="FA43" s="228"/>
      <c r="FB43" s="228"/>
      <c r="FC43" s="228"/>
      <c r="FD43" s="228"/>
      <c r="FE43" s="228"/>
      <c r="FF43" s="228"/>
      <c r="FG43" s="228"/>
      <c r="FH43" s="228"/>
      <c r="FI43" s="228"/>
      <c r="FJ43" s="228"/>
      <c r="FK43" s="228"/>
      <c r="FL43" s="228"/>
      <c r="FM43" s="228"/>
      <c r="FN43" s="228"/>
      <c r="FO43" s="228"/>
      <c r="FP43" s="228"/>
      <c r="FQ43" s="228"/>
      <c r="FR43" s="228"/>
      <c r="FS43" s="228"/>
      <c r="FT43" s="228"/>
      <c r="FU43" s="228"/>
      <c r="FV43" s="228"/>
      <c r="FW43" s="228"/>
      <c r="FX43" s="228"/>
      <c r="FY43" s="228"/>
      <c r="FZ43" s="228"/>
      <c r="GA43" s="228"/>
      <c r="GB43" s="228"/>
      <c r="GC43" s="228"/>
      <c r="GD43" s="228"/>
      <c r="GE43" s="228"/>
      <c r="GF43" s="228"/>
      <c r="GG43" s="228"/>
      <c r="GH43" s="228"/>
      <c r="GI43" s="228"/>
      <c r="GJ43" s="228"/>
      <c r="GK43" s="228"/>
      <c r="GL43" s="228"/>
      <c r="GM43" s="228"/>
      <c r="GN43" s="228"/>
      <c r="GO43" s="228"/>
      <c r="GP43" s="228"/>
      <c r="GQ43" s="228"/>
      <c r="GR43" s="228"/>
      <c r="GS43" s="228"/>
      <c r="GT43" s="228"/>
      <c r="GU43" s="228"/>
      <c r="GV43" s="228"/>
      <c r="GW43" s="228"/>
      <c r="GX43" s="228"/>
      <c r="GY43" s="228"/>
      <c r="GZ43" s="228"/>
      <c r="HA43" s="228"/>
      <c r="HB43" s="228"/>
      <c r="HC43" s="228"/>
      <c r="HD43" s="228"/>
      <c r="HE43" s="228"/>
      <c r="HF43" s="228"/>
      <c r="HG43" s="228"/>
      <c r="HH43" s="228"/>
      <c r="HI43" s="228"/>
      <c r="HJ43" s="228"/>
      <c r="HK43" s="228"/>
      <c r="HL43" s="228"/>
      <c r="HM43" s="228"/>
      <c r="HN43" s="228"/>
      <c r="HO43" s="228"/>
      <c r="HP43" s="228"/>
      <c r="HQ43" s="228"/>
      <c r="HR43" s="228"/>
      <c r="HS43" s="228"/>
      <c r="HT43" s="228"/>
      <c r="HU43" s="228"/>
      <c r="HV43" s="228"/>
      <c r="HW43" s="228"/>
      <c r="HX43" s="228"/>
      <c r="HY43" s="228"/>
      <c r="HZ43" s="228"/>
      <c r="IA43" s="228"/>
      <c r="IB43" s="228"/>
      <c r="IC43" s="228"/>
      <c r="ID43" s="228"/>
      <c r="IE43" s="228"/>
      <c r="IF43" s="228"/>
      <c r="IG43" s="228"/>
      <c r="IH43" s="228"/>
      <c r="II43" s="228"/>
      <c r="IJ43" s="228"/>
      <c r="IK43" s="228"/>
      <c r="IL43" s="228"/>
      <c r="IM43" s="228"/>
      <c r="IN43" s="228"/>
      <c r="IO43" s="228"/>
      <c r="IP43" s="228"/>
      <c r="IQ43" s="228"/>
      <c r="IR43" s="228"/>
      <c r="IS43" s="228"/>
      <c r="IT43" s="228"/>
      <c r="IU43" s="228"/>
      <c r="IV43" s="228"/>
      <c r="IW43" s="228"/>
      <c r="IX43" s="228"/>
      <c r="IY43" s="228"/>
      <c r="IZ43" s="228"/>
      <c r="JA43" s="228"/>
      <c r="JB43" s="228"/>
      <c r="JC43" s="228"/>
      <c r="JD43" s="228"/>
      <c r="JE43" s="228"/>
      <c r="JF43" s="228"/>
      <c r="JG43" s="228"/>
      <c r="JH43" s="228"/>
      <c r="JI43" s="228"/>
      <c r="JJ43" s="228"/>
      <c r="JK43" s="228"/>
      <c r="JL43" s="228"/>
      <c r="JM43" s="228"/>
      <c r="JN43" s="228"/>
      <c r="JO43" s="228"/>
      <c r="JP43" s="228"/>
      <c r="JQ43" s="228"/>
      <c r="JR43" s="228"/>
      <c r="JS43" s="228"/>
      <c r="JT43" s="228"/>
      <c r="JU43" s="228"/>
      <c r="JV43" s="228"/>
      <c r="JW43" s="228"/>
      <c r="JX43" s="228"/>
      <c r="JY43" s="228"/>
      <c r="JZ43" s="228"/>
      <c r="KA43" s="228"/>
      <c r="KB43" s="228"/>
      <c r="KC43" s="228"/>
      <c r="KD43" s="228"/>
      <c r="KE43" s="228"/>
      <c r="KF43" s="228"/>
      <c r="KG43" s="228"/>
      <c r="KH43" s="228"/>
      <c r="KI43" s="228"/>
      <c r="KJ43" s="228"/>
      <c r="KK43" s="228"/>
      <c r="KL43" s="228"/>
      <c r="KM43" s="228"/>
      <c r="KN43" s="228"/>
      <c r="KO43" s="228"/>
      <c r="KP43" s="228"/>
      <c r="KQ43" s="228"/>
      <c r="KR43" s="228"/>
      <c r="KS43" s="228"/>
      <c r="KT43" s="228"/>
      <c r="KU43" s="228"/>
      <c r="KV43" s="228"/>
      <c r="KW43" s="228"/>
      <c r="KX43" s="228"/>
      <c r="KY43" s="228"/>
      <c r="KZ43" s="228"/>
      <c r="LA43" s="228"/>
      <c r="LB43" s="228"/>
      <c r="LC43" s="228"/>
      <c r="LD43" s="228"/>
      <c r="LE43" s="228"/>
      <c r="LF43" s="228"/>
      <c r="LG43" s="228"/>
      <c r="LH43" s="228"/>
      <c r="LI43" s="228"/>
      <c r="LJ43" s="228"/>
      <c r="LK43" s="228"/>
      <c r="LL43" s="228"/>
      <c r="LM43" s="228"/>
      <c r="LN43" s="228"/>
      <c r="LO43" s="228"/>
      <c r="LP43" s="228"/>
      <c r="LQ43" s="228"/>
      <c r="LR43" s="228"/>
      <c r="LS43" s="228"/>
      <c r="LT43" s="228"/>
      <c r="LU43" s="228"/>
      <c r="LV43" s="228"/>
      <c r="LW43" s="228"/>
      <c r="LX43" s="228"/>
      <c r="LY43" s="228"/>
      <c r="LZ43" s="228"/>
      <c r="MA43" s="228"/>
      <c r="MB43" s="228"/>
      <c r="MC43" s="228"/>
      <c r="MD43" s="228"/>
      <c r="ME43" s="228"/>
      <c r="MF43" s="228"/>
      <c r="MG43" s="228"/>
      <c r="MH43" s="228"/>
      <c r="MI43" s="228"/>
      <c r="MJ43" s="228"/>
      <c r="MK43" s="228"/>
      <c r="ML43" s="228"/>
      <c r="MM43" s="228"/>
      <c r="MN43" s="228"/>
      <c r="MO43" s="228"/>
      <c r="MP43" s="228"/>
      <c r="MQ43" s="228"/>
      <c r="MR43" s="228"/>
      <c r="MS43" s="228"/>
      <c r="MT43" s="228"/>
      <c r="MU43" s="228"/>
      <c r="MV43" s="228"/>
      <c r="MW43" s="228"/>
      <c r="MX43" s="228"/>
      <c r="MY43" s="228"/>
      <c r="MZ43" s="228"/>
      <c r="NA43" s="228"/>
      <c r="NB43" s="228"/>
      <c r="NC43" s="228"/>
      <c r="ND43" s="228"/>
      <c r="NE43" s="228"/>
      <c r="NF43" s="228"/>
      <c r="NG43" s="228"/>
      <c r="NH43" s="228"/>
      <c r="NI43" s="228"/>
      <c r="NJ43" s="228"/>
      <c r="NK43" s="228"/>
      <c r="NL43" s="228"/>
      <c r="NM43" s="228"/>
      <c r="NN43" s="228"/>
      <c r="NO43" s="228"/>
      <c r="NP43" s="228"/>
      <c r="NQ43" s="228"/>
      <c r="NR43" s="228"/>
      <c r="NS43" s="228"/>
      <c r="NT43" s="228"/>
      <c r="NU43" s="228"/>
      <c r="NV43" s="228"/>
      <c r="NW43" s="228"/>
      <c r="NX43" s="228"/>
      <c r="NY43" s="228"/>
      <c r="NZ43" s="228"/>
      <c r="OA43" s="228"/>
      <c r="OB43" s="228"/>
      <c r="OC43" s="228"/>
      <c r="OD43" s="228"/>
      <c r="OE43" s="228"/>
      <c r="OF43" s="228"/>
      <c r="OG43" s="228"/>
      <c r="OH43" s="228"/>
      <c r="OI43" s="228"/>
      <c r="OJ43" s="228"/>
      <c r="OK43" s="228"/>
      <c r="OL43" s="228"/>
      <c r="OM43" s="228"/>
      <c r="ON43" s="228"/>
      <c r="OO43" s="228"/>
      <c r="OP43" s="228"/>
      <c r="OQ43" s="228"/>
      <c r="OR43" s="228"/>
      <c r="OS43" s="228"/>
      <c r="OT43" s="228"/>
      <c r="OU43" s="228"/>
      <c r="OV43" s="228"/>
      <c r="OW43" s="228"/>
      <c r="OX43" s="228"/>
      <c r="OY43" s="228"/>
      <c r="OZ43" s="228"/>
      <c r="PA43" s="228"/>
      <c r="PB43" s="228"/>
      <c r="PC43" s="228"/>
      <c r="PD43" s="228"/>
      <c r="PE43" s="228"/>
      <c r="PF43" s="228"/>
      <c r="PG43" s="228"/>
      <c r="PH43" s="228"/>
      <c r="PI43" s="228"/>
      <c r="PJ43" s="228"/>
      <c r="PK43" s="228"/>
      <c r="PL43" s="228"/>
      <c r="PM43" s="228"/>
      <c r="PN43" s="228"/>
      <c r="PO43" s="228"/>
      <c r="PP43" s="228"/>
      <c r="PQ43" s="228"/>
      <c r="PR43" s="228"/>
      <c r="PS43" s="228"/>
      <c r="PT43" s="228"/>
      <c r="PU43" s="228"/>
      <c r="PV43" s="228"/>
      <c r="PW43" s="228"/>
      <c r="PX43" s="228"/>
      <c r="PY43" s="228"/>
      <c r="PZ43" s="228"/>
      <c r="QA43" s="228"/>
      <c r="QB43" s="228"/>
      <c r="QC43" s="228"/>
      <c r="QD43" s="228"/>
      <c r="QE43" s="228"/>
      <c r="QF43" s="228"/>
      <c r="QG43" s="228"/>
      <c r="QH43" s="228"/>
      <c r="QI43" s="228"/>
      <c r="QJ43" s="228"/>
      <c r="QK43" s="228"/>
      <c r="QL43" s="228"/>
      <c r="QM43" s="228"/>
      <c r="QN43" s="228"/>
      <c r="QO43" s="228"/>
      <c r="QP43" s="228"/>
      <c r="QQ43" s="228"/>
      <c r="QR43" s="228"/>
      <c r="QS43" s="228"/>
      <c r="QT43" s="228"/>
      <c r="QU43" s="228"/>
      <c r="QV43" s="228"/>
      <c r="QW43" s="228"/>
      <c r="QX43" s="228"/>
      <c r="QY43" s="228"/>
      <c r="QZ43" s="228"/>
      <c r="RA43" s="228"/>
      <c r="RB43" s="228"/>
      <c r="RC43" s="228"/>
      <c r="RD43" s="228"/>
      <c r="RE43" s="228"/>
      <c r="RF43" s="228"/>
      <c r="RG43" s="228"/>
      <c r="RH43" s="228"/>
      <c r="RI43" s="228"/>
      <c r="RJ43" s="228"/>
      <c r="RK43" s="228"/>
      <c r="RL43" s="228"/>
      <c r="RM43" s="228"/>
      <c r="RN43" s="228"/>
      <c r="RO43" s="228"/>
      <c r="RP43" s="228"/>
      <c r="RQ43" s="228"/>
      <c r="RR43" s="228"/>
      <c r="RS43" s="228"/>
      <c r="RT43" s="228"/>
      <c r="RU43" s="228"/>
      <c r="RV43" s="228"/>
      <c r="RW43" s="228"/>
      <c r="RX43" s="228"/>
      <c r="RY43" s="228"/>
      <c r="RZ43" s="228"/>
      <c r="SA43" s="228"/>
      <c r="SB43" s="228"/>
      <c r="SC43" s="228"/>
      <c r="SD43" s="228"/>
      <c r="SE43" s="228"/>
      <c r="SF43" s="228"/>
      <c r="SG43" s="228"/>
    </row>
    <row r="44" spans="2:501" ht="391.5" customHeight="1">
      <c r="C44" s="227" t="s">
        <v>1916</v>
      </c>
      <c r="D44" s="225" t="s">
        <v>1917</v>
      </c>
      <c r="E44" s="225" t="s">
        <v>1918</v>
      </c>
      <c r="F44" s="225" t="s">
        <v>1919</v>
      </c>
      <c r="G44" s="225" t="s">
        <v>1342</v>
      </c>
      <c r="H44" s="225" t="s">
        <v>1741</v>
      </c>
      <c r="I44" s="226" t="s">
        <v>1920</v>
      </c>
      <c r="J44" s="226" t="s">
        <v>1829</v>
      </c>
      <c r="K44" s="225" t="s">
        <v>1744</v>
      </c>
      <c r="L44" s="225" t="s">
        <v>1745</v>
      </c>
      <c r="M44" s="226" t="s">
        <v>1921</v>
      </c>
      <c r="N44" s="228"/>
      <c r="O44" s="228"/>
      <c r="P44" s="228"/>
      <c r="Q44" s="228"/>
      <c r="R44" s="228"/>
      <c r="S44" s="228"/>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A44" s="228"/>
      <c r="BB44" s="228"/>
      <c r="BC44" s="228"/>
      <c r="BD44" s="228"/>
      <c r="BE44" s="228"/>
      <c r="BF44" s="228"/>
      <c r="BG44" s="228"/>
      <c r="BH44" s="228"/>
      <c r="BI44" s="228"/>
      <c r="BJ44" s="228"/>
      <c r="BK44" s="228"/>
      <c r="BL44" s="228"/>
      <c r="BM44" s="228"/>
      <c r="BN44" s="228"/>
      <c r="BO44" s="228"/>
      <c r="BP44" s="228"/>
      <c r="BQ44" s="228"/>
      <c r="BR44" s="228"/>
      <c r="BS44" s="228"/>
      <c r="BT44" s="228"/>
      <c r="BU44" s="228"/>
      <c r="BV44" s="228"/>
      <c r="BW44" s="228"/>
      <c r="BX44" s="228"/>
      <c r="BY44" s="228"/>
      <c r="BZ44" s="228"/>
      <c r="CA44" s="228"/>
      <c r="CB44" s="228"/>
      <c r="CC44" s="228"/>
      <c r="CD44" s="228"/>
      <c r="CE44" s="228"/>
      <c r="CF44" s="228"/>
      <c r="CG44" s="228"/>
      <c r="CH44" s="228"/>
      <c r="CI44" s="228"/>
      <c r="CJ44" s="228"/>
      <c r="CK44" s="228"/>
      <c r="CL44" s="228"/>
      <c r="CM44" s="228"/>
      <c r="CN44" s="228"/>
      <c r="CO44" s="228"/>
      <c r="CP44" s="228"/>
      <c r="CQ44" s="228"/>
      <c r="CR44" s="228"/>
      <c r="CS44" s="228"/>
      <c r="CT44" s="228"/>
      <c r="CU44" s="228"/>
      <c r="CV44" s="228"/>
      <c r="CW44" s="228"/>
      <c r="CX44" s="228"/>
      <c r="CY44" s="228"/>
      <c r="CZ44" s="228"/>
      <c r="DA44" s="228"/>
      <c r="DB44" s="228"/>
      <c r="DC44" s="228"/>
      <c r="DD44" s="228"/>
      <c r="DE44" s="228"/>
      <c r="DF44" s="228"/>
      <c r="DG44" s="228"/>
      <c r="DH44" s="228"/>
      <c r="DI44" s="228"/>
      <c r="DJ44" s="228"/>
      <c r="DK44" s="228"/>
      <c r="DL44" s="228"/>
      <c r="DM44" s="228"/>
      <c r="DN44" s="228"/>
      <c r="DO44" s="228"/>
      <c r="DP44" s="228"/>
      <c r="DQ44" s="228"/>
      <c r="DR44" s="228"/>
      <c r="DS44" s="228"/>
      <c r="DT44" s="228"/>
      <c r="DU44" s="228"/>
      <c r="DV44" s="228"/>
      <c r="DW44" s="228"/>
      <c r="DX44" s="228"/>
      <c r="DY44" s="228"/>
      <c r="DZ44" s="228"/>
      <c r="EA44" s="228"/>
      <c r="EB44" s="228"/>
      <c r="EC44" s="228"/>
      <c r="ED44" s="228"/>
      <c r="EE44" s="228"/>
      <c r="EF44" s="228"/>
      <c r="EG44" s="228"/>
      <c r="EH44" s="228"/>
      <c r="EI44" s="228"/>
      <c r="EJ44" s="228"/>
      <c r="EK44" s="228"/>
      <c r="EL44" s="228"/>
      <c r="EM44" s="228"/>
      <c r="EN44" s="228"/>
      <c r="EO44" s="228"/>
      <c r="EP44" s="228"/>
      <c r="EQ44" s="228"/>
      <c r="ER44" s="228"/>
      <c r="ES44" s="228"/>
      <c r="ET44" s="228"/>
      <c r="EU44" s="228"/>
      <c r="EV44" s="228"/>
      <c r="EW44" s="228"/>
      <c r="EX44" s="228"/>
      <c r="EY44" s="228"/>
      <c r="EZ44" s="228"/>
      <c r="FA44" s="228"/>
      <c r="FB44" s="228"/>
      <c r="FC44" s="228"/>
      <c r="FD44" s="228"/>
      <c r="FE44" s="228"/>
      <c r="FF44" s="228"/>
      <c r="FG44" s="228"/>
      <c r="FH44" s="228"/>
      <c r="FI44" s="228"/>
      <c r="FJ44" s="228"/>
      <c r="FK44" s="228"/>
      <c r="FL44" s="228"/>
      <c r="FM44" s="228"/>
      <c r="FN44" s="228"/>
      <c r="FO44" s="228"/>
      <c r="FP44" s="228"/>
      <c r="FQ44" s="228"/>
      <c r="FR44" s="228"/>
      <c r="FS44" s="228"/>
      <c r="FT44" s="228"/>
      <c r="FU44" s="228"/>
      <c r="FV44" s="228"/>
      <c r="FW44" s="228"/>
      <c r="FX44" s="228"/>
      <c r="FY44" s="228"/>
      <c r="FZ44" s="228"/>
      <c r="GA44" s="228"/>
      <c r="GB44" s="228"/>
      <c r="GC44" s="228"/>
      <c r="GD44" s="228"/>
      <c r="GE44" s="228"/>
      <c r="GF44" s="228"/>
      <c r="GG44" s="228"/>
      <c r="GH44" s="228"/>
      <c r="GI44" s="228"/>
      <c r="GJ44" s="228"/>
      <c r="GK44" s="228"/>
      <c r="GL44" s="228"/>
      <c r="GM44" s="228"/>
      <c r="GN44" s="228"/>
      <c r="GO44" s="228"/>
      <c r="GP44" s="228"/>
      <c r="GQ44" s="228"/>
      <c r="GR44" s="228"/>
      <c r="GS44" s="228"/>
      <c r="GT44" s="228"/>
      <c r="GU44" s="228"/>
      <c r="GV44" s="228"/>
      <c r="GW44" s="228"/>
      <c r="GX44" s="228"/>
      <c r="GY44" s="228"/>
      <c r="GZ44" s="228"/>
      <c r="HA44" s="228"/>
      <c r="HB44" s="228"/>
      <c r="HC44" s="228"/>
      <c r="HD44" s="228"/>
      <c r="HE44" s="228"/>
      <c r="HF44" s="228"/>
      <c r="HG44" s="228"/>
      <c r="HH44" s="228"/>
      <c r="HI44" s="228"/>
      <c r="HJ44" s="228"/>
      <c r="HK44" s="228"/>
      <c r="HL44" s="228"/>
      <c r="HM44" s="228"/>
      <c r="HN44" s="228"/>
      <c r="HO44" s="228"/>
      <c r="HP44" s="228"/>
      <c r="HQ44" s="228"/>
      <c r="HR44" s="228"/>
      <c r="HS44" s="228"/>
      <c r="HT44" s="228"/>
      <c r="HU44" s="228"/>
      <c r="HV44" s="228"/>
      <c r="HW44" s="228"/>
      <c r="HX44" s="228"/>
      <c r="HY44" s="228"/>
      <c r="HZ44" s="228"/>
      <c r="IA44" s="228"/>
      <c r="IB44" s="228"/>
      <c r="IC44" s="228"/>
      <c r="ID44" s="228"/>
      <c r="IE44" s="228"/>
      <c r="IF44" s="228"/>
      <c r="IG44" s="228"/>
      <c r="IH44" s="228"/>
      <c r="II44" s="228"/>
      <c r="IJ44" s="228"/>
      <c r="IK44" s="228"/>
      <c r="IL44" s="228"/>
      <c r="IM44" s="228"/>
      <c r="IN44" s="228"/>
      <c r="IO44" s="228"/>
      <c r="IP44" s="228"/>
      <c r="IQ44" s="228"/>
      <c r="IR44" s="228"/>
      <c r="IS44" s="228"/>
      <c r="IT44" s="228"/>
      <c r="IU44" s="228"/>
      <c r="IV44" s="228"/>
      <c r="IW44" s="228"/>
      <c r="IX44" s="228"/>
      <c r="IY44" s="228"/>
      <c r="IZ44" s="228"/>
      <c r="JA44" s="228"/>
      <c r="JB44" s="228"/>
      <c r="JC44" s="228"/>
      <c r="JD44" s="228"/>
      <c r="JE44" s="228"/>
      <c r="JF44" s="228"/>
      <c r="JG44" s="228"/>
      <c r="JH44" s="228"/>
      <c r="JI44" s="228"/>
      <c r="JJ44" s="228"/>
      <c r="JK44" s="228"/>
      <c r="JL44" s="228"/>
      <c r="JM44" s="228"/>
      <c r="JN44" s="228"/>
      <c r="JO44" s="228"/>
      <c r="JP44" s="228"/>
      <c r="JQ44" s="228"/>
      <c r="JR44" s="228"/>
      <c r="JS44" s="228"/>
      <c r="JT44" s="228"/>
      <c r="JU44" s="228"/>
      <c r="JV44" s="228"/>
      <c r="JW44" s="228"/>
      <c r="JX44" s="228"/>
      <c r="JY44" s="228"/>
      <c r="JZ44" s="228"/>
      <c r="KA44" s="228"/>
      <c r="KB44" s="228"/>
      <c r="KC44" s="228"/>
      <c r="KD44" s="228"/>
      <c r="KE44" s="228"/>
      <c r="KF44" s="228"/>
      <c r="KG44" s="228"/>
      <c r="KH44" s="228"/>
      <c r="KI44" s="228"/>
      <c r="KJ44" s="228"/>
      <c r="KK44" s="228"/>
      <c r="KL44" s="228"/>
      <c r="KM44" s="228"/>
      <c r="KN44" s="228"/>
      <c r="KO44" s="228"/>
      <c r="KP44" s="228"/>
      <c r="KQ44" s="228"/>
      <c r="KR44" s="228"/>
      <c r="KS44" s="228"/>
      <c r="KT44" s="228"/>
      <c r="KU44" s="228"/>
      <c r="KV44" s="228"/>
      <c r="KW44" s="228"/>
      <c r="KX44" s="228"/>
      <c r="KY44" s="228"/>
      <c r="KZ44" s="228"/>
      <c r="LA44" s="228"/>
      <c r="LB44" s="228"/>
      <c r="LC44" s="228"/>
      <c r="LD44" s="228"/>
      <c r="LE44" s="228"/>
      <c r="LF44" s="228"/>
      <c r="LG44" s="228"/>
      <c r="LH44" s="228"/>
      <c r="LI44" s="228"/>
      <c r="LJ44" s="228"/>
      <c r="LK44" s="228"/>
      <c r="LL44" s="228"/>
      <c r="LM44" s="228"/>
      <c r="LN44" s="228"/>
      <c r="LO44" s="228"/>
      <c r="LP44" s="228"/>
      <c r="LQ44" s="228"/>
      <c r="LR44" s="228"/>
      <c r="LS44" s="228"/>
      <c r="LT44" s="228"/>
      <c r="LU44" s="228"/>
      <c r="LV44" s="228"/>
      <c r="LW44" s="228"/>
      <c r="LX44" s="228"/>
      <c r="LY44" s="228"/>
      <c r="LZ44" s="228"/>
      <c r="MA44" s="228"/>
      <c r="MB44" s="228"/>
      <c r="MC44" s="228"/>
      <c r="MD44" s="228"/>
      <c r="ME44" s="228"/>
      <c r="MF44" s="228"/>
      <c r="MG44" s="228"/>
      <c r="MH44" s="228"/>
      <c r="MI44" s="228"/>
      <c r="MJ44" s="228"/>
      <c r="MK44" s="228"/>
      <c r="ML44" s="228"/>
      <c r="MM44" s="228"/>
      <c r="MN44" s="228"/>
      <c r="MO44" s="228"/>
      <c r="MP44" s="228"/>
      <c r="MQ44" s="228"/>
      <c r="MR44" s="228"/>
      <c r="MS44" s="228"/>
      <c r="MT44" s="228"/>
      <c r="MU44" s="228"/>
      <c r="MV44" s="228"/>
      <c r="MW44" s="228"/>
      <c r="MX44" s="228"/>
      <c r="MY44" s="228"/>
      <c r="MZ44" s="228"/>
      <c r="NA44" s="228"/>
      <c r="NB44" s="228"/>
      <c r="NC44" s="228"/>
      <c r="ND44" s="228"/>
      <c r="NE44" s="228"/>
      <c r="NF44" s="228"/>
      <c r="NG44" s="228"/>
      <c r="NH44" s="228"/>
      <c r="NI44" s="228"/>
      <c r="NJ44" s="228"/>
      <c r="NK44" s="228"/>
      <c r="NL44" s="228"/>
      <c r="NM44" s="228"/>
      <c r="NN44" s="228"/>
      <c r="NO44" s="228"/>
      <c r="NP44" s="228"/>
      <c r="NQ44" s="228"/>
      <c r="NR44" s="228"/>
      <c r="NS44" s="228"/>
      <c r="NT44" s="228"/>
      <c r="NU44" s="228"/>
      <c r="NV44" s="228"/>
      <c r="NW44" s="228"/>
      <c r="NX44" s="228"/>
      <c r="NY44" s="228"/>
      <c r="NZ44" s="228"/>
      <c r="OA44" s="228"/>
      <c r="OB44" s="228"/>
      <c r="OC44" s="228"/>
      <c r="OD44" s="228"/>
      <c r="OE44" s="228"/>
      <c r="OF44" s="228"/>
      <c r="OG44" s="228"/>
      <c r="OH44" s="228"/>
      <c r="OI44" s="228"/>
      <c r="OJ44" s="228"/>
      <c r="OK44" s="228"/>
      <c r="OL44" s="228"/>
      <c r="OM44" s="228"/>
      <c r="ON44" s="228"/>
      <c r="OO44" s="228"/>
      <c r="OP44" s="228"/>
      <c r="OQ44" s="228"/>
      <c r="OR44" s="228"/>
      <c r="OS44" s="228"/>
      <c r="OT44" s="228"/>
      <c r="OU44" s="228"/>
      <c r="OV44" s="228"/>
      <c r="OW44" s="228"/>
      <c r="OX44" s="228"/>
      <c r="OY44" s="228"/>
      <c r="OZ44" s="228"/>
      <c r="PA44" s="228"/>
      <c r="PB44" s="228"/>
      <c r="PC44" s="228"/>
      <c r="PD44" s="228"/>
      <c r="PE44" s="228"/>
      <c r="PF44" s="228"/>
      <c r="PG44" s="228"/>
      <c r="PH44" s="228"/>
      <c r="PI44" s="228"/>
      <c r="PJ44" s="228"/>
      <c r="PK44" s="228"/>
      <c r="PL44" s="228"/>
      <c r="PM44" s="228"/>
      <c r="PN44" s="228"/>
      <c r="PO44" s="228"/>
      <c r="PP44" s="228"/>
      <c r="PQ44" s="228"/>
      <c r="PR44" s="228"/>
      <c r="PS44" s="228"/>
      <c r="PT44" s="228"/>
      <c r="PU44" s="228"/>
      <c r="PV44" s="228"/>
      <c r="PW44" s="228"/>
      <c r="PX44" s="228"/>
      <c r="PY44" s="228"/>
      <c r="PZ44" s="228"/>
      <c r="QA44" s="228"/>
      <c r="QB44" s="228"/>
      <c r="QC44" s="228"/>
      <c r="QD44" s="228"/>
      <c r="QE44" s="228"/>
      <c r="QF44" s="228"/>
      <c r="QG44" s="228"/>
      <c r="QH44" s="228"/>
      <c r="QI44" s="228"/>
      <c r="QJ44" s="228"/>
      <c r="QK44" s="228"/>
      <c r="QL44" s="228"/>
      <c r="QM44" s="228"/>
      <c r="QN44" s="228"/>
      <c r="QO44" s="228"/>
      <c r="QP44" s="228"/>
      <c r="QQ44" s="228"/>
      <c r="QR44" s="228"/>
      <c r="QS44" s="228"/>
      <c r="QT44" s="228"/>
      <c r="QU44" s="228"/>
      <c r="QV44" s="228"/>
      <c r="QW44" s="228"/>
      <c r="QX44" s="228"/>
      <c r="QY44" s="228"/>
      <c r="QZ44" s="228"/>
      <c r="RA44" s="228"/>
      <c r="RB44" s="228"/>
      <c r="RC44" s="228"/>
      <c r="RD44" s="228"/>
      <c r="RE44" s="228"/>
      <c r="RF44" s="228"/>
      <c r="RG44" s="228"/>
      <c r="RH44" s="228"/>
      <c r="RI44" s="228"/>
      <c r="RJ44" s="228"/>
      <c r="RK44" s="228"/>
      <c r="RL44" s="228"/>
      <c r="RM44" s="228"/>
      <c r="RN44" s="228"/>
      <c r="RO44" s="228"/>
      <c r="RP44" s="228"/>
      <c r="RQ44" s="228"/>
      <c r="RR44" s="228"/>
      <c r="RS44" s="228"/>
      <c r="RT44" s="228"/>
      <c r="RU44" s="228"/>
      <c r="RV44" s="228"/>
      <c r="RW44" s="228"/>
      <c r="RX44" s="228"/>
      <c r="RY44" s="228"/>
      <c r="RZ44" s="228"/>
      <c r="SA44" s="228"/>
      <c r="SB44" s="228"/>
      <c r="SC44" s="228"/>
      <c r="SD44" s="228"/>
      <c r="SE44" s="228"/>
      <c r="SF44" s="228"/>
      <c r="SG44" s="228"/>
    </row>
    <row r="45" spans="2:501" ht="139.5" customHeight="1">
      <c r="C45" s="227" t="s">
        <v>1922</v>
      </c>
      <c r="D45" s="225" t="s">
        <v>1923</v>
      </c>
      <c r="E45" s="225" t="s">
        <v>1924</v>
      </c>
      <c r="F45" s="225" t="s">
        <v>1925</v>
      </c>
      <c r="G45" s="225" t="s">
        <v>1740</v>
      </c>
      <c r="H45" s="225" t="s">
        <v>1741</v>
      </c>
      <c r="I45" s="226" t="s">
        <v>1926</v>
      </c>
      <c r="J45" s="226" t="s">
        <v>1927</v>
      </c>
      <c r="K45" s="225" t="s">
        <v>1744</v>
      </c>
      <c r="L45" s="225" t="s">
        <v>1745</v>
      </c>
      <c r="M45" s="226" t="s">
        <v>1928</v>
      </c>
      <c r="N45" s="228"/>
      <c r="O45" s="228"/>
      <c r="P45" s="228"/>
      <c r="Q45" s="228"/>
      <c r="R45" s="228"/>
      <c r="S45" s="228"/>
      <c r="T45" s="228"/>
      <c r="U45" s="228"/>
      <c r="V45" s="228"/>
      <c r="W45" s="228"/>
      <c r="X45" s="228"/>
      <c r="Y45" s="228"/>
      <c r="Z45" s="228"/>
      <c r="AA45" s="228"/>
      <c r="AB45" s="228"/>
      <c r="AC45" s="228"/>
      <c r="AD45" s="228"/>
      <c r="AE45" s="228"/>
      <c r="AF45" s="228"/>
      <c r="AG45" s="228"/>
      <c r="AH45" s="228"/>
      <c r="AI45" s="228"/>
      <c r="AJ45" s="228"/>
      <c r="AK45" s="228"/>
      <c r="AL45" s="228"/>
      <c r="AM45" s="228"/>
      <c r="AN45" s="228"/>
      <c r="AO45" s="228"/>
      <c r="AP45" s="228"/>
      <c r="AQ45" s="228"/>
      <c r="AR45" s="228"/>
      <c r="AS45" s="228"/>
      <c r="AT45" s="228"/>
      <c r="AU45" s="228"/>
      <c r="AV45" s="228"/>
      <c r="AW45" s="228"/>
      <c r="AX45" s="228"/>
      <c r="AY45" s="228"/>
      <c r="AZ45" s="228"/>
      <c r="BA45" s="228"/>
      <c r="BB45" s="228"/>
      <c r="BC45" s="228"/>
      <c r="BD45" s="228"/>
      <c r="BE45" s="228"/>
      <c r="BF45" s="228"/>
      <c r="BG45" s="228"/>
      <c r="BH45" s="228"/>
      <c r="BI45" s="228"/>
      <c r="BJ45" s="228"/>
      <c r="BK45" s="228"/>
      <c r="BL45" s="228"/>
      <c r="BM45" s="228"/>
      <c r="BN45" s="228"/>
      <c r="BO45" s="228"/>
      <c r="BP45" s="228"/>
      <c r="BQ45" s="228"/>
      <c r="BR45" s="228"/>
      <c r="BS45" s="228"/>
      <c r="BT45" s="228"/>
      <c r="BU45" s="228"/>
      <c r="BV45" s="228"/>
      <c r="BW45" s="228"/>
      <c r="BX45" s="228"/>
      <c r="BY45" s="228"/>
      <c r="BZ45" s="228"/>
      <c r="CA45" s="228"/>
      <c r="CB45" s="228"/>
      <c r="CC45" s="228"/>
      <c r="CD45" s="228"/>
      <c r="CE45" s="228"/>
      <c r="CF45" s="228"/>
      <c r="CG45" s="228"/>
      <c r="CH45" s="228"/>
      <c r="CI45" s="228"/>
      <c r="CJ45" s="228"/>
      <c r="CK45" s="228"/>
      <c r="CL45" s="228"/>
      <c r="CM45" s="228"/>
      <c r="CN45" s="228"/>
      <c r="CO45" s="228"/>
      <c r="CP45" s="228"/>
      <c r="CQ45" s="228"/>
      <c r="CR45" s="228"/>
      <c r="CS45" s="228"/>
      <c r="CT45" s="228"/>
      <c r="CU45" s="228"/>
      <c r="CV45" s="228"/>
      <c r="CW45" s="228"/>
      <c r="CX45" s="228"/>
      <c r="CY45" s="228"/>
      <c r="CZ45" s="228"/>
      <c r="DA45" s="228"/>
      <c r="DB45" s="228"/>
      <c r="DC45" s="228"/>
      <c r="DD45" s="228"/>
      <c r="DE45" s="228"/>
      <c r="DF45" s="228"/>
      <c r="DG45" s="228"/>
      <c r="DH45" s="228"/>
      <c r="DI45" s="228"/>
      <c r="DJ45" s="228"/>
      <c r="DK45" s="228"/>
      <c r="DL45" s="228"/>
      <c r="DM45" s="228"/>
      <c r="DN45" s="228"/>
      <c r="DO45" s="228"/>
      <c r="DP45" s="228"/>
      <c r="DQ45" s="228"/>
      <c r="DR45" s="228"/>
      <c r="DS45" s="228"/>
      <c r="DT45" s="228"/>
      <c r="DU45" s="228"/>
      <c r="DV45" s="228"/>
      <c r="DW45" s="228"/>
      <c r="DX45" s="228"/>
      <c r="DY45" s="228"/>
      <c r="DZ45" s="228"/>
      <c r="EA45" s="228"/>
      <c r="EB45" s="228"/>
      <c r="EC45" s="228"/>
      <c r="ED45" s="228"/>
      <c r="EE45" s="228"/>
      <c r="EF45" s="228"/>
      <c r="EG45" s="228"/>
      <c r="EH45" s="228"/>
      <c r="EI45" s="228"/>
      <c r="EJ45" s="228"/>
      <c r="EK45" s="228"/>
      <c r="EL45" s="228"/>
      <c r="EM45" s="228"/>
      <c r="EN45" s="228"/>
      <c r="EO45" s="228"/>
      <c r="EP45" s="228"/>
      <c r="EQ45" s="228"/>
      <c r="ER45" s="228"/>
      <c r="ES45" s="228"/>
      <c r="ET45" s="228"/>
      <c r="EU45" s="228"/>
      <c r="EV45" s="228"/>
      <c r="EW45" s="228"/>
      <c r="EX45" s="228"/>
      <c r="EY45" s="228"/>
      <c r="EZ45" s="228"/>
      <c r="FA45" s="228"/>
      <c r="FB45" s="228"/>
      <c r="FC45" s="228"/>
      <c r="FD45" s="228"/>
      <c r="FE45" s="228"/>
      <c r="FF45" s="228"/>
      <c r="FG45" s="228"/>
      <c r="FH45" s="228"/>
      <c r="FI45" s="228"/>
      <c r="FJ45" s="228"/>
      <c r="FK45" s="228"/>
      <c r="FL45" s="228"/>
      <c r="FM45" s="228"/>
      <c r="FN45" s="228"/>
      <c r="FO45" s="228"/>
      <c r="FP45" s="228"/>
      <c r="FQ45" s="228"/>
      <c r="FR45" s="228"/>
      <c r="FS45" s="228"/>
      <c r="FT45" s="228"/>
      <c r="FU45" s="228"/>
      <c r="FV45" s="228"/>
      <c r="FW45" s="228"/>
      <c r="FX45" s="228"/>
      <c r="FY45" s="228"/>
      <c r="FZ45" s="228"/>
      <c r="GA45" s="228"/>
      <c r="GB45" s="228"/>
      <c r="GC45" s="228"/>
      <c r="GD45" s="228"/>
      <c r="GE45" s="228"/>
      <c r="GF45" s="228"/>
      <c r="GG45" s="228"/>
      <c r="GH45" s="228"/>
      <c r="GI45" s="228"/>
      <c r="GJ45" s="228"/>
      <c r="GK45" s="228"/>
      <c r="GL45" s="228"/>
      <c r="GM45" s="228"/>
      <c r="GN45" s="228"/>
      <c r="GO45" s="228"/>
      <c r="GP45" s="228"/>
      <c r="GQ45" s="228"/>
      <c r="GR45" s="228"/>
      <c r="GS45" s="228"/>
      <c r="GT45" s="228"/>
      <c r="GU45" s="228"/>
      <c r="GV45" s="228"/>
      <c r="GW45" s="228"/>
      <c r="GX45" s="228"/>
      <c r="GY45" s="228"/>
      <c r="GZ45" s="228"/>
      <c r="HA45" s="228"/>
      <c r="HB45" s="228"/>
      <c r="HC45" s="228"/>
      <c r="HD45" s="228"/>
      <c r="HE45" s="228"/>
      <c r="HF45" s="228"/>
      <c r="HG45" s="228"/>
      <c r="HH45" s="228"/>
      <c r="HI45" s="228"/>
      <c r="HJ45" s="228"/>
      <c r="HK45" s="228"/>
      <c r="HL45" s="228"/>
      <c r="HM45" s="228"/>
      <c r="HN45" s="228"/>
      <c r="HO45" s="228"/>
      <c r="HP45" s="228"/>
      <c r="HQ45" s="228"/>
      <c r="HR45" s="228"/>
      <c r="HS45" s="228"/>
      <c r="HT45" s="228"/>
      <c r="HU45" s="228"/>
      <c r="HV45" s="228"/>
      <c r="HW45" s="228"/>
      <c r="HX45" s="228"/>
      <c r="HY45" s="228"/>
      <c r="HZ45" s="228"/>
      <c r="IA45" s="228"/>
      <c r="IB45" s="228"/>
      <c r="IC45" s="228"/>
      <c r="ID45" s="228"/>
      <c r="IE45" s="228"/>
      <c r="IF45" s="228"/>
      <c r="IG45" s="228"/>
      <c r="IH45" s="228"/>
      <c r="II45" s="228"/>
      <c r="IJ45" s="228"/>
      <c r="IK45" s="228"/>
      <c r="IL45" s="228"/>
      <c r="IM45" s="228"/>
      <c r="IN45" s="228"/>
      <c r="IO45" s="228"/>
      <c r="IP45" s="228"/>
      <c r="IQ45" s="228"/>
      <c r="IR45" s="228"/>
      <c r="IS45" s="228"/>
      <c r="IT45" s="228"/>
      <c r="IU45" s="228"/>
      <c r="IV45" s="228"/>
      <c r="IW45" s="228"/>
      <c r="IX45" s="228"/>
      <c r="IY45" s="228"/>
      <c r="IZ45" s="228"/>
      <c r="JA45" s="228"/>
      <c r="JB45" s="228"/>
      <c r="JC45" s="228"/>
      <c r="JD45" s="228"/>
      <c r="JE45" s="228"/>
      <c r="JF45" s="228"/>
      <c r="JG45" s="228"/>
      <c r="JH45" s="228"/>
      <c r="JI45" s="228"/>
      <c r="JJ45" s="228"/>
      <c r="JK45" s="228"/>
      <c r="JL45" s="228"/>
      <c r="JM45" s="228"/>
      <c r="JN45" s="228"/>
      <c r="JO45" s="228"/>
      <c r="JP45" s="228"/>
      <c r="JQ45" s="228"/>
      <c r="JR45" s="228"/>
      <c r="JS45" s="228"/>
      <c r="JT45" s="228"/>
      <c r="JU45" s="228"/>
      <c r="JV45" s="228"/>
      <c r="JW45" s="228"/>
      <c r="JX45" s="228"/>
      <c r="JY45" s="228"/>
      <c r="JZ45" s="228"/>
      <c r="KA45" s="228"/>
      <c r="KB45" s="228"/>
      <c r="KC45" s="228"/>
      <c r="KD45" s="228"/>
      <c r="KE45" s="228"/>
      <c r="KF45" s="228"/>
      <c r="KG45" s="228"/>
      <c r="KH45" s="228"/>
      <c r="KI45" s="228"/>
      <c r="KJ45" s="228"/>
      <c r="KK45" s="228"/>
      <c r="KL45" s="228"/>
      <c r="KM45" s="228"/>
      <c r="KN45" s="228"/>
      <c r="KO45" s="228"/>
      <c r="KP45" s="228"/>
      <c r="KQ45" s="228"/>
      <c r="KR45" s="228"/>
      <c r="KS45" s="228"/>
      <c r="KT45" s="228"/>
      <c r="KU45" s="228"/>
      <c r="KV45" s="228"/>
      <c r="KW45" s="228"/>
      <c r="KX45" s="228"/>
      <c r="KY45" s="228"/>
      <c r="KZ45" s="228"/>
      <c r="LA45" s="228"/>
      <c r="LB45" s="228"/>
      <c r="LC45" s="228"/>
      <c r="LD45" s="228"/>
      <c r="LE45" s="228"/>
      <c r="LF45" s="228"/>
      <c r="LG45" s="228"/>
      <c r="LH45" s="228"/>
      <c r="LI45" s="228"/>
      <c r="LJ45" s="228"/>
      <c r="LK45" s="228"/>
      <c r="LL45" s="228"/>
      <c r="LM45" s="228"/>
      <c r="LN45" s="228"/>
      <c r="LO45" s="228"/>
      <c r="LP45" s="228"/>
      <c r="LQ45" s="228"/>
      <c r="LR45" s="228"/>
      <c r="LS45" s="228"/>
      <c r="LT45" s="228"/>
      <c r="LU45" s="228"/>
      <c r="LV45" s="228"/>
      <c r="LW45" s="228"/>
      <c r="LX45" s="228"/>
      <c r="LY45" s="228"/>
      <c r="LZ45" s="228"/>
      <c r="MA45" s="228"/>
      <c r="MB45" s="228"/>
      <c r="MC45" s="228"/>
      <c r="MD45" s="228"/>
      <c r="ME45" s="228"/>
      <c r="MF45" s="228"/>
      <c r="MG45" s="228"/>
      <c r="MH45" s="228"/>
      <c r="MI45" s="228"/>
      <c r="MJ45" s="228"/>
      <c r="MK45" s="228"/>
      <c r="ML45" s="228"/>
      <c r="MM45" s="228"/>
      <c r="MN45" s="228"/>
      <c r="MO45" s="228"/>
      <c r="MP45" s="228"/>
      <c r="MQ45" s="228"/>
      <c r="MR45" s="228"/>
      <c r="MS45" s="228"/>
      <c r="MT45" s="228"/>
      <c r="MU45" s="228"/>
      <c r="MV45" s="228"/>
      <c r="MW45" s="228"/>
      <c r="MX45" s="228"/>
      <c r="MY45" s="228"/>
      <c r="MZ45" s="228"/>
      <c r="NA45" s="228"/>
      <c r="NB45" s="228"/>
      <c r="NC45" s="228"/>
      <c r="ND45" s="228"/>
      <c r="NE45" s="228"/>
      <c r="NF45" s="228"/>
      <c r="NG45" s="228"/>
      <c r="NH45" s="228"/>
      <c r="NI45" s="228"/>
      <c r="NJ45" s="228"/>
      <c r="NK45" s="228"/>
      <c r="NL45" s="228"/>
      <c r="NM45" s="228"/>
      <c r="NN45" s="228"/>
      <c r="NO45" s="228"/>
      <c r="NP45" s="228"/>
      <c r="NQ45" s="228"/>
      <c r="NR45" s="228"/>
      <c r="NS45" s="228"/>
      <c r="NT45" s="228"/>
      <c r="NU45" s="228"/>
      <c r="NV45" s="228"/>
      <c r="NW45" s="228"/>
      <c r="NX45" s="228"/>
      <c r="NY45" s="228"/>
      <c r="NZ45" s="228"/>
      <c r="OA45" s="228"/>
      <c r="OB45" s="228"/>
      <c r="OC45" s="228"/>
      <c r="OD45" s="228"/>
      <c r="OE45" s="228"/>
      <c r="OF45" s="228"/>
      <c r="OG45" s="228"/>
      <c r="OH45" s="228"/>
      <c r="OI45" s="228"/>
      <c r="OJ45" s="228"/>
      <c r="OK45" s="228"/>
      <c r="OL45" s="228"/>
      <c r="OM45" s="228"/>
      <c r="ON45" s="228"/>
      <c r="OO45" s="228"/>
      <c r="OP45" s="228"/>
      <c r="OQ45" s="228"/>
      <c r="OR45" s="228"/>
      <c r="OS45" s="228"/>
      <c r="OT45" s="228"/>
      <c r="OU45" s="228"/>
      <c r="OV45" s="228"/>
      <c r="OW45" s="228"/>
      <c r="OX45" s="228"/>
      <c r="OY45" s="228"/>
      <c r="OZ45" s="228"/>
      <c r="PA45" s="228"/>
      <c r="PB45" s="228"/>
      <c r="PC45" s="228"/>
      <c r="PD45" s="228"/>
      <c r="PE45" s="228"/>
      <c r="PF45" s="228"/>
      <c r="PG45" s="228"/>
      <c r="PH45" s="228"/>
      <c r="PI45" s="228"/>
      <c r="PJ45" s="228"/>
      <c r="PK45" s="228"/>
      <c r="PL45" s="228"/>
      <c r="PM45" s="228"/>
      <c r="PN45" s="228"/>
      <c r="PO45" s="228"/>
      <c r="PP45" s="228"/>
      <c r="PQ45" s="228"/>
      <c r="PR45" s="228"/>
      <c r="PS45" s="228"/>
      <c r="PT45" s="228"/>
      <c r="PU45" s="228"/>
      <c r="PV45" s="228"/>
      <c r="PW45" s="228"/>
      <c r="PX45" s="228"/>
      <c r="PY45" s="228"/>
      <c r="PZ45" s="228"/>
      <c r="QA45" s="228"/>
      <c r="QB45" s="228"/>
      <c r="QC45" s="228"/>
      <c r="QD45" s="228"/>
      <c r="QE45" s="228"/>
      <c r="QF45" s="228"/>
      <c r="QG45" s="228"/>
      <c r="QH45" s="228"/>
      <c r="QI45" s="228"/>
      <c r="QJ45" s="228"/>
      <c r="QK45" s="228"/>
      <c r="QL45" s="228"/>
      <c r="QM45" s="228"/>
      <c r="QN45" s="228"/>
      <c r="QO45" s="228"/>
      <c r="QP45" s="228"/>
      <c r="QQ45" s="228"/>
      <c r="QR45" s="228"/>
      <c r="QS45" s="228"/>
      <c r="QT45" s="228"/>
      <c r="QU45" s="228"/>
      <c r="QV45" s="228"/>
      <c r="QW45" s="228"/>
      <c r="QX45" s="228"/>
      <c r="QY45" s="228"/>
      <c r="QZ45" s="228"/>
      <c r="RA45" s="228"/>
      <c r="RB45" s="228"/>
      <c r="RC45" s="228"/>
      <c r="RD45" s="228"/>
      <c r="RE45" s="228"/>
      <c r="RF45" s="228"/>
      <c r="RG45" s="228"/>
      <c r="RH45" s="228"/>
      <c r="RI45" s="228"/>
      <c r="RJ45" s="228"/>
      <c r="RK45" s="228"/>
      <c r="RL45" s="228"/>
      <c r="RM45" s="228"/>
      <c r="RN45" s="228"/>
      <c r="RO45" s="228"/>
      <c r="RP45" s="228"/>
      <c r="RQ45" s="228"/>
      <c r="RR45" s="228"/>
      <c r="RS45" s="228"/>
      <c r="RT45" s="228"/>
      <c r="RU45" s="228"/>
      <c r="RV45" s="228"/>
      <c r="RW45" s="228"/>
      <c r="RX45" s="228"/>
      <c r="RY45" s="228"/>
      <c r="RZ45" s="228"/>
      <c r="SA45" s="228"/>
      <c r="SB45" s="228"/>
      <c r="SC45" s="228"/>
      <c r="SD45" s="228"/>
      <c r="SE45" s="228"/>
      <c r="SF45" s="228"/>
      <c r="SG45" s="228"/>
    </row>
    <row r="46" spans="2:501" ht="97.5" customHeight="1">
      <c r="C46" s="227" t="s">
        <v>1929</v>
      </c>
      <c r="D46" s="225" t="s">
        <v>1930</v>
      </c>
      <c r="E46" s="225" t="s">
        <v>1931</v>
      </c>
      <c r="F46" s="225" t="s">
        <v>1932</v>
      </c>
      <c r="G46" s="225" t="s">
        <v>1342</v>
      </c>
      <c r="H46" s="225" t="s">
        <v>1741</v>
      </c>
      <c r="I46" s="226" t="s">
        <v>1933</v>
      </c>
      <c r="J46" s="226" t="s">
        <v>1934</v>
      </c>
      <c r="K46" s="225" t="s">
        <v>1768</v>
      </c>
      <c r="L46" s="225" t="s">
        <v>1760</v>
      </c>
      <c r="M46" s="226" t="s">
        <v>1935</v>
      </c>
      <c r="N46" s="228"/>
      <c r="O46" s="228"/>
      <c r="P46" s="228"/>
      <c r="Q46" s="228"/>
      <c r="R46" s="228"/>
      <c r="S46" s="228"/>
      <c r="T46" s="228"/>
      <c r="U46" s="228"/>
      <c r="V46" s="228"/>
      <c r="W46" s="228"/>
      <c r="X46" s="228"/>
      <c r="Y46" s="228"/>
      <c r="Z46" s="228"/>
      <c r="AA46" s="228"/>
      <c r="AB46" s="228"/>
      <c r="AC46" s="228"/>
      <c r="AD46" s="228"/>
      <c r="AE46" s="228"/>
      <c r="AF46" s="228"/>
      <c r="AG46" s="228"/>
      <c r="AH46" s="228"/>
      <c r="AI46" s="228"/>
      <c r="AJ46" s="228"/>
      <c r="AK46" s="228"/>
      <c r="AL46" s="228"/>
      <c r="AM46" s="228"/>
      <c r="AN46" s="228"/>
      <c r="AO46" s="228"/>
      <c r="AP46" s="228"/>
      <c r="AQ46" s="228"/>
      <c r="AR46" s="228"/>
      <c r="AS46" s="228"/>
      <c r="AT46" s="228"/>
      <c r="AU46" s="228"/>
      <c r="AV46" s="228"/>
      <c r="AW46" s="228"/>
      <c r="AX46" s="228"/>
      <c r="AY46" s="228"/>
      <c r="AZ46" s="228"/>
      <c r="BA46" s="228"/>
      <c r="BB46" s="228"/>
      <c r="BC46" s="228"/>
      <c r="BD46" s="228"/>
      <c r="BE46" s="228"/>
      <c r="BF46" s="228"/>
      <c r="BG46" s="228"/>
      <c r="BH46" s="228"/>
      <c r="BI46" s="228"/>
      <c r="BJ46" s="228"/>
      <c r="BK46" s="228"/>
      <c r="BL46" s="228"/>
      <c r="BM46" s="228"/>
      <c r="BN46" s="228"/>
      <c r="BO46" s="228"/>
      <c r="BP46" s="228"/>
      <c r="BQ46" s="228"/>
      <c r="BR46" s="228"/>
      <c r="BS46" s="228"/>
      <c r="BT46" s="228"/>
      <c r="BU46" s="228"/>
      <c r="BV46" s="228"/>
      <c r="BW46" s="228"/>
      <c r="BX46" s="228"/>
      <c r="BY46" s="228"/>
      <c r="BZ46" s="228"/>
      <c r="CA46" s="228"/>
      <c r="CB46" s="228"/>
      <c r="CC46" s="228"/>
      <c r="CD46" s="228"/>
      <c r="CE46" s="228"/>
      <c r="CF46" s="228"/>
      <c r="CG46" s="228"/>
      <c r="CH46" s="228"/>
      <c r="CI46" s="228"/>
      <c r="CJ46" s="228"/>
      <c r="CK46" s="228"/>
      <c r="CL46" s="228"/>
      <c r="CM46" s="228"/>
      <c r="CN46" s="228"/>
      <c r="CO46" s="228"/>
      <c r="CP46" s="228"/>
      <c r="CQ46" s="228"/>
      <c r="CR46" s="228"/>
      <c r="CS46" s="228"/>
      <c r="CT46" s="228"/>
      <c r="CU46" s="228"/>
      <c r="CV46" s="228"/>
      <c r="CW46" s="228"/>
      <c r="CX46" s="228"/>
      <c r="CY46" s="228"/>
      <c r="CZ46" s="228"/>
      <c r="DA46" s="228"/>
      <c r="DB46" s="228"/>
      <c r="DC46" s="228"/>
      <c r="DD46" s="228"/>
      <c r="DE46" s="228"/>
      <c r="DF46" s="228"/>
      <c r="DG46" s="228"/>
      <c r="DH46" s="228"/>
      <c r="DI46" s="228"/>
      <c r="DJ46" s="228"/>
      <c r="DK46" s="228"/>
      <c r="DL46" s="228"/>
      <c r="DM46" s="228"/>
      <c r="DN46" s="228"/>
      <c r="DO46" s="228"/>
      <c r="DP46" s="228"/>
      <c r="DQ46" s="228"/>
      <c r="DR46" s="228"/>
      <c r="DS46" s="228"/>
      <c r="DT46" s="228"/>
      <c r="DU46" s="228"/>
      <c r="DV46" s="228"/>
      <c r="DW46" s="228"/>
      <c r="DX46" s="228"/>
      <c r="DY46" s="228"/>
      <c r="DZ46" s="228"/>
      <c r="EA46" s="228"/>
      <c r="EB46" s="228"/>
      <c r="EC46" s="228"/>
      <c r="ED46" s="228"/>
      <c r="EE46" s="228"/>
      <c r="EF46" s="228"/>
      <c r="EG46" s="228"/>
      <c r="EH46" s="228"/>
      <c r="EI46" s="228"/>
      <c r="EJ46" s="228"/>
      <c r="EK46" s="228"/>
      <c r="EL46" s="228"/>
      <c r="EM46" s="228"/>
      <c r="EN46" s="228"/>
      <c r="EO46" s="228"/>
      <c r="EP46" s="228"/>
      <c r="EQ46" s="228"/>
      <c r="ER46" s="228"/>
      <c r="ES46" s="228"/>
      <c r="ET46" s="228"/>
      <c r="EU46" s="228"/>
      <c r="EV46" s="228"/>
      <c r="EW46" s="228"/>
      <c r="EX46" s="228"/>
      <c r="EY46" s="228"/>
      <c r="EZ46" s="228"/>
      <c r="FA46" s="228"/>
      <c r="FB46" s="228"/>
      <c r="FC46" s="228"/>
      <c r="FD46" s="228"/>
      <c r="FE46" s="228"/>
      <c r="FF46" s="228"/>
      <c r="FG46" s="228"/>
      <c r="FH46" s="228"/>
      <c r="FI46" s="228"/>
      <c r="FJ46" s="228"/>
      <c r="FK46" s="228"/>
      <c r="FL46" s="228"/>
      <c r="FM46" s="228"/>
      <c r="FN46" s="228"/>
      <c r="FO46" s="228"/>
      <c r="FP46" s="228"/>
      <c r="FQ46" s="228"/>
      <c r="FR46" s="228"/>
      <c r="FS46" s="228"/>
      <c r="FT46" s="228"/>
      <c r="FU46" s="228"/>
      <c r="FV46" s="228"/>
      <c r="FW46" s="228"/>
      <c r="FX46" s="228"/>
      <c r="FY46" s="228"/>
      <c r="FZ46" s="228"/>
      <c r="GA46" s="228"/>
      <c r="GB46" s="228"/>
      <c r="GC46" s="228"/>
      <c r="GD46" s="228"/>
      <c r="GE46" s="228"/>
      <c r="GF46" s="228"/>
      <c r="GG46" s="228"/>
      <c r="GH46" s="228"/>
      <c r="GI46" s="228"/>
      <c r="GJ46" s="228"/>
      <c r="GK46" s="228"/>
      <c r="GL46" s="228"/>
      <c r="GM46" s="228"/>
      <c r="GN46" s="228"/>
      <c r="GO46" s="228"/>
      <c r="GP46" s="228"/>
      <c r="GQ46" s="228"/>
      <c r="GR46" s="228"/>
      <c r="GS46" s="228"/>
      <c r="GT46" s="228"/>
      <c r="GU46" s="228"/>
      <c r="GV46" s="228"/>
      <c r="GW46" s="228"/>
      <c r="GX46" s="228"/>
      <c r="GY46" s="228"/>
      <c r="GZ46" s="228"/>
      <c r="HA46" s="228"/>
      <c r="HB46" s="228"/>
      <c r="HC46" s="228"/>
      <c r="HD46" s="228"/>
      <c r="HE46" s="228"/>
      <c r="HF46" s="228"/>
      <c r="HG46" s="228"/>
      <c r="HH46" s="228"/>
      <c r="HI46" s="228"/>
      <c r="HJ46" s="228"/>
      <c r="HK46" s="228"/>
      <c r="HL46" s="228"/>
      <c r="HM46" s="228"/>
      <c r="HN46" s="228"/>
      <c r="HO46" s="228"/>
      <c r="HP46" s="228"/>
      <c r="HQ46" s="228"/>
      <c r="HR46" s="228"/>
      <c r="HS46" s="228"/>
      <c r="HT46" s="228"/>
      <c r="HU46" s="228"/>
      <c r="HV46" s="228"/>
      <c r="HW46" s="228"/>
      <c r="HX46" s="228"/>
      <c r="HY46" s="228"/>
      <c r="HZ46" s="228"/>
      <c r="IA46" s="228"/>
      <c r="IB46" s="228"/>
      <c r="IC46" s="228"/>
      <c r="ID46" s="228"/>
      <c r="IE46" s="228"/>
      <c r="IF46" s="228"/>
      <c r="IG46" s="228"/>
      <c r="IH46" s="228"/>
      <c r="II46" s="228"/>
      <c r="IJ46" s="228"/>
      <c r="IK46" s="228"/>
      <c r="IL46" s="228"/>
      <c r="IM46" s="228"/>
      <c r="IN46" s="228"/>
      <c r="IO46" s="228"/>
      <c r="IP46" s="228"/>
      <c r="IQ46" s="228"/>
      <c r="IR46" s="228"/>
      <c r="IS46" s="228"/>
      <c r="IT46" s="228"/>
      <c r="IU46" s="228"/>
      <c r="IV46" s="228"/>
      <c r="IW46" s="228"/>
      <c r="IX46" s="228"/>
      <c r="IY46" s="228"/>
      <c r="IZ46" s="228"/>
      <c r="JA46" s="228"/>
      <c r="JB46" s="228"/>
      <c r="JC46" s="228"/>
      <c r="JD46" s="228"/>
      <c r="JE46" s="228"/>
      <c r="JF46" s="228"/>
      <c r="JG46" s="228"/>
      <c r="JH46" s="228"/>
      <c r="JI46" s="228"/>
      <c r="JJ46" s="228"/>
      <c r="JK46" s="228"/>
      <c r="JL46" s="228"/>
      <c r="JM46" s="228"/>
      <c r="JN46" s="228"/>
      <c r="JO46" s="228"/>
      <c r="JP46" s="228"/>
      <c r="JQ46" s="228"/>
      <c r="JR46" s="228"/>
      <c r="JS46" s="228"/>
      <c r="JT46" s="228"/>
      <c r="JU46" s="228"/>
      <c r="JV46" s="228"/>
      <c r="JW46" s="228"/>
      <c r="JX46" s="228"/>
      <c r="JY46" s="228"/>
      <c r="JZ46" s="228"/>
      <c r="KA46" s="228"/>
      <c r="KB46" s="228"/>
      <c r="KC46" s="228"/>
      <c r="KD46" s="228"/>
      <c r="KE46" s="228"/>
      <c r="KF46" s="228"/>
      <c r="KG46" s="228"/>
      <c r="KH46" s="228"/>
      <c r="KI46" s="228"/>
      <c r="KJ46" s="228"/>
      <c r="KK46" s="228"/>
      <c r="KL46" s="228"/>
      <c r="KM46" s="228"/>
      <c r="KN46" s="228"/>
      <c r="KO46" s="228"/>
      <c r="KP46" s="228"/>
      <c r="KQ46" s="228"/>
      <c r="KR46" s="228"/>
      <c r="KS46" s="228"/>
      <c r="KT46" s="228"/>
      <c r="KU46" s="228"/>
      <c r="KV46" s="228"/>
      <c r="KW46" s="228"/>
      <c r="KX46" s="228"/>
      <c r="KY46" s="228"/>
      <c r="KZ46" s="228"/>
      <c r="LA46" s="228"/>
      <c r="LB46" s="228"/>
      <c r="LC46" s="228"/>
      <c r="LD46" s="228"/>
      <c r="LE46" s="228"/>
      <c r="LF46" s="228"/>
      <c r="LG46" s="228"/>
      <c r="LH46" s="228"/>
      <c r="LI46" s="228"/>
      <c r="LJ46" s="228"/>
      <c r="LK46" s="228"/>
      <c r="LL46" s="228"/>
      <c r="LM46" s="228"/>
      <c r="LN46" s="228"/>
      <c r="LO46" s="228"/>
      <c r="LP46" s="228"/>
      <c r="LQ46" s="228"/>
      <c r="LR46" s="228"/>
      <c r="LS46" s="228"/>
      <c r="LT46" s="228"/>
      <c r="LU46" s="228"/>
      <c r="LV46" s="228"/>
      <c r="LW46" s="228"/>
      <c r="LX46" s="228"/>
      <c r="LY46" s="228"/>
      <c r="LZ46" s="228"/>
      <c r="MA46" s="228"/>
      <c r="MB46" s="228"/>
      <c r="MC46" s="228"/>
      <c r="MD46" s="228"/>
      <c r="ME46" s="228"/>
      <c r="MF46" s="228"/>
      <c r="MG46" s="228"/>
      <c r="MH46" s="228"/>
      <c r="MI46" s="228"/>
      <c r="MJ46" s="228"/>
      <c r="MK46" s="228"/>
      <c r="ML46" s="228"/>
      <c r="MM46" s="228"/>
      <c r="MN46" s="228"/>
      <c r="MO46" s="228"/>
      <c r="MP46" s="228"/>
      <c r="MQ46" s="228"/>
      <c r="MR46" s="228"/>
      <c r="MS46" s="228"/>
      <c r="MT46" s="228"/>
      <c r="MU46" s="228"/>
      <c r="MV46" s="228"/>
      <c r="MW46" s="228"/>
      <c r="MX46" s="228"/>
      <c r="MY46" s="228"/>
      <c r="MZ46" s="228"/>
      <c r="NA46" s="228"/>
      <c r="NB46" s="228"/>
      <c r="NC46" s="228"/>
      <c r="ND46" s="228"/>
      <c r="NE46" s="228"/>
      <c r="NF46" s="228"/>
      <c r="NG46" s="228"/>
      <c r="NH46" s="228"/>
      <c r="NI46" s="228"/>
      <c r="NJ46" s="228"/>
      <c r="NK46" s="228"/>
      <c r="NL46" s="228"/>
      <c r="NM46" s="228"/>
      <c r="NN46" s="228"/>
      <c r="NO46" s="228"/>
      <c r="NP46" s="228"/>
      <c r="NQ46" s="228"/>
      <c r="NR46" s="228"/>
      <c r="NS46" s="228"/>
      <c r="NT46" s="228"/>
      <c r="NU46" s="228"/>
      <c r="NV46" s="228"/>
      <c r="NW46" s="228"/>
      <c r="NX46" s="228"/>
      <c r="NY46" s="228"/>
      <c r="NZ46" s="228"/>
      <c r="OA46" s="228"/>
      <c r="OB46" s="228"/>
      <c r="OC46" s="228"/>
      <c r="OD46" s="228"/>
      <c r="OE46" s="228"/>
      <c r="OF46" s="228"/>
      <c r="OG46" s="228"/>
      <c r="OH46" s="228"/>
      <c r="OI46" s="228"/>
      <c r="OJ46" s="228"/>
      <c r="OK46" s="228"/>
      <c r="OL46" s="228"/>
      <c r="OM46" s="228"/>
      <c r="ON46" s="228"/>
      <c r="OO46" s="228"/>
      <c r="OP46" s="228"/>
      <c r="OQ46" s="228"/>
      <c r="OR46" s="228"/>
      <c r="OS46" s="228"/>
      <c r="OT46" s="228"/>
      <c r="OU46" s="228"/>
      <c r="OV46" s="228"/>
      <c r="OW46" s="228"/>
      <c r="OX46" s="228"/>
      <c r="OY46" s="228"/>
      <c r="OZ46" s="228"/>
      <c r="PA46" s="228"/>
      <c r="PB46" s="228"/>
      <c r="PC46" s="228"/>
      <c r="PD46" s="228"/>
      <c r="PE46" s="228"/>
      <c r="PF46" s="228"/>
      <c r="PG46" s="228"/>
      <c r="PH46" s="228"/>
      <c r="PI46" s="228"/>
      <c r="PJ46" s="228"/>
      <c r="PK46" s="228"/>
      <c r="PL46" s="228"/>
      <c r="PM46" s="228"/>
      <c r="PN46" s="228"/>
      <c r="PO46" s="228"/>
      <c r="PP46" s="228"/>
      <c r="PQ46" s="228"/>
      <c r="PR46" s="228"/>
      <c r="PS46" s="228"/>
      <c r="PT46" s="228"/>
      <c r="PU46" s="228"/>
      <c r="PV46" s="228"/>
      <c r="PW46" s="228"/>
      <c r="PX46" s="228"/>
      <c r="PY46" s="228"/>
      <c r="PZ46" s="228"/>
      <c r="QA46" s="228"/>
      <c r="QB46" s="228"/>
      <c r="QC46" s="228"/>
      <c r="QD46" s="228"/>
      <c r="QE46" s="228"/>
      <c r="QF46" s="228"/>
      <c r="QG46" s="228"/>
      <c r="QH46" s="228"/>
      <c r="QI46" s="228"/>
      <c r="QJ46" s="228"/>
      <c r="QK46" s="228"/>
      <c r="QL46" s="228"/>
      <c r="QM46" s="228"/>
      <c r="QN46" s="228"/>
      <c r="QO46" s="228"/>
      <c r="QP46" s="228"/>
      <c r="QQ46" s="228"/>
      <c r="QR46" s="228"/>
      <c r="QS46" s="228"/>
      <c r="QT46" s="228"/>
      <c r="QU46" s="228"/>
      <c r="QV46" s="228"/>
      <c r="QW46" s="228"/>
      <c r="QX46" s="228"/>
      <c r="QY46" s="228"/>
      <c r="QZ46" s="228"/>
      <c r="RA46" s="228"/>
      <c r="RB46" s="228"/>
      <c r="RC46" s="228"/>
      <c r="RD46" s="228"/>
      <c r="RE46" s="228"/>
      <c r="RF46" s="228"/>
      <c r="RG46" s="228"/>
      <c r="RH46" s="228"/>
      <c r="RI46" s="228"/>
      <c r="RJ46" s="228"/>
      <c r="RK46" s="228"/>
      <c r="RL46" s="228"/>
      <c r="RM46" s="228"/>
      <c r="RN46" s="228"/>
      <c r="RO46" s="228"/>
      <c r="RP46" s="228"/>
      <c r="RQ46" s="228"/>
      <c r="RR46" s="228"/>
      <c r="RS46" s="228"/>
      <c r="RT46" s="228"/>
      <c r="RU46" s="228"/>
      <c r="RV46" s="228"/>
      <c r="RW46" s="228"/>
      <c r="RX46" s="228"/>
      <c r="RY46" s="228"/>
      <c r="RZ46" s="228"/>
      <c r="SA46" s="228"/>
      <c r="SB46" s="228"/>
      <c r="SC46" s="228"/>
      <c r="SD46" s="228"/>
      <c r="SE46" s="228"/>
      <c r="SF46" s="228"/>
      <c r="SG46" s="228"/>
    </row>
    <row r="47" spans="2:501" ht="111.75" customHeight="1">
      <c r="C47" s="227" t="s">
        <v>1936</v>
      </c>
      <c r="D47" s="225" t="s">
        <v>1937</v>
      </c>
      <c r="E47" s="225" t="s">
        <v>1938</v>
      </c>
      <c r="F47" s="225" t="s">
        <v>1939</v>
      </c>
      <c r="G47" s="225" t="s">
        <v>1740</v>
      </c>
      <c r="H47" s="225" t="s">
        <v>1741</v>
      </c>
      <c r="I47" s="226" t="s">
        <v>1940</v>
      </c>
      <c r="J47" s="226" t="s">
        <v>1941</v>
      </c>
      <c r="K47" s="225" t="s">
        <v>1784</v>
      </c>
      <c r="L47" s="225" t="s">
        <v>1760</v>
      </c>
      <c r="M47" s="226" t="s">
        <v>1942</v>
      </c>
      <c r="N47" s="228"/>
      <c r="O47" s="228"/>
      <c r="P47" s="228"/>
      <c r="Q47" s="228"/>
      <c r="R47" s="228"/>
      <c r="S47" s="228"/>
      <c r="T47" s="228"/>
      <c r="U47" s="228"/>
      <c r="V47" s="228"/>
      <c r="W47" s="228"/>
      <c r="X47" s="228"/>
      <c r="Y47" s="228"/>
      <c r="Z47" s="228"/>
      <c r="AA47" s="228"/>
      <c r="AB47" s="228"/>
      <c r="AC47" s="228"/>
      <c r="AD47" s="228"/>
      <c r="AE47" s="228"/>
      <c r="AF47" s="228"/>
      <c r="AG47" s="228"/>
      <c r="AH47" s="228"/>
      <c r="AI47" s="228"/>
      <c r="AJ47" s="228"/>
      <c r="AK47" s="228"/>
      <c r="AL47" s="228"/>
      <c r="AM47" s="228"/>
      <c r="AN47" s="228"/>
      <c r="AO47" s="228"/>
      <c r="AP47" s="228"/>
      <c r="AQ47" s="228"/>
      <c r="AR47" s="228"/>
      <c r="AS47" s="228"/>
      <c r="AT47" s="228"/>
      <c r="AU47" s="228"/>
      <c r="AV47" s="228"/>
      <c r="AW47" s="228"/>
      <c r="AX47" s="228"/>
      <c r="AY47" s="228"/>
      <c r="AZ47" s="228"/>
      <c r="BA47" s="228"/>
      <c r="BB47" s="228"/>
      <c r="BC47" s="228"/>
      <c r="BD47" s="228"/>
      <c r="BE47" s="228"/>
      <c r="BF47" s="228"/>
      <c r="BG47" s="228"/>
      <c r="BH47" s="228"/>
      <c r="BI47" s="228"/>
      <c r="BJ47" s="228"/>
      <c r="BK47" s="228"/>
      <c r="BL47" s="228"/>
      <c r="BM47" s="228"/>
      <c r="BN47" s="228"/>
      <c r="BO47" s="228"/>
      <c r="BP47" s="228"/>
      <c r="BQ47" s="228"/>
      <c r="BR47" s="228"/>
      <c r="BS47" s="228"/>
      <c r="BT47" s="228"/>
      <c r="BU47" s="228"/>
      <c r="BV47" s="228"/>
      <c r="BW47" s="228"/>
      <c r="BX47" s="228"/>
      <c r="BY47" s="228"/>
      <c r="BZ47" s="228"/>
      <c r="CA47" s="228"/>
      <c r="CB47" s="228"/>
      <c r="CC47" s="228"/>
      <c r="CD47" s="228"/>
      <c r="CE47" s="228"/>
      <c r="CF47" s="228"/>
      <c r="CG47" s="228"/>
      <c r="CH47" s="228"/>
      <c r="CI47" s="228"/>
      <c r="CJ47" s="228"/>
      <c r="CK47" s="228"/>
      <c r="CL47" s="228"/>
      <c r="CM47" s="228"/>
      <c r="CN47" s="228"/>
      <c r="CO47" s="228"/>
      <c r="CP47" s="228"/>
      <c r="CQ47" s="228"/>
      <c r="CR47" s="228"/>
      <c r="CS47" s="228"/>
      <c r="CT47" s="228"/>
      <c r="CU47" s="228"/>
      <c r="CV47" s="228"/>
      <c r="CW47" s="228"/>
      <c r="CX47" s="228"/>
      <c r="CY47" s="228"/>
      <c r="CZ47" s="228"/>
      <c r="DA47" s="228"/>
      <c r="DB47" s="228"/>
      <c r="DC47" s="228"/>
      <c r="DD47" s="228"/>
      <c r="DE47" s="228"/>
      <c r="DF47" s="228"/>
      <c r="DG47" s="228"/>
      <c r="DH47" s="228"/>
      <c r="DI47" s="228"/>
      <c r="DJ47" s="228"/>
      <c r="DK47" s="228"/>
      <c r="DL47" s="228"/>
      <c r="DM47" s="228"/>
      <c r="DN47" s="228"/>
      <c r="DO47" s="228"/>
      <c r="DP47" s="228"/>
      <c r="DQ47" s="228"/>
      <c r="DR47" s="228"/>
      <c r="DS47" s="228"/>
      <c r="DT47" s="228"/>
      <c r="DU47" s="228"/>
      <c r="DV47" s="228"/>
      <c r="DW47" s="228"/>
      <c r="DX47" s="228"/>
      <c r="DY47" s="228"/>
      <c r="DZ47" s="228"/>
      <c r="EA47" s="228"/>
      <c r="EB47" s="228"/>
      <c r="EC47" s="228"/>
      <c r="ED47" s="228"/>
      <c r="EE47" s="228"/>
      <c r="EF47" s="228"/>
      <c r="EG47" s="228"/>
      <c r="EH47" s="228"/>
      <c r="EI47" s="228"/>
      <c r="EJ47" s="228"/>
      <c r="EK47" s="228"/>
      <c r="EL47" s="228"/>
      <c r="EM47" s="228"/>
      <c r="EN47" s="228"/>
      <c r="EO47" s="228"/>
      <c r="EP47" s="228"/>
      <c r="EQ47" s="228"/>
      <c r="ER47" s="228"/>
      <c r="ES47" s="228"/>
      <c r="ET47" s="228"/>
      <c r="EU47" s="228"/>
      <c r="EV47" s="228"/>
      <c r="EW47" s="228"/>
      <c r="EX47" s="228"/>
      <c r="EY47" s="228"/>
      <c r="EZ47" s="228"/>
      <c r="FA47" s="228"/>
      <c r="FB47" s="228"/>
      <c r="FC47" s="228"/>
      <c r="FD47" s="228"/>
      <c r="FE47" s="228"/>
      <c r="FF47" s="228"/>
      <c r="FG47" s="228"/>
      <c r="FH47" s="228"/>
      <c r="FI47" s="228"/>
      <c r="FJ47" s="228"/>
      <c r="FK47" s="228"/>
      <c r="FL47" s="228"/>
      <c r="FM47" s="228"/>
      <c r="FN47" s="228"/>
      <c r="FO47" s="228"/>
      <c r="FP47" s="228"/>
      <c r="FQ47" s="228"/>
      <c r="FR47" s="228"/>
      <c r="FS47" s="228"/>
      <c r="FT47" s="228"/>
      <c r="FU47" s="228"/>
      <c r="FV47" s="228"/>
      <c r="FW47" s="228"/>
      <c r="FX47" s="228"/>
      <c r="FY47" s="228"/>
      <c r="FZ47" s="228"/>
      <c r="GA47" s="228"/>
      <c r="GB47" s="228"/>
      <c r="GC47" s="228"/>
      <c r="GD47" s="228"/>
      <c r="GE47" s="228"/>
      <c r="GF47" s="228"/>
      <c r="GG47" s="228"/>
      <c r="GH47" s="228"/>
      <c r="GI47" s="228"/>
      <c r="GJ47" s="228"/>
      <c r="GK47" s="228"/>
      <c r="GL47" s="228"/>
      <c r="GM47" s="228"/>
      <c r="GN47" s="228"/>
      <c r="GO47" s="228"/>
      <c r="GP47" s="228"/>
      <c r="GQ47" s="228"/>
      <c r="GR47" s="228"/>
      <c r="GS47" s="228"/>
      <c r="GT47" s="228"/>
      <c r="GU47" s="228"/>
      <c r="GV47" s="228"/>
      <c r="GW47" s="228"/>
      <c r="GX47" s="228"/>
      <c r="GY47" s="228"/>
      <c r="GZ47" s="228"/>
      <c r="HA47" s="228"/>
      <c r="HB47" s="228"/>
      <c r="HC47" s="228"/>
      <c r="HD47" s="228"/>
      <c r="HE47" s="228"/>
      <c r="HF47" s="228"/>
      <c r="HG47" s="228"/>
      <c r="HH47" s="228"/>
      <c r="HI47" s="228"/>
      <c r="HJ47" s="228"/>
      <c r="HK47" s="228"/>
      <c r="HL47" s="228"/>
      <c r="HM47" s="228"/>
      <c r="HN47" s="228"/>
      <c r="HO47" s="228"/>
      <c r="HP47" s="228"/>
      <c r="HQ47" s="228"/>
      <c r="HR47" s="228"/>
      <c r="HS47" s="228"/>
      <c r="HT47" s="228"/>
      <c r="HU47" s="228"/>
      <c r="HV47" s="228"/>
      <c r="HW47" s="228"/>
      <c r="HX47" s="228"/>
      <c r="HY47" s="228"/>
      <c r="HZ47" s="228"/>
      <c r="IA47" s="228"/>
      <c r="IB47" s="228"/>
      <c r="IC47" s="228"/>
      <c r="ID47" s="228"/>
      <c r="IE47" s="228"/>
      <c r="IF47" s="228"/>
      <c r="IG47" s="228"/>
      <c r="IH47" s="228"/>
      <c r="II47" s="228"/>
      <c r="IJ47" s="228"/>
      <c r="IK47" s="228"/>
      <c r="IL47" s="228"/>
      <c r="IM47" s="228"/>
      <c r="IN47" s="228"/>
      <c r="IO47" s="228"/>
      <c r="IP47" s="228"/>
      <c r="IQ47" s="228"/>
      <c r="IR47" s="228"/>
      <c r="IS47" s="228"/>
      <c r="IT47" s="228"/>
      <c r="IU47" s="228"/>
      <c r="IV47" s="228"/>
      <c r="IW47" s="228"/>
      <c r="IX47" s="228"/>
      <c r="IY47" s="228"/>
      <c r="IZ47" s="228"/>
      <c r="JA47" s="228"/>
      <c r="JB47" s="228"/>
      <c r="JC47" s="228"/>
      <c r="JD47" s="228"/>
      <c r="JE47" s="228"/>
      <c r="JF47" s="228"/>
      <c r="JG47" s="228"/>
      <c r="JH47" s="228"/>
      <c r="JI47" s="228"/>
      <c r="JJ47" s="228"/>
      <c r="JK47" s="228"/>
      <c r="JL47" s="228"/>
      <c r="JM47" s="228"/>
      <c r="JN47" s="228"/>
      <c r="JO47" s="228"/>
      <c r="JP47" s="228"/>
      <c r="JQ47" s="228"/>
      <c r="JR47" s="228"/>
      <c r="JS47" s="228"/>
      <c r="JT47" s="228"/>
      <c r="JU47" s="228"/>
      <c r="JV47" s="228"/>
      <c r="JW47" s="228"/>
      <c r="JX47" s="228"/>
      <c r="JY47" s="228"/>
      <c r="JZ47" s="228"/>
      <c r="KA47" s="228"/>
      <c r="KB47" s="228"/>
      <c r="KC47" s="228"/>
      <c r="KD47" s="228"/>
      <c r="KE47" s="228"/>
      <c r="KF47" s="228"/>
      <c r="KG47" s="228"/>
      <c r="KH47" s="228"/>
      <c r="KI47" s="228"/>
      <c r="KJ47" s="228"/>
      <c r="KK47" s="228"/>
      <c r="KL47" s="228"/>
      <c r="KM47" s="228"/>
      <c r="KN47" s="228"/>
      <c r="KO47" s="228"/>
      <c r="KP47" s="228"/>
      <c r="KQ47" s="228"/>
      <c r="KR47" s="228"/>
      <c r="KS47" s="228"/>
      <c r="KT47" s="228"/>
      <c r="KU47" s="228"/>
      <c r="KV47" s="228"/>
      <c r="KW47" s="228"/>
      <c r="KX47" s="228"/>
      <c r="KY47" s="228"/>
      <c r="KZ47" s="228"/>
      <c r="LA47" s="228"/>
      <c r="LB47" s="228"/>
      <c r="LC47" s="228"/>
      <c r="LD47" s="228"/>
      <c r="LE47" s="228"/>
      <c r="LF47" s="228"/>
      <c r="LG47" s="228"/>
      <c r="LH47" s="228"/>
      <c r="LI47" s="228"/>
      <c r="LJ47" s="228"/>
      <c r="LK47" s="228"/>
      <c r="LL47" s="228"/>
      <c r="LM47" s="228"/>
      <c r="LN47" s="228"/>
      <c r="LO47" s="228"/>
      <c r="LP47" s="228"/>
      <c r="LQ47" s="228"/>
      <c r="LR47" s="228"/>
      <c r="LS47" s="228"/>
      <c r="LT47" s="228"/>
      <c r="LU47" s="228"/>
      <c r="LV47" s="228"/>
      <c r="LW47" s="228"/>
      <c r="LX47" s="228"/>
      <c r="LY47" s="228"/>
      <c r="LZ47" s="228"/>
      <c r="MA47" s="228"/>
      <c r="MB47" s="228"/>
      <c r="MC47" s="228"/>
      <c r="MD47" s="228"/>
      <c r="ME47" s="228"/>
      <c r="MF47" s="228"/>
      <c r="MG47" s="228"/>
      <c r="MH47" s="228"/>
      <c r="MI47" s="228"/>
      <c r="MJ47" s="228"/>
      <c r="MK47" s="228"/>
      <c r="ML47" s="228"/>
      <c r="MM47" s="228"/>
      <c r="MN47" s="228"/>
      <c r="MO47" s="228"/>
      <c r="MP47" s="228"/>
      <c r="MQ47" s="228"/>
      <c r="MR47" s="228"/>
      <c r="MS47" s="228"/>
      <c r="MT47" s="228"/>
      <c r="MU47" s="228"/>
      <c r="MV47" s="228"/>
      <c r="MW47" s="228"/>
      <c r="MX47" s="228"/>
      <c r="MY47" s="228"/>
      <c r="MZ47" s="228"/>
      <c r="NA47" s="228"/>
      <c r="NB47" s="228"/>
      <c r="NC47" s="228"/>
      <c r="ND47" s="228"/>
      <c r="NE47" s="228"/>
      <c r="NF47" s="228"/>
      <c r="NG47" s="228"/>
      <c r="NH47" s="228"/>
      <c r="NI47" s="228"/>
      <c r="NJ47" s="228"/>
      <c r="NK47" s="228"/>
      <c r="NL47" s="228"/>
      <c r="NM47" s="228"/>
      <c r="NN47" s="228"/>
      <c r="NO47" s="228"/>
      <c r="NP47" s="228"/>
      <c r="NQ47" s="228"/>
      <c r="NR47" s="228"/>
      <c r="NS47" s="228"/>
      <c r="NT47" s="228"/>
      <c r="NU47" s="228"/>
      <c r="NV47" s="228"/>
      <c r="NW47" s="228"/>
      <c r="NX47" s="228"/>
      <c r="NY47" s="228"/>
      <c r="NZ47" s="228"/>
      <c r="OA47" s="228"/>
      <c r="OB47" s="228"/>
      <c r="OC47" s="228"/>
      <c r="OD47" s="228"/>
      <c r="OE47" s="228"/>
      <c r="OF47" s="228"/>
      <c r="OG47" s="228"/>
      <c r="OH47" s="228"/>
      <c r="OI47" s="228"/>
      <c r="OJ47" s="228"/>
      <c r="OK47" s="228"/>
      <c r="OL47" s="228"/>
      <c r="OM47" s="228"/>
      <c r="ON47" s="228"/>
      <c r="OO47" s="228"/>
      <c r="OP47" s="228"/>
      <c r="OQ47" s="228"/>
      <c r="OR47" s="228"/>
      <c r="OS47" s="228"/>
      <c r="OT47" s="228"/>
      <c r="OU47" s="228"/>
      <c r="OV47" s="228"/>
      <c r="OW47" s="228"/>
      <c r="OX47" s="228"/>
      <c r="OY47" s="228"/>
      <c r="OZ47" s="228"/>
      <c r="PA47" s="228"/>
      <c r="PB47" s="228"/>
      <c r="PC47" s="228"/>
      <c r="PD47" s="228"/>
      <c r="PE47" s="228"/>
      <c r="PF47" s="228"/>
      <c r="PG47" s="228"/>
      <c r="PH47" s="228"/>
      <c r="PI47" s="228"/>
      <c r="PJ47" s="228"/>
      <c r="PK47" s="228"/>
      <c r="PL47" s="228"/>
      <c r="PM47" s="228"/>
      <c r="PN47" s="228"/>
      <c r="PO47" s="228"/>
      <c r="PP47" s="228"/>
      <c r="PQ47" s="228"/>
      <c r="PR47" s="228"/>
      <c r="PS47" s="228"/>
      <c r="PT47" s="228"/>
      <c r="PU47" s="228"/>
      <c r="PV47" s="228"/>
      <c r="PW47" s="228"/>
      <c r="PX47" s="228"/>
      <c r="PY47" s="228"/>
      <c r="PZ47" s="228"/>
      <c r="QA47" s="228"/>
      <c r="QB47" s="228"/>
      <c r="QC47" s="228"/>
      <c r="QD47" s="228"/>
      <c r="QE47" s="228"/>
      <c r="QF47" s="228"/>
      <c r="QG47" s="228"/>
      <c r="QH47" s="228"/>
      <c r="QI47" s="228"/>
      <c r="QJ47" s="228"/>
      <c r="QK47" s="228"/>
      <c r="QL47" s="228"/>
      <c r="QM47" s="228"/>
      <c r="QN47" s="228"/>
      <c r="QO47" s="228"/>
      <c r="QP47" s="228"/>
      <c r="QQ47" s="228"/>
      <c r="QR47" s="228"/>
      <c r="QS47" s="228"/>
      <c r="QT47" s="228"/>
      <c r="QU47" s="228"/>
      <c r="QV47" s="228"/>
      <c r="QW47" s="228"/>
      <c r="QX47" s="228"/>
      <c r="QY47" s="228"/>
      <c r="QZ47" s="228"/>
      <c r="RA47" s="228"/>
      <c r="RB47" s="228"/>
      <c r="RC47" s="228"/>
      <c r="RD47" s="228"/>
      <c r="RE47" s="228"/>
      <c r="RF47" s="228"/>
      <c r="RG47" s="228"/>
      <c r="RH47" s="228"/>
      <c r="RI47" s="228"/>
      <c r="RJ47" s="228"/>
      <c r="RK47" s="228"/>
      <c r="RL47" s="228"/>
      <c r="RM47" s="228"/>
      <c r="RN47" s="228"/>
      <c r="RO47" s="228"/>
      <c r="RP47" s="228"/>
      <c r="RQ47" s="228"/>
      <c r="RR47" s="228"/>
      <c r="RS47" s="228"/>
      <c r="RT47" s="228"/>
      <c r="RU47" s="228"/>
      <c r="RV47" s="228"/>
      <c r="RW47" s="228"/>
      <c r="RX47" s="228"/>
      <c r="RY47" s="228"/>
      <c r="RZ47" s="228"/>
      <c r="SA47" s="228"/>
      <c r="SB47" s="228"/>
      <c r="SC47" s="228"/>
      <c r="SD47" s="228"/>
      <c r="SE47" s="228"/>
      <c r="SF47" s="228"/>
      <c r="SG47" s="228"/>
    </row>
    <row r="48" spans="2:501" ht="14.25" customHeight="1"/>
    <row r="49" spans="2:501" ht="14.25" customHeight="1">
      <c r="B49" s="222" t="s">
        <v>1943</v>
      </c>
      <c r="C49" s="222"/>
      <c r="D49" s="197"/>
      <c r="E49" s="198"/>
    </row>
    <row r="50" spans="2:501" ht="14.25" customHeight="1">
      <c r="C50" s="223" t="s">
        <v>1111</v>
      </c>
      <c r="D50" s="223" t="s">
        <v>93</v>
      </c>
      <c r="E50" s="223" t="s">
        <v>1727</v>
      </c>
      <c r="F50" s="223" t="s">
        <v>1728</v>
      </c>
      <c r="G50" s="223" t="s">
        <v>1729</v>
      </c>
      <c r="H50" s="223" t="s">
        <v>1730</v>
      </c>
      <c r="I50" s="223" t="s">
        <v>1731</v>
      </c>
      <c r="J50" s="223" t="s">
        <v>1732</v>
      </c>
      <c r="K50" s="223" t="s">
        <v>1733</v>
      </c>
      <c r="L50" s="223" t="s">
        <v>1734</v>
      </c>
      <c r="M50" s="223" t="s">
        <v>1735</v>
      </c>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8"/>
      <c r="AX50" s="228"/>
      <c r="AY50" s="228"/>
      <c r="AZ50" s="228"/>
      <c r="BA50" s="228"/>
      <c r="BB50" s="228"/>
      <c r="BC50" s="228"/>
      <c r="BD50" s="228"/>
      <c r="BE50" s="228"/>
      <c r="BF50" s="228"/>
      <c r="BG50" s="228"/>
      <c r="BH50" s="228"/>
      <c r="BI50" s="228"/>
      <c r="BJ50" s="228"/>
      <c r="BK50" s="228"/>
      <c r="BL50" s="228"/>
      <c r="BM50" s="228"/>
      <c r="BN50" s="228"/>
      <c r="BO50" s="228"/>
      <c r="BP50" s="228"/>
      <c r="BQ50" s="228"/>
      <c r="BR50" s="228"/>
      <c r="BS50" s="228"/>
      <c r="BT50" s="228"/>
      <c r="BU50" s="228"/>
      <c r="BV50" s="228"/>
      <c r="BW50" s="228"/>
      <c r="BX50" s="228"/>
      <c r="BY50" s="228"/>
      <c r="BZ50" s="228"/>
      <c r="CA50" s="228"/>
      <c r="CB50" s="228"/>
      <c r="CC50" s="228"/>
      <c r="CD50" s="228"/>
      <c r="CE50" s="228"/>
      <c r="CF50" s="228"/>
      <c r="CG50" s="228"/>
      <c r="CH50" s="228"/>
      <c r="CI50" s="228"/>
      <c r="CJ50" s="228"/>
      <c r="CK50" s="228"/>
      <c r="CL50" s="228"/>
      <c r="CM50" s="228"/>
      <c r="CN50" s="228"/>
      <c r="CO50" s="228"/>
      <c r="CP50" s="228"/>
      <c r="CQ50" s="228"/>
      <c r="CR50" s="228"/>
      <c r="CS50" s="228"/>
      <c r="CT50" s="228"/>
      <c r="CU50" s="228"/>
      <c r="CV50" s="228"/>
      <c r="CW50" s="228"/>
      <c r="CX50" s="228"/>
      <c r="CY50" s="228"/>
      <c r="CZ50" s="228"/>
      <c r="DA50" s="228"/>
      <c r="DB50" s="228"/>
      <c r="DC50" s="228"/>
      <c r="DD50" s="228"/>
      <c r="DE50" s="228"/>
      <c r="DF50" s="228"/>
      <c r="DG50" s="228"/>
      <c r="DH50" s="228"/>
      <c r="DI50" s="228"/>
      <c r="DJ50" s="228"/>
      <c r="DK50" s="228"/>
      <c r="DL50" s="228"/>
      <c r="DM50" s="228"/>
      <c r="DN50" s="228"/>
      <c r="DO50" s="228"/>
      <c r="DP50" s="228"/>
      <c r="DQ50" s="228"/>
      <c r="DR50" s="228"/>
      <c r="DS50" s="228"/>
      <c r="DT50" s="228"/>
      <c r="DU50" s="228"/>
      <c r="DV50" s="228"/>
      <c r="DW50" s="228"/>
      <c r="DX50" s="228"/>
      <c r="DY50" s="228"/>
      <c r="DZ50" s="228"/>
      <c r="EA50" s="228"/>
      <c r="EB50" s="228"/>
      <c r="EC50" s="228"/>
      <c r="ED50" s="228"/>
      <c r="EE50" s="228"/>
      <c r="EF50" s="228"/>
      <c r="EG50" s="228"/>
      <c r="EH50" s="228"/>
      <c r="EI50" s="228"/>
      <c r="EJ50" s="228"/>
      <c r="EK50" s="228"/>
      <c r="EL50" s="228"/>
      <c r="EM50" s="228"/>
      <c r="EN50" s="228"/>
      <c r="EO50" s="228"/>
      <c r="EP50" s="228"/>
      <c r="EQ50" s="228"/>
      <c r="ER50" s="228"/>
      <c r="ES50" s="228"/>
      <c r="ET50" s="228"/>
      <c r="EU50" s="228"/>
      <c r="EV50" s="228"/>
      <c r="EW50" s="228"/>
      <c r="EX50" s="228"/>
      <c r="EY50" s="228"/>
      <c r="EZ50" s="228"/>
      <c r="FA50" s="228"/>
      <c r="FB50" s="228"/>
      <c r="FC50" s="228"/>
      <c r="FD50" s="228"/>
      <c r="FE50" s="228"/>
      <c r="FF50" s="228"/>
      <c r="FG50" s="228"/>
      <c r="FH50" s="228"/>
      <c r="FI50" s="228"/>
      <c r="FJ50" s="228"/>
      <c r="FK50" s="228"/>
      <c r="FL50" s="228"/>
      <c r="FM50" s="228"/>
      <c r="FN50" s="228"/>
      <c r="FO50" s="228"/>
      <c r="FP50" s="228"/>
      <c r="FQ50" s="228"/>
      <c r="FR50" s="228"/>
      <c r="FS50" s="228"/>
      <c r="FT50" s="228"/>
      <c r="FU50" s="228"/>
      <c r="FV50" s="228"/>
      <c r="FW50" s="228"/>
      <c r="FX50" s="228"/>
      <c r="FY50" s="228"/>
      <c r="FZ50" s="228"/>
      <c r="GA50" s="228"/>
      <c r="GB50" s="228"/>
      <c r="GC50" s="228"/>
      <c r="GD50" s="228"/>
      <c r="GE50" s="228"/>
      <c r="GF50" s="228"/>
      <c r="GG50" s="228"/>
      <c r="GH50" s="228"/>
      <c r="GI50" s="228"/>
      <c r="GJ50" s="228"/>
      <c r="GK50" s="228"/>
      <c r="GL50" s="228"/>
      <c r="GM50" s="228"/>
      <c r="GN50" s="228"/>
      <c r="GO50" s="228"/>
      <c r="GP50" s="228"/>
      <c r="GQ50" s="228"/>
      <c r="GR50" s="228"/>
      <c r="GS50" s="228"/>
      <c r="GT50" s="228"/>
      <c r="GU50" s="228"/>
      <c r="GV50" s="228"/>
      <c r="GW50" s="228"/>
      <c r="GX50" s="228"/>
      <c r="GY50" s="228"/>
      <c r="GZ50" s="228"/>
      <c r="HA50" s="228"/>
      <c r="HB50" s="228"/>
      <c r="HC50" s="228"/>
      <c r="HD50" s="228"/>
      <c r="HE50" s="228"/>
      <c r="HF50" s="228"/>
      <c r="HG50" s="228"/>
      <c r="HH50" s="228"/>
      <c r="HI50" s="228"/>
      <c r="HJ50" s="228"/>
      <c r="HK50" s="228"/>
      <c r="HL50" s="228"/>
      <c r="HM50" s="228"/>
      <c r="HN50" s="228"/>
      <c r="HO50" s="228"/>
      <c r="HP50" s="228"/>
      <c r="HQ50" s="228"/>
      <c r="HR50" s="228"/>
      <c r="HS50" s="228"/>
      <c r="HT50" s="228"/>
      <c r="HU50" s="228"/>
      <c r="HV50" s="228"/>
      <c r="HW50" s="228"/>
      <c r="HX50" s="228"/>
      <c r="HY50" s="228"/>
      <c r="HZ50" s="228"/>
      <c r="IA50" s="228"/>
      <c r="IB50" s="228"/>
      <c r="IC50" s="228"/>
      <c r="ID50" s="228"/>
      <c r="IE50" s="228"/>
      <c r="IF50" s="228"/>
      <c r="IG50" s="228"/>
      <c r="IH50" s="228"/>
      <c r="II50" s="228"/>
      <c r="IJ50" s="228"/>
      <c r="IK50" s="228"/>
      <c r="IL50" s="228"/>
      <c r="IM50" s="228"/>
      <c r="IN50" s="228"/>
      <c r="IO50" s="228"/>
      <c r="IP50" s="228"/>
      <c r="IQ50" s="228"/>
      <c r="IR50" s="228"/>
      <c r="IS50" s="228"/>
      <c r="IT50" s="228"/>
      <c r="IU50" s="228"/>
      <c r="IV50" s="228"/>
      <c r="IW50" s="228"/>
      <c r="IX50" s="228"/>
      <c r="IY50" s="228"/>
      <c r="IZ50" s="228"/>
      <c r="JA50" s="228"/>
      <c r="JB50" s="228"/>
      <c r="JC50" s="228"/>
      <c r="JD50" s="228"/>
      <c r="JE50" s="228"/>
      <c r="JF50" s="228"/>
      <c r="JG50" s="228"/>
      <c r="JH50" s="228"/>
      <c r="JI50" s="228"/>
      <c r="JJ50" s="228"/>
      <c r="JK50" s="228"/>
      <c r="JL50" s="228"/>
      <c r="JM50" s="228"/>
      <c r="JN50" s="228"/>
      <c r="JO50" s="228"/>
      <c r="JP50" s="228"/>
      <c r="JQ50" s="228"/>
      <c r="JR50" s="228"/>
      <c r="JS50" s="228"/>
      <c r="JT50" s="228"/>
      <c r="JU50" s="228"/>
      <c r="JV50" s="228"/>
      <c r="JW50" s="228"/>
      <c r="JX50" s="228"/>
      <c r="JY50" s="228"/>
      <c r="JZ50" s="228"/>
      <c r="KA50" s="228"/>
      <c r="KB50" s="228"/>
      <c r="KC50" s="228"/>
      <c r="KD50" s="228"/>
      <c r="KE50" s="228"/>
      <c r="KF50" s="228"/>
      <c r="KG50" s="228"/>
      <c r="KH50" s="228"/>
      <c r="KI50" s="228"/>
      <c r="KJ50" s="228"/>
      <c r="KK50" s="228"/>
      <c r="KL50" s="228"/>
      <c r="KM50" s="228"/>
      <c r="KN50" s="228"/>
      <c r="KO50" s="228"/>
      <c r="KP50" s="228"/>
      <c r="KQ50" s="228"/>
      <c r="KR50" s="228"/>
      <c r="KS50" s="228"/>
      <c r="KT50" s="228"/>
      <c r="KU50" s="228"/>
      <c r="KV50" s="228"/>
      <c r="KW50" s="228"/>
      <c r="KX50" s="228"/>
      <c r="KY50" s="228"/>
      <c r="KZ50" s="228"/>
      <c r="LA50" s="228"/>
      <c r="LB50" s="228"/>
      <c r="LC50" s="228"/>
      <c r="LD50" s="228"/>
      <c r="LE50" s="228"/>
      <c r="LF50" s="228"/>
      <c r="LG50" s="228"/>
      <c r="LH50" s="228"/>
      <c r="LI50" s="228"/>
      <c r="LJ50" s="228"/>
      <c r="LK50" s="228"/>
      <c r="LL50" s="228"/>
      <c r="LM50" s="228"/>
      <c r="LN50" s="228"/>
      <c r="LO50" s="228"/>
      <c r="LP50" s="228"/>
      <c r="LQ50" s="228"/>
      <c r="LR50" s="228"/>
      <c r="LS50" s="228"/>
      <c r="LT50" s="228"/>
      <c r="LU50" s="228"/>
      <c r="LV50" s="228"/>
      <c r="LW50" s="228"/>
      <c r="LX50" s="228"/>
      <c r="LY50" s="228"/>
      <c r="LZ50" s="228"/>
      <c r="MA50" s="228"/>
      <c r="MB50" s="228"/>
      <c r="MC50" s="228"/>
      <c r="MD50" s="228"/>
      <c r="ME50" s="228"/>
      <c r="MF50" s="228"/>
      <c r="MG50" s="228"/>
      <c r="MH50" s="228"/>
      <c r="MI50" s="228"/>
      <c r="MJ50" s="228"/>
      <c r="MK50" s="228"/>
      <c r="ML50" s="228"/>
      <c r="MM50" s="228"/>
      <c r="MN50" s="228"/>
      <c r="MO50" s="228"/>
      <c r="MP50" s="228"/>
      <c r="MQ50" s="228"/>
      <c r="MR50" s="228"/>
      <c r="MS50" s="228"/>
      <c r="MT50" s="228"/>
      <c r="MU50" s="228"/>
      <c r="MV50" s="228"/>
      <c r="MW50" s="228"/>
      <c r="MX50" s="228"/>
      <c r="MY50" s="228"/>
      <c r="MZ50" s="228"/>
      <c r="NA50" s="228"/>
      <c r="NB50" s="228"/>
      <c r="NC50" s="228"/>
      <c r="ND50" s="228"/>
      <c r="NE50" s="228"/>
      <c r="NF50" s="228"/>
      <c r="NG50" s="228"/>
      <c r="NH50" s="228"/>
      <c r="NI50" s="228"/>
      <c r="NJ50" s="228"/>
      <c r="NK50" s="228"/>
      <c r="NL50" s="228"/>
      <c r="NM50" s="228"/>
      <c r="NN50" s="228"/>
      <c r="NO50" s="228"/>
      <c r="NP50" s="228"/>
      <c r="NQ50" s="228"/>
      <c r="NR50" s="228"/>
      <c r="NS50" s="228"/>
      <c r="NT50" s="228"/>
      <c r="NU50" s="228"/>
      <c r="NV50" s="228"/>
      <c r="NW50" s="228"/>
      <c r="NX50" s="228"/>
      <c r="NY50" s="228"/>
      <c r="NZ50" s="228"/>
      <c r="OA50" s="228"/>
      <c r="OB50" s="228"/>
      <c r="OC50" s="228"/>
      <c r="OD50" s="228"/>
      <c r="OE50" s="228"/>
      <c r="OF50" s="228"/>
      <c r="OG50" s="228"/>
      <c r="OH50" s="228"/>
      <c r="OI50" s="228"/>
      <c r="OJ50" s="228"/>
      <c r="OK50" s="228"/>
      <c r="OL50" s="228"/>
      <c r="OM50" s="228"/>
      <c r="ON50" s="228"/>
      <c r="OO50" s="228"/>
      <c r="OP50" s="228"/>
      <c r="OQ50" s="228"/>
      <c r="OR50" s="228"/>
      <c r="OS50" s="228"/>
      <c r="OT50" s="228"/>
      <c r="OU50" s="228"/>
      <c r="OV50" s="228"/>
      <c r="OW50" s="228"/>
      <c r="OX50" s="228"/>
      <c r="OY50" s="228"/>
      <c r="OZ50" s="228"/>
      <c r="PA50" s="228"/>
      <c r="PB50" s="228"/>
      <c r="PC50" s="228"/>
      <c r="PD50" s="228"/>
      <c r="PE50" s="228"/>
      <c r="PF50" s="228"/>
      <c r="PG50" s="228"/>
      <c r="PH50" s="228"/>
      <c r="PI50" s="228"/>
      <c r="PJ50" s="228"/>
      <c r="PK50" s="228"/>
      <c r="PL50" s="228"/>
      <c r="PM50" s="228"/>
      <c r="PN50" s="228"/>
      <c r="PO50" s="228"/>
      <c r="PP50" s="228"/>
      <c r="PQ50" s="228"/>
      <c r="PR50" s="228"/>
      <c r="PS50" s="228"/>
      <c r="PT50" s="228"/>
      <c r="PU50" s="228"/>
      <c r="PV50" s="228"/>
      <c r="PW50" s="228"/>
      <c r="PX50" s="228"/>
      <c r="PY50" s="228"/>
      <c r="PZ50" s="228"/>
      <c r="QA50" s="228"/>
      <c r="QB50" s="228"/>
      <c r="QC50" s="228"/>
      <c r="QD50" s="228"/>
      <c r="QE50" s="228"/>
      <c r="QF50" s="228"/>
      <c r="QG50" s="228"/>
      <c r="QH50" s="228"/>
      <c r="QI50" s="228"/>
      <c r="QJ50" s="228"/>
      <c r="QK50" s="228"/>
      <c r="QL50" s="228"/>
      <c r="QM50" s="228"/>
      <c r="QN50" s="228"/>
      <c r="QO50" s="228"/>
      <c r="QP50" s="228"/>
      <c r="QQ50" s="228"/>
      <c r="QR50" s="228"/>
      <c r="QS50" s="228"/>
      <c r="QT50" s="228"/>
      <c r="QU50" s="228"/>
      <c r="QV50" s="228"/>
      <c r="QW50" s="228"/>
      <c r="QX50" s="228"/>
      <c r="QY50" s="228"/>
      <c r="QZ50" s="228"/>
      <c r="RA50" s="228"/>
      <c r="RB50" s="228"/>
      <c r="RC50" s="228"/>
      <c r="RD50" s="228"/>
      <c r="RE50" s="228"/>
      <c r="RF50" s="228"/>
      <c r="RG50" s="228"/>
      <c r="RH50" s="228"/>
      <c r="RI50" s="228"/>
      <c r="RJ50" s="228"/>
      <c r="RK50" s="228"/>
      <c r="RL50" s="228"/>
      <c r="RM50" s="228"/>
      <c r="RN50" s="228"/>
      <c r="RO50" s="228"/>
      <c r="RP50" s="228"/>
      <c r="RQ50" s="228"/>
      <c r="RR50" s="228"/>
      <c r="RS50" s="228"/>
      <c r="RT50" s="228"/>
      <c r="RU50" s="228"/>
      <c r="RV50" s="228"/>
      <c r="RW50" s="228"/>
      <c r="RX50" s="228"/>
      <c r="RY50" s="228"/>
      <c r="RZ50" s="228"/>
      <c r="SA50" s="228"/>
      <c r="SB50" s="228"/>
      <c r="SC50" s="228"/>
      <c r="SD50" s="228"/>
      <c r="SE50" s="228"/>
      <c r="SF50" s="228"/>
      <c r="SG50" s="228"/>
    </row>
    <row r="51" spans="2:501" ht="97.5" customHeight="1">
      <c r="C51" s="227" t="s">
        <v>1944</v>
      </c>
      <c r="D51" s="225" t="s">
        <v>167</v>
      </c>
      <c r="E51" s="225" t="s">
        <v>1945</v>
      </c>
      <c r="F51" s="225" t="s">
        <v>1946</v>
      </c>
      <c r="G51" s="225" t="s">
        <v>1740</v>
      </c>
      <c r="H51" s="225" t="s">
        <v>1741</v>
      </c>
      <c r="I51" s="226" t="s">
        <v>1947</v>
      </c>
      <c r="J51" s="226" t="s">
        <v>1948</v>
      </c>
      <c r="K51" s="225" t="s">
        <v>1814</v>
      </c>
      <c r="L51" s="225" t="s">
        <v>1745</v>
      </c>
      <c r="M51" s="226" t="s">
        <v>1949</v>
      </c>
      <c r="N51" s="228"/>
      <c r="O51" s="228"/>
      <c r="P51" s="228"/>
      <c r="Q51" s="228"/>
      <c r="R51" s="228"/>
      <c r="S51" s="228"/>
      <c r="T51" s="228"/>
      <c r="U51" s="228"/>
      <c r="V51" s="228"/>
      <c r="W51" s="228"/>
      <c r="X51" s="228"/>
      <c r="Y51" s="228"/>
      <c r="Z51" s="228"/>
      <c r="AA51" s="228"/>
      <c r="AB51" s="228"/>
      <c r="AC51" s="228"/>
      <c r="AD51" s="228"/>
      <c r="AE51" s="228"/>
      <c r="AF51" s="228"/>
      <c r="AG51" s="228"/>
      <c r="AH51" s="228"/>
      <c r="AI51" s="228"/>
      <c r="AJ51" s="228"/>
      <c r="AK51" s="228"/>
      <c r="AL51" s="228"/>
      <c r="AM51" s="228"/>
      <c r="AN51" s="228"/>
      <c r="AO51" s="228"/>
      <c r="AP51" s="228"/>
      <c r="AQ51" s="228"/>
      <c r="AR51" s="228"/>
      <c r="AS51" s="228"/>
      <c r="AT51" s="228"/>
      <c r="AU51" s="228"/>
      <c r="AV51" s="228"/>
      <c r="AW51" s="228"/>
      <c r="AX51" s="228"/>
      <c r="AY51" s="228"/>
      <c r="AZ51" s="228"/>
      <c r="BA51" s="228"/>
      <c r="BB51" s="228"/>
      <c r="BC51" s="228"/>
      <c r="BD51" s="228"/>
      <c r="BE51" s="228"/>
      <c r="BF51" s="228"/>
      <c r="BG51" s="228"/>
      <c r="BH51" s="228"/>
      <c r="BI51" s="228"/>
      <c r="BJ51" s="228"/>
      <c r="BK51" s="228"/>
      <c r="BL51" s="228"/>
      <c r="BM51" s="228"/>
      <c r="BN51" s="228"/>
      <c r="BO51" s="228"/>
      <c r="BP51" s="228"/>
      <c r="BQ51" s="228"/>
      <c r="BR51" s="228"/>
      <c r="BS51" s="228"/>
      <c r="BT51" s="228"/>
      <c r="BU51" s="228"/>
      <c r="BV51" s="228"/>
      <c r="BW51" s="228"/>
      <c r="BX51" s="228"/>
      <c r="BY51" s="228"/>
      <c r="BZ51" s="228"/>
      <c r="CA51" s="228"/>
      <c r="CB51" s="228"/>
      <c r="CC51" s="228"/>
      <c r="CD51" s="228"/>
      <c r="CE51" s="228"/>
      <c r="CF51" s="228"/>
      <c r="CG51" s="228"/>
      <c r="CH51" s="228"/>
      <c r="CI51" s="228"/>
      <c r="CJ51" s="228"/>
      <c r="CK51" s="228"/>
      <c r="CL51" s="228"/>
      <c r="CM51" s="228"/>
      <c r="CN51" s="228"/>
      <c r="CO51" s="228"/>
      <c r="CP51" s="228"/>
      <c r="CQ51" s="228"/>
      <c r="CR51" s="228"/>
      <c r="CS51" s="228"/>
      <c r="CT51" s="228"/>
      <c r="CU51" s="228"/>
      <c r="CV51" s="228"/>
      <c r="CW51" s="228"/>
      <c r="CX51" s="228"/>
      <c r="CY51" s="228"/>
      <c r="CZ51" s="228"/>
      <c r="DA51" s="228"/>
      <c r="DB51" s="228"/>
      <c r="DC51" s="228"/>
      <c r="DD51" s="228"/>
      <c r="DE51" s="228"/>
      <c r="DF51" s="228"/>
      <c r="DG51" s="228"/>
      <c r="DH51" s="228"/>
      <c r="DI51" s="228"/>
      <c r="DJ51" s="228"/>
      <c r="DK51" s="228"/>
      <c r="DL51" s="228"/>
      <c r="DM51" s="228"/>
      <c r="DN51" s="228"/>
      <c r="DO51" s="228"/>
      <c r="DP51" s="228"/>
      <c r="DQ51" s="228"/>
      <c r="DR51" s="228"/>
      <c r="DS51" s="228"/>
      <c r="DT51" s="228"/>
      <c r="DU51" s="228"/>
      <c r="DV51" s="228"/>
      <c r="DW51" s="228"/>
      <c r="DX51" s="228"/>
      <c r="DY51" s="228"/>
      <c r="DZ51" s="228"/>
      <c r="EA51" s="228"/>
      <c r="EB51" s="228"/>
      <c r="EC51" s="228"/>
      <c r="ED51" s="228"/>
      <c r="EE51" s="228"/>
      <c r="EF51" s="228"/>
      <c r="EG51" s="228"/>
      <c r="EH51" s="228"/>
      <c r="EI51" s="228"/>
      <c r="EJ51" s="228"/>
      <c r="EK51" s="228"/>
      <c r="EL51" s="228"/>
      <c r="EM51" s="228"/>
      <c r="EN51" s="228"/>
      <c r="EO51" s="228"/>
      <c r="EP51" s="228"/>
      <c r="EQ51" s="228"/>
      <c r="ER51" s="228"/>
      <c r="ES51" s="228"/>
      <c r="ET51" s="228"/>
      <c r="EU51" s="228"/>
      <c r="EV51" s="228"/>
      <c r="EW51" s="228"/>
      <c r="EX51" s="228"/>
      <c r="EY51" s="228"/>
      <c r="EZ51" s="228"/>
      <c r="FA51" s="228"/>
      <c r="FB51" s="228"/>
      <c r="FC51" s="228"/>
      <c r="FD51" s="228"/>
      <c r="FE51" s="228"/>
      <c r="FF51" s="228"/>
      <c r="FG51" s="228"/>
      <c r="FH51" s="228"/>
      <c r="FI51" s="228"/>
      <c r="FJ51" s="228"/>
      <c r="FK51" s="228"/>
      <c r="FL51" s="228"/>
      <c r="FM51" s="228"/>
      <c r="FN51" s="228"/>
      <c r="FO51" s="228"/>
      <c r="FP51" s="228"/>
      <c r="FQ51" s="228"/>
      <c r="FR51" s="228"/>
      <c r="FS51" s="228"/>
      <c r="FT51" s="228"/>
      <c r="FU51" s="228"/>
      <c r="FV51" s="228"/>
      <c r="FW51" s="228"/>
      <c r="FX51" s="228"/>
      <c r="FY51" s="228"/>
      <c r="FZ51" s="228"/>
      <c r="GA51" s="228"/>
      <c r="GB51" s="228"/>
      <c r="GC51" s="228"/>
      <c r="GD51" s="228"/>
      <c r="GE51" s="228"/>
      <c r="GF51" s="228"/>
      <c r="GG51" s="228"/>
      <c r="GH51" s="228"/>
      <c r="GI51" s="228"/>
      <c r="GJ51" s="228"/>
      <c r="GK51" s="228"/>
      <c r="GL51" s="228"/>
      <c r="GM51" s="228"/>
      <c r="GN51" s="228"/>
      <c r="GO51" s="228"/>
      <c r="GP51" s="228"/>
      <c r="GQ51" s="228"/>
      <c r="GR51" s="228"/>
      <c r="GS51" s="228"/>
      <c r="GT51" s="228"/>
      <c r="GU51" s="228"/>
      <c r="GV51" s="228"/>
      <c r="GW51" s="228"/>
      <c r="GX51" s="228"/>
      <c r="GY51" s="228"/>
      <c r="GZ51" s="228"/>
      <c r="HA51" s="228"/>
      <c r="HB51" s="228"/>
      <c r="HC51" s="228"/>
      <c r="HD51" s="228"/>
      <c r="HE51" s="228"/>
      <c r="HF51" s="228"/>
      <c r="HG51" s="228"/>
      <c r="HH51" s="228"/>
      <c r="HI51" s="228"/>
      <c r="HJ51" s="228"/>
      <c r="HK51" s="228"/>
      <c r="HL51" s="228"/>
      <c r="HM51" s="228"/>
      <c r="HN51" s="228"/>
      <c r="HO51" s="228"/>
      <c r="HP51" s="228"/>
      <c r="HQ51" s="228"/>
      <c r="HR51" s="228"/>
      <c r="HS51" s="228"/>
      <c r="HT51" s="228"/>
      <c r="HU51" s="228"/>
      <c r="HV51" s="228"/>
      <c r="HW51" s="228"/>
      <c r="HX51" s="228"/>
      <c r="HY51" s="228"/>
      <c r="HZ51" s="228"/>
      <c r="IA51" s="228"/>
      <c r="IB51" s="228"/>
      <c r="IC51" s="228"/>
      <c r="ID51" s="228"/>
      <c r="IE51" s="228"/>
      <c r="IF51" s="228"/>
      <c r="IG51" s="228"/>
      <c r="IH51" s="228"/>
      <c r="II51" s="228"/>
      <c r="IJ51" s="228"/>
      <c r="IK51" s="228"/>
      <c r="IL51" s="228"/>
      <c r="IM51" s="228"/>
      <c r="IN51" s="228"/>
      <c r="IO51" s="228"/>
      <c r="IP51" s="228"/>
      <c r="IQ51" s="228"/>
      <c r="IR51" s="228"/>
      <c r="IS51" s="228"/>
      <c r="IT51" s="228"/>
      <c r="IU51" s="228"/>
      <c r="IV51" s="228"/>
      <c r="IW51" s="228"/>
      <c r="IX51" s="228"/>
      <c r="IY51" s="228"/>
      <c r="IZ51" s="228"/>
      <c r="JA51" s="228"/>
      <c r="JB51" s="228"/>
      <c r="JC51" s="228"/>
      <c r="JD51" s="228"/>
      <c r="JE51" s="228"/>
      <c r="JF51" s="228"/>
      <c r="JG51" s="228"/>
      <c r="JH51" s="228"/>
      <c r="JI51" s="228"/>
      <c r="JJ51" s="228"/>
      <c r="JK51" s="228"/>
      <c r="JL51" s="228"/>
      <c r="JM51" s="228"/>
      <c r="JN51" s="228"/>
      <c r="JO51" s="228"/>
      <c r="JP51" s="228"/>
      <c r="JQ51" s="228"/>
      <c r="JR51" s="228"/>
      <c r="JS51" s="228"/>
      <c r="JT51" s="228"/>
      <c r="JU51" s="228"/>
      <c r="JV51" s="228"/>
      <c r="JW51" s="228"/>
      <c r="JX51" s="228"/>
      <c r="JY51" s="228"/>
      <c r="JZ51" s="228"/>
      <c r="KA51" s="228"/>
      <c r="KB51" s="228"/>
      <c r="KC51" s="228"/>
      <c r="KD51" s="228"/>
      <c r="KE51" s="228"/>
      <c r="KF51" s="228"/>
      <c r="KG51" s="228"/>
      <c r="KH51" s="228"/>
      <c r="KI51" s="228"/>
      <c r="KJ51" s="228"/>
      <c r="KK51" s="228"/>
      <c r="KL51" s="228"/>
      <c r="KM51" s="228"/>
      <c r="KN51" s="228"/>
      <c r="KO51" s="228"/>
      <c r="KP51" s="228"/>
      <c r="KQ51" s="228"/>
      <c r="KR51" s="228"/>
      <c r="KS51" s="228"/>
      <c r="KT51" s="228"/>
      <c r="KU51" s="228"/>
      <c r="KV51" s="228"/>
      <c r="KW51" s="228"/>
      <c r="KX51" s="228"/>
      <c r="KY51" s="228"/>
      <c r="KZ51" s="228"/>
      <c r="LA51" s="228"/>
      <c r="LB51" s="228"/>
      <c r="LC51" s="228"/>
      <c r="LD51" s="228"/>
      <c r="LE51" s="228"/>
      <c r="LF51" s="228"/>
      <c r="LG51" s="228"/>
      <c r="LH51" s="228"/>
      <c r="LI51" s="228"/>
      <c r="LJ51" s="228"/>
      <c r="LK51" s="228"/>
      <c r="LL51" s="228"/>
      <c r="LM51" s="228"/>
      <c r="LN51" s="228"/>
      <c r="LO51" s="228"/>
      <c r="LP51" s="228"/>
      <c r="LQ51" s="228"/>
      <c r="LR51" s="228"/>
      <c r="LS51" s="228"/>
      <c r="LT51" s="228"/>
      <c r="LU51" s="228"/>
      <c r="LV51" s="228"/>
      <c r="LW51" s="228"/>
      <c r="LX51" s="228"/>
      <c r="LY51" s="228"/>
      <c r="LZ51" s="228"/>
      <c r="MA51" s="228"/>
      <c r="MB51" s="228"/>
      <c r="MC51" s="228"/>
      <c r="MD51" s="228"/>
      <c r="ME51" s="228"/>
      <c r="MF51" s="228"/>
      <c r="MG51" s="228"/>
      <c r="MH51" s="228"/>
      <c r="MI51" s="228"/>
      <c r="MJ51" s="228"/>
      <c r="MK51" s="228"/>
      <c r="ML51" s="228"/>
      <c r="MM51" s="228"/>
      <c r="MN51" s="228"/>
      <c r="MO51" s="228"/>
      <c r="MP51" s="228"/>
      <c r="MQ51" s="228"/>
      <c r="MR51" s="228"/>
      <c r="MS51" s="228"/>
      <c r="MT51" s="228"/>
      <c r="MU51" s="228"/>
      <c r="MV51" s="228"/>
      <c r="MW51" s="228"/>
      <c r="MX51" s="228"/>
      <c r="MY51" s="228"/>
      <c r="MZ51" s="228"/>
      <c r="NA51" s="228"/>
      <c r="NB51" s="228"/>
      <c r="NC51" s="228"/>
      <c r="ND51" s="228"/>
      <c r="NE51" s="228"/>
      <c r="NF51" s="228"/>
      <c r="NG51" s="228"/>
      <c r="NH51" s="228"/>
      <c r="NI51" s="228"/>
      <c r="NJ51" s="228"/>
      <c r="NK51" s="228"/>
      <c r="NL51" s="228"/>
      <c r="NM51" s="228"/>
      <c r="NN51" s="228"/>
      <c r="NO51" s="228"/>
      <c r="NP51" s="228"/>
      <c r="NQ51" s="228"/>
      <c r="NR51" s="228"/>
      <c r="NS51" s="228"/>
      <c r="NT51" s="228"/>
      <c r="NU51" s="228"/>
      <c r="NV51" s="228"/>
      <c r="NW51" s="228"/>
      <c r="NX51" s="228"/>
      <c r="NY51" s="228"/>
      <c r="NZ51" s="228"/>
      <c r="OA51" s="228"/>
      <c r="OB51" s="228"/>
      <c r="OC51" s="228"/>
      <c r="OD51" s="228"/>
      <c r="OE51" s="228"/>
      <c r="OF51" s="228"/>
      <c r="OG51" s="228"/>
      <c r="OH51" s="228"/>
      <c r="OI51" s="228"/>
      <c r="OJ51" s="228"/>
      <c r="OK51" s="228"/>
      <c r="OL51" s="228"/>
      <c r="OM51" s="228"/>
      <c r="ON51" s="228"/>
      <c r="OO51" s="228"/>
      <c r="OP51" s="228"/>
      <c r="OQ51" s="228"/>
      <c r="OR51" s="228"/>
      <c r="OS51" s="228"/>
      <c r="OT51" s="228"/>
      <c r="OU51" s="228"/>
      <c r="OV51" s="228"/>
      <c r="OW51" s="228"/>
      <c r="OX51" s="228"/>
      <c r="OY51" s="228"/>
      <c r="OZ51" s="228"/>
      <c r="PA51" s="228"/>
      <c r="PB51" s="228"/>
      <c r="PC51" s="228"/>
      <c r="PD51" s="228"/>
      <c r="PE51" s="228"/>
      <c r="PF51" s="228"/>
      <c r="PG51" s="228"/>
      <c r="PH51" s="228"/>
      <c r="PI51" s="228"/>
      <c r="PJ51" s="228"/>
      <c r="PK51" s="228"/>
      <c r="PL51" s="228"/>
      <c r="PM51" s="228"/>
      <c r="PN51" s="228"/>
      <c r="PO51" s="228"/>
      <c r="PP51" s="228"/>
      <c r="PQ51" s="228"/>
      <c r="PR51" s="228"/>
      <c r="PS51" s="228"/>
      <c r="PT51" s="228"/>
      <c r="PU51" s="228"/>
      <c r="PV51" s="228"/>
      <c r="PW51" s="228"/>
      <c r="PX51" s="228"/>
      <c r="PY51" s="228"/>
      <c r="PZ51" s="228"/>
      <c r="QA51" s="228"/>
      <c r="QB51" s="228"/>
      <c r="QC51" s="228"/>
      <c r="QD51" s="228"/>
      <c r="QE51" s="228"/>
      <c r="QF51" s="228"/>
      <c r="QG51" s="228"/>
      <c r="QH51" s="228"/>
      <c r="QI51" s="228"/>
      <c r="QJ51" s="228"/>
      <c r="QK51" s="228"/>
      <c r="QL51" s="228"/>
      <c r="QM51" s="228"/>
      <c r="QN51" s="228"/>
      <c r="QO51" s="228"/>
      <c r="QP51" s="228"/>
      <c r="QQ51" s="228"/>
      <c r="QR51" s="228"/>
      <c r="QS51" s="228"/>
      <c r="QT51" s="228"/>
      <c r="QU51" s="228"/>
      <c r="QV51" s="228"/>
      <c r="QW51" s="228"/>
      <c r="QX51" s="228"/>
      <c r="QY51" s="228"/>
      <c r="QZ51" s="228"/>
      <c r="RA51" s="228"/>
      <c r="RB51" s="228"/>
      <c r="RC51" s="228"/>
      <c r="RD51" s="228"/>
      <c r="RE51" s="228"/>
      <c r="RF51" s="228"/>
      <c r="RG51" s="228"/>
      <c r="RH51" s="228"/>
      <c r="RI51" s="228"/>
      <c r="RJ51" s="228"/>
      <c r="RK51" s="228"/>
      <c r="RL51" s="228"/>
      <c r="RM51" s="228"/>
      <c r="RN51" s="228"/>
      <c r="RO51" s="228"/>
      <c r="RP51" s="228"/>
      <c r="RQ51" s="228"/>
      <c r="RR51" s="228"/>
      <c r="RS51" s="228"/>
      <c r="RT51" s="228"/>
      <c r="RU51" s="228"/>
      <c r="RV51" s="228"/>
      <c r="RW51" s="228"/>
      <c r="RX51" s="228"/>
      <c r="RY51" s="228"/>
      <c r="RZ51" s="228"/>
      <c r="SA51" s="228"/>
      <c r="SB51" s="228"/>
      <c r="SC51" s="228"/>
      <c r="SD51" s="228"/>
      <c r="SE51" s="228"/>
      <c r="SF51" s="228"/>
      <c r="SG51" s="228"/>
    </row>
    <row r="52" spans="2:501" ht="111.75" customHeight="1">
      <c r="C52" s="227" t="s">
        <v>1950</v>
      </c>
      <c r="D52" s="225" t="s">
        <v>1951</v>
      </c>
      <c r="E52" s="225" t="s">
        <v>1952</v>
      </c>
      <c r="F52" s="225" t="s">
        <v>1953</v>
      </c>
      <c r="G52" s="225" t="s">
        <v>1740</v>
      </c>
      <c r="H52" s="225" t="s">
        <v>1741</v>
      </c>
      <c r="I52" s="226" t="s">
        <v>1954</v>
      </c>
      <c r="J52" s="226" t="s">
        <v>1740</v>
      </c>
      <c r="K52" s="225" t="s">
        <v>1814</v>
      </c>
      <c r="L52" s="225" t="s">
        <v>1760</v>
      </c>
      <c r="M52" s="226" t="s">
        <v>1955</v>
      </c>
      <c r="N52" s="228"/>
      <c r="O52" s="228"/>
      <c r="P52" s="228"/>
      <c r="Q52" s="228"/>
      <c r="R52" s="228"/>
      <c r="S52" s="228"/>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8"/>
      <c r="AX52" s="228"/>
      <c r="AY52" s="228"/>
      <c r="AZ52" s="228"/>
      <c r="BA52" s="228"/>
      <c r="BB52" s="228"/>
      <c r="BC52" s="228"/>
      <c r="BD52" s="228"/>
      <c r="BE52" s="228"/>
      <c r="BF52" s="228"/>
      <c r="BG52" s="228"/>
      <c r="BH52" s="228"/>
      <c r="BI52" s="228"/>
      <c r="BJ52" s="228"/>
      <c r="BK52" s="228"/>
      <c r="BL52" s="228"/>
      <c r="BM52" s="228"/>
      <c r="BN52" s="228"/>
      <c r="BO52" s="228"/>
      <c r="BP52" s="228"/>
      <c r="BQ52" s="228"/>
      <c r="BR52" s="228"/>
      <c r="BS52" s="228"/>
      <c r="BT52" s="228"/>
      <c r="BU52" s="228"/>
      <c r="BV52" s="228"/>
      <c r="BW52" s="228"/>
      <c r="BX52" s="228"/>
      <c r="BY52" s="228"/>
      <c r="BZ52" s="228"/>
      <c r="CA52" s="228"/>
      <c r="CB52" s="228"/>
      <c r="CC52" s="228"/>
      <c r="CD52" s="228"/>
      <c r="CE52" s="228"/>
      <c r="CF52" s="228"/>
      <c r="CG52" s="228"/>
      <c r="CH52" s="228"/>
      <c r="CI52" s="228"/>
      <c r="CJ52" s="228"/>
      <c r="CK52" s="228"/>
      <c r="CL52" s="228"/>
      <c r="CM52" s="228"/>
      <c r="CN52" s="228"/>
      <c r="CO52" s="228"/>
      <c r="CP52" s="228"/>
      <c r="CQ52" s="228"/>
      <c r="CR52" s="228"/>
      <c r="CS52" s="228"/>
      <c r="CT52" s="228"/>
      <c r="CU52" s="228"/>
      <c r="CV52" s="228"/>
      <c r="CW52" s="228"/>
      <c r="CX52" s="228"/>
      <c r="CY52" s="228"/>
      <c r="CZ52" s="228"/>
      <c r="DA52" s="228"/>
      <c r="DB52" s="228"/>
      <c r="DC52" s="228"/>
      <c r="DD52" s="228"/>
      <c r="DE52" s="228"/>
      <c r="DF52" s="228"/>
      <c r="DG52" s="228"/>
      <c r="DH52" s="228"/>
      <c r="DI52" s="228"/>
      <c r="DJ52" s="228"/>
      <c r="DK52" s="228"/>
      <c r="DL52" s="228"/>
      <c r="DM52" s="228"/>
      <c r="DN52" s="228"/>
      <c r="DO52" s="228"/>
      <c r="DP52" s="228"/>
      <c r="DQ52" s="228"/>
      <c r="DR52" s="228"/>
      <c r="DS52" s="228"/>
      <c r="DT52" s="228"/>
      <c r="DU52" s="228"/>
      <c r="DV52" s="228"/>
      <c r="DW52" s="228"/>
      <c r="DX52" s="228"/>
      <c r="DY52" s="228"/>
      <c r="DZ52" s="228"/>
      <c r="EA52" s="228"/>
      <c r="EB52" s="228"/>
      <c r="EC52" s="228"/>
      <c r="ED52" s="228"/>
      <c r="EE52" s="228"/>
      <c r="EF52" s="228"/>
      <c r="EG52" s="228"/>
      <c r="EH52" s="228"/>
      <c r="EI52" s="228"/>
      <c r="EJ52" s="228"/>
      <c r="EK52" s="228"/>
      <c r="EL52" s="228"/>
      <c r="EM52" s="228"/>
      <c r="EN52" s="228"/>
      <c r="EO52" s="228"/>
      <c r="EP52" s="228"/>
      <c r="EQ52" s="228"/>
      <c r="ER52" s="228"/>
      <c r="ES52" s="228"/>
      <c r="ET52" s="228"/>
      <c r="EU52" s="228"/>
      <c r="EV52" s="228"/>
      <c r="EW52" s="228"/>
      <c r="EX52" s="228"/>
      <c r="EY52" s="228"/>
      <c r="EZ52" s="228"/>
      <c r="FA52" s="228"/>
      <c r="FB52" s="228"/>
      <c r="FC52" s="228"/>
      <c r="FD52" s="228"/>
      <c r="FE52" s="228"/>
      <c r="FF52" s="228"/>
      <c r="FG52" s="228"/>
      <c r="FH52" s="228"/>
      <c r="FI52" s="228"/>
      <c r="FJ52" s="228"/>
      <c r="FK52" s="228"/>
      <c r="FL52" s="228"/>
      <c r="FM52" s="228"/>
      <c r="FN52" s="228"/>
      <c r="FO52" s="228"/>
      <c r="FP52" s="228"/>
      <c r="FQ52" s="228"/>
      <c r="FR52" s="228"/>
      <c r="FS52" s="228"/>
      <c r="FT52" s="228"/>
      <c r="FU52" s="228"/>
      <c r="FV52" s="228"/>
      <c r="FW52" s="228"/>
      <c r="FX52" s="228"/>
      <c r="FY52" s="228"/>
      <c r="FZ52" s="228"/>
      <c r="GA52" s="228"/>
      <c r="GB52" s="228"/>
      <c r="GC52" s="228"/>
      <c r="GD52" s="228"/>
      <c r="GE52" s="228"/>
      <c r="GF52" s="228"/>
      <c r="GG52" s="228"/>
      <c r="GH52" s="228"/>
      <c r="GI52" s="228"/>
      <c r="GJ52" s="228"/>
      <c r="GK52" s="228"/>
      <c r="GL52" s="228"/>
      <c r="GM52" s="228"/>
      <c r="GN52" s="228"/>
      <c r="GO52" s="228"/>
      <c r="GP52" s="228"/>
      <c r="GQ52" s="228"/>
      <c r="GR52" s="228"/>
      <c r="GS52" s="228"/>
      <c r="GT52" s="228"/>
      <c r="GU52" s="228"/>
      <c r="GV52" s="228"/>
      <c r="GW52" s="228"/>
      <c r="GX52" s="228"/>
      <c r="GY52" s="228"/>
      <c r="GZ52" s="228"/>
      <c r="HA52" s="228"/>
      <c r="HB52" s="228"/>
      <c r="HC52" s="228"/>
      <c r="HD52" s="228"/>
      <c r="HE52" s="228"/>
      <c r="HF52" s="228"/>
      <c r="HG52" s="228"/>
      <c r="HH52" s="228"/>
      <c r="HI52" s="228"/>
      <c r="HJ52" s="228"/>
      <c r="HK52" s="228"/>
      <c r="HL52" s="228"/>
      <c r="HM52" s="228"/>
      <c r="HN52" s="228"/>
      <c r="HO52" s="228"/>
      <c r="HP52" s="228"/>
      <c r="HQ52" s="228"/>
      <c r="HR52" s="228"/>
      <c r="HS52" s="228"/>
      <c r="HT52" s="228"/>
      <c r="HU52" s="228"/>
      <c r="HV52" s="228"/>
      <c r="HW52" s="228"/>
      <c r="HX52" s="228"/>
      <c r="HY52" s="228"/>
      <c r="HZ52" s="228"/>
      <c r="IA52" s="228"/>
      <c r="IB52" s="228"/>
      <c r="IC52" s="228"/>
      <c r="ID52" s="228"/>
      <c r="IE52" s="228"/>
      <c r="IF52" s="228"/>
      <c r="IG52" s="228"/>
      <c r="IH52" s="228"/>
      <c r="II52" s="228"/>
      <c r="IJ52" s="228"/>
      <c r="IK52" s="228"/>
      <c r="IL52" s="228"/>
      <c r="IM52" s="228"/>
      <c r="IN52" s="228"/>
      <c r="IO52" s="228"/>
      <c r="IP52" s="228"/>
      <c r="IQ52" s="228"/>
      <c r="IR52" s="228"/>
      <c r="IS52" s="228"/>
      <c r="IT52" s="228"/>
      <c r="IU52" s="228"/>
      <c r="IV52" s="228"/>
      <c r="IW52" s="228"/>
      <c r="IX52" s="228"/>
      <c r="IY52" s="228"/>
      <c r="IZ52" s="228"/>
      <c r="JA52" s="228"/>
      <c r="JB52" s="228"/>
      <c r="JC52" s="228"/>
      <c r="JD52" s="228"/>
      <c r="JE52" s="228"/>
      <c r="JF52" s="228"/>
      <c r="JG52" s="228"/>
      <c r="JH52" s="228"/>
      <c r="JI52" s="228"/>
      <c r="JJ52" s="228"/>
      <c r="JK52" s="228"/>
      <c r="JL52" s="228"/>
      <c r="JM52" s="228"/>
      <c r="JN52" s="228"/>
      <c r="JO52" s="228"/>
      <c r="JP52" s="228"/>
      <c r="JQ52" s="228"/>
      <c r="JR52" s="228"/>
      <c r="JS52" s="228"/>
      <c r="JT52" s="228"/>
      <c r="JU52" s="228"/>
      <c r="JV52" s="228"/>
      <c r="JW52" s="228"/>
      <c r="JX52" s="228"/>
      <c r="JY52" s="228"/>
      <c r="JZ52" s="228"/>
      <c r="KA52" s="228"/>
      <c r="KB52" s="228"/>
      <c r="KC52" s="228"/>
      <c r="KD52" s="228"/>
      <c r="KE52" s="228"/>
      <c r="KF52" s="228"/>
      <c r="KG52" s="228"/>
      <c r="KH52" s="228"/>
      <c r="KI52" s="228"/>
      <c r="KJ52" s="228"/>
      <c r="KK52" s="228"/>
      <c r="KL52" s="228"/>
      <c r="KM52" s="228"/>
      <c r="KN52" s="228"/>
      <c r="KO52" s="228"/>
      <c r="KP52" s="228"/>
      <c r="KQ52" s="228"/>
      <c r="KR52" s="228"/>
      <c r="KS52" s="228"/>
      <c r="KT52" s="228"/>
      <c r="KU52" s="228"/>
      <c r="KV52" s="228"/>
      <c r="KW52" s="228"/>
      <c r="KX52" s="228"/>
      <c r="KY52" s="228"/>
      <c r="KZ52" s="228"/>
      <c r="LA52" s="228"/>
      <c r="LB52" s="228"/>
      <c r="LC52" s="228"/>
      <c r="LD52" s="228"/>
      <c r="LE52" s="228"/>
      <c r="LF52" s="228"/>
      <c r="LG52" s="228"/>
      <c r="LH52" s="228"/>
      <c r="LI52" s="228"/>
      <c r="LJ52" s="228"/>
      <c r="LK52" s="228"/>
      <c r="LL52" s="228"/>
      <c r="LM52" s="228"/>
      <c r="LN52" s="228"/>
      <c r="LO52" s="228"/>
      <c r="LP52" s="228"/>
      <c r="LQ52" s="228"/>
      <c r="LR52" s="228"/>
      <c r="LS52" s="228"/>
      <c r="LT52" s="228"/>
      <c r="LU52" s="228"/>
      <c r="LV52" s="228"/>
      <c r="LW52" s="228"/>
      <c r="LX52" s="228"/>
      <c r="LY52" s="228"/>
      <c r="LZ52" s="228"/>
      <c r="MA52" s="228"/>
      <c r="MB52" s="228"/>
      <c r="MC52" s="228"/>
      <c r="MD52" s="228"/>
      <c r="ME52" s="228"/>
      <c r="MF52" s="228"/>
      <c r="MG52" s="228"/>
      <c r="MH52" s="228"/>
      <c r="MI52" s="228"/>
      <c r="MJ52" s="228"/>
      <c r="MK52" s="228"/>
      <c r="ML52" s="228"/>
      <c r="MM52" s="228"/>
      <c r="MN52" s="228"/>
      <c r="MO52" s="228"/>
      <c r="MP52" s="228"/>
      <c r="MQ52" s="228"/>
      <c r="MR52" s="228"/>
      <c r="MS52" s="228"/>
      <c r="MT52" s="228"/>
      <c r="MU52" s="228"/>
      <c r="MV52" s="228"/>
      <c r="MW52" s="228"/>
      <c r="MX52" s="228"/>
      <c r="MY52" s="228"/>
      <c r="MZ52" s="228"/>
      <c r="NA52" s="228"/>
      <c r="NB52" s="228"/>
      <c r="NC52" s="228"/>
      <c r="ND52" s="228"/>
      <c r="NE52" s="228"/>
      <c r="NF52" s="228"/>
      <c r="NG52" s="228"/>
      <c r="NH52" s="228"/>
      <c r="NI52" s="228"/>
      <c r="NJ52" s="228"/>
      <c r="NK52" s="228"/>
      <c r="NL52" s="228"/>
      <c r="NM52" s="228"/>
      <c r="NN52" s="228"/>
      <c r="NO52" s="228"/>
      <c r="NP52" s="228"/>
      <c r="NQ52" s="228"/>
      <c r="NR52" s="228"/>
      <c r="NS52" s="228"/>
      <c r="NT52" s="228"/>
      <c r="NU52" s="228"/>
      <c r="NV52" s="228"/>
      <c r="NW52" s="228"/>
      <c r="NX52" s="228"/>
      <c r="NY52" s="228"/>
      <c r="NZ52" s="228"/>
      <c r="OA52" s="228"/>
      <c r="OB52" s="228"/>
      <c r="OC52" s="228"/>
      <c r="OD52" s="228"/>
      <c r="OE52" s="228"/>
      <c r="OF52" s="228"/>
      <c r="OG52" s="228"/>
      <c r="OH52" s="228"/>
      <c r="OI52" s="228"/>
      <c r="OJ52" s="228"/>
      <c r="OK52" s="228"/>
      <c r="OL52" s="228"/>
      <c r="OM52" s="228"/>
      <c r="ON52" s="228"/>
      <c r="OO52" s="228"/>
      <c r="OP52" s="228"/>
      <c r="OQ52" s="228"/>
      <c r="OR52" s="228"/>
      <c r="OS52" s="228"/>
      <c r="OT52" s="228"/>
      <c r="OU52" s="228"/>
      <c r="OV52" s="228"/>
      <c r="OW52" s="228"/>
      <c r="OX52" s="228"/>
      <c r="OY52" s="228"/>
      <c r="OZ52" s="228"/>
      <c r="PA52" s="228"/>
      <c r="PB52" s="228"/>
      <c r="PC52" s="228"/>
      <c r="PD52" s="228"/>
      <c r="PE52" s="228"/>
      <c r="PF52" s="228"/>
      <c r="PG52" s="228"/>
      <c r="PH52" s="228"/>
      <c r="PI52" s="228"/>
      <c r="PJ52" s="228"/>
      <c r="PK52" s="228"/>
      <c r="PL52" s="228"/>
      <c r="PM52" s="228"/>
      <c r="PN52" s="228"/>
      <c r="PO52" s="228"/>
      <c r="PP52" s="228"/>
      <c r="PQ52" s="228"/>
      <c r="PR52" s="228"/>
      <c r="PS52" s="228"/>
      <c r="PT52" s="228"/>
      <c r="PU52" s="228"/>
      <c r="PV52" s="228"/>
      <c r="PW52" s="228"/>
      <c r="PX52" s="228"/>
      <c r="PY52" s="228"/>
      <c r="PZ52" s="228"/>
      <c r="QA52" s="228"/>
      <c r="QB52" s="228"/>
      <c r="QC52" s="228"/>
      <c r="QD52" s="228"/>
      <c r="QE52" s="228"/>
      <c r="QF52" s="228"/>
      <c r="QG52" s="228"/>
      <c r="QH52" s="228"/>
      <c r="QI52" s="228"/>
      <c r="QJ52" s="228"/>
      <c r="QK52" s="228"/>
      <c r="QL52" s="228"/>
      <c r="QM52" s="228"/>
      <c r="QN52" s="228"/>
      <c r="QO52" s="228"/>
      <c r="QP52" s="228"/>
      <c r="QQ52" s="228"/>
      <c r="QR52" s="228"/>
      <c r="QS52" s="228"/>
      <c r="QT52" s="228"/>
      <c r="QU52" s="228"/>
      <c r="QV52" s="228"/>
      <c r="QW52" s="228"/>
      <c r="QX52" s="228"/>
      <c r="QY52" s="228"/>
      <c r="QZ52" s="228"/>
      <c r="RA52" s="228"/>
      <c r="RB52" s="228"/>
      <c r="RC52" s="228"/>
      <c r="RD52" s="228"/>
      <c r="RE52" s="228"/>
      <c r="RF52" s="228"/>
      <c r="RG52" s="228"/>
      <c r="RH52" s="228"/>
      <c r="RI52" s="228"/>
      <c r="RJ52" s="228"/>
      <c r="RK52" s="228"/>
      <c r="RL52" s="228"/>
      <c r="RM52" s="228"/>
      <c r="RN52" s="228"/>
      <c r="RO52" s="228"/>
      <c r="RP52" s="228"/>
      <c r="RQ52" s="228"/>
      <c r="RR52" s="228"/>
      <c r="RS52" s="228"/>
      <c r="RT52" s="228"/>
      <c r="RU52" s="228"/>
      <c r="RV52" s="228"/>
      <c r="RW52" s="228"/>
      <c r="RX52" s="228"/>
      <c r="RY52" s="228"/>
      <c r="RZ52" s="228"/>
      <c r="SA52" s="228"/>
      <c r="SB52" s="228"/>
      <c r="SC52" s="228"/>
      <c r="SD52" s="228"/>
      <c r="SE52" s="228"/>
      <c r="SF52" s="228"/>
      <c r="SG52" s="228"/>
    </row>
    <row r="53" spans="2:501" ht="69.75" customHeight="1">
      <c r="C53" s="227" t="s">
        <v>1956</v>
      </c>
      <c r="D53" s="225" t="s">
        <v>1957</v>
      </c>
      <c r="E53" s="225" t="s">
        <v>1958</v>
      </c>
      <c r="F53" s="225" t="s">
        <v>1959</v>
      </c>
      <c r="G53" s="225" t="s">
        <v>1740</v>
      </c>
      <c r="H53" s="225" t="s">
        <v>1741</v>
      </c>
      <c r="I53" s="226" t="s">
        <v>1960</v>
      </c>
      <c r="J53" s="226" t="s">
        <v>1961</v>
      </c>
      <c r="K53" s="225" t="s">
        <v>1962</v>
      </c>
      <c r="L53" s="225" t="s">
        <v>1760</v>
      </c>
      <c r="M53" s="226" t="s">
        <v>1963</v>
      </c>
      <c r="N53" s="228"/>
      <c r="O53" s="228"/>
      <c r="P53" s="228"/>
      <c r="Q53" s="228"/>
      <c r="R53" s="228"/>
      <c r="S53" s="228"/>
      <c r="T53" s="228"/>
      <c r="U53" s="228"/>
      <c r="V53" s="228"/>
      <c r="W53" s="228"/>
      <c r="X53" s="228"/>
      <c r="Y53" s="228"/>
      <c r="Z53" s="228"/>
      <c r="AA53" s="228"/>
      <c r="AB53" s="228"/>
      <c r="AC53" s="228"/>
      <c r="AD53" s="228"/>
      <c r="AE53" s="228"/>
      <c r="AF53" s="228"/>
      <c r="AG53" s="228"/>
      <c r="AH53" s="228"/>
      <c r="AI53" s="228"/>
      <c r="AJ53" s="228"/>
      <c r="AK53" s="228"/>
      <c r="AL53" s="228"/>
      <c r="AM53" s="228"/>
      <c r="AN53" s="228"/>
      <c r="AO53" s="228"/>
      <c r="AP53" s="228"/>
      <c r="AQ53" s="228"/>
      <c r="AR53" s="228"/>
      <c r="AS53" s="228"/>
      <c r="AT53" s="228"/>
      <c r="AU53" s="228"/>
      <c r="AV53" s="228"/>
      <c r="AW53" s="228"/>
      <c r="AX53" s="228"/>
      <c r="AY53" s="228"/>
      <c r="AZ53" s="228"/>
      <c r="BA53" s="228"/>
      <c r="BB53" s="228"/>
      <c r="BC53" s="228"/>
      <c r="BD53" s="228"/>
      <c r="BE53" s="228"/>
      <c r="BF53" s="228"/>
      <c r="BG53" s="228"/>
      <c r="BH53" s="228"/>
      <c r="BI53" s="228"/>
      <c r="BJ53" s="228"/>
      <c r="BK53" s="228"/>
      <c r="BL53" s="228"/>
      <c r="BM53" s="228"/>
      <c r="BN53" s="228"/>
      <c r="BO53" s="228"/>
      <c r="BP53" s="228"/>
      <c r="BQ53" s="228"/>
      <c r="BR53" s="228"/>
      <c r="BS53" s="228"/>
      <c r="BT53" s="228"/>
      <c r="BU53" s="228"/>
      <c r="BV53" s="228"/>
      <c r="BW53" s="228"/>
      <c r="BX53" s="228"/>
      <c r="BY53" s="228"/>
      <c r="BZ53" s="228"/>
      <c r="CA53" s="228"/>
      <c r="CB53" s="228"/>
      <c r="CC53" s="228"/>
      <c r="CD53" s="228"/>
      <c r="CE53" s="228"/>
      <c r="CF53" s="228"/>
      <c r="CG53" s="228"/>
      <c r="CH53" s="228"/>
      <c r="CI53" s="228"/>
      <c r="CJ53" s="228"/>
      <c r="CK53" s="228"/>
      <c r="CL53" s="228"/>
      <c r="CM53" s="228"/>
      <c r="CN53" s="228"/>
      <c r="CO53" s="228"/>
      <c r="CP53" s="228"/>
      <c r="CQ53" s="228"/>
      <c r="CR53" s="228"/>
      <c r="CS53" s="228"/>
      <c r="CT53" s="228"/>
      <c r="CU53" s="228"/>
      <c r="CV53" s="228"/>
      <c r="CW53" s="228"/>
      <c r="CX53" s="228"/>
      <c r="CY53" s="228"/>
      <c r="CZ53" s="228"/>
      <c r="DA53" s="228"/>
      <c r="DB53" s="228"/>
      <c r="DC53" s="228"/>
      <c r="DD53" s="228"/>
      <c r="DE53" s="228"/>
      <c r="DF53" s="228"/>
      <c r="DG53" s="228"/>
      <c r="DH53" s="228"/>
      <c r="DI53" s="228"/>
      <c r="DJ53" s="228"/>
      <c r="DK53" s="228"/>
      <c r="DL53" s="228"/>
      <c r="DM53" s="228"/>
      <c r="DN53" s="228"/>
      <c r="DO53" s="228"/>
      <c r="DP53" s="228"/>
      <c r="DQ53" s="228"/>
      <c r="DR53" s="228"/>
      <c r="DS53" s="228"/>
      <c r="DT53" s="228"/>
      <c r="DU53" s="228"/>
      <c r="DV53" s="228"/>
      <c r="DW53" s="228"/>
      <c r="DX53" s="228"/>
      <c r="DY53" s="228"/>
      <c r="DZ53" s="228"/>
      <c r="EA53" s="228"/>
      <c r="EB53" s="228"/>
      <c r="EC53" s="228"/>
      <c r="ED53" s="228"/>
      <c r="EE53" s="228"/>
      <c r="EF53" s="228"/>
      <c r="EG53" s="228"/>
      <c r="EH53" s="228"/>
      <c r="EI53" s="228"/>
      <c r="EJ53" s="228"/>
      <c r="EK53" s="228"/>
      <c r="EL53" s="228"/>
      <c r="EM53" s="228"/>
      <c r="EN53" s="228"/>
      <c r="EO53" s="228"/>
      <c r="EP53" s="228"/>
      <c r="EQ53" s="228"/>
      <c r="ER53" s="228"/>
      <c r="ES53" s="228"/>
      <c r="ET53" s="228"/>
      <c r="EU53" s="228"/>
      <c r="EV53" s="228"/>
      <c r="EW53" s="228"/>
      <c r="EX53" s="228"/>
      <c r="EY53" s="228"/>
      <c r="EZ53" s="228"/>
      <c r="FA53" s="228"/>
      <c r="FB53" s="228"/>
      <c r="FC53" s="228"/>
      <c r="FD53" s="228"/>
      <c r="FE53" s="228"/>
      <c r="FF53" s="228"/>
      <c r="FG53" s="228"/>
      <c r="FH53" s="228"/>
      <c r="FI53" s="228"/>
      <c r="FJ53" s="228"/>
      <c r="FK53" s="228"/>
      <c r="FL53" s="228"/>
      <c r="FM53" s="228"/>
      <c r="FN53" s="228"/>
      <c r="FO53" s="228"/>
      <c r="FP53" s="228"/>
      <c r="FQ53" s="228"/>
      <c r="FR53" s="228"/>
      <c r="FS53" s="228"/>
      <c r="FT53" s="228"/>
      <c r="FU53" s="228"/>
      <c r="FV53" s="228"/>
      <c r="FW53" s="228"/>
      <c r="FX53" s="228"/>
      <c r="FY53" s="228"/>
      <c r="FZ53" s="228"/>
      <c r="GA53" s="228"/>
      <c r="GB53" s="228"/>
      <c r="GC53" s="228"/>
      <c r="GD53" s="228"/>
      <c r="GE53" s="228"/>
      <c r="GF53" s="228"/>
      <c r="GG53" s="228"/>
      <c r="GH53" s="228"/>
      <c r="GI53" s="228"/>
      <c r="GJ53" s="228"/>
      <c r="GK53" s="228"/>
      <c r="GL53" s="228"/>
      <c r="GM53" s="228"/>
      <c r="GN53" s="228"/>
      <c r="GO53" s="228"/>
      <c r="GP53" s="228"/>
      <c r="GQ53" s="228"/>
      <c r="GR53" s="228"/>
      <c r="GS53" s="228"/>
      <c r="GT53" s="228"/>
      <c r="GU53" s="228"/>
      <c r="GV53" s="228"/>
      <c r="GW53" s="228"/>
      <c r="GX53" s="228"/>
      <c r="GY53" s="228"/>
      <c r="GZ53" s="228"/>
      <c r="HA53" s="228"/>
      <c r="HB53" s="228"/>
      <c r="HC53" s="228"/>
      <c r="HD53" s="228"/>
      <c r="HE53" s="228"/>
      <c r="HF53" s="228"/>
      <c r="HG53" s="228"/>
      <c r="HH53" s="228"/>
      <c r="HI53" s="228"/>
      <c r="HJ53" s="228"/>
      <c r="HK53" s="228"/>
      <c r="HL53" s="228"/>
      <c r="HM53" s="228"/>
      <c r="HN53" s="228"/>
      <c r="HO53" s="228"/>
      <c r="HP53" s="228"/>
      <c r="HQ53" s="228"/>
      <c r="HR53" s="228"/>
      <c r="HS53" s="228"/>
      <c r="HT53" s="228"/>
      <c r="HU53" s="228"/>
      <c r="HV53" s="228"/>
      <c r="HW53" s="228"/>
      <c r="HX53" s="228"/>
      <c r="HY53" s="228"/>
      <c r="HZ53" s="228"/>
      <c r="IA53" s="228"/>
      <c r="IB53" s="228"/>
      <c r="IC53" s="228"/>
      <c r="ID53" s="228"/>
      <c r="IE53" s="228"/>
      <c r="IF53" s="228"/>
      <c r="IG53" s="228"/>
      <c r="IH53" s="228"/>
      <c r="II53" s="228"/>
      <c r="IJ53" s="228"/>
      <c r="IK53" s="228"/>
      <c r="IL53" s="228"/>
      <c r="IM53" s="228"/>
      <c r="IN53" s="228"/>
      <c r="IO53" s="228"/>
      <c r="IP53" s="228"/>
      <c r="IQ53" s="228"/>
      <c r="IR53" s="228"/>
      <c r="IS53" s="228"/>
      <c r="IT53" s="228"/>
      <c r="IU53" s="228"/>
      <c r="IV53" s="228"/>
      <c r="IW53" s="228"/>
      <c r="IX53" s="228"/>
      <c r="IY53" s="228"/>
      <c r="IZ53" s="228"/>
      <c r="JA53" s="228"/>
      <c r="JB53" s="228"/>
      <c r="JC53" s="228"/>
      <c r="JD53" s="228"/>
      <c r="JE53" s="228"/>
      <c r="JF53" s="228"/>
      <c r="JG53" s="228"/>
      <c r="JH53" s="228"/>
      <c r="JI53" s="228"/>
      <c r="JJ53" s="228"/>
      <c r="JK53" s="228"/>
      <c r="JL53" s="228"/>
      <c r="JM53" s="228"/>
      <c r="JN53" s="228"/>
      <c r="JO53" s="228"/>
      <c r="JP53" s="228"/>
      <c r="JQ53" s="228"/>
      <c r="JR53" s="228"/>
      <c r="JS53" s="228"/>
      <c r="JT53" s="228"/>
      <c r="JU53" s="228"/>
      <c r="JV53" s="228"/>
      <c r="JW53" s="228"/>
      <c r="JX53" s="228"/>
      <c r="JY53" s="228"/>
      <c r="JZ53" s="228"/>
      <c r="KA53" s="228"/>
      <c r="KB53" s="228"/>
      <c r="KC53" s="228"/>
      <c r="KD53" s="228"/>
      <c r="KE53" s="228"/>
      <c r="KF53" s="228"/>
      <c r="KG53" s="228"/>
      <c r="KH53" s="228"/>
      <c r="KI53" s="228"/>
      <c r="KJ53" s="228"/>
      <c r="KK53" s="228"/>
      <c r="KL53" s="228"/>
      <c r="KM53" s="228"/>
      <c r="KN53" s="228"/>
      <c r="KO53" s="228"/>
      <c r="KP53" s="228"/>
      <c r="KQ53" s="228"/>
      <c r="KR53" s="228"/>
      <c r="KS53" s="228"/>
      <c r="KT53" s="228"/>
      <c r="KU53" s="228"/>
      <c r="KV53" s="228"/>
      <c r="KW53" s="228"/>
      <c r="KX53" s="228"/>
      <c r="KY53" s="228"/>
      <c r="KZ53" s="228"/>
      <c r="LA53" s="228"/>
      <c r="LB53" s="228"/>
      <c r="LC53" s="228"/>
      <c r="LD53" s="228"/>
      <c r="LE53" s="228"/>
      <c r="LF53" s="228"/>
      <c r="LG53" s="228"/>
      <c r="LH53" s="228"/>
      <c r="LI53" s="228"/>
      <c r="LJ53" s="228"/>
      <c r="LK53" s="228"/>
      <c r="LL53" s="228"/>
      <c r="LM53" s="228"/>
      <c r="LN53" s="228"/>
      <c r="LO53" s="228"/>
      <c r="LP53" s="228"/>
      <c r="LQ53" s="228"/>
      <c r="LR53" s="228"/>
      <c r="LS53" s="228"/>
      <c r="LT53" s="228"/>
      <c r="LU53" s="228"/>
      <c r="LV53" s="228"/>
      <c r="LW53" s="228"/>
      <c r="LX53" s="228"/>
      <c r="LY53" s="228"/>
      <c r="LZ53" s="228"/>
      <c r="MA53" s="228"/>
      <c r="MB53" s="228"/>
      <c r="MC53" s="228"/>
      <c r="MD53" s="228"/>
      <c r="ME53" s="228"/>
      <c r="MF53" s="228"/>
      <c r="MG53" s="228"/>
      <c r="MH53" s="228"/>
      <c r="MI53" s="228"/>
      <c r="MJ53" s="228"/>
      <c r="MK53" s="228"/>
      <c r="ML53" s="228"/>
      <c r="MM53" s="228"/>
      <c r="MN53" s="228"/>
      <c r="MO53" s="228"/>
      <c r="MP53" s="228"/>
      <c r="MQ53" s="228"/>
      <c r="MR53" s="228"/>
      <c r="MS53" s="228"/>
      <c r="MT53" s="228"/>
      <c r="MU53" s="228"/>
      <c r="MV53" s="228"/>
      <c r="MW53" s="228"/>
      <c r="MX53" s="228"/>
      <c r="MY53" s="228"/>
      <c r="MZ53" s="228"/>
      <c r="NA53" s="228"/>
      <c r="NB53" s="228"/>
      <c r="NC53" s="228"/>
      <c r="ND53" s="228"/>
      <c r="NE53" s="228"/>
      <c r="NF53" s="228"/>
      <c r="NG53" s="228"/>
      <c r="NH53" s="228"/>
      <c r="NI53" s="228"/>
      <c r="NJ53" s="228"/>
      <c r="NK53" s="228"/>
      <c r="NL53" s="228"/>
      <c r="NM53" s="228"/>
      <c r="NN53" s="228"/>
      <c r="NO53" s="228"/>
      <c r="NP53" s="228"/>
      <c r="NQ53" s="228"/>
      <c r="NR53" s="228"/>
      <c r="NS53" s="228"/>
      <c r="NT53" s="228"/>
      <c r="NU53" s="228"/>
      <c r="NV53" s="228"/>
      <c r="NW53" s="228"/>
      <c r="NX53" s="228"/>
      <c r="NY53" s="228"/>
      <c r="NZ53" s="228"/>
      <c r="OA53" s="228"/>
      <c r="OB53" s="228"/>
      <c r="OC53" s="228"/>
      <c r="OD53" s="228"/>
      <c r="OE53" s="228"/>
      <c r="OF53" s="228"/>
      <c r="OG53" s="228"/>
      <c r="OH53" s="228"/>
      <c r="OI53" s="228"/>
      <c r="OJ53" s="228"/>
      <c r="OK53" s="228"/>
      <c r="OL53" s="228"/>
      <c r="OM53" s="228"/>
      <c r="ON53" s="228"/>
      <c r="OO53" s="228"/>
      <c r="OP53" s="228"/>
      <c r="OQ53" s="228"/>
      <c r="OR53" s="228"/>
      <c r="OS53" s="228"/>
      <c r="OT53" s="228"/>
      <c r="OU53" s="228"/>
      <c r="OV53" s="228"/>
      <c r="OW53" s="228"/>
      <c r="OX53" s="228"/>
      <c r="OY53" s="228"/>
      <c r="OZ53" s="228"/>
      <c r="PA53" s="228"/>
      <c r="PB53" s="228"/>
      <c r="PC53" s="228"/>
      <c r="PD53" s="228"/>
      <c r="PE53" s="228"/>
      <c r="PF53" s="228"/>
      <c r="PG53" s="228"/>
      <c r="PH53" s="228"/>
      <c r="PI53" s="228"/>
      <c r="PJ53" s="228"/>
      <c r="PK53" s="228"/>
      <c r="PL53" s="228"/>
      <c r="PM53" s="228"/>
      <c r="PN53" s="228"/>
      <c r="PO53" s="228"/>
      <c r="PP53" s="228"/>
      <c r="PQ53" s="228"/>
      <c r="PR53" s="228"/>
      <c r="PS53" s="228"/>
      <c r="PT53" s="228"/>
      <c r="PU53" s="228"/>
      <c r="PV53" s="228"/>
      <c r="PW53" s="228"/>
      <c r="PX53" s="228"/>
      <c r="PY53" s="228"/>
      <c r="PZ53" s="228"/>
      <c r="QA53" s="228"/>
      <c r="QB53" s="228"/>
      <c r="QC53" s="228"/>
      <c r="QD53" s="228"/>
      <c r="QE53" s="228"/>
      <c r="QF53" s="228"/>
      <c r="QG53" s="228"/>
      <c r="QH53" s="228"/>
      <c r="QI53" s="228"/>
      <c r="QJ53" s="228"/>
      <c r="QK53" s="228"/>
      <c r="QL53" s="228"/>
      <c r="QM53" s="228"/>
      <c r="QN53" s="228"/>
      <c r="QO53" s="228"/>
      <c r="QP53" s="228"/>
      <c r="QQ53" s="228"/>
      <c r="QR53" s="228"/>
      <c r="QS53" s="228"/>
      <c r="QT53" s="228"/>
      <c r="QU53" s="228"/>
      <c r="QV53" s="228"/>
      <c r="QW53" s="228"/>
      <c r="QX53" s="228"/>
      <c r="QY53" s="228"/>
      <c r="QZ53" s="228"/>
      <c r="RA53" s="228"/>
      <c r="RB53" s="228"/>
      <c r="RC53" s="228"/>
      <c r="RD53" s="228"/>
      <c r="RE53" s="228"/>
      <c r="RF53" s="228"/>
      <c r="RG53" s="228"/>
      <c r="RH53" s="228"/>
      <c r="RI53" s="228"/>
      <c r="RJ53" s="228"/>
      <c r="RK53" s="228"/>
      <c r="RL53" s="228"/>
      <c r="RM53" s="228"/>
      <c r="RN53" s="228"/>
      <c r="RO53" s="228"/>
      <c r="RP53" s="228"/>
      <c r="RQ53" s="228"/>
      <c r="RR53" s="228"/>
      <c r="RS53" s="228"/>
      <c r="RT53" s="228"/>
      <c r="RU53" s="228"/>
      <c r="RV53" s="228"/>
      <c r="RW53" s="228"/>
      <c r="RX53" s="228"/>
      <c r="RY53" s="228"/>
      <c r="RZ53" s="228"/>
      <c r="SA53" s="228"/>
      <c r="SB53" s="228"/>
      <c r="SC53" s="228"/>
      <c r="SD53" s="228"/>
      <c r="SE53" s="228"/>
      <c r="SF53" s="228"/>
      <c r="SG53" s="228"/>
    </row>
    <row r="54" spans="2:501" ht="111.75" customHeight="1">
      <c r="C54" s="227" t="s">
        <v>1964</v>
      </c>
      <c r="D54" s="225" t="s">
        <v>1965</v>
      </c>
      <c r="E54" s="225" t="s">
        <v>1966</v>
      </c>
      <c r="F54" s="225" t="s">
        <v>1967</v>
      </c>
      <c r="G54" s="225" t="s">
        <v>1740</v>
      </c>
      <c r="H54" s="225" t="s">
        <v>1741</v>
      </c>
      <c r="I54" s="226" t="s">
        <v>1968</v>
      </c>
      <c r="J54" s="226" t="s">
        <v>1969</v>
      </c>
      <c r="K54" s="225" t="s">
        <v>1962</v>
      </c>
      <c r="L54" s="225" t="s">
        <v>1760</v>
      </c>
      <c r="M54" s="226" t="s">
        <v>1970</v>
      </c>
      <c r="N54" s="228"/>
      <c r="O54" s="228"/>
      <c r="P54" s="228"/>
      <c r="Q54" s="228"/>
      <c r="R54" s="228"/>
      <c r="S54" s="228"/>
      <c r="T54" s="228"/>
      <c r="U54" s="228"/>
      <c r="V54" s="228"/>
      <c r="W54" s="228"/>
      <c r="X54" s="228"/>
      <c r="Y54" s="228"/>
      <c r="Z54" s="228"/>
      <c r="AA54" s="228"/>
      <c r="AB54" s="228"/>
      <c r="AC54" s="228"/>
      <c r="AD54" s="228"/>
      <c r="AE54" s="228"/>
      <c r="AF54" s="228"/>
      <c r="AG54" s="228"/>
      <c r="AH54" s="228"/>
      <c r="AI54" s="228"/>
      <c r="AJ54" s="228"/>
      <c r="AK54" s="228"/>
      <c r="AL54" s="228"/>
      <c r="AM54" s="228"/>
      <c r="AN54" s="228"/>
      <c r="AO54" s="228"/>
      <c r="AP54" s="228"/>
      <c r="AQ54" s="228"/>
      <c r="AR54" s="228"/>
      <c r="AS54" s="228"/>
      <c r="AT54" s="228"/>
      <c r="AU54" s="228"/>
      <c r="AV54" s="228"/>
      <c r="AW54" s="228"/>
      <c r="AX54" s="228"/>
      <c r="AY54" s="228"/>
      <c r="AZ54" s="228"/>
      <c r="BA54" s="228"/>
      <c r="BB54" s="228"/>
      <c r="BC54" s="228"/>
      <c r="BD54" s="228"/>
      <c r="BE54" s="228"/>
      <c r="BF54" s="228"/>
      <c r="BG54" s="228"/>
      <c r="BH54" s="228"/>
      <c r="BI54" s="228"/>
      <c r="BJ54" s="228"/>
      <c r="BK54" s="228"/>
      <c r="BL54" s="228"/>
      <c r="BM54" s="228"/>
      <c r="BN54" s="228"/>
      <c r="BO54" s="228"/>
      <c r="BP54" s="228"/>
      <c r="BQ54" s="228"/>
      <c r="BR54" s="228"/>
      <c r="BS54" s="228"/>
      <c r="BT54" s="228"/>
      <c r="BU54" s="228"/>
      <c r="BV54" s="228"/>
      <c r="BW54" s="228"/>
      <c r="BX54" s="228"/>
      <c r="BY54" s="228"/>
      <c r="BZ54" s="228"/>
      <c r="CA54" s="228"/>
      <c r="CB54" s="228"/>
      <c r="CC54" s="228"/>
      <c r="CD54" s="228"/>
      <c r="CE54" s="228"/>
      <c r="CF54" s="228"/>
      <c r="CG54" s="228"/>
      <c r="CH54" s="228"/>
      <c r="CI54" s="228"/>
      <c r="CJ54" s="228"/>
      <c r="CK54" s="228"/>
      <c r="CL54" s="228"/>
      <c r="CM54" s="228"/>
      <c r="CN54" s="228"/>
      <c r="CO54" s="228"/>
      <c r="CP54" s="228"/>
      <c r="CQ54" s="228"/>
      <c r="CR54" s="228"/>
      <c r="CS54" s="228"/>
      <c r="CT54" s="228"/>
      <c r="CU54" s="228"/>
      <c r="CV54" s="228"/>
      <c r="CW54" s="228"/>
      <c r="CX54" s="228"/>
      <c r="CY54" s="228"/>
      <c r="CZ54" s="228"/>
      <c r="DA54" s="228"/>
      <c r="DB54" s="228"/>
      <c r="DC54" s="228"/>
      <c r="DD54" s="228"/>
      <c r="DE54" s="228"/>
      <c r="DF54" s="228"/>
      <c r="DG54" s="228"/>
      <c r="DH54" s="228"/>
      <c r="DI54" s="228"/>
      <c r="DJ54" s="228"/>
      <c r="DK54" s="228"/>
      <c r="DL54" s="228"/>
      <c r="DM54" s="228"/>
      <c r="DN54" s="228"/>
      <c r="DO54" s="228"/>
      <c r="DP54" s="228"/>
      <c r="DQ54" s="228"/>
      <c r="DR54" s="228"/>
      <c r="DS54" s="228"/>
      <c r="DT54" s="228"/>
      <c r="DU54" s="228"/>
      <c r="DV54" s="228"/>
      <c r="DW54" s="228"/>
      <c r="DX54" s="228"/>
      <c r="DY54" s="228"/>
      <c r="DZ54" s="228"/>
      <c r="EA54" s="228"/>
      <c r="EB54" s="228"/>
      <c r="EC54" s="228"/>
      <c r="ED54" s="228"/>
      <c r="EE54" s="228"/>
      <c r="EF54" s="228"/>
      <c r="EG54" s="228"/>
      <c r="EH54" s="228"/>
      <c r="EI54" s="228"/>
      <c r="EJ54" s="228"/>
      <c r="EK54" s="228"/>
      <c r="EL54" s="228"/>
      <c r="EM54" s="228"/>
      <c r="EN54" s="228"/>
      <c r="EO54" s="228"/>
      <c r="EP54" s="228"/>
      <c r="EQ54" s="228"/>
      <c r="ER54" s="228"/>
      <c r="ES54" s="228"/>
      <c r="ET54" s="228"/>
      <c r="EU54" s="228"/>
      <c r="EV54" s="228"/>
      <c r="EW54" s="228"/>
      <c r="EX54" s="228"/>
      <c r="EY54" s="228"/>
      <c r="EZ54" s="228"/>
      <c r="FA54" s="228"/>
      <c r="FB54" s="228"/>
      <c r="FC54" s="228"/>
      <c r="FD54" s="228"/>
      <c r="FE54" s="228"/>
      <c r="FF54" s="228"/>
      <c r="FG54" s="228"/>
      <c r="FH54" s="228"/>
      <c r="FI54" s="228"/>
      <c r="FJ54" s="228"/>
      <c r="FK54" s="228"/>
      <c r="FL54" s="228"/>
      <c r="FM54" s="228"/>
      <c r="FN54" s="228"/>
      <c r="FO54" s="228"/>
      <c r="FP54" s="228"/>
      <c r="FQ54" s="228"/>
      <c r="FR54" s="228"/>
      <c r="FS54" s="228"/>
      <c r="FT54" s="228"/>
      <c r="FU54" s="228"/>
      <c r="FV54" s="228"/>
      <c r="FW54" s="228"/>
      <c r="FX54" s="228"/>
      <c r="FY54" s="228"/>
      <c r="FZ54" s="228"/>
      <c r="GA54" s="228"/>
      <c r="GB54" s="228"/>
      <c r="GC54" s="228"/>
      <c r="GD54" s="228"/>
      <c r="GE54" s="228"/>
      <c r="GF54" s="228"/>
      <c r="GG54" s="228"/>
      <c r="GH54" s="228"/>
      <c r="GI54" s="228"/>
      <c r="GJ54" s="228"/>
      <c r="GK54" s="228"/>
      <c r="GL54" s="228"/>
      <c r="GM54" s="228"/>
      <c r="GN54" s="228"/>
      <c r="GO54" s="228"/>
      <c r="GP54" s="228"/>
      <c r="GQ54" s="228"/>
      <c r="GR54" s="228"/>
      <c r="GS54" s="228"/>
      <c r="GT54" s="228"/>
      <c r="GU54" s="228"/>
      <c r="GV54" s="228"/>
      <c r="GW54" s="228"/>
      <c r="GX54" s="228"/>
      <c r="GY54" s="228"/>
      <c r="GZ54" s="228"/>
      <c r="HA54" s="228"/>
      <c r="HB54" s="228"/>
      <c r="HC54" s="228"/>
      <c r="HD54" s="228"/>
      <c r="HE54" s="228"/>
      <c r="HF54" s="228"/>
      <c r="HG54" s="228"/>
      <c r="HH54" s="228"/>
      <c r="HI54" s="228"/>
      <c r="HJ54" s="228"/>
      <c r="HK54" s="228"/>
      <c r="HL54" s="228"/>
      <c r="HM54" s="228"/>
      <c r="HN54" s="228"/>
      <c r="HO54" s="228"/>
      <c r="HP54" s="228"/>
      <c r="HQ54" s="228"/>
      <c r="HR54" s="228"/>
      <c r="HS54" s="228"/>
      <c r="HT54" s="228"/>
      <c r="HU54" s="228"/>
      <c r="HV54" s="228"/>
      <c r="HW54" s="228"/>
      <c r="HX54" s="228"/>
      <c r="HY54" s="228"/>
      <c r="HZ54" s="228"/>
      <c r="IA54" s="228"/>
      <c r="IB54" s="228"/>
      <c r="IC54" s="228"/>
      <c r="ID54" s="228"/>
      <c r="IE54" s="228"/>
      <c r="IF54" s="228"/>
      <c r="IG54" s="228"/>
      <c r="IH54" s="228"/>
      <c r="II54" s="228"/>
      <c r="IJ54" s="228"/>
      <c r="IK54" s="228"/>
      <c r="IL54" s="228"/>
      <c r="IM54" s="228"/>
      <c r="IN54" s="228"/>
      <c r="IO54" s="228"/>
      <c r="IP54" s="228"/>
      <c r="IQ54" s="228"/>
      <c r="IR54" s="228"/>
      <c r="IS54" s="228"/>
      <c r="IT54" s="228"/>
      <c r="IU54" s="228"/>
      <c r="IV54" s="228"/>
      <c r="IW54" s="228"/>
      <c r="IX54" s="228"/>
      <c r="IY54" s="228"/>
      <c r="IZ54" s="228"/>
      <c r="JA54" s="228"/>
      <c r="JB54" s="228"/>
      <c r="JC54" s="228"/>
      <c r="JD54" s="228"/>
      <c r="JE54" s="228"/>
      <c r="JF54" s="228"/>
      <c r="JG54" s="228"/>
      <c r="JH54" s="228"/>
      <c r="JI54" s="228"/>
      <c r="JJ54" s="228"/>
      <c r="JK54" s="228"/>
      <c r="JL54" s="228"/>
      <c r="JM54" s="228"/>
      <c r="JN54" s="228"/>
      <c r="JO54" s="228"/>
      <c r="JP54" s="228"/>
      <c r="JQ54" s="228"/>
      <c r="JR54" s="228"/>
      <c r="JS54" s="228"/>
      <c r="JT54" s="228"/>
      <c r="JU54" s="228"/>
      <c r="JV54" s="228"/>
      <c r="JW54" s="228"/>
      <c r="JX54" s="228"/>
      <c r="JY54" s="228"/>
      <c r="JZ54" s="228"/>
      <c r="KA54" s="228"/>
      <c r="KB54" s="228"/>
      <c r="KC54" s="228"/>
      <c r="KD54" s="228"/>
      <c r="KE54" s="228"/>
      <c r="KF54" s="228"/>
      <c r="KG54" s="228"/>
      <c r="KH54" s="228"/>
      <c r="KI54" s="228"/>
      <c r="KJ54" s="228"/>
      <c r="KK54" s="228"/>
      <c r="KL54" s="228"/>
      <c r="KM54" s="228"/>
      <c r="KN54" s="228"/>
      <c r="KO54" s="228"/>
      <c r="KP54" s="228"/>
      <c r="KQ54" s="228"/>
      <c r="KR54" s="228"/>
      <c r="KS54" s="228"/>
      <c r="KT54" s="228"/>
      <c r="KU54" s="228"/>
      <c r="KV54" s="228"/>
      <c r="KW54" s="228"/>
      <c r="KX54" s="228"/>
      <c r="KY54" s="228"/>
      <c r="KZ54" s="228"/>
      <c r="LA54" s="228"/>
      <c r="LB54" s="228"/>
      <c r="LC54" s="228"/>
      <c r="LD54" s="228"/>
      <c r="LE54" s="228"/>
      <c r="LF54" s="228"/>
      <c r="LG54" s="228"/>
      <c r="LH54" s="228"/>
      <c r="LI54" s="228"/>
      <c r="LJ54" s="228"/>
      <c r="LK54" s="228"/>
      <c r="LL54" s="228"/>
      <c r="LM54" s="228"/>
      <c r="LN54" s="228"/>
      <c r="LO54" s="228"/>
      <c r="LP54" s="228"/>
      <c r="LQ54" s="228"/>
      <c r="LR54" s="228"/>
      <c r="LS54" s="228"/>
      <c r="LT54" s="228"/>
      <c r="LU54" s="228"/>
      <c r="LV54" s="228"/>
      <c r="LW54" s="228"/>
      <c r="LX54" s="228"/>
      <c r="LY54" s="228"/>
      <c r="LZ54" s="228"/>
      <c r="MA54" s="228"/>
      <c r="MB54" s="228"/>
      <c r="MC54" s="228"/>
      <c r="MD54" s="228"/>
      <c r="ME54" s="228"/>
      <c r="MF54" s="228"/>
      <c r="MG54" s="228"/>
      <c r="MH54" s="228"/>
      <c r="MI54" s="228"/>
      <c r="MJ54" s="228"/>
      <c r="MK54" s="228"/>
      <c r="ML54" s="228"/>
      <c r="MM54" s="228"/>
      <c r="MN54" s="228"/>
      <c r="MO54" s="228"/>
      <c r="MP54" s="228"/>
      <c r="MQ54" s="228"/>
      <c r="MR54" s="228"/>
      <c r="MS54" s="228"/>
      <c r="MT54" s="228"/>
      <c r="MU54" s="228"/>
      <c r="MV54" s="228"/>
      <c r="MW54" s="228"/>
      <c r="MX54" s="228"/>
      <c r="MY54" s="228"/>
      <c r="MZ54" s="228"/>
      <c r="NA54" s="228"/>
      <c r="NB54" s="228"/>
      <c r="NC54" s="228"/>
      <c r="ND54" s="228"/>
      <c r="NE54" s="228"/>
      <c r="NF54" s="228"/>
      <c r="NG54" s="228"/>
      <c r="NH54" s="228"/>
      <c r="NI54" s="228"/>
      <c r="NJ54" s="228"/>
      <c r="NK54" s="228"/>
      <c r="NL54" s="228"/>
      <c r="NM54" s="228"/>
      <c r="NN54" s="228"/>
      <c r="NO54" s="228"/>
      <c r="NP54" s="228"/>
      <c r="NQ54" s="228"/>
      <c r="NR54" s="228"/>
      <c r="NS54" s="228"/>
      <c r="NT54" s="228"/>
      <c r="NU54" s="228"/>
      <c r="NV54" s="228"/>
      <c r="NW54" s="228"/>
      <c r="NX54" s="228"/>
      <c r="NY54" s="228"/>
      <c r="NZ54" s="228"/>
      <c r="OA54" s="228"/>
      <c r="OB54" s="228"/>
      <c r="OC54" s="228"/>
      <c r="OD54" s="228"/>
      <c r="OE54" s="228"/>
      <c r="OF54" s="228"/>
      <c r="OG54" s="228"/>
      <c r="OH54" s="228"/>
      <c r="OI54" s="228"/>
      <c r="OJ54" s="228"/>
      <c r="OK54" s="228"/>
      <c r="OL54" s="228"/>
      <c r="OM54" s="228"/>
      <c r="ON54" s="228"/>
      <c r="OO54" s="228"/>
      <c r="OP54" s="228"/>
      <c r="OQ54" s="228"/>
      <c r="OR54" s="228"/>
      <c r="OS54" s="228"/>
      <c r="OT54" s="228"/>
      <c r="OU54" s="228"/>
      <c r="OV54" s="228"/>
      <c r="OW54" s="228"/>
      <c r="OX54" s="228"/>
      <c r="OY54" s="228"/>
      <c r="OZ54" s="228"/>
      <c r="PA54" s="228"/>
      <c r="PB54" s="228"/>
      <c r="PC54" s="228"/>
      <c r="PD54" s="228"/>
      <c r="PE54" s="228"/>
      <c r="PF54" s="228"/>
      <c r="PG54" s="228"/>
      <c r="PH54" s="228"/>
      <c r="PI54" s="228"/>
      <c r="PJ54" s="228"/>
      <c r="PK54" s="228"/>
      <c r="PL54" s="228"/>
      <c r="PM54" s="228"/>
      <c r="PN54" s="228"/>
      <c r="PO54" s="228"/>
      <c r="PP54" s="228"/>
      <c r="PQ54" s="228"/>
      <c r="PR54" s="228"/>
      <c r="PS54" s="228"/>
      <c r="PT54" s="228"/>
      <c r="PU54" s="228"/>
      <c r="PV54" s="228"/>
      <c r="PW54" s="228"/>
      <c r="PX54" s="228"/>
      <c r="PY54" s="228"/>
      <c r="PZ54" s="228"/>
      <c r="QA54" s="228"/>
      <c r="QB54" s="228"/>
      <c r="QC54" s="228"/>
      <c r="QD54" s="228"/>
      <c r="QE54" s="228"/>
      <c r="QF54" s="228"/>
      <c r="QG54" s="228"/>
      <c r="QH54" s="228"/>
      <c r="QI54" s="228"/>
      <c r="QJ54" s="228"/>
      <c r="QK54" s="228"/>
      <c r="QL54" s="228"/>
      <c r="QM54" s="228"/>
      <c r="QN54" s="228"/>
      <c r="QO54" s="228"/>
      <c r="QP54" s="228"/>
      <c r="QQ54" s="228"/>
      <c r="QR54" s="228"/>
      <c r="QS54" s="228"/>
      <c r="QT54" s="228"/>
      <c r="QU54" s="228"/>
      <c r="QV54" s="228"/>
      <c r="QW54" s="228"/>
      <c r="QX54" s="228"/>
      <c r="QY54" s="228"/>
      <c r="QZ54" s="228"/>
      <c r="RA54" s="228"/>
      <c r="RB54" s="228"/>
      <c r="RC54" s="228"/>
      <c r="RD54" s="228"/>
      <c r="RE54" s="228"/>
      <c r="RF54" s="228"/>
      <c r="RG54" s="228"/>
      <c r="RH54" s="228"/>
      <c r="RI54" s="228"/>
      <c r="RJ54" s="228"/>
      <c r="RK54" s="228"/>
      <c r="RL54" s="228"/>
      <c r="RM54" s="228"/>
      <c r="RN54" s="228"/>
      <c r="RO54" s="228"/>
      <c r="RP54" s="228"/>
      <c r="RQ54" s="228"/>
      <c r="RR54" s="228"/>
      <c r="RS54" s="228"/>
      <c r="RT54" s="228"/>
      <c r="RU54" s="228"/>
      <c r="RV54" s="228"/>
      <c r="RW54" s="228"/>
      <c r="RX54" s="228"/>
      <c r="RY54" s="228"/>
      <c r="RZ54" s="228"/>
      <c r="SA54" s="228"/>
      <c r="SB54" s="228"/>
      <c r="SC54" s="228"/>
      <c r="SD54" s="228"/>
      <c r="SE54" s="228"/>
      <c r="SF54" s="228"/>
      <c r="SG54" s="228"/>
    </row>
    <row r="55" spans="2:501" ht="55.5" customHeight="1">
      <c r="C55" s="227" t="s">
        <v>1971</v>
      </c>
      <c r="D55" s="225" t="s">
        <v>1972</v>
      </c>
      <c r="E55" s="225" t="s">
        <v>1973</v>
      </c>
      <c r="F55" s="225" t="s">
        <v>1974</v>
      </c>
      <c r="G55" s="225" t="s">
        <v>1740</v>
      </c>
      <c r="H55" s="225" t="s">
        <v>1741</v>
      </c>
      <c r="I55" s="226" t="s">
        <v>1975</v>
      </c>
      <c r="J55" s="226" t="s">
        <v>1976</v>
      </c>
      <c r="K55" s="225" t="s">
        <v>1977</v>
      </c>
      <c r="L55" s="225" t="s">
        <v>1745</v>
      </c>
      <c r="M55" s="226" t="s">
        <v>1978</v>
      </c>
      <c r="N55" s="228"/>
      <c r="O55" s="228"/>
      <c r="P55" s="228"/>
      <c r="Q55" s="228"/>
      <c r="R55" s="228"/>
      <c r="S55" s="228"/>
      <c r="T55" s="228"/>
      <c r="U55" s="228"/>
      <c r="V55" s="228"/>
      <c r="W55" s="228"/>
      <c r="X55" s="228"/>
      <c r="Y55" s="228"/>
      <c r="Z55" s="228"/>
      <c r="AA55" s="228"/>
      <c r="AB55" s="228"/>
      <c r="AC55" s="228"/>
      <c r="AD55" s="228"/>
      <c r="AE55" s="228"/>
      <c r="AF55" s="228"/>
      <c r="AG55" s="228"/>
      <c r="AH55" s="228"/>
      <c r="AI55" s="228"/>
      <c r="AJ55" s="228"/>
      <c r="AK55" s="228"/>
      <c r="AL55" s="228"/>
      <c r="AM55" s="228"/>
      <c r="AN55" s="228"/>
      <c r="AO55" s="228"/>
      <c r="AP55" s="228"/>
      <c r="AQ55" s="228"/>
      <c r="AR55" s="228"/>
      <c r="AS55" s="228"/>
      <c r="AT55" s="228"/>
      <c r="AU55" s="228"/>
      <c r="AV55" s="228"/>
      <c r="AW55" s="228"/>
      <c r="AX55" s="228"/>
      <c r="AY55" s="228"/>
      <c r="AZ55" s="228"/>
      <c r="BA55" s="228"/>
      <c r="BB55" s="228"/>
      <c r="BC55" s="228"/>
      <c r="BD55" s="228"/>
      <c r="BE55" s="228"/>
      <c r="BF55" s="228"/>
      <c r="BG55" s="228"/>
      <c r="BH55" s="228"/>
      <c r="BI55" s="228"/>
      <c r="BJ55" s="228"/>
      <c r="BK55" s="228"/>
      <c r="BL55" s="228"/>
      <c r="BM55" s="228"/>
      <c r="BN55" s="228"/>
      <c r="BO55" s="228"/>
      <c r="BP55" s="228"/>
      <c r="BQ55" s="228"/>
      <c r="BR55" s="228"/>
      <c r="BS55" s="228"/>
      <c r="BT55" s="228"/>
      <c r="BU55" s="228"/>
      <c r="BV55" s="228"/>
      <c r="BW55" s="228"/>
      <c r="BX55" s="228"/>
      <c r="BY55" s="228"/>
      <c r="BZ55" s="228"/>
      <c r="CA55" s="228"/>
      <c r="CB55" s="228"/>
      <c r="CC55" s="228"/>
      <c r="CD55" s="228"/>
      <c r="CE55" s="228"/>
      <c r="CF55" s="228"/>
      <c r="CG55" s="228"/>
      <c r="CH55" s="228"/>
      <c r="CI55" s="228"/>
      <c r="CJ55" s="228"/>
      <c r="CK55" s="228"/>
      <c r="CL55" s="228"/>
      <c r="CM55" s="228"/>
      <c r="CN55" s="228"/>
      <c r="CO55" s="228"/>
      <c r="CP55" s="228"/>
      <c r="CQ55" s="228"/>
      <c r="CR55" s="228"/>
      <c r="CS55" s="228"/>
      <c r="CT55" s="228"/>
      <c r="CU55" s="228"/>
      <c r="CV55" s="228"/>
      <c r="CW55" s="228"/>
      <c r="CX55" s="228"/>
      <c r="CY55" s="228"/>
      <c r="CZ55" s="228"/>
      <c r="DA55" s="228"/>
      <c r="DB55" s="228"/>
      <c r="DC55" s="228"/>
      <c r="DD55" s="228"/>
      <c r="DE55" s="228"/>
      <c r="DF55" s="228"/>
      <c r="DG55" s="228"/>
      <c r="DH55" s="228"/>
      <c r="DI55" s="228"/>
      <c r="DJ55" s="228"/>
      <c r="DK55" s="228"/>
      <c r="DL55" s="228"/>
      <c r="DM55" s="228"/>
      <c r="DN55" s="228"/>
      <c r="DO55" s="228"/>
      <c r="DP55" s="228"/>
      <c r="DQ55" s="228"/>
      <c r="DR55" s="228"/>
      <c r="DS55" s="228"/>
      <c r="DT55" s="228"/>
      <c r="DU55" s="228"/>
      <c r="DV55" s="228"/>
      <c r="DW55" s="228"/>
      <c r="DX55" s="228"/>
      <c r="DY55" s="228"/>
      <c r="DZ55" s="228"/>
      <c r="EA55" s="228"/>
      <c r="EB55" s="228"/>
      <c r="EC55" s="228"/>
      <c r="ED55" s="228"/>
      <c r="EE55" s="228"/>
      <c r="EF55" s="228"/>
      <c r="EG55" s="228"/>
      <c r="EH55" s="228"/>
      <c r="EI55" s="228"/>
      <c r="EJ55" s="228"/>
      <c r="EK55" s="228"/>
      <c r="EL55" s="228"/>
      <c r="EM55" s="228"/>
      <c r="EN55" s="228"/>
      <c r="EO55" s="228"/>
      <c r="EP55" s="228"/>
      <c r="EQ55" s="228"/>
      <c r="ER55" s="228"/>
      <c r="ES55" s="228"/>
      <c r="ET55" s="228"/>
      <c r="EU55" s="228"/>
      <c r="EV55" s="228"/>
      <c r="EW55" s="228"/>
      <c r="EX55" s="228"/>
      <c r="EY55" s="228"/>
      <c r="EZ55" s="228"/>
      <c r="FA55" s="228"/>
      <c r="FB55" s="228"/>
      <c r="FC55" s="228"/>
      <c r="FD55" s="228"/>
      <c r="FE55" s="228"/>
      <c r="FF55" s="228"/>
      <c r="FG55" s="228"/>
      <c r="FH55" s="228"/>
      <c r="FI55" s="228"/>
      <c r="FJ55" s="228"/>
      <c r="FK55" s="228"/>
      <c r="FL55" s="228"/>
      <c r="FM55" s="228"/>
      <c r="FN55" s="228"/>
      <c r="FO55" s="228"/>
      <c r="FP55" s="228"/>
      <c r="FQ55" s="228"/>
      <c r="FR55" s="228"/>
      <c r="FS55" s="228"/>
      <c r="FT55" s="228"/>
      <c r="FU55" s="228"/>
      <c r="FV55" s="228"/>
      <c r="FW55" s="228"/>
      <c r="FX55" s="228"/>
      <c r="FY55" s="228"/>
      <c r="FZ55" s="228"/>
      <c r="GA55" s="228"/>
      <c r="GB55" s="228"/>
      <c r="GC55" s="228"/>
      <c r="GD55" s="228"/>
      <c r="GE55" s="228"/>
      <c r="GF55" s="228"/>
      <c r="GG55" s="228"/>
      <c r="GH55" s="228"/>
      <c r="GI55" s="228"/>
      <c r="GJ55" s="228"/>
      <c r="GK55" s="228"/>
      <c r="GL55" s="228"/>
      <c r="GM55" s="228"/>
      <c r="GN55" s="228"/>
      <c r="GO55" s="228"/>
      <c r="GP55" s="228"/>
      <c r="GQ55" s="228"/>
      <c r="GR55" s="228"/>
      <c r="GS55" s="228"/>
      <c r="GT55" s="228"/>
      <c r="GU55" s="228"/>
      <c r="GV55" s="228"/>
      <c r="GW55" s="228"/>
      <c r="GX55" s="228"/>
      <c r="GY55" s="228"/>
      <c r="GZ55" s="228"/>
      <c r="HA55" s="228"/>
      <c r="HB55" s="228"/>
      <c r="HC55" s="228"/>
      <c r="HD55" s="228"/>
      <c r="HE55" s="228"/>
      <c r="HF55" s="228"/>
      <c r="HG55" s="228"/>
      <c r="HH55" s="228"/>
      <c r="HI55" s="228"/>
      <c r="HJ55" s="228"/>
      <c r="HK55" s="228"/>
      <c r="HL55" s="228"/>
      <c r="HM55" s="228"/>
      <c r="HN55" s="228"/>
      <c r="HO55" s="228"/>
      <c r="HP55" s="228"/>
      <c r="HQ55" s="228"/>
      <c r="HR55" s="228"/>
      <c r="HS55" s="228"/>
      <c r="HT55" s="228"/>
      <c r="HU55" s="228"/>
      <c r="HV55" s="228"/>
      <c r="HW55" s="228"/>
      <c r="HX55" s="228"/>
      <c r="HY55" s="228"/>
      <c r="HZ55" s="228"/>
      <c r="IA55" s="228"/>
      <c r="IB55" s="228"/>
      <c r="IC55" s="228"/>
      <c r="ID55" s="228"/>
      <c r="IE55" s="228"/>
      <c r="IF55" s="228"/>
      <c r="IG55" s="228"/>
      <c r="IH55" s="228"/>
      <c r="II55" s="228"/>
      <c r="IJ55" s="228"/>
      <c r="IK55" s="228"/>
      <c r="IL55" s="228"/>
      <c r="IM55" s="228"/>
      <c r="IN55" s="228"/>
      <c r="IO55" s="228"/>
      <c r="IP55" s="228"/>
      <c r="IQ55" s="228"/>
      <c r="IR55" s="228"/>
      <c r="IS55" s="228"/>
      <c r="IT55" s="228"/>
      <c r="IU55" s="228"/>
      <c r="IV55" s="228"/>
      <c r="IW55" s="228"/>
      <c r="IX55" s="228"/>
      <c r="IY55" s="228"/>
      <c r="IZ55" s="228"/>
      <c r="JA55" s="228"/>
      <c r="JB55" s="228"/>
      <c r="JC55" s="228"/>
      <c r="JD55" s="228"/>
      <c r="JE55" s="228"/>
      <c r="JF55" s="228"/>
      <c r="JG55" s="228"/>
      <c r="JH55" s="228"/>
      <c r="JI55" s="228"/>
      <c r="JJ55" s="228"/>
      <c r="JK55" s="228"/>
      <c r="JL55" s="228"/>
      <c r="JM55" s="228"/>
      <c r="JN55" s="228"/>
      <c r="JO55" s="228"/>
      <c r="JP55" s="228"/>
      <c r="JQ55" s="228"/>
      <c r="JR55" s="228"/>
      <c r="JS55" s="228"/>
      <c r="JT55" s="228"/>
      <c r="JU55" s="228"/>
      <c r="JV55" s="228"/>
      <c r="JW55" s="228"/>
      <c r="JX55" s="228"/>
      <c r="JY55" s="228"/>
      <c r="JZ55" s="228"/>
      <c r="KA55" s="228"/>
      <c r="KB55" s="228"/>
      <c r="KC55" s="228"/>
      <c r="KD55" s="228"/>
      <c r="KE55" s="228"/>
      <c r="KF55" s="228"/>
      <c r="KG55" s="228"/>
      <c r="KH55" s="228"/>
      <c r="KI55" s="228"/>
      <c r="KJ55" s="228"/>
      <c r="KK55" s="228"/>
      <c r="KL55" s="228"/>
      <c r="KM55" s="228"/>
      <c r="KN55" s="228"/>
      <c r="KO55" s="228"/>
      <c r="KP55" s="228"/>
      <c r="KQ55" s="228"/>
      <c r="KR55" s="228"/>
      <c r="KS55" s="228"/>
      <c r="KT55" s="228"/>
      <c r="KU55" s="228"/>
      <c r="KV55" s="228"/>
      <c r="KW55" s="228"/>
      <c r="KX55" s="228"/>
      <c r="KY55" s="228"/>
      <c r="KZ55" s="228"/>
      <c r="LA55" s="228"/>
      <c r="LB55" s="228"/>
      <c r="LC55" s="228"/>
      <c r="LD55" s="228"/>
      <c r="LE55" s="228"/>
      <c r="LF55" s="228"/>
      <c r="LG55" s="228"/>
      <c r="LH55" s="228"/>
      <c r="LI55" s="228"/>
      <c r="LJ55" s="228"/>
      <c r="LK55" s="228"/>
      <c r="LL55" s="228"/>
      <c r="LM55" s="228"/>
      <c r="LN55" s="228"/>
      <c r="LO55" s="228"/>
      <c r="LP55" s="228"/>
      <c r="LQ55" s="228"/>
      <c r="LR55" s="228"/>
      <c r="LS55" s="228"/>
      <c r="LT55" s="228"/>
      <c r="LU55" s="228"/>
      <c r="LV55" s="228"/>
      <c r="LW55" s="228"/>
      <c r="LX55" s="228"/>
      <c r="LY55" s="228"/>
      <c r="LZ55" s="228"/>
      <c r="MA55" s="228"/>
      <c r="MB55" s="228"/>
      <c r="MC55" s="228"/>
      <c r="MD55" s="228"/>
      <c r="ME55" s="228"/>
      <c r="MF55" s="228"/>
      <c r="MG55" s="228"/>
      <c r="MH55" s="228"/>
      <c r="MI55" s="228"/>
      <c r="MJ55" s="228"/>
      <c r="MK55" s="228"/>
      <c r="ML55" s="228"/>
      <c r="MM55" s="228"/>
      <c r="MN55" s="228"/>
      <c r="MO55" s="228"/>
      <c r="MP55" s="228"/>
      <c r="MQ55" s="228"/>
      <c r="MR55" s="228"/>
      <c r="MS55" s="228"/>
      <c r="MT55" s="228"/>
      <c r="MU55" s="228"/>
      <c r="MV55" s="228"/>
      <c r="MW55" s="228"/>
      <c r="MX55" s="228"/>
      <c r="MY55" s="228"/>
      <c r="MZ55" s="228"/>
      <c r="NA55" s="228"/>
      <c r="NB55" s="228"/>
      <c r="NC55" s="228"/>
      <c r="ND55" s="228"/>
      <c r="NE55" s="228"/>
      <c r="NF55" s="228"/>
      <c r="NG55" s="228"/>
      <c r="NH55" s="228"/>
      <c r="NI55" s="228"/>
      <c r="NJ55" s="228"/>
      <c r="NK55" s="228"/>
      <c r="NL55" s="228"/>
      <c r="NM55" s="228"/>
      <c r="NN55" s="228"/>
      <c r="NO55" s="228"/>
      <c r="NP55" s="228"/>
      <c r="NQ55" s="228"/>
      <c r="NR55" s="228"/>
      <c r="NS55" s="228"/>
      <c r="NT55" s="228"/>
      <c r="NU55" s="228"/>
      <c r="NV55" s="228"/>
      <c r="NW55" s="228"/>
      <c r="NX55" s="228"/>
      <c r="NY55" s="228"/>
      <c r="NZ55" s="228"/>
      <c r="OA55" s="228"/>
      <c r="OB55" s="228"/>
      <c r="OC55" s="228"/>
      <c r="OD55" s="228"/>
      <c r="OE55" s="228"/>
      <c r="OF55" s="228"/>
      <c r="OG55" s="228"/>
      <c r="OH55" s="228"/>
      <c r="OI55" s="228"/>
      <c r="OJ55" s="228"/>
      <c r="OK55" s="228"/>
      <c r="OL55" s="228"/>
      <c r="OM55" s="228"/>
      <c r="ON55" s="228"/>
      <c r="OO55" s="228"/>
      <c r="OP55" s="228"/>
      <c r="OQ55" s="228"/>
      <c r="OR55" s="228"/>
      <c r="OS55" s="228"/>
      <c r="OT55" s="228"/>
      <c r="OU55" s="228"/>
      <c r="OV55" s="228"/>
      <c r="OW55" s="228"/>
      <c r="OX55" s="228"/>
      <c r="OY55" s="228"/>
      <c r="OZ55" s="228"/>
      <c r="PA55" s="228"/>
      <c r="PB55" s="228"/>
      <c r="PC55" s="228"/>
      <c r="PD55" s="228"/>
      <c r="PE55" s="228"/>
      <c r="PF55" s="228"/>
      <c r="PG55" s="228"/>
      <c r="PH55" s="228"/>
      <c r="PI55" s="228"/>
      <c r="PJ55" s="228"/>
      <c r="PK55" s="228"/>
      <c r="PL55" s="228"/>
      <c r="PM55" s="228"/>
      <c r="PN55" s="228"/>
      <c r="PO55" s="228"/>
      <c r="PP55" s="228"/>
      <c r="PQ55" s="228"/>
      <c r="PR55" s="228"/>
      <c r="PS55" s="228"/>
      <c r="PT55" s="228"/>
      <c r="PU55" s="228"/>
      <c r="PV55" s="228"/>
      <c r="PW55" s="228"/>
      <c r="PX55" s="228"/>
      <c r="PY55" s="228"/>
      <c r="PZ55" s="228"/>
      <c r="QA55" s="228"/>
      <c r="QB55" s="228"/>
      <c r="QC55" s="228"/>
      <c r="QD55" s="228"/>
      <c r="QE55" s="228"/>
      <c r="QF55" s="228"/>
      <c r="QG55" s="228"/>
      <c r="QH55" s="228"/>
      <c r="QI55" s="228"/>
      <c r="QJ55" s="228"/>
      <c r="QK55" s="228"/>
      <c r="QL55" s="228"/>
      <c r="QM55" s="228"/>
      <c r="QN55" s="228"/>
      <c r="QO55" s="228"/>
      <c r="QP55" s="228"/>
      <c r="QQ55" s="228"/>
      <c r="QR55" s="228"/>
      <c r="QS55" s="228"/>
      <c r="QT55" s="228"/>
      <c r="QU55" s="228"/>
      <c r="QV55" s="228"/>
      <c r="QW55" s="228"/>
      <c r="QX55" s="228"/>
      <c r="QY55" s="228"/>
      <c r="QZ55" s="228"/>
      <c r="RA55" s="228"/>
      <c r="RB55" s="228"/>
      <c r="RC55" s="228"/>
      <c r="RD55" s="228"/>
      <c r="RE55" s="228"/>
      <c r="RF55" s="228"/>
      <c r="RG55" s="228"/>
      <c r="RH55" s="228"/>
      <c r="RI55" s="228"/>
      <c r="RJ55" s="228"/>
      <c r="RK55" s="228"/>
      <c r="RL55" s="228"/>
      <c r="RM55" s="228"/>
      <c r="RN55" s="228"/>
      <c r="RO55" s="228"/>
      <c r="RP55" s="228"/>
      <c r="RQ55" s="228"/>
      <c r="RR55" s="228"/>
      <c r="RS55" s="228"/>
      <c r="RT55" s="228"/>
      <c r="RU55" s="228"/>
      <c r="RV55" s="228"/>
      <c r="RW55" s="228"/>
      <c r="RX55" s="228"/>
      <c r="RY55" s="228"/>
      <c r="RZ55" s="228"/>
      <c r="SA55" s="228"/>
      <c r="SB55" s="228"/>
      <c r="SC55" s="228"/>
      <c r="SD55" s="228"/>
      <c r="SE55" s="228"/>
      <c r="SF55" s="228"/>
      <c r="SG55" s="228"/>
    </row>
    <row r="56" spans="2:501" ht="97.5" customHeight="1">
      <c r="C56" s="227" t="s">
        <v>1979</v>
      </c>
      <c r="D56" s="225" t="s">
        <v>1980</v>
      </c>
      <c r="E56" s="225" t="s">
        <v>1981</v>
      </c>
      <c r="F56" s="225" t="s">
        <v>1982</v>
      </c>
      <c r="G56" s="225" t="s">
        <v>1740</v>
      </c>
      <c r="H56" s="225" t="s">
        <v>1741</v>
      </c>
      <c r="I56" s="226" t="s">
        <v>1983</v>
      </c>
      <c r="J56" s="226" t="s">
        <v>1984</v>
      </c>
      <c r="K56" s="225" t="s">
        <v>1977</v>
      </c>
      <c r="L56" s="225" t="s">
        <v>1760</v>
      </c>
      <c r="M56" s="226" t="s">
        <v>1985</v>
      </c>
      <c r="N56" s="228"/>
      <c r="O56" s="228"/>
      <c r="P56" s="228"/>
      <c r="Q56" s="228"/>
      <c r="R56" s="228"/>
      <c r="S56" s="228"/>
      <c r="T56" s="228"/>
      <c r="U56" s="228"/>
      <c r="V56" s="228"/>
      <c r="W56" s="228"/>
      <c r="X56" s="228"/>
      <c r="Y56" s="228"/>
      <c r="Z56" s="228"/>
      <c r="AA56" s="228"/>
      <c r="AB56" s="228"/>
      <c r="AC56" s="228"/>
      <c r="AD56" s="228"/>
      <c r="AE56" s="228"/>
      <c r="AF56" s="228"/>
      <c r="AG56" s="228"/>
      <c r="AH56" s="228"/>
      <c r="AI56" s="228"/>
      <c r="AJ56" s="228"/>
      <c r="AK56" s="228"/>
      <c r="AL56" s="228"/>
      <c r="AM56" s="228"/>
      <c r="AN56" s="228"/>
      <c r="AO56" s="228"/>
      <c r="AP56" s="228"/>
      <c r="AQ56" s="228"/>
      <c r="AR56" s="228"/>
      <c r="AS56" s="228"/>
      <c r="AT56" s="228"/>
      <c r="AU56" s="228"/>
      <c r="AV56" s="228"/>
      <c r="AW56" s="228"/>
      <c r="AX56" s="228"/>
      <c r="AY56" s="228"/>
      <c r="AZ56" s="228"/>
      <c r="BA56" s="228"/>
      <c r="BB56" s="228"/>
      <c r="BC56" s="228"/>
      <c r="BD56" s="228"/>
      <c r="BE56" s="228"/>
      <c r="BF56" s="228"/>
      <c r="BG56" s="228"/>
      <c r="BH56" s="228"/>
      <c r="BI56" s="228"/>
      <c r="BJ56" s="228"/>
      <c r="BK56" s="228"/>
      <c r="BL56" s="228"/>
      <c r="BM56" s="228"/>
      <c r="BN56" s="228"/>
      <c r="BO56" s="228"/>
      <c r="BP56" s="228"/>
      <c r="BQ56" s="228"/>
      <c r="BR56" s="228"/>
      <c r="BS56" s="228"/>
      <c r="BT56" s="228"/>
      <c r="BU56" s="228"/>
      <c r="BV56" s="228"/>
      <c r="BW56" s="228"/>
      <c r="BX56" s="228"/>
      <c r="BY56" s="228"/>
      <c r="BZ56" s="228"/>
      <c r="CA56" s="228"/>
      <c r="CB56" s="228"/>
      <c r="CC56" s="228"/>
      <c r="CD56" s="228"/>
      <c r="CE56" s="228"/>
      <c r="CF56" s="228"/>
      <c r="CG56" s="228"/>
      <c r="CH56" s="228"/>
      <c r="CI56" s="228"/>
      <c r="CJ56" s="228"/>
      <c r="CK56" s="228"/>
      <c r="CL56" s="228"/>
      <c r="CM56" s="228"/>
      <c r="CN56" s="228"/>
      <c r="CO56" s="228"/>
      <c r="CP56" s="228"/>
      <c r="CQ56" s="228"/>
      <c r="CR56" s="228"/>
      <c r="CS56" s="228"/>
      <c r="CT56" s="228"/>
      <c r="CU56" s="228"/>
      <c r="CV56" s="228"/>
      <c r="CW56" s="228"/>
      <c r="CX56" s="228"/>
      <c r="CY56" s="228"/>
      <c r="CZ56" s="228"/>
      <c r="DA56" s="228"/>
      <c r="DB56" s="228"/>
      <c r="DC56" s="228"/>
      <c r="DD56" s="228"/>
      <c r="DE56" s="228"/>
      <c r="DF56" s="228"/>
      <c r="DG56" s="228"/>
      <c r="DH56" s="228"/>
      <c r="DI56" s="228"/>
      <c r="DJ56" s="228"/>
      <c r="DK56" s="228"/>
      <c r="DL56" s="228"/>
      <c r="DM56" s="228"/>
      <c r="DN56" s="228"/>
      <c r="DO56" s="228"/>
      <c r="DP56" s="228"/>
      <c r="DQ56" s="228"/>
      <c r="DR56" s="228"/>
      <c r="DS56" s="228"/>
      <c r="DT56" s="228"/>
      <c r="DU56" s="228"/>
      <c r="DV56" s="228"/>
      <c r="DW56" s="228"/>
      <c r="DX56" s="228"/>
      <c r="DY56" s="228"/>
      <c r="DZ56" s="228"/>
      <c r="EA56" s="228"/>
      <c r="EB56" s="228"/>
      <c r="EC56" s="228"/>
      <c r="ED56" s="228"/>
      <c r="EE56" s="228"/>
      <c r="EF56" s="228"/>
      <c r="EG56" s="228"/>
      <c r="EH56" s="228"/>
      <c r="EI56" s="228"/>
      <c r="EJ56" s="228"/>
      <c r="EK56" s="228"/>
      <c r="EL56" s="228"/>
      <c r="EM56" s="228"/>
      <c r="EN56" s="228"/>
      <c r="EO56" s="228"/>
      <c r="EP56" s="228"/>
      <c r="EQ56" s="228"/>
      <c r="ER56" s="228"/>
      <c r="ES56" s="228"/>
      <c r="ET56" s="228"/>
      <c r="EU56" s="228"/>
      <c r="EV56" s="228"/>
      <c r="EW56" s="228"/>
      <c r="EX56" s="228"/>
      <c r="EY56" s="228"/>
      <c r="EZ56" s="228"/>
      <c r="FA56" s="228"/>
      <c r="FB56" s="228"/>
      <c r="FC56" s="228"/>
      <c r="FD56" s="228"/>
      <c r="FE56" s="228"/>
      <c r="FF56" s="228"/>
      <c r="FG56" s="228"/>
      <c r="FH56" s="228"/>
      <c r="FI56" s="228"/>
      <c r="FJ56" s="228"/>
      <c r="FK56" s="228"/>
      <c r="FL56" s="228"/>
      <c r="FM56" s="228"/>
      <c r="FN56" s="228"/>
      <c r="FO56" s="228"/>
      <c r="FP56" s="228"/>
      <c r="FQ56" s="228"/>
      <c r="FR56" s="228"/>
      <c r="FS56" s="228"/>
      <c r="FT56" s="228"/>
      <c r="FU56" s="228"/>
      <c r="FV56" s="228"/>
      <c r="FW56" s="228"/>
      <c r="FX56" s="228"/>
      <c r="FY56" s="228"/>
      <c r="FZ56" s="228"/>
      <c r="GA56" s="228"/>
      <c r="GB56" s="228"/>
      <c r="GC56" s="228"/>
      <c r="GD56" s="228"/>
      <c r="GE56" s="228"/>
      <c r="GF56" s="228"/>
      <c r="GG56" s="228"/>
      <c r="GH56" s="228"/>
      <c r="GI56" s="228"/>
      <c r="GJ56" s="228"/>
      <c r="GK56" s="228"/>
      <c r="GL56" s="228"/>
      <c r="GM56" s="228"/>
      <c r="GN56" s="228"/>
      <c r="GO56" s="228"/>
      <c r="GP56" s="228"/>
      <c r="GQ56" s="228"/>
      <c r="GR56" s="228"/>
      <c r="GS56" s="228"/>
      <c r="GT56" s="228"/>
      <c r="GU56" s="228"/>
      <c r="GV56" s="228"/>
      <c r="GW56" s="228"/>
      <c r="GX56" s="228"/>
      <c r="GY56" s="228"/>
      <c r="GZ56" s="228"/>
      <c r="HA56" s="228"/>
      <c r="HB56" s="228"/>
      <c r="HC56" s="228"/>
      <c r="HD56" s="228"/>
      <c r="HE56" s="228"/>
      <c r="HF56" s="228"/>
      <c r="HG56" s="228"/>
      <c r="HH56" s="228"/>
      <c r="HI56" s="228"/>
      <c r="HJ56" s="228"/>
      <c r="HK56" s="228"/>
      <c r="HL56" s="228"/>
      <c r="HM56" s="228"/>
      <c r="HN56" s="228"/>
      <c r="HO56" s="228"/>
      <c r="HP56" s="228"/>
      <c r="HQ56" s="228"/>
      <c r="HR56" s="228"/>
      <c r="HS56" s="228"/>
      <c r="HT56" s="228"/>
      <c r="HU56" s="228"/>
      <c r="HV56" s="228"/>
      <c r="HW56" s="228"/>
      <c r="HX56" s="228"/>
      <c r="HY56" s="228"/>
      <c r="HZ56" s="228"/>
      <c r="IA56" s="228"/>
      <c r="IB56" s="228"/>
      <c r="IC56" s="228"/>
      <c r="ID56" s="228"/>
      <c r="IE56" s="228"/>
      <c r="IF56" s="228"/>
      <c r="IG56" s="228"/>
      <c r="IH56" s="228"/>
      <c r="II56" s="228"/>
      <c r="IJ56" s="228"/>
      <c r="IK56" s="228"/>
      <c r="IL56" s="228"/>
      <c r="IM56" s="228"/>
      <c r="IN56" s="228"/>
      <c r="IO56" s="228"/>
      <c r="IP56" s="228"/>
      <c r="IQ56" s="228"/>
      <c r="IR56" s="228"/>
      <c r="IS56" s="228"/>
      <c r="IT56" s="228"/>
      <c r="IU56" s="228"/>
      <c r="IV56" s="228"/>
      <c r="IW56" s="228"/>
      <c r="IX56" s="228"/>
      <c r="IY56" s="228"/>
      <c r="IZ56" s="228"/>
      <c r="JA56" s="228"/>
      <c r="JB56" s="228"/>
      <c r="JC56" s="228"/>
      <c r="JD56" s="228"/>
      <c r="JE56" s="228"/>
      <c r="JF56" s="228"/>
      <c r="JG56" s="228"/>
      <c r="JH56" s="228"/>
      <c r="JI56" s="228"/>
      <c r="JJ56" s="228"/>
      <c r="JK56" s="228"/>
      <c r="JL56" s="228"/>
      <c r="JM56" s="228"/>
      <c r="JN56" s="228"/>
      <c r="JO56" s="228"/>
      <c r="JP56" s="228"/>
      <c r="JQ56" s="228"/>
      <c r="JR56" s="228"/>
      <c r="JS56" s="228"/>
      <c r="JT56" s="228"/>
      <c r="JU56" s="228"/>
      <c r="JV56" s="228"/>
      <c r="JW56" s="228"/>
      <c r="JX56" s="228"/>
      <c r="JY56" s="228"/>
      <c r="JZ56" s="228"/>
      <c r="KA56" s="228"/>
      <c r="KB56" s="228"/>
      <c r="KC56" s="228"/>
      <c r="KD56" s="228"/>
      <c r="KE56" s="228"/>
      <c r="KF56" s="228"/>
      <c r="KG56" s="228"/>
      <c r="KH56" s="228"/>
      <c r="KI56" s="228"/>
      <c r="KJ56" s="228"/>
      <c r="KK56" s="228"/>
      <c r="KL56" s="228"/>
      <c r="KM56" s="228"/>
      <c r="KN56" s="228"/>
      <c r="KO56" s="228"/>
      <c r="KP56" s="228"/>
      <c r="KQ56" s="228"/>
      <c r="KR56" s="228"/>
      <c r="KS56" s="228"/>
      <c r="KT56" s="228"/>
      <c r="KU56" s="228"/>
      <c r="KV56" s="228"/>
      <c r="KW56" s="228"/>
      <c r="KX56" s="228"/>
      <c r="KY56" s="228"/>
      <c r="KZ56" s="228"/>
      <c r="LA56" s="228"/>
      <c r="LB56" s="228"/>
      <c r="LC56" s="228"/>
      <c r="LD56" s="228"/>
      <c r="LE56" s="228"/>
      <c r="LF56" s="228"/>
      <c r="LG56" s="228"/>
      <c r="LH56" s="228"/>
      <c r="LI56" s="228"/>
      <c r="LJ56" s="228"/>
      <c r="LK56" s="228"/>
      <c r="LL56" s="228"/>
      <c r="LM56" s="228"/>
      <c r="LN56" s="228"/>
      <c r="LO56" s="228"/>
      <c r="LP56" s="228"/>
      <c r="LQ56" s="228"/>
      <c r="LR56" s="228"/>
      <c r="LS56" s="228"/>
      <c r="LT56" s="228"/>
      <c r="LU56" s="228"/>
      <c r="LV56" s="228"/>
      <c r="LW56" s="228"/>
      <c r="LX56" s="228"/>
      <c r="LY56" s="228"/>
      <c r="LZ56" s="228"/>
      <c r="MA56" s="228"/>
      <c r="MB56" s="228"/>
      <c r="MC56" s="228"/>
      <c r="MD56" s="228"/>
      <c r="ME56" s="228"/>
      <c r="MF56" s="228"/>
      <c r="MG56" s="228"/>
      <c r="MH56" s="228"/>
      <c r="MI56" s="228"/>
      <c r="MJ56" s="228"/>
      <c r="MK56" s="228"/>
      <c r="ML56" s="228"/>
      <c r="MM56" s="228"/>
      <c r="MN56" s="228"/>
      <c r="MO56" s="228"/>
      <c r="MP56" s="228"/>
      <c r="MQ56" s="228"/>
      <c r="MR56" s="228"/>
      <c r="MS56" s="228"/>
      <c r="MT56" s="228"/>
      <c r="MU56" s="228"/>
      <c r="MV56" s="228"/>
      <c r="MW56" s="228"/>
      <c r="MX56" s="228"/>
      <c r="MY56" s="228"/>
      <c r="MZ56" s="228"/>
      <c r="NA56" s="228"/>
      <c r="NB56" s="228"/>
      <c r="NC56" s="228"/>
      <c r="ND56" s="228"/>
      <c r="NE56" s="228"/>
      <c r="NF56" s="228"/>
      <c r="NG56" s="228"/>
      <c r="NH56" s="228"/>
      <c r="NI56" s="228"/>
      <c r="NJ56" s="228"/>
      <c r="NK56" s="228"/>
      <c r="NL56" s="228"/>
      <c r="NM56" s="228"/>
      <c r="NN56" s="228"/>
      <c r="NO56" s="228"/>
      <c r="NP56" s="228"/>
      <c r="NQ56" s="228"/>
      <c r="NR56" s="228"/>
      <c r="NS56" s="228"/>
      <c r="NT56" s="228"/>
      <c r="NU56" s="228"/>
      <c r="NV56" s="228"/>
      <c r="NW56" s="228"/>
      <c r="NX56" s="228"/>
      <c r="NY56" s="228"/>
      <c r="NZ56" s="228"/>
      <c r="OA56" s="228"/>
      <c r="OB56" s="228"/>
      <c r="OC56" s="228"/>
      <c r="OD56" s="228"/>
      <c r="OE56" s="228"/>
      <c r="OF56" s="228"/>
      <c r="OG56" s="228"/>
      <c r="OH56" s="228"/>
      <c r="OI56" s="228"/>
      <c r="OJ56" s="228"/>
      <c r="OK56" s="228"/>
      <c r="OL56" s="228"/>
      <c r="OM56" s="228"/>
      <c r="ON56" s="228"/>
      <c r="OO56" s="228"/>
      <c r="OP56" s="228"/>
      <c r="OQ56" s="228"/>
      <c r="OR56" s="228"/>
      <c r="OS56" s="228"/>
      <c r="OT56" s="228"/>
      <c r="OU56" s="228"/>
      <c r="OV56" s="228"/>
      <c r="OW56" s="228"/>
      <c r="OX56" s="228"/>
      <c r="OY56" s="228"/>
      <c r="OZ56" s="228"/>
      <c r="PA56" s="228"/>
      <c r="PB56" s="228"/>
      <c r="PC56" s="228"/>
      <c r="PD56" s="228"/>
      <c r="PE56" s="228"/>
      <c r="PF56" s="228"/>
      <c r="PG56" s="228"/>
      <c r="PH56" s="228"/>
      <c r="PI56" s="228"/>
      <c r="PJ56" s="228"/>
      <c r="PK56" s="228"/>
      <c r="PL56" s="228"/>
      <c r="PM56" s="228"/>
      <c r="PN56" s="228"/>
      <c r="PO56" s="228"/>
      <c r="PP56" s="228"/>
      <c r="PQ56" s="228"/>
      <c r="PR56" s="228"/>
      <c r="PS56" s="228"/>
      <c r="PT56" s="228"/>
      <c r="PU56" s="228"/>
      <c r="PV56" s="228"/>
      <c r="PW56" s="228"/>
      <c r="PX56" s="228"/>
      <c r="PY56" s="228"/>
      <c r="PZ56" s="228"/>
      <c r="QA56" s="228"/>
      <c r="QB56" s="228"/>
      <c r="QC56" s="228"/>
      <c r="QD56" s="228"/>
      <c r="QE56" s="228"/>
      <c r="QF56" s="228"/>
      <c r="QG56" s="228"/>
      <c r="QH56" s="228"/>
      <c r="QI56" s="228"/>
      <c r="QJ56" s="228"/>
      <c r="QK56" s="228"/>
      <c r="QL56" s="228"/>
      <c r="QM56" s="228"/>
      <c r="QN56" s="228"/>
      <c r="QO56" s="228"/>
      <c r="QP56" s="228"/>
      <c r="QQ56" s="228"/>
      <c r="QR56" s="228"/>
      <c r="QS56" s="228"/>
      <c r="QT56" s="228"/>
      <c r="QU56" s="228"/>
      <c r="QV56" s="228"/>
      <c r="QW56" s="228"/>
      <c r="QX56" s="228"/>
      <c r="QY56" s="228"/>
      <c r="QZ56" s="228"/>
      <c r="RA56" s="228"/>
      <c r="RB56" s="228"/>
      <c r="RC56" s="228"/>
      <c r="RD56" s="228"/>
      <c r="RE56" s="228"/>
      <c r="RF56" s="228"/>
      <c r="RG56" s="228"/>
      <c r="RH56" s="228"/>
      <c r="RI56" s="228"/>
      <c r="RJ56" s="228"/>
      <c r="RK56" s="228"/>
      <c r="RL56" s="228"/>
      <c r="RM56" s="228"/>
      <c r="RN56" s="228"/>
      <c r="RO56" s="228"/>
      <c r="RP56" s="228"/>
      <c r="RQ56" s="228"/>
      <c r="RR56" s="228"/>
      <c r="RS56" s="228"/>
      <c r="RT56" s="228"/>
      <c r="RU56" s="228"/>
      <c r="RV56" s="228"/>
      <c r="RW56" s="228"/>
      <c r="RX56" s="228"/>
      <c r="RY56" s="228"/>
      <c r="RZ56" s="228"/>
      <c r="SA56" s="228"/>
      <c r="SB56" s="228"/>
      <c r="SC56" s="228"/>
      <c r="SD56" s="228"/>
      <c r="SE56" s="228"/>
      <c r="SF56" s="228"/>
      <c r="SG56" s="228"/>
    </row>
    <row r="57" spans="2:501" ht="69.75" customHeight="1">
      <c r="C57" s="227" t="s">
        <v>1986</v>
      </c>
      <c r="D57" s="225" t="s">
        <v>1987</v>
      </c>
      <c r="E57" s="225" t="s">
        <v>1988</v>
      </c>
      <c r="F57" s="225" t="s">
        <v>1989</v>
      </c>
      <c r="G57" s="225" t="s">
        <v>1740</v>
      </c>
      <c r="H57" s="225" t="s">
        <v>1741</v>
      </c>
      <c r="I57" s="226" t="s">
        <v>1990</v>
      </c>
      <c r="J57" s="226" t="s">
        <v>1991</v>
      </c>
      <c r="K57" s="225" t="s">
        <v>1977</v>
      </c>
      <c r="L57" s="225" t="s">
        <v>1745</v>
      </c>
      <c r="M57" s="226" t="s">
        <v>1992</v>
      </c>
      <c r="N57" s="228"/>
      <c r="O57" s="228"/>
      <c r="P57" s="228"/>
      <c r="Q57" s="228"/>
      <c r="R57" s="228"/>
      <c r="S57" s="228"/>
      <c r="T57" s="228"/>
      <c r="U57" s="228"/>
      <c r="V57" s="228"/>
      <c r="W57" s="228"/>
      <c r="X57" s="228"/>
      <c r="Y57" s="228"/>
      <c r="Z57" s="228"/>
      <c r="AA57" s="228"/>
      <c r="AB57" s="228"/>
      <c r="AC57" s="228"/>
      <c r="AD57" s="228"/>
      <c r="AE57" s="228"/>
      <c r="AF57" s="228"/>
      <c r="AG57" s="228"/>
      <c r="AH57" s="228"/>
      <c r="AI57" s="228"/>
      <c r="AJ57" s="228"/>
      <c r="AK57" s="228"/>
      <c r="AL57" s="228"/>
      <c r="AM57" s="228"/>
      <c r="AN57" s="228"/>
      <c r="AO57" s="228"/>
      <c r="AP57" s="228"/>
      <c r="AQ57" s="228"/>
      <c r="AR57" s="228"/>
      <c r="AS57" s="228"/>
      <c r="AT57" s="228"/>
      <c r="AU57" s="228"/>
      <c r="AV57" s="228"/>
      <c r="AW57" s="228"/>
      <c r="AX57" s="228"/>
      <c r="AY57" s="228"/>
      <c r="AZ57" s="228"/>
      <c r="BA57" s="228"/>
      <c r="BB57" s="228"/>
      <c r="BC57" s="228"/>
      <c r="BD57" s="228"/>
      <c r="BE57" s="228"/>
      <c r="BF57" s="228"/>
      <c r="BG57" s="228"/>
      <c r="BH57" s="228"/>
      <c r="BI57" s="228"/>
      <c r="BJ57" s="228"/>
      <c r="BK57" s="228"/>
      <c r="BL57" s="228"/>
      <c r="BM57" s="228"/>
      <c r="BN57" s="228"/>
      <c r="BO57" s="228"/>
      <c r="BP57" s="228"/>
      <c r="BQ57" s="228"/>
      <c r="BR57" s="228"/>
      <c r="BS57" s="228"/>
      <c r="BT57" s="228"/>
      <c r="BU57" s="228"/>
      <c r="BV57" s="228"/>
      <c r="BW57" s="228"/>
      <c r="BX57" s="228"/>
      <c r="BY57" s="228"/>
      <c r="BZ57" s="228"/>
      <c r="CA57" s="228"/>
      <c r="CB57" s="228"/>
      <c r="CC57" s="228"/>
      <c r="CD57" s="228"/>
      <c r="CE57" s="228"/>
      <c r="CF57" s="228"/>
      <c r="CG57" s="228"/>
      <c r="CH57" s="228"/>
      <c r="CI57" s="228"/>
      <c r="CJ57" s="228"/>
      <c r="CK57" s="228"/>
      <c r="CL57" s="228"/>
      <c r="CM57" s="228"/>
      <c r="CN57" s="228"/>
      <c r="CO57" s="228"/>
      <c r="CP57" s="228"/>
      <c r="CQ57" s="228"/>
      <c r="CR57" s="228"/>
      <c r="CS57" s="228"/>
      <c r="CT57" s="228"/>
      <c r="CU57" s="228"/>
      <c r="CV57" s="228"/>
      <c r="CW57" s="228"/>
      <c r="CX57" s="228"/>
      <c r="CY57" s="228"/>
      <c r="CZ57" s="228"/>
      <c r="DA57" s="228"/>
      <c r="DB57" s="228"/>
      <c r="DC57" s="228"/>
      <c r="DD57" s="228"/>
      <c r="DE57" s="228"/>
      <c r="DF57" s="228"/>
      <c r="DG57" s="228"/>
      <c r="DH57" s="228"/>
      <c r="DI57" s="228"/>
      <c r="DJ57" s="228"/>
      <c r="DK57" s="228"/>
      <c r="DL57" s="228"/>
      <c r="DM57" s="228"/>
      <c r="DN57" s="228"/>
      <c r="DO57" s="228"/>
      <c r="DP57" s="228"/>
      <c r="DQ57" s="228"/>
      <c r="DR57" s="228"/>
      <c r="DS57" s="228"/>
      <c r="DT57" s="228"/>
      <c r="DU57" s="228"/>
      <c r="DV57" s="228"/>
      <c r="DW57" s="228"/>
      <c r="DX57" s="228"/>
      <c r="DY57" s="228"/>
      <c r="DZ57" s="228"/>
      <c r="EA57" s="228"/>
      <c r="EB57" s="228"/>
      <c r="EC57" s="228"/>
      <c r="ED57" s="228"/>
      <c r="EE57" s="228"/>
      <c r="EF57" s="228"/>
      <c r="EG57" s="228"/>
      <c r="EH57" s="228"/>
      <c r="EI57" s="228"/>
      <c r="EJ57" s="228"/>
      <c r="EK57" s="228"/>
      <c r="EL57" s="228"/>
      <c r="EM57" s="228"/>
      <c r="EN57" s="228"/>
      <c r="EO57" s="228"/>
      <c r="EP57" s="228"/>
      <c r="EQ57" s="228"/>
      <c r="ER57" s="228"/>
      <c r="ES57" s="228"/>
      <c r="ET57" s="228"/>
      <c r="EU57" s="228"/>
      <c r="EV57" s="228"/>
      <c r="EW57" s="228"/>
      <c r="EX57" s="228"/>
      <c r="EY57" s="228"/>
      <c r="EZ57" s="228"/>
      <c r="FA57" s="228"/>
      <c r="FB57" s="228"/>
      <c r="FC57" s="228"/>
      <c r="FD57" s="228"/>
      <c r="FE57" s="228"/>
      <c r="FF57" s="228"/>
      <c r="FG57" s="228"/>
      <c r="FH57" s="228"/>
      <c r="FI57" s="228"/>
      <c r="FJ57" s="228"/>
      <c r="FK57" s="228"/>
      <c r="FL57" s="228"/>
      <c r="FM57" s="228"/>
      <c r="FN57" s="228"/>
      <c r="FO57" s="228"/>
      <c r="FP57" s="228"/>
      <c r="FQ57" s="228"/>
      <c r="FR57" s="228"/>
      <c r="FS57" s="228"/>
      <c r="FT57" s="228"/>
      <c r="FU57" s="228"/>
      <c r="FV57" s="228"/>
      <c r="FW57" s="228"/>
      <c r="FX57" s="228"/>
      <c r="FY57" s="228"/>
      <c r="FZ57" s="228"/>
      <c r="GA57" s="228"/>
      <c r="GB57" s="228"/>
      <c r="GC57" s="228"/>
      <c r="GD57" s="228"/>
      <c r="GE57" s="228"/>
      <c r="GF57" s="228"/>
      <c r="GG57" s="228"/>
      <c r="GH57" s="228"/>
      <c r="GI57" s="228"/>
      <c r="GJ57" s="228"/>
      <c r="GK57" s="228"/>
      <c r="GL57" s="228"/>
      <c r="GM57" s="228"/>
      <c r="GN57" s="228"/>
      <c r="GO57" s="228"/>
      <c r="GP57" s="228"/>
      <c r="GQ57" s="228"/>
      <c r="GR57" s="228"/>
      <c r="GS57" s="228"/>
      <c r="GT57" s="228"/>
      <c r="GU57" s="228"/>
      <c r="GV57" s="228"/>
      <c r="GW57" s="228"/>
      <c r="GX57" s="228"/>
      <c r="GY57" s="228"/>
      <c r="GZ57" s="228"/>
      <c r="HA57" s="228"/>
      <c r="HB57" s="228"/>
      <c r="HC57" s="228"/>
      <c r="HD57" s="228"/>
      <c r="HE57" s="228"/>
      <c r="HF57" s="228"/>
      <c r="HG57" s="228"/>
      <c r="HH57" s="228"/>
      <c r="HI57" s="228"/>
      <c r="HJ57" s="228"/>
      <c r="HK57" s="228"/>
      <c r="HL57" s="228"/>
      <c r="HM57" s="228"/>
      <c r="HN57" s="228"/>
      <c r="HO57" s="228"/>
      <c r="HP57" s="228"/>
      <c r="HQ57" s="228"/>
      <c r="HR57" s="228"/>
      <c r="HS57" s="228"/>
      <c r="HT57" s="228"/>
      <c r="HU57" s="228"/>
      <c r="HV57" s="228"/>
      <c r="HW57" s="228"/>
      <c r="HX57" s="228"/>
      <c r="HY57" s="228"/>
      <c r="HZ57" s="228"/>
      <c r="IA57" s="228"/>
      <c r="IB57" s="228"/>
      <c r="IC57" s="228"/>
      <c r="ID57" s="228"/>
      <c r="IE57" s="228"/>
      <c r="IF57" s="228"/>
      <c r="IG57" s="228"/>
      <c r="IH57" s="228"/>
      <c r="II57" s="228"/>
      <c r="IJ57" s="228"/>
      <c r="IK57" s="228"/>
      <c r="IL57" s="228"/>
      <c r="IM57" s="228"/>
      <c r="IN57" s="228"/>
      <c r="IO57" s="228"/>
      <c r="IP57" s="228"/>
      <c r="IQ57" s="228"/>
      <c r="IR57" s="228"/>
      <c r="IS57" s="228"/>
      <c r="IT57" s="228"/>
      <c r="IU57" s="228"/>
      <c r="IV57" s="228"/>
      <c r="IW57" s="228"/>
      <c r="IX57" s="228"/>
      <c r="IY57" s="228"/>
      <c r="IZ57" s="228"/>
      <c r="JA57" s="228"/>
      <c r="JB57" s="228"/>
      <c r="JC57" s="228"/>
      <c r="JD57" s="228"/>
      <c r="JE57" s="228"/>
      <c r="JF57" s="228"/>
      <c r="JG57" s="228"/>
      <c r="JH57" s="228"/>
      <c r="JI57" s="228"/>
      <c r="JJ57" s="228"/>
      <c r="JK57" s="228"/>
      <c r="JL57" s="228"/>
      <c r="JM57" s="228"/>
      <c r="JN57" s="228"/>
      <c r="JO57" s="228"/>
      <c r="JP57" s="228"/>
      <c r="JQ57" s="228"/>
      <c r="JR57" s="228"/>
      <c r="JS57" s="228"/>
      <c r="JT57" s="228"/>
      <c r="JU57" s="228"/>
      <c r="JV57" s="228"/>
      <c r="JW57" s="228"/>
      <c r="JX57" s="228"/>
      <c r="JY57" s="228"/>
      <c r="JZ57" s="228"/>
      <c r="KA57" s="228"/>
      <c r="KB57" s="228"/>
      <c r="KC57" s="228"/>
      <c r="KD57" s="228"/>
      <c r="KE57" s="228"/>
      <c r="KF57" s="228"/>
      <c r="KG57" s="228"/>
      <c r="KH57" s="228"/>
      <c r="KI57" s="228"/>
      <c r="KJ57" s="228"/>
      <c r="KK57" s="228"/>
      <c r="KL57" s="228"/>
      <c r="KM57" s="228"/>
      <c r="KN57" s="228"/>
      <c r="KO57" s="228"/>
      <c r="KP57" s="228"/>
      <c r="KQ57" s="228"/>
      <c r="KR57" s="228"/>
      <c r="KS57" s="228"/>
      <c r="KT57" s="228"/>
      <c r="KU57" s="228"/>
      <c r="KV57" s="228"/>
      <c r="KW57" s="228"/>
      <c r="KX57" s="228"/>
      <c r="KY57" s="228"/>
      <c r="KZ57" s="228"/>
      <c r="LA57" s="228"/>
      <c r="LB57" s="228"/>
      <c r="LC57" s="228"/>
      <c r="LD57" s="228"/>
      <c r="LE57" s="228"/>
      <c r="LF57" s="228"/>
      <c r="LG57" s="228"/>
      <c r="LH57" s="228"/>
      <c r="LI57" s="228"/>
      <c r="LJ57" s="228"/>
      <c r="LK57" s="228"/>
      <c r="LL57" s="228"/>
      <c r="LM57" s="228"/>
      <c r="LN57" s="228"/>
      <c r="LO57" s="228"/>
      <c r="LP57" s="228"/>
      <c r="LQ57" s="228"/>
      <c r="LR57" s="228"/>
      <c r="LS57" s="228"/>
      <c r="LT57" s="228"/>
      <c r="LU57" s="228"/>
      <c r="LV57" s="228"/>
      <c r="LW57" s="228"/>
      <c r="LX57" s="228"/>
      <c r="LY57" s="228"/>
      <c r="LZ57" s="228"/>
      <c r="MA57" s="228"/>
      <c r="MB57" s="228"/>
      <c r="MC57" s="228"/>
      <c r="MD57" s="228"/>
      <c r="ME57" s="228"/>
      <c r="MF57" s="228"/>
      <c r="MG57" s="228"/>
      <c r="MH57" s="228"/>
      <c r="MI57" s="228"/>
      <c r="MJ57" s="228"/>
      <c r="MK57" s="228"/>
      <c r="ML57" s="228"/>
      <c r="MM57" s="228"/>
      <c r="MN57" s="228"/>
      <c r="MO57" s="228"/>
      <c r="MP57" s="228"/>
      <c r="MQ57" s="228"/>
      <c r="MR57" s="228"/>
      <c r="MS57" s="228"/>
      <c r="MT57" s="228"/>
      <c r="MU57" s="228"/>
      <c r="MV57" s="228"/>
      <c r="MW57" s="228"/>
      <c r="MX57" s="228"/>
      <c r="MY57" s="228"/>
      <c r="MZ57" s="228"/>
      <c r="NA57" s="228"/>
      <c r="NB57" s="228"/>
      <c r="NC57" s="228"/>
      <c r="ND57" s="228"/>
      <c r="NE57" s="228"/>
      <c r="NF57" s="228"/>
      <c r="NG57" s="228"/>
      <c r="NH57" s="228"/>
      <c r="NI57" s="228"/>
      <c r="NJ57" s="228"/>
      <c r="NK57" s="228"/>
      <c r="NL57" s="228"/>
      <c r="NM57" s="228"/>
      <c r="NN57" s="228"/>
      <c r="NO57" s="228"/>
      <c r="NP57" s="228"/>
      <c r="NQ57" s="228"/>
      <c r="NR57" s="228"/>
      <c r="NS57" s="228"/>
      <c r="NT57" s="228"/>
      <c r="NU57" s="228"/>
      <c r="NV57" s="228"/>
      <c r="NW57" s="228"/>
      <c r="NX57" s="228"/>
      <c r="NY57" s="228"/>
      <c r="NZ57" s="228"/>
      <c r="OA57" s="228"/>
      <c r="OB57" s="228"/>
      <c r="OC57" s="228"/>
      <c r="OD57" s="228"/>
      <c r="OE57" s="228"/>
      <c r="OF57" s="228"/>
      <c r="OG57" s="228"/>
      <c r="OH57" s="228"/>
      <c r="OI57" s="228"/>
      <c r="OJ57" s="228"/>
      <c r="OK57" s="228"/>
      <c r="OL57" s="228"/>
      <c r="OM57" s="228"/>
      <c r="ON57" s="228"/>
      <c r="OO57" s="228"/>
      <c r="OP57" s="228"/>
      <c r="OQ57" s="228"/>
      <c r="OR57" s="228"/>
      <c r="OS57" s="228"/>
      <c r="OT57" s="228"/>
      <c r="OU57" s="228"/>
      <c r="OV57" s="228"/>
      <c r="OW57" s="228"/>
      <c r="OX57" s="228"/>
      <c r="OY57" s="228"/>
      <c r="OZ57" s="228"/>
      <c r="PA57" s="228"/>
      <c r="PB57" s="228"/>
      <c r="PC57" s="228"/>
      <c r="PD57" s="228"/>
      <c r="PE57" s="228"/>
      <c r="PF57" s="228"/>
      <c r="PG57" s="228"/>
      <c r="PH57" s="228"/>
      <c r="PI57" s="228"/>
      <c r="PJ57" s="228"/>
      <c r="PK57" s="228"/>
      <c r="PL57" s="228"/>
      <c r="PM57" s="228"/>
      <c r="PN57" s="228"/>
      <c r="PO57" s="228"/>
      <c r="PP57" s="228"/>
      <c r="PQ57" s="228"/>
      <c r="PR57" s="228"/>
      <c r="PS57" s="228"/>
      <c r="PT57" s="228"/>
      <c r="PU57" s="228"/>
      <c r="PV57" s="228"/>
      <c r="PW57" s="228"/>
      <c r="PX57" s="228"/>
      <c r="PY57" s="228"/>
      <c r="PZ57" s="228"/>
      <c r="QA57" s="228"/>
      <c r="QB57" s="228"/>
      <c r="QC57" s="228"/>
      <c r="QD57" s="228"/>
      <c r="QE57" s="228"/>
      <c r="QF57" s="228"/>
      <c r="QG57" s="228"/>
      <c r="QH57" s="228"/>
      <c r="QI57" s="228"/>
      <c r="QJ57" s="228"/>
      <c r="QK57" s="228"/>
      <c r="QL57" s="228"/>
      <c r="QM57" s="228"/>
      <c r="QN57" s="228"/>
      <c r="QO57" s="228"/>
      <c r="QP57" s="228"/>
      <c r="QQ57" s="228"/>
      <c r="QR57" s="228"/>
      <c r="QS57" s="228"/>
      <c r="QT57" s="228"/>
      <c r="QU57" s="228"/>
      <c r="QV57" s="228"/>
      <c r="QW57" s="228"/>
      <c r="QX57" s="228"/>
      <c r="QY57" s="228"/>
      <c r="QZ57" s="228"/>
      <c r="RA57" s="228"/>
      <c r="RB57" s="228"/>
      <c r="RC57" s="228"/>
      <c r="RD57" s="228"/>
      <c r="RE57" s="228"/>
      <c r="RF57" s="228"/>
      <c r="RG57" s="228"/>
      <c r="RH57" s="228"/>
      <c r="RI57" s="228"/>
      <c r="RJ57" s="228"/>
      <c r="RK57" s="228"/>
      <c r="RL57" s="228"/>
      <c r="RM57" s="228"/>
      <c r="RN57" s="228"/>
      <c r="RO57" s="228"/>
      <c r="RP57" s="228"/>
      <c r="RQ57" s="228"/>
      <c r="RR57" s="228"/>
      <c r="RS57" s="228"/>
      <c r="RT57" s="228"/>
      <c r="RU57" s="228"/>
      <c r="RV57" s="228"/>
      <c r="RW57" s="228"/>
      <c r="RX57" s="228"/>
      <c r="RY57" s="228"/>
      <c r="RZ57" s="228"/>
      <c r="SA57" s="228"/>
      <c r="SB57" s="228"/>
      <c r="SC57" s="228"/>
      <c r="SD57" s="228"/>
      <c r="SE57" s="228"/>
      <c r="SF57" s="228"/>
      <c r="SG57" s="228"/>
    </row>
    <row r="58" spans="2:501" ht="14.25" customHeight="1"/>
    <row r="59" spans="2:501" ht="14.25" customHeight="1">
      <c r="B59" s="222" t="s">
        <v>1993</v>
      </c>
      <c r="C59" s="222"/>
      <c r="D59" s="197"/>
      <c r="E59" s="198"/>
    </row>
    <row r="60" spans="2:501" ht="14.25" customHeight="1">
      <c r="C60" s="223" t="s">
        <v>1111</v>
      </c>
      <c r="D60" s="223" t="s">
        <v>93</v>
      </c>
      <c r="E60" s="223" t="s">
        <v>1727</v>
      </c>
      <c r="F60" s="223" t="s">
        <v>1728</v>
      </c>
      <c r="G60" s="223" t="s">
        <v>1729</v>
      </c>
      <c r="H60" s="223" t="s">
        <v>1730</v>
      </c>
      <c r="I60" s="223" t="s">
        <v>1731</v>
      </c>
      <c r="J60" s="223" t="s">
        <v>1732</v>
      </c>
      <c r="K60" s="223" t="s">
        <v>1733</v>
      </c>
      <c r="L60" s="223" t="s">
        <v>1734</v>
      </c>
      <c r="M60" s="223" t="s">
        <v>1735</v>
      </c>
      <c r="N60" s="228"/>
      <c r="O60" s="228"/>
      <c r="P60" s="228"/>
      <c r="Q60" s="228"/>
      <c r="R60" s="228"/>
      <c r="S60" s="228"/>
      <c r="T60" s="228"/>
      <c r="U60" s="228"/>
      <c r="V60" s="228"/>
      <c r="W60" s="228"/>
      <c r="X60" s="228"/>
      <c r="Y60" s="228"/>
      <c r="Z60" s="228"/>
      <c r="AA60" s="228"/>
      <c r="AB60" s="228"/>
      <c r="AC60" s="228"/>
      <c r="AD60" s="228"/>
      <c r="AE60" s="228"/>
      <c r="AF60" s="228"/>
      <c r="AG60" s="228"/>
      <c r="AH60" s="228"/>
      <c r="AI60" s="228"/>
      <c r="AJ60" s="228"/>
      <c r="AK60" s="228"/>
      <c r="AL60" s="228"/>
      <c r="AM60" s="228"/>
      <c r="AN60" s="228"/>
      <c r="AO60" s="228"/>
      <c r="AP60" s="228"/>
      <c r="AQ60" s="228"/>
      <c r="AR60" s="228"/>
      <c r="AS60" s="228"/>
      <c r="AT60" s="228"/>
      <c r="AU60" s="228"/>
      <c r="AV60" s="228"/>
      <c r="AW60" s="228"/>
      <c r="AX60" s="228"/>
      <c r="AY60" s="228"/>
      <c r="AZ60" s="228"/>
      <c r="BA60" s="228"/>
      <c r="BB60" s="228"/>
      <c r="BC60" s="228"/>
      <c r="BD60" s="228"/>
      <c r="BE60" s="228"/>
      <c r="BF60" s="228"/>
      <c r="BG60" s="228"/>
      <c r="BH60" s="228"/>
      <c r="BI60" s="228"/>
      <c r="BJ60" s="228"/>
      <c r="BK60" s="228"/>
      <c r="BL60" s="228"/>
      <c r="BM60" s="228"/>
      <c r="BN60" s="228"/>
      <c r="BO60" s="228"/>
      <c r="BP60" s="228"/>
      <c r="BQ60" s="228"/>
      <c r="BR60" s="228"/>
      <c r="BS60" s="228"/>
      <c r="BT60" s="228"/>
      <c r="BU60" s="228"/>
      <c r="BV60" s="228"/>
      <c r="BW60" s="228"/>
      <c r="BX60" s="228"/>
      <c r="BY60" s="228"/>
      <c r="BZ60" s="228"/>
      <c r="CA60" s="228"/>
      <c r="CB60" s="228"/>
      <c r="CC60" s="228"/>
      <c r="CD60" s="228"/>
      <c r="CE60" s="228"/>
      <c r="CF60" s="228"/>
      <c r="CG60" s="228"/>
      <c r="CH60" s="228"/>
      <c r="CI60" s="228"/>
      <c r="CJ60" s="228"/>
      <c r="CK60" s="228"/>
      <c r="CL60" s="228"/>
      <c r="CM60" s="228"/>
      <c r="CN60" s="228"/>
      <c r="CO60" s="228"/>
      <c r="CP60" s="228"/>
      <c r="CQ60" s="228"/>
      <c r="CR60" s="228"/>
      <c r="CS60" s="228"/>
      <c r="CT60" s="228"/>
      <c r="CU60" s="228"/>
      <c r="CV60" s="228"/>
      <c r="CW60" s="228"/>
      <c r="CX60" s="228"/>
      <c r="CY60" s="228"/>
      <c r="CZ60" s="228"/>
      <c r="DA60" s="228"/>
      <c r="DB60" s="228"/>
      <c r="DC60" s="228"/>
      <c r="DD60" s="228"/>
      <c r="DE60" s="228"/>
      <c r="DF60" s="228"/>
      <c r="DG60" s="228"/>
      <c r="DH60" s="228"/>
      <c r="DI60" s="228"/>
      <c r="DJ60" s="228"/>
      <c r="DK60" s="228"/>
      <c r="DL60" s="228"/>
      <c r="DM60" s="228"/>
      <c r="DN60" s="228"/>
      <c r="DO60" s="228"/>
      <c r="DP60" s="228"/>
      <c r="DQ60" s="228"/>
      <c r="DR60" s="228"/>
      <c r="DS60" s="228"/>
      <c r="DT60" s="228"/>
      <c r="DU60" s="228"/>
      <c r="DV60" s="228"/>
      <c r="DW60" s="228"/>
      <c r="DX60" s="228"/>
      <c r="DY60" s="228"/>
      <c r="DZ60" s="228"/>
      <c r="EA60" s="228"/>
      <c r="EB60" s="228"/>
      <c r="EC60" s="228"/>
      <c r="ED60" s="228"/>
      <c r="EE60" s="228"/>
      <c r="EF60" s="228"/>
      <c r="EG60" s="228"/>
      <c r="EH60" s="228"/>
      <c r="EI60" s="228"/>
      <c r="EJ60" s="228"/>
      <c r="EK60" s="228"/>
      <c r="EL60" s="228"/>
      <c r="EM60" s="228"/>
      <c r="EN60" s="228"/>
      <c r="EO60" s="228"/>
      <c r="EP60" s="228"/>
      <c r="EQ60" s="228"/>
      <c r="ER60" s="228"/>
      <c r="ES60" s="228"/>
      <c r="ET60" s="228"/>
      <c r="EU60" s="228"/>
      <c r="EV60" s="228"/>
      <c r="EW60" s="228"/>
      <c r="EX60" s="228"/>
      <c r="EY60" s="228"/>
      <c r="EZ60" s="228"/>
      <c r="FA60" s="228"/>
      <c r="FB60" s="228"/>
      <c r="FC60" s="228"/>
      <c r="FD60" s="228"/>
      <c r="FE60" s="228"/>
      <c r="FF60" s="228"/>
      <c r="FG60" s="228"/>
      <c r="FH60" s="228"/>
      <c r="FI60" s="228"/>
      <c r="FJ60" s="228"/>
      <c r="FK60" s="228"/>
      <c r="FL60" s="228"/>
      <c r="FM60" s="228"/>
      <c r="FN60" s="228"/>
      <c r="FO60" s="228"/>
      <c r="FP60" s="228"/>
      <c r="FQ60" s="228"/>
      <c r="FR60" s="228"/>
      <c r="FS60" s="228"/>
      <c r="FT60" s="228"/>
      <c r="FU60" s="228"/>
      <c r="FV60" s="228"/>
      <c r="FW60" s="228"/>
      <c r="FX60" s="228"/>
      <c r="FY60" s="228"/>
      <c r="FZ60" s="228"/>
      <c r="GA60" s="228"/>
      <c r="GB60" s="228"/>
      <c r="GC60" s="228"/>
      <c r="GD60" s="228"/>
      <c r="GE60" s="228"/>
      <c r="GF60" s="228"/>
      <c r="GG60" s="228"/>
      <c r="GH60" s="228"/>
      <c r="GI60" s="228"/>
      <c r="GJ60" s="228"/>
      <c r="GK60" s="228"/>
      <c r="GL60" s="228"/>
      <c r="GM60" s="228"/>
      <c r="GN60" s="228"/>
      <c r="GO60" s="228"/>
      <c r="GP60" s="228"/>
      <c r="GQ60" s="228"/>
      <c r="GR60" s="228"/>
      <c r="GS60" s="228"/>
      <c r="GT60" s="228"/>
      <c r="GU60" s="228"/>
      <c r="GV60" s="228"/>
      <c r="GW60" s="228"/>
      <c r="GX60" s="228"/>
      <c r="GY60" s="228"/>
      <c r="GZ60" s="228"/>
      <c r="HA60" s="228"/>
      <c r="HB60" s="228"/>
      <c r="HC60" s="228"/>
      <c r="HD60" s="228"/>
      <c r="HE60" s="228"/>
      <c r="HF60" s="228"/>
      <c r="HG60" s="228"/>
      <c r="HH60" s="228"/>
      <c r="HI60" s="228"/>
      <c r="HJ60" s="228"/>
      <c r="HK60" s="228"/>
      <c r="HL60" s="228"/>
      <c r="HM60" s="228"/>
      <c r="HN60" s="228"/>
      <c r="HO60" s="228"/>
      <c r="HP60" s="228"/>
      <c r="HQ60" s="228"/>
      <c r="HR60" s="228"/>
      <c r="HS60" s="228"/>
      <c r="HT60" s="228"/>
      <c r="HU60" s="228"/>
      <c r="HV60" s="228"/>
      <c r="HW60" s="228"/>
      <c r="HX60" s="228"/>
      <c r="HY60" s="228"/>
      <c r="HZ60" s="228"/>
      <c r="IA60" s="228"/>
      <c r="IB60" s="228"/>
      <c r="IC60" s="228"/>
      <c r="ID60" s="228"/>
      <c r="IE60" s="228"/>
      <c r="IF60" s="228"/>
      <c r="IG60" s="228"/>
      <c r="IH60" s="228"/>
      <c r="II60" s="228"/>
      <c r="IJ60" s="228"/>
      <c r="IK60" s="228"/>
      <c r="IL60" s="228"/>
      <c r="IM60" s="228"/>
      <c r="IN60" s="228"/>
      <c r="IO60" s="228"/>
      <c r="IP60" s="228"/>
      <c r="IQ60" s="228"/>
      <c r="IR60" s="228"/>
      <c r="IS60" s="228"/>
      <c r="IT60" s="228"/>
      <c r="IU60" s="228"/>
      <c r="IV60" s="228"/>
      <c r="IW60" s="228"/>
      <c r="IX60" s="228"/>
      <c r="IY60" s="228"/>
      <c r="IZ60" s="228"/>
      <c r="JA60" s="228"/>
      <c r="JB60" s="228"/>
      <c r="JC60" s="228"/>
      <c r="JD60" s="228"/>
      <c r="JE60" s="228"/>
      <c r="JF60" s="228"/>
      <c r="JG60" s="228"/>
      <c r="JH60" s="228"/>
      <c r="JI60" s="228"/>
      <c r="JJ60" s="228"/>
      <c r="JK60" s="228"/>
      <c r="JL60" s="228"/>
      <c r="JM60" s="228"/>
      <c r="JN60" s="228"/>
      <c r="JO60" s="228"/>
      <c r="JP60" s="228"/>
      <c r="JQ60" s="228"/>
      <c r="JR60" s="228"/>
      <c r="JS60" s="228"/>
      <c r="JT60" s="228"/>
      <c r="JU60" s="228"/>
      <c r="JV60" s="228"/>
      <c r="JW60" s="228"/>
      <c r="JX60" s="228"/>
      <c r="JY60" s="228"/>
      <c r="JZ60" s="228"/>
      <c r="KA60" s="228"/>
      <c r="KB60" s="228"/>
      <c r="KC60" s="228"/>
      <c r="KD60" s="228"/>
      <c r="KE60" s="228"/>
      <c r="KF60" s="228"/>
      <c r="KG60" s="228"/>
      <c r="KH60" s="228"/>
      <c r="KI60" s="228"/>
      <c r="KJ60" s="228"/>
      <c r="KK60" s="228"/>
      <c r="KL60" s="228"/>
      <c r="KM60" s="228"/>
      <c r="KN60" s="228"/>
      <c r="KO60" s="228"/>
      <c r="KP60" s="228"/>
      <c r="KQ60" s="228"/>
      <c r="KR60" s="228"/>
      <c r="KS60" s="228"/>
      <c r="KT60" s="228"/>
      <c r="KU60" s="228"/>
      <c r="KV60" s="228"/>
      <c r="KW60" s="228"/>
      <c r="KX60" s="228"/>
      <c r="KY60" s="228"/>
      <c r="KZ60" s="228"/>
      <c r="LA60" s="228"/>
      <c r="LB60" s="228"/>
      <c r="LC60" s="228"/>
      <c r="LD60" s="228"/>
      <c r="LE60" s="228"/>
      <c r="LF60" s="228"/>
      <c r="LG60" s="228"/>
      <c r="LH60" s="228"/>
      <c r="LI60" s="228"/>
      <c r="LJ60" s="228"/>
      <c r="LK60" s="228"/>
      <c r="LL60" s="228"/>
      <c r="LM60" s="228"/>
      <c r="LN60" s="228"/>
      <c r="LO60" s="228"/>
      <c r="LP60" s="228"/>
      <c r="LQ60" s="228"/>
      <c r="LR60" s="228"/>
      <c r="LS60" s="228"/>
      <c r="LT60" s="228"/>
      <c r="LU60" s="228"/>
      <c r="LV60" s="228"/>
      <c r="LW60" s="228"/>
      <c r="LX60" s="228"/>
      <c r="LY60" s="228"/>
      <c r="LZ60" s="228"/>
      <c r="MA60" s="228"/>
      <c r="MB60" s="228"/>
      <c r="MC60" s="228"/>
      <c r="MD60" s="228"/>
      <c r="ME60" s="228"/>
      <c r="MF60" s="228"/>
      <c r="MG60" s="228"/>
      <c r="MH60" s="228"/>
      <c r="MI60" s="228"/>
      <c r="MJ60" s="228"/>
      <c r="MK60" s="228"/>
      <c r="ML60" s="228"/>
      <c r="MM60" s="228"/>
      <c r="MN60" s="228"/>
      <c r="MO60" s="228"/>
      <c r="MP60" s="228"/>
      <c r="MQ60" s="228"/>
      <c r="MR60" s="228"/>
      <c r="MS60" s="228"/>
      <c r="MT60" s="228"/>
      <c r="MU60" s="228"/>
      <c r="MV60" s="228"/>
      <c r="MW60" s="228"/>
      <c r="MX60" s="228"/>
      <c r="MY60" s="228"/>
      <c r="MZ60" s="228"/>
      <c r="NA60" s="228"/>
      <c r="NB60" s="228"/>
      <c r="NC60" s="228"/>
      <c r="ND60" s="228"/>
      <c r="NE60" s="228"/>
      <c r="NF60" s="228"/>
      <c r="NG60" s="228"/>
      <c r="NH60" s="228"/>
      <c r="NI60" s="228"/>
      <c r="NJ60" s="228"/>
      <c r="NK60" s="228"/>
      <c r="NL60" s="228"/>
      <c r="NM60" s="228"/>
      <c r="NN60" s="228"/>
      <c r="NO60" s="228"/>
      <c r="NP60" s="228"/>
      <c r="NQ60" s="228"/>
      <c r="NR60" s="228"/>
      <c r="NS60" s="228"/>
      <c r="NT60" s="228"/>
      <c r="NU60" s="228"/>
      <c r="NV60" s="228"/>
      <c r="NW60" s="228"/>
      <c r="NX60" s="228"/>
      <c r="NY60" s="228"/>
      <c r="NZ60" s="228"/>
      <c r="OA60" s="228"/>
      <c r="OB60" s="228"/>
      <c r="OC60" s="228"/>
      <c r="OD60" s="228"/>
      <c r="OE60" s="228"/>
      <c r="OF60" s="228"/>
      <c r="OG60" s="228"/>
      <c r="OH60" s="228"/>
      <c r="OI60" s="228"/>
      <c r="OJ60" s="228"/>
      <c r="OK60" s="228"/>
      <c r="OL60" s="228"/>
      <c r="OM60" s="228"/>
      <c r="ON60" s="228"/>
      <c r="OO60" s="228"/>
      <c r="OP60" s="228"/>
      <c r="OQ60" s="228"/>
      <c r="OR60" s="228"/>
      <c r="OS60" s="228"/>
      <c r="OT60" s="228"/>
      <c r="OU60" s="228"/>
      <c r="OV60" s="228"/>
      <c r="OW60" s="228"/>
      <c r="OX60" s="228"/>
      <c r="OY60" s="228"/>
      <c r="OZ60" s="228"/>
      <c r="PA60" s="228"/>
      <c r="PB60" s="228"/>
      <c r="PC60" s="228"/>
      <c r="PD60" s="228"/>
      <c r="PE60" s="228"/>
      <c r="PF60" s="228"/>
      <c r="PG60" s="228"/>
      <c r="PH60" s="228"/>
      <c r="PI60" s="228"/>
      <c r="PJ60" s="228"/>
      <c r="PK60" s="228"/>
      <c r="PL60" s="228"/>
      <c r="PM60" s="228"/>
      <c r="PN60" s="228"/>
      <c r="PO60" s="228"/>
      <c r="PP60" s="228"/>
      <c r="PQ60" s="228"/>
      <c r="PR60" s="228"/>
      <c r="PS60" s="228"/>
      <c r="PT60" s="228"/>
      <c r="PU60" s="228"/>
      <c r="PV60" s="228"/>
      <c r="PW60" s="228"/>
      <c r="PX60" s="228"/>
      <c r="PY60" s="228"/>
      <c r="PZ60" s="228"/>
      <c r="QA60" s="228"/>
      <c r="QB60" s="228"/>
      <c r="QC60" s="228"/>
      <c r="QD60" s="228"/>
      <c r="QE60" s="228"/>
      <c r="QF60" s="228"/>
      <c r="QG60" s="228"/>
      <c r="QH60" s="228"/>
      <c r="QI60" s="228"/>
      <c r="QJ60" s="228"/>
      <c r="QK60" s="228"/>
      <c r="QL60" s="228"/>
      <c r="QM60" s="228"/>
      <c r="QN60" s="228"/>
      <c r="QO60" s="228"/>
      <c r="QP60" s="228"/>
      <c r="QQ60" s="228"/>
      <c r="QR60" s="228"/>
      <c r="QS60" s="228"/>
      <c r="QT60" s="228"/>
      <c r="QU60" s="228"/>
      <c r="QV60" s="228"/>
      <c r="QW60" s="228"/>
      <c r="QX60" s="228"/>
      <c r="QY60" s="228"/>
      <c r="QZ60" s="228"/>
      <c r="RA60" s="228"/>
      <c r="RB60" s="228"/>
      <c r="RC60" s="228"/>
      <c r="RD60" s="228"/>
      <c r="RE60" s="228"/>
      <c r="RF60" s="228"/>
      <c r="RG60" s="228"/>
      <c r="RH60" s="228"/>
      <c r="RI60" s="228"/>
      <c r="RJ60" s="228"/>
      <c r="RK60" s="228"/>
      <c r="RL60" s="228"/>
      <c r="RM60" s="228"/>
      <c r="RN60" s="228"/>
      <c r="RO60" s="228"/>
      <c r="RP60" s="228"/>
      <c r="RQ60" s="228"/>
      <c r="RR60" s="228"/>
      <c r="RS60" s="228"/>
      <c r="RT60" s="228"/>
      <c r="RU60" s="228"/>
      <c r="RV60" s="228"/>
      <c r="RW60" s="228"/>
      <c r="RX60" s="228"/>
      <c r="RY60" s="228"/>
      <c r="RZ60" s="228"/>
      <c r="SA60" s="228"/>
      <c r="SB60" s="228"/>
      <c r="SC60" s="228"/>
      <c r="SD60" s="228"/>
      <c r="SE60" s="228"/>
      <c r="SF60" s="228"/>
      <c r="SG60" s="228"/>
    </row>
    <row r="61" spans="2:501" ht="97.5" customHeight="1">
      <c r="C61" s="227" t="s">
        <v>1994</v>
      </c>
      <c r="D61" s="225" t="s">
        <v>1995</v>
      </c>
      <c r="E61" s="225" t="s">
        <v>1996</v>
      </c>
      <c r="F61" s="225" t="s">
        <v>1997</v>
      </c>
      <c r="G61" s="225" t="s">
        <v>1342</v>
      </c>
      <c r="H61" s="225" t="s">
        <v>1741</v>
      </c>
      <c r="I61" s="226" t="s">
        <v>1998</v>
      </c>
      <c r="J61" s="226" t="s">
        <v>1999</v>
      </c>
      <c r="K61" s="225" t="s">
        <v>1814</v>
      </c>
      <c r="L61" s="225" t="s">
        <v>1792</v>
      </c>
      <c r="M61" s="226" t="s">
        <v>2000</v>
      </c>
      <c r="N61" s="228"/>
      <c r="O61" s="228"/>
      <c r="P61" s="228"/>
      <c r="Q61" s="228"/>
      <c r="R61" s="228"/>
      <c r="S61" s="228"/>
      <c r="T61" s="228"/>
      <c r="U61" s="228"/>
      <c r="V61" s="228"/>
      <c r="W61" s="228"/>
      <c r="X61" s="228"/>
      <c r="Y61" s="228"/>
      <c r="Z61" s="228"/>
      <c r="AA61" s="228"/>
      <c r="AB61" s="228"/>
      <c r="AC61" s="228"/>
      <c r="AD61" s="228"/>
      <c r="AE61" s="228"/>
      <c r="AF61" s="228"/>
      <c r="AG61" s="228"/>
      <c r="AH61" s="228"/>
      <c r="AI61" s="228"/>
      <c r="AJ61" s="228"/>
      <c r="AK61" s="228"/>
      <c r="AL61" s="228"/>
      <c r="AM61" s="228"/>
      <c r="AN61" s="228"/>
      <c r="AO61" s="228"/>
      <c r="AP61" s="228"/>
      <c r="AQ61" s="228"/>
      <c r="AR61" s="228"/>
      <c r="AS61" s="228"/>
      <c r="AT61" s="228"/>
      <c r="AU61" s="228"/>
      <c r="AV61" s="228"/>
      <c r="AW61" s="228"/>
      <c r="AX61" s="228"/>
      <c r="AY61" s="228"/>
      <c r="AZ61" s="228"/>
      <c r="BA61" s="228"/>
      <c r="BB61" s="228"/>
      <c r="BC61" s="228"/>
      <c r="BD61" s="228"/>
      <c r="BE61" s="228"/>
      <c r="BF61" s="228"/>
      <c r="BG61" s="228"/>
      <c r="BH61" s="228"/>
      <c r="BI61" s="228"/>
      <c r="BJ61" s="228"/>
      <c r="BK61" s="228"/>
      <c r="BL61" s="228"/>
      <c r="BM61" s="228"/>
      <c r="BN61" s="228"/>
      <c r="BO61" s="228"/>
      <c r="BP61" s="228"/>
      <c r="BQ61" s="228"/>
      <c r="BR61" s="228"/>
      <c r="BS61" s="228"/>
      <c r="BT61" s="228"/>
      <c r="BU61" s="228"/>
      <c r="BV61" s="228"/>
      <c r="BW61" s="228"/>
      <c r="BX61" s="228"/>
      <c r="BY61" s="228"/>
      <c r="BZ61" s="228"/>
      <c r="CA61" s="228"/>
      <c r="CB61" s="228"/>
      <c r="CC61" s="228"/>
      <c r="CD61" s="228"/>
      <c r="CE61" s="228"/>
      <c r="CF61" s="228"/>
      <c r="CG61" s="228"/>
      <c r="CH61" s="228"/>
      <c r="CI61" s="228"/>
      <c r="CJ61" s="228"/>
      <c r="CK61" s="228"/>
      <c r="CL61" s="228"/>
      <c r="CM61" s="228"/>
      <c r="CN61" s="228"/>
      <c r="CO61" s="228"/>
      <c r="CP61" s="228"/>
      <c r="CQ61" s="228"/>
      <c r="CR61" s="228"/>
      <c r="CS61" s="228"/>
      <c r="CT61" s="228"/>
      <c r="CU61" s="228"/>
      <c r="CV61" s="228"/>
      <c r="CW61" s="228"/>
      <c r="CX61" s="228"/>
      <c r="CY61" s="228"/>
      <c r="CZ61" s="228"/>
      <c r="DA61" s="228"/>
      <c r="DB61" s="228"/>
      <c r="DC61" s="228"/>
      <c r="DD61" s="228"/>
      <c r="DE61" s="228"/>
      <c r="DF61" s="228"/>
      <c r="DG61" s="228"/>
      <c r="DH61" s="228"/>
      <c r="DI61" s="228"/>
      <c r="DJ61" s="228"/>
      <c r="DK61" s="228"/>
      <c r="DL61" s="228"/>
      <c r="DM61" s="228"/>
      <c r="DN61" s="228"/>
      <c r="DO61" s="228"/>
      <c r="DP61" s="228"/>
      <c r="DQ61" s="228"/>
      <c r="DR61" s="228"/>
      <c r="DS61" s="228"/>
      <c r="DT61" s="228"/>
      <c r="DU61" s="228"/>
      <c r="DV61" s="228"/>
      <c r="DW61" s="228"/>
      <c r="DX61" s="228"/>
      <c r="DY61" s="228"/>
      <c r="DZ61" s="228"/>
      <c r="EA61" s="228"/>
      <c r="EB61" s="228"/>
      <c r="EC61" s="228"/>
      <c r="ED61" s="228"/>
      <c r="EE61" s="228"/>
      <c r="EF61" s="228"/>
      <c r="EG61" s="228"/>
      <c r="EH61" s="228"/>
      <c r="EI61" s="228"/>
      <c r="EJ61" s="228"/>
      <c r="EK61" s="228"/>
      <c r="EL61" s="228"/>
      <c r="EM61" s="228"/>
      <c r="EN61" s="228"/>
      <c r="EO61" s="228"/>
      <c r="EP61" s="228"/>
      <c r="EQ61" s="228"/>
      <c r="ER61" s="228"/>
      <c r="ES61" s="228"/>
      <c r="ET61" s="228"/>
      <c r="EU61" s="228"/>
      <c r="EV61" s="228"/>
      <c r="EW61" s="228"/>
      <c r="EX61" s="228"/>
      <c r="EY61" s="228"/>
      <c r="EZ61" s="228"/>
      <c r="FA61" s="228"/>
      <c r="FB61" s="228"/>
      <c r="FC61" s="228"/>
      <c r="FD61" s="228"/>
      <c r="FE61" s="228"/>
      <c r="FF61" s="228"/>
      <c r="FG61" s="228"/>
      <c r="FH61" s="228"/>
      <c r="FI61" s="228"/>
      <c r="FJ61" s="228"/>
      <c r="FK61" s="228"/>
      <c r="FL61" s="228"/>
      <c r="FM61" s="228"/>
      <c r="FN61" s="228"/>
      <c r="FO61" s="228"/>
      <c r="FP61" s="228"/>
      <c r="FQ61" s="228"/>
      <c r="FR61" s="228"/>
      <c r="FS61" s="228"/>
      <c r="FT61" s="228"/>
      <c r="FU61" s="228"/>
      <c r="FV61" s="228"/>
      <c r="FW61" s="228"/>
      <c r="FX61" s="228"/>
      <c r="FY61" s="228"/>
      <c r="FZ61" s="228"/>
      <c r="GA61" s="228"/>
      <c r="GB61" s="228"/>
      <c r="GC61" s="228"/>
      <c r="GD61" s="228"/>
      <c r="GE61" s="228"/>
      <c r="GF61" s="228"/>
      <c r="GG61" s="228"/>
      <c r="GH61" s="228"/>
      <c r="GI61" s="228"/>
      <c r="GJ61" s="228"/>
      <c r="GK61" s="228"/>
      <c r="GL61" s="228"/>
      <c r="GM61" s="228"/>
      <c r="GN61" s="228"/>
      <c r="GO61" s="228"/>
      <c r="GP61" s="228"/>
      <c r="GQ61" s="228"/>
      <c r="GR61" s="228"/>
      <c r="GS61" s="228"/>
      <c r="GT61" s="228"/>
      <c r="GU61" s="228"/>
      <c r="GV61" s="228"/>
      <c r="GW61" s="228"/>
      <c r="GX61" s="228"/>
      <c r="GY61" s="228"/>
      <c r="GZ61" s="228"/>
      <c r="HA61" s="228"/>
      <c r="HB61" s="228"/>
      <c r="HC61" s="228"/>
      <c r="HD61" s="228"/>
      <c r="HE61" s="228"/>
      <c r="HF61" s="228"/>
      <c r="HG61" s="228"/>
      <c r="HH61" s="228"/>
      <c r="HI61" s="228"/>
      <c r="HJ61" s="228"/>
      <c r="HK61" s="228"/>
      <c r="HL61" s="228"/>
      <c r="HM61" s="228"/>
      <c r="HN61" s="228"/>
      <c r="HO61" s="228"/>
      <c r="HP61" s="228"/>
      <c r="HQ61" s="228"/>
      <c r="HR61" s="228"/>
      <c r="HS61" s="228"/>
      <c r="HT61" s="228"/>
      <c r="HU61" s="228"/>
      <c r="HV61" s="228"/>
      <c r="HW61" s="228"/>
      <c r="HX61" s="228"/>
      <c r="HY61" s="228"/>
      <c r="HZ61" s="228"/>
      <c r="IA61" s="228"/>
      <c r="IB61" s="228"/>
      <c r="IC61" s="228"/>
      <c r="ID61" s="228"/>
      <c r="IE61" s="228"/>
      <c r="IF61" s="228"/>
      <c r="IG61" s="228"/>
      <c r="IH61" s="228"/>
      <c r="II61" s="228"/>
      <c r="IJ61" s="228"/>
      <c r="IK61" s="228"/>
      <c r="IL61" s="228"/>
      <c r="IM61" s="228"/>
      <c r="IN61" s="228"/>
      <c r="IO61" s="228"/>
      <c r="IP61" s="228"/>
      <c r="IQ61" s="228"/>
      <c r="IR61" s="228"/>
      <c r="IS61" s="228"/>
      <c r="IT61" s="228"/>
      <c r="IU61" s="228"/>
      <c r="IV61" s="228"/>
      <c r="IW61" s="228"/>
      <c r="IX61" s="228"/>
      <c r="IY61" s="228"/>
      <c r="IZ61" s="228"/>
      <c r="JA61" s="228"/>
      <c r="JB61" s="228"/>
      <c r="JC61" s="228"/>
      <c r="JD61" s="228"/>
      <c r="JE61" s="228"/>
      <c r="JF61" s="228"/>
      <c r="JG61" s="228"/>
      <c r="JH61" s="228"/>
      <c r="JI61" s="228"/>
      <c r="JJ61" s="228"/>
      <c r="JK61" s="228"/>
      <c r="JL61" s="228"/>
      <c r="JM61" s="228"/>
      <c r="JN61" s="228"/>
      <c r="JO61" s="228"/>
      <c r="JP61" s="228"/>
      <c r="JQ61" s="228"/>
      <c r="JR61" s="228"/>
      <c r="JS61" s="228"/>
      <c r="JT61" s="228"/>
      <c r="JU61" s="228"/>
      <c r="JV61" s="228"/>
      <c r="JW61" s="228"/>
      <c r="JX61" s="228"/>
      <c r="JY61" s="228"/>
      <c r="JZ61" s="228"/>
      <c r="KA61" s="228"/>
      <c r="KB61" s="228"/>
      <c r="KC61" s="228"/>
      <c r="KD61" s="228"/>
      <c r="KE61" s="228"/>
      <c r="KF61" s="228"/>
      <c r="KG61" s="228"/>
      <c r="KH61" s="228"/>
      <c r="KI61" s="228"/>
      <c r="KJ61" s="228"/>
      <c r="KK61" s="228"/>
      <c r="KL61" s="228"/>
      <c r="KM61" s="228"/>
      <c r="KN61" s="228"/>
      <c r="KO61" s="228"/>
      <c r="KP61" s="228"/>
      <c r="KQ61" s="228"/>
      <c r="KR61" s="228"/>
      <c r="KS61" s="228"/>
      <c r="KT61" s="228"/>
      <c r="KU61" s="228"/>
      <c r="KV61" s="228"/>
      <c r="KW61" s="228"/>
      <c r="KX61" s="228"/>
      <c r="KY61" s="228"/>
      <c r="KZ61" s="228"/>
      <c r="LA61" s="228"/>
      <c r="LB61" s="228"/>
      <c r="LC61" s="228"/>
      <c r="LD61" s="228"/>
      <c r="LE61" s="228"/>
      <c r="LF61" s="228"/>
      <c r="LG61" s="228"/>
      <c r="LH61" s="228"/>
      <c r="LI61" s="228"/>
      <c r="LJ61" s="228"/>
      <c r="LK61" s="228"/>
      <c r="LL61" s="228"/>
      <c r="LM61" s="228"/>
      <c r="LN61" s="228"/>
      <c r="LO61" s="228"/>
      <c r="LP61" s="228"/>
      <c r="LQ61" s="228"/>
      <c r="LR61" s="228"/>
      <c r="LS61" s="228"/>
      <c r="LT61" s="228"/>
      <c r="LU61" s="228"/>
      <c r="LV61" s="228"/>
      <c r="LW61" s="228"/>
      <c r="LX61" s="228"/>
      <c r="LY61" s="228"/>
      <c r="LZ61" s="228"/>
      <c r="MA61" s="228"/>
      <c r="MB61" s="228"/>
      <c r="MC61" s="228"/>
      <c r="MD61" s="228"/>
      <c r="ME61" s="228"/>
      <c r="MF61" s="228"/>
      <c r="MG61" s="228"/>
      <c r="MH61" s="228"/>
      <c r="MI61" s="228"/>
      <c r="MJ61" s="228"/>
      <c r="MK61" s="228"/>
      <c r="ML61" s="228"/>
      <c r="MM61" s="228"/>
      <c r="MN61" s="228"/>
      <c r="MO61" s="228"/>
      <c r="MP61" s="228"/>
      <c r="MQ61" s="228"/>
      <c r="MR61" s="228"/>
      <c r="MS61" s="228"/>
      <c r="MT61" s="228"/>
      <c r="MU61" s="228"/>
      <c r="MV61" s="228"/>
      <c r="MW61" s="228"/>
      <c r="MX61" s="228"/>
      <c r="MY61" s="228"/>
      <c r="MZ61" s="228"/>
      <c r="NA61" s="228"/>
      <c r="NB61" s="228"/>
      <c r="NC61" s="228"/>
      <c r="ND61" s="228"/>
      <c r="NE61" s="228"/>
      <c r="NF61" s="228"/>
      <c r="NG61" s="228"/>
      <c r="NH61" s="228"/>
      <c r="NI61" s="228"/>
      <c r="NJ61" s="228"/>
      <c r="NK61" s="228"/>
      <c r="NL61" s="228"/>
      <c r="NM61" s="228"/>
      <c r="NN61" s="228"/>
      <c r="NO61" s="228"/>
      <c r="NP61" s="228"/>
      <c r="NQ61" s="228"/>
      <c r="NR61" s="228"/>
      <c r="NS61" s="228"/>
      <c r="NT61" s="228"/>
      <c r="NU61" s="228"/>
      <c r="NV61" s="228"/>
      <c r="NW61" s="228"/>
      <c r="NX61" s="228"/>
      <c r="NY61" s="228"/>
      <c r="NZ61" s="228"/>
      <c r="OA61" s="228"/>
      <c r="OB61" s="228"/>
      <c r="OC61" s="228"/>
      <c r="OD61" s="228"/>
      <c r="OE61" s="228"/>
      <c r="OF61" s="228"/>
      <c r="OG61" s="228"/>
      <c r="OH61" s="228"/>
      <c r="OI61" s="228"/>
      <c r="OJ61" s="228"/>
      <c r="OK61" s="228"/>
      <c r="OL61" s="228"/>
      <c r="OM61" s="228"/>
      <c r="ON61" s="228"/>
      <c r="OO61" s="228"/>
      <c r="OP61" s="228"/>
      <c r="OQ61" s="228"/>
      <c r="OR61" s="228"/>
      <c r="OS61" s="228"/>
      <c r="OT61" s="228"/>
      <c r="OU61" s="228"/>
      <c r="OV61" s="228"/>
      <c r="OW61" s="228"/>
      <c r="OX61" s="228"/>
      <c r="OY61" s="228"/>
      <c r="OZ61" s="228"/>
      <c r="PA61" s="228"/>
      <c r="PB61" s="228"/>
      <c r="PC61" s="228"/>
      <c r="PD61" s="228"/>
      <c r="PE61" s="228"/>
      <c r="PF61" s="228"/>
      <c r="PG61" s="228"/>
      <c r="PH61" s="228"/>
      <c r="PI61" s="228"/>
      <c r="PJ61" s="228"/>
      <c r="PK61" s="228"/>
      <c r="PL61" s="228"/>
      <c r="PM61" s="228"/>
      <c r="PN61" s="228"/>
      <c r="PO61" s="228"/>
      <c r="PP61" s="228"/>
      <c r="PQ61" s="228"/>
      <c r="PR61" s="228"/>
      <c r="PS61" s="228"/>
      <c r="PT61" s="228"/>
      <c r="PU61" s="228"/>
      <c r="PV61" s="228"/>
      <c r="PW61" s="228"/>
      <c r="PX61" s="228"/>
      <c r="PY61" s="228"/>
      <c r="PZ61" s="228"/>
      <c r="QA61" s="228"/>
      <c r="QB61" s="228"/>
      <c r="QC61" s="228"/>
      <c r="QD61" s="228"/>
      <c r="QE61" s="228"/>
      <c r="QF61" s="228"/>
      <c r="QG61" s="228"/>
      <c r="QH61" s="228"/>
      <c r="QI61" s="228"/>
      <c r="QJ61" s="228"/>
      <c r="QK61" s="228"/>
      <c r="QL61" s="228"/>
      <c r="QM61" s="228"/>
      <c r="QN61" s="228"/>
      <c r="QO61" s="228"/>
      <c r="QP61" s="228"/>
      <c r="QQ61" s="228"/>
      <c r="QR61" s="228"/>
      <c r="QS61" s="228"/>
      <c r="QT61" s="228"/>
      <c r="QU61" s="228"/>
      <c r="QV61" s="228"/>
      <c r="QW61" s="228"/>
      <c r="QX61" s="228"/>
      <c r="QY61" s="228"/>
      <c r="QZ61" s="228"/>
      <c r="RA61" s="228"/>
      <c r="RB61" s="228"/>
      <c r="RC61" s="228"/>
      <c r="RD61" s="228"/>
      <c r="RE61" s="228"/>
      <c r="RF61" s="228"/>
      <c r="RG61" s="228"/>
      <c r="RH61" s="228"/>
      <c r="RI61" s="228"/>
      <c r="RJ61" s="228"/>
      <c r="RK61" s="228"/>
      <c r="RL61" s="228"/>
      <c r="RM61" s="228"/>
      <c r="RN61" s="228"/>
      <c r="RO61" s="228"/>
      <c r="RP61" s="228"/>
      <c r="RQ61" s="228"/>
      <c r="RR61" s="228"/>
      <c r="RS61" s="228"/>
      <c r="RT61" s="228"/>
      <c r="RU61" s="228"/>
      <c r="RV61" s="228"/>
      <c r="RW61" s="228"/>
      <c r="RX61" s="228"/>
      <c r="RY61" s="228"/>
      <c r="RZ61" s="228"/>
      <c r="SA61" s="228"/>
      <c r="SB61" s="228"/>
      <c r="SC61" s="228"/>
      <c r="SD61" s="228"/>
      <c r="SE61" s="228"/>
      <c r="SF61" s="228"/>
      <c r="SG61" s="228"/>
    </row>
    <row r="62" spans="2:501" ht="84" customHeight="1">
      <c r="C62" s="227" t="s">
        <v>2001</v>
      </c>
      <c r="D62" s="225" t="s">
        <v>2002</v>
      </c>
      <c r="E62" s="225" t="s">
        <v>2003</v>
      </c>
      <c r="F62" s="225" t="s">
        <v>2004</v>
      </c>
      <c r="G62" s="225" t="s">
        <v>1342</v>
      </c>
      <c r="H62" s="225" t="s">
        <v>1741</v>
      </c>
      <c r="I62" s="226" t="s">
        <v>2005</v>
      </c>
      <c r="J62" s="226" t="s">
        <v>1342</v>
      </c>
      <c r="K62" s="225" t="s">
        <v>2006</v>
      </c>
      <c r="L62" s="225" t="s">
        <v>1760</v>
      </c>
      <c r="M62" s="226" t="s">
        <v>2007</v>
      </c>
      <c r="N62" s="228"/>
      <c r="O62" s="228"/>
      <c r="P62" s="228"/>
      <c r="Q62" s="228"/>
      <c r="R62" s="228"/>
      <c r="S62" s="228"/>
      <c r="T62" s="228"/>
      <c r="U62" s="228"/>
      <c r="V62" s="228"/>
      <c r="W62" s="228"/>
      <c r="X62" s="228"/>
      <c r="Y62" s="228"/>
      <c r="Z62" s="228"/>
      <c r="AA62" s="228"/>
      <c r="AB62" s="228"/>
      <c r="AC62" s="228"/>
      <c r="AD62" s="228"/>
      <c r="AE62" s="228"/>
      <c r="AF62" s="228"/>
      <c r="AG62" s="228"/>
      <c r="AH62" s="228"/>
      <c r="AI62" s="228"/>
      <c r="AJ62" s="228"/>
      <c r="AK62" s="228"/>
      <c r="AL62" s="228"/>
      <c r="AM62" s="228"/>
      <c r="AN62" s="228"/>
      <c r="AO62" s="228"/>
      <c r="AP62" s="228"/>
      <c r="AQ62" s="228"/>
      <c r="AR62" s="228"/>
      <c r="AS62" s="228"/>
      <c r="AT62" s="228"/>
      <c r="AU62" s="228"/>
      <c r="AV62" s="228"/>
      <c r="AW62" s="228"/>
      <c r="AX62" s="228"/>
      <c r="AY62" s="228"/>
      <c r="AZ62" s="228"/>
      <c r="BA62" s="228"/>
      <c r="BB62" s="228"/>
      <c r="BC62" s="228"/>
      <c r="BD62" s="228"/>
      <c r="BE62" s="228"/>
      <c r="BF62" s="228"/>
      <c r="BG62" s="228"/>
      <c r="BH62" s="228"/>
      <c r="BI62" s="228"/>
      <c r="BJ62" s="228"/>
      <c r="BK62" s="228"/>
      <c r="BL62" s="228"/>
      <c r="BM62" s="228"/>
      <c r="BN62" s="228"/>
      <c r="BO62" s="228"/>
      <c r="BP62" s="228"/>
      <c r="BQ62" s="228"/>
      <c r="BR62" s="228"/>
      <c r="BS62" s="228"/>
      <c r="BT62" s="228"/>
      <c r="BU62" s="228"/>
      <c r="BV62" s="228"/>
      <c r="BW62" s="228"/>
      <c r="BX62" s="228"/>
      <c r="BY62" s="228"/>
      <c r="BZ62" s="228"/>
      <c r="CA62" s="228"/>
      <c r="CB62" s="228"/>
      <c r="CC62" s="228"/>
      <c r="CD62" s="228"/>
      <c r="CE62" s="228"/>
      <c r="CF62" s="228"/>
      <c r="CG62" s="228"/>
      <c r="CH62" s="228"/>
      <c r="CI62" s="228"/>
      <c r="CJ62" s="228"/>
      <c r="CK62" s="228"/>
      <c r="CL62" s="228"/>
      <c r="CM62" s="228"/>
      <c r="CN62" s="228"/>
      <c r="CO62" s="228"/>
      <c r="CP62" s="228"/>
      <c r="CQ62" s="228"/>
      <c r="CR62" s="228"/>
      <c r="CS62" s="228"/>
      <c r="CT62" s="228"/>
      <c r="CU62" s="228"/>
      <c r="CV62" s="228"/>
      <c r="CW62" s="228"/>
      <c r="CX62" s="228"/>
      <c r="CY62" s="228"/>
      <c r="CZ62" s="228"/>
      <c r="DA62" s="228"/>
      <c r="DB62" s="228"/>
      <c r="DC62" s="228"/>
      <c r="DD62" s="228"/>
      <c r="DE62" s="228"/>
      <c r="DF62" s="228"/>
      <c r="DG62" s="228"/>
      <c r="DH62" s="228"/>
      <c r="DI62" s="228"/>
      <c r="DJ62" s="228"/>
      <c r="DK62" s="228"/>
      <c r="DL62" s="228"/>
      <c r="DM62" s="228"/>
      <c r="DN62" s="228"/>
      <c r="DO62" s="228"/>
      <c r="DP62" s="228"/>
      <c r="DQ62" s="228"/>
      <c r="DR62" s="228"/>
      <c r="DS62" s="228"/>
      <c r="DT62" s="228"/>
      <c r="DU62" s="228"/>
      <c r="DV62" s="228"/>
      <c r="DW62" s="228"/>
      <c r="DX62" s="228"/>
      <c r="DY62" s="228"/>
      <c r="DZ62" s="228"/>
      <c r="EA62" s="228"/>
      <c r="EB62" s="228"/>
      <c r="EC62" s="228"/>
      <c r="ED62" s="228"/>
      <c r="EE62" s="228"/>
      <c r="EF62" s="228"/>
      <c r="EG62" s="228"/>
      <c r="EH62" s="228"/>
      <c r="EI62" s="228"/>
      <c r="EJ62" s="228"/>
      <c r="EK62" s="228"/>
      <c r="EL62" s="228"/>
      <c r="EM62" s="228"/>
      <c r="EN62" s="228"/>
      <c r="EO62" s="228"/>
      <c r="EP62" s="228"/>
      <c r="EQ62" s="228"/>
      <c r="ER62" s="228"/>
      <c r="ES62" s="228"/>
      <c r="ET62" s="228"/>
      <c r="EU62" s="228"/>
      <c r="EV62" s="228"/>
      <c r="EW62" s="228"/>
      <c r="EX62" s="228"/>
      <c r="EY62" s="228"/>
      <c r="EZ62" s="228"/>
      <c r="FA62" s="228"/>
      <c r="FB62" s="228"/>
      <c r="FC62" s="228"/>
      <c r="FD62" s="228"/>
      <c r="FE62" s="228"/>
      <c r="FF62" s="228"/>
      <c r="FG62" s="228"/>
      <c r="FH62" s="228"/>
      <c r="FI62" s="228"/>
      <c r="FJ62" s="228"/>
      <c r="FK62" s="228"/>
      <c r="FL62" s="228"/>
      <c r="FM62" s="228"/>
      <c r="FN62" s="228"/>
      <c r="FO62" s="228"/>
      <c r="FP62" s="228"/>
      <c r="FQ62" s="228"/>
      <c r="FR62" s="228"/>
      <c r="FS62" s="228"/>
      <c r="FT62" s="228"/>
      <c r="FU62" s="228"/>
      <c r="FV62" s="228"/>
      <c r="FW62" s="228"/>
      <c r="FX62" s="228"/>
      <c r="FY62" s="228"/>
      <c r="FZ62" s="228"/>
      <c r="GA62" s="228"/>
      <c r="GB62" s="228"/>
      <c r="GC62" s="228"/>
      <c r="GD62" s="228"/>
      <c r="GE62" s="228"/>
      <c r="GF62" s="228"/>
      <c r="GG62" s="228"/>
      <c r="GH62" s="228"/>
      <c r="GI62" s="228"/>
      <c r="GJ62" s="228"/>
      <c r="GK62" s="228"/>
      <c r="GL62" s="228"/>
      <c r="GM62" s="228"/>
      <c r="GN62" s="228"/>
      <c r="GO62" s="228"/>
      <c r="GP62" s="228"/>
      <c r="GQ62" s="228"/>
      <c r="GR62" s="228"/>
      <c r="GS62" s="228"/>
      <c r="GT62" s="228"/>
      <c r="GU62" s="228"/>
      <c r="GV62" s="228"/>
      <c r="GW62" s="228"/>
      <c r="GX62" s="228"/>
      <c r="GY62" s="228"/>
      <c r="GZ62" s="228"/>
      <c r="HA62" s="228"/>
      <c r="HB62" s="228"/>
      <c r="HC62" s="228"/>
      <c r="HD62" s="228"/>
      <c r="HE62" s="228"/>
      <c r="HF62" s="228"/>
      <c r="HG62" s="228"/>
      <c r="HH62" s="228"/>
      <c r="HI62" s="228"/>
      <c r="HJ62" s="228"/>
      <c r="HK62" s="228"/>
      <c r="HL62" s="228"/>
      <c r="HM62" s="228"/>
      <c r="HN62" s="228"/>
      <c r="HO62" s="228"/>
      <c r="HP62" s="228"/>
      <c r="HQ62" s="228"/>
      <c r="HR62" s="228"/>
      <c r="HS62" s="228"/>
      <c r="HT62" s="228"/>
      <c r="HU62" s="228"/>
      <c r="HV62" s="228"/>
      <c r="HW62" s="228"/>
      <c r="HX62" s="228"/>
      <c r="HY62" s="228"/>
      <c r="HZ62" s="228"/>
      <c r="IA62" s="228"/>
      <c r="IB62" s="228"/>
      <c r="IC62" s="228"/>
      <c r="ID62" s="228"/>
      <c r="IE62" s="228"/>
      <c r="IF62" s="228"/>
      <c r="IG62" s="228"/>
      <c r="IH62" s="228"/>
      <c r="II62" s="228"/>
      <c r="IJ62" s="228"/>
      <c r="IK62" s="228"/>
      <c r="IL62" s="228"/>
      <c r="IM62" s="228"/>
      <c r="IN62" s="228"/>
      <c r="IO62" s="228"/>
      <c r="IP62" s="228"/>
      <c r="IQ62" s="228"/>
      <c r="IR62" s="228"/>
      <c r="IS62" s="228"/>
      <c r="IT62" s="228"/>
      <c r="IU62" s="228"/>
      <c r="IV62" s="228"/>
      <c r="IW62" s="228"/>
      <c r="IX62" s="228"/>
      <c r="IY62" s="228"/>
      <c r="IZ62" s="228"/>
      <c r="JA62" s="228"/>
      <c r="JB62" s="228"/>
      <c r="JC62" s="228"/>
      <c r="JD62" s="228"/>
      <c r="JE62" s="228"/>
      <c r="JF62" s="228"/>
      <c r="JG62" s="228"/>
      <c r="JH62" s="228"/>
      <c r="JI62" s="228"/>
      <c r="JJ62" s="228"/>
      <c r="JK62" s="228"/>
      <c r="JL62" s="228"/>
      <c r="JM62" s="228"/>
      <c r="JN62" s="228"/>
      <c r="JO62" s="228"/>
      <c r="JP62" s="228"/>
      <c r="JQ62" s="228"/>
      <c r="JR62" s="228"/>
      <c r="JS62" s="228"/>
      <c r="JT62" s="228"/>
      <c r="JU62" s="228"/>
      <c r="JV62" s="228"/>
      <c r="JW62" s="228"/>
      <c r="JX62" s="228"/>
      <c r="JY62" s="228"/>
      <c r="JZ62" s="228"/>
      <c r="KA62" s="228"/>
      <c r="KB62" s="228"/>
      <c r="KC62" s="228"/>
      <c r="KD62" s="228"/>
      <c r="KE62" s="228"/>
      <c r="KF62" s="228"/>
      <c r="KG62" s="228"/>
      <c r="KH62" s="228"/>
      <c r="KI62" s="228"/>
      <c r="KJ62" s="228"/>
      <c r="KK62" s="228"/>
      <c r="KL62" s="228"/>
      <c r="KM62" s="228"/>
      <c r="KN62" s="228"/>
      <c r="KO62" s="228"/>
      <c r="KP62" s="228"/>
      <c r="KQ62" s="228"/>
      <c r="KR62" s="228"/>
      <c r="KS62" s="228"/>
      <c r="KT62" s="228"/>
      <c r="KU62" s="228"/>
      <c r="KV62" s="228"/>
      <c r="KW62" s="228"/>
      <c r="KX62" s="228"/>
      <c r="KY62" s="228"/>
      <c r="KZ62" s="228"/>
      <c r="LA62" s="228"/>
      <c r="LB62" s="228"/>
      <c r="LC62" s="228"/>
      <c r="LD62" s="228"/>
      <c r="LE62" s="228"/>
      <c r="LF62" s="228"/>
      <c r="LG62" s="228"/>
      <c r="LH62" s="228"/>
      <c r="LI62" s="228"/>
      <c r="LJ62" s="228"/>
      <c r="LK62" s="228"/>
      <c r="LL62" s="228"/>
      <c r="LM62" s="228"/>
      <c r="LN62" s="228"/>
      <c r="LO62" s="228"/>
      <c r="LP62" s="228"/>
      <c r="LQ62" s="228"/>
      <c r="LR62" s="228"/>
      <c r="LS62" s="228"/>
      <c r="LT62" s="228"/>
      <c r="LU62" s="228"/>
      <c r="LV62" s="228"/>
      <c r="LW62" s="228"/>
      <c r="LX62" s="228"/>
      <c r="LY62" s="228"/>
      <c r="LZ62" s="228"/>
      <c r="MA62" s="228"/>
      <c r="MB62" s="228"/>
      <c r="MC62" s="228"/>
      <c r="MD62" s="228"/>
      <c r="ME62" s="228"/>
      <c r="MF62" s="228"/>
      <c r="MG62" s="228"/>
      <c r="MH62" s="228"/>
      <c r="MI62" s="228"/>
      <c r="MJ62" s="228"/>
      <c r="MK62" s="228"/>
      <c r="ML62" s="228"/>
      <c r="MM62" s="228"/>
      <c r="MN62" s="228"/>
      <c r="MO62" s="228"/>
      <c r="MP62" s="228"/>
      <c r="MQ62" s="228"/>
      <c r="MR62" s="228"/>
      <c r="MS62" s="228"/>
      <c r="MT62" s="228"/>
      <c r="MU62" s="228"/>
      <c r="MV62" s="228"/>
      <c r="MW62" s="228"/>
      <c r="MX62" s="228"/>
      <c r="MY62" s="228"/>
      <c r="MZ62" s="228"/>
      <c r="NA62" s="228"/>
      <c r="NB62" s="228"/>
      <c r="NC62" s="228"/>
      <c r="ND62" s="228"/>
      <c r="NE62" s="228"/>
      <c r="NF62" s="228"/>
      <c r="NG62" s="228"/>
      <c r="NH62" s="228"/>
      <c r="NI62" s="228"/>
      <c r="NJ62" s="228"/>
      <c r="NK62" s="228"/>
      <c r="NL62" s="228"/>
      <c r="NM62" s="228"/>
      <c r="NN62" s="228"/>
      <c r="NO62" s="228"/>
      <c r="NP62" s="228"/>
      <c r="NQ62" s="228"/>
      <c r="NR62" s="228"/>
      <c r="NS62" s="228"/>
      <c r="NT62" s="228"/>
      <c r="NU62" s="228"/>
      <c r="NV62" s="228"/>
      <c r="NW62" s="228"/>
      <c r="NX62" s="228"/>
      <c r="NY62" s="228"/>
      <c r="NZ62" s="228"/>
      <c r="OA62" s="228"/>
      <c r="OB62" s="228"/>
      <c r="OC62" s="228"/>
      <c r="OD62" s="228"/>
      <c r="OE62" s="228"/>
      <c r="OF62" s="228"/>
      <c r="OG62" s="228"/>
      <c r="OH62" s="228"/>
      <c r="OI62" s="228"/>
      <c r="OJ62" s="228"/>
      <c r="OK62" s="228"/>
      <c r="OL62" s="228"/>
      <c r="OM62" s="228"/>
      <c r="ON62" s="228"/>
      <c r="OO62" s="228"/>
      <c r="OP62" s="228"/>
      <c r="OQ62" s="228"/>
      <c r="OR62" s="228"/>
      <c r="OS62" s="228"/>
      <c r="OT62" s="228"/>
      <c r="OU62" s="228"/>
      <c r="OV62" s="228"/>
      <c r="OW62" s="228"/>
      <c r="OX62" s="228"/>
      <c r="OY62" s="228"/>
      <c r="OZ62" s="228"/>
      <c r="PA62" s="228"/>
      <c r="PB62" s="228"/>
      <c r="PC62" s="228"/>
      <c r="PD62" s="228"/>
      <c r="PE62" s="228"/>
      <c r="PF62" s="228"/>
      <c r="PG62" s="228"/>
      <c r="PH62" s="228"/>
      <c r="PI62" s="228"/>
      <c r="PJ62" s="228"/>
      <c r="PK62" s="228"/>
      <c r="PL62" s="228"/>
      <c r="PM62" s="228"/>
      <c r="PN62" s="228"/>
      <c r="PO62" s="228"/>
      <c r="PP62" s="228"/>
      <c r="PQ62" s="228"/>
      <c r="PR62" s="228"/>
      <c r="PS62" s="228"/>
      <c r="PT62" s="228"/>
      <c r="PU62" s="228"/>
      <c r="PV62" s="228"/>
      <c r="PW62" s="228"/>
      <c r="PX62" s="228"/>
      <c r="PY62" s="228"/>
      <c r="PZ62" s="228"/>
      <c r="QA62" s="228"/>
      <c r="QB62" s="228"/>
      <c r="QC62" s="228"/>
      <c r="QD62" s="228"/>
      <c r="QE62" s="228"/>
      <c r="QF62" s="228"/>
      <c r="QG62" s="228"/>
      <c r="QH62" s="228"/>
      <c r="QI62" s="228"/>
      <c r="QJ62" s="228"/>
      <c r="QK62" s="228"/>
      <c r="QL62" s="228"/>
      <c r="QM62" s="228"/>
      <c r="QN62" s="228"/>
      <c r="QO62" s="228"/>
      <c r="QP62" s="228"/>
      <c r="QQ62" s="228"/>
      <c r="QR62" s="228"/>
      <c r="QS62" s="228"/>
      <c r="QT62" s="228"/>
      <c r="QU62" s="228"/>
      <c r="QV62" s="228"/>
      <c r="QW62" s="228"/>
      <c r="QX62" s="228"/>
      <c r="QY62" s="228"/>
      <c r="QZ62" s="228"/>
      <c r="RA62" s="228"/>
      <c r="RB62" s="228"/>
      <c r="RC62" s="228"/>
      <c r="RD62" s="228"/>
      <c r="RE62" s="228"/>
      <c r="RF62" s="228"/>
      <c r="RG62" s="228"/>
      <c r="RH62" s="228"/>
      <c r="RI62" s="228"/>
      <c r="RJ62" s="228"/>
      <c r="RK62" s="228"/>
      <c r="RL62" s="228"/>
      <c r="RM62" s="228"/>
      <c r="RN62" s="228"/>
      <c r="RO62" s="228"/>
      <c r="RP62" s="228"/>
      <c r="RQ62" s="228"/>
      <c r="RR62" s="228"/>
      <c r="RS62" s="228"/>
      <c r="RT62" s="228"/>
      <c r="RU62" s="228"/>
      <c r="RV62" s="228"/>
      <c r="RW62" s="228"/>
      <c r="RX62" s="228"/>
      <c r="RY62" s="228"/>
      <c r="RZ62" s="228"/>
      <c r="SA62" s="228"/>
      <c r="SB62" s="228"/>
      <c r="SC62" s="228"/>
      <c r="SD62" s="228"/>
      <c r="SE62" s="228"/>
      <c r="SF62" s="228"/>
      <c r="SG62" s="228"/>
    </row>
    <row r="63" spans="2:501" ht="111.75" customHeight="1">
      <c r="C63" s="227" t="s">
        <v>2008</v>
      </c>
      <c r="D63" s="225" t="s">
        <v>2009</v>
      </c>
      <c r="E63" s="225" t="s">
        <v>2010</v>
      </c>
      <c r="F63" s="225" t="s">
        <v>2011</v>
      </c>
      <c r="G63" s="225" t="s">
        <v>1342</v>
      </c>
      <c r="H63" s="225" t="s">
        <v>1741</v>
      </c>
      <c r="I63" s="226" t="s">
        <v>2012</v>
      </c>
      <c r="J63" s="226" t="s">
        <v>2013</v>
      </c>
      <c r="K63" s="225" t="s">
        <v>1768</v>
      </c>
      <c r="L63" s="225" t="s">
        <v>1760</v>
      </c>
      <c r="M63" s="226" t="s">
        <v>2014</v>
      </c>
      <c r="N63" s="228"/>
      <c r="O63" s="228"/>
      <c r="P63" s="228"/>
      <c r="Q63" s="228"/>
      <c r="R63" s="228"/>
      <c r="S63" s="228"/>
      <c r="T63" s="228"/>
      <c r="U63" s="228"/>
      <c r="V63" s="228"/>
      <c r="W63" s="228"/>
      <c r="X63" s="228"/>
      <c r="Y63" s="228"/>
      <c r="Z63" s="228"/>
      <c r="AA63" s="228"/>
      <c r="AB63" s="228"/>
      <c r="AC63" s="228"/>
      <c r="AD63" s="228"/>
      <c r="AE63" s="228"/>
      <c r="AF63" s="228"/>
      <c r="AG63" s="228"/>
      <c r="AH63" s="228"/>
      <c r="AI63" s="228"/>
      <c r="AJ63" s="228"/>
      <c r="AK63" s="228"/>
      <c r="AL63" s="228"/>
      <c r="AM63" s="228"/>
      <c r="AN63" s="228"/>
      <c r="AO63" s="228"/>
      <c r="AP63" s="228"/>
      <c r="AQ63" s="228"/>
      <c r="AR63" s="228"/>
      <c r="AS63" s="228"/>
      <c r="AT63" s="228"/>
      <c r="AU63" s="228"/>
      <c r="AV63" s="228"/>
      <c r="AW63" s="228"/>
      <c r="AX63" s="228"/>
      <c r="AY63" s="228"/>
      <c r="AZ63" s="228"/>
      <c r="BA63" s="228"/>
      <c r="BB63" s="228"/>
      <c r="BC63" s="228"/>
      <c r="BD63" s="228"/>
      <c r="BE63" s="228"/>
      <c r="BF63" s="228"/>
      <c r="BG63" s="228"/>
      <c r="BH63" s="228"/>
      <c r="BI63" s="228"/>
      <c r="BJ63" s="228"/>
      <c r="BK63" s="228"/>
      <c r="BL63" s="228"/>
      <c r="BM63" s="228"/>
      <c r="BN63" s="228"/>
      <c r="BO63" s="228"/>
      <c r="BP63" s="228"/>
      <c r="BQ63" s="228"/>
      <c r="BR63" s="228"/>
      <c r="BS63" s="228"/>
      <c r="BT63" s="228"/>
      <c r="BU63" s="228"/>
      <c r="BV63" s="228"/>
      <c r="BW63" s="228"/>
      <c r="BX63" s="228"/>
      <c r="BY63" s="228"/>
      <c r="BZ63" s="228"/>
      <c r="CA63" s="228"/>
      <c r="CB63" s="228"/>
      <c r="CC63" s="228"/>
      <c r="CD63" s="228"/>
      <c r="CE63" s="228"/>
      <c r="CF63" s="228"/>
      <c r="CG63" s="228"/>
      <c r="CH63" s="228"/>
      <c r="CI63" s="228"/>
      <c r="CJ63" s="228"/>
      <c r="CK63" s="228"/>
      <c r="CL63" s="228"/>
      <c r="CM63" s="228"/>
      <c r="CN63" s="228"/>
      <c r="CO63" s="228"/>
      <c r="CP63" s="228"/>
      <c r="CQ63" s="228"/>
      <c r="CR63" s="228"/>
      <c r="CS63" s="228"/>
      <c r="CT63" s="228"/>
      <c r="CU63" s="228"/>
      <c r="CV63" s="228"/>
      <c r="CW63" s="228"/>
      <c r="CX63" s="228"/>
      <c r="CY63" s="228"/>
      <c r="CZ63" s="228"/>
      <c r="DA63" s="228"/>
      <c r="DB63" s="228"/>
      <c r="DC63" s="228"/>
      <c r="DD63" s="228"/>
      <c r="DE63" s="228"/>
      <c r="DF63" s="228"/>
      <c r="DG63" s="228"/>
      <c r="DH63" s="228"/>
      <c r="DI63" s="228"/>
      <c r="DJ63" s="228"/>
      <c r="DK63" s="228"/>
      <c r="DL63" s="228"/>
      <c r="DM63" s="228"/>
      <c r="DN63" s="228"/>
      <c r="DO63" s="228"/>
      <c r="DP63" s="228"/>
      <c r="DQ63" s="228"/>
      <c r="DR63" s="228"/>
      <c r="DS63" s="228"/>
      <c r="DT63" s="228"/>
      <c r="DU63" s="228"/>
      <c r="DV63" s="228"/>
      <c r="DW63" s="228"/>
      <c r="DX63" s="228"/>
      <c r="DY63" s="228"/>
      <c r="DZ63" s="228"/>
      <c r="EA63" s="228"/>
      <c r="EB63" s="228"/>
      <c r="EC63" s="228"/>
      <c r="ED63" s="228"/>
      <c r="EE63" s="228"/>
      <c r="EF63" s="228"/>
      <c r="EG63" s="228"/>
      <c r="EH63" s="228"/>
      <c r="EI63" s="228"/>
      <c r="EJ63" s="228"/>
      <c r="EK63" s="228"/>
      <c r="EL63" s="228"/>
      <c r="EM63" s="228"/>
      <c r="EN63" s="228"/>
      <c r="EO63" s="228"/>
      <c r="EP63" s="228"/>
      <c r="EQ63" s="228"/>
      <c r="ER63" s="228"/>
      <c r="ES63" s="228"/>
      <c r="ET63" s="228"/>
      <c r="EU63" s="228"/>
      <c r="EV63" s="228"/>
      <c r="EW63" s="228"/>
      <c r="EX63" s="228"/>
      <c r="EY63" s="228"/>
      <c r="EZ63" s="228"/>
      <c r="FA63" s="228"/>
      <c r="FB63" s="228"/>
      <c r="FC63" s="228"/>
      <c r="FD63" s="228"/>
      <c r="FE63" s="228"/>
      <c r="FF63" s="228"/>
      <c r="FG63" s="228"/>
      <c r="FH63" s="228"/>
      <c r="FI63" s="228"/>
      <c r="FJ63" s="228"/>
      <c r="FK63" s="228"/>
      <c r="FL63" s="228"/>
      <c r="FM63" s="228"/>
      <c r="FN63" s="228"/>
      <c r="FO63" s="228"/>
      <c r="FP63" s="228"/>
      <c r="FQ63" s="228"/>
      <c r="FR63" s="228"/>
      <c r="FS63" s="228"/>
      <c r="FT63" s="228"/>
      <c r="FU63" s="228"/>
      <c r="FV63" s="228"/>
      <c r="FW63" s="228"/>
      <c r="FX63" s="228"/>
      <c r="FY63" s="228"/>
      <c r="FZ63" s="228"/>
      <c r="GA63" s="228"/>
      <c r="GB63" s="228"/>
      <c r="GC63" s="228"/>
      <c r="GD63" s="228"/>
      <c r="GE63" s="228"/>
      <c r="GF63" s="228"/>
      <c r="GG63" s="228"/>
      <c r="GH63" s="228"/>
      <c r="GI63" s="228"/>
      <c r="GJ63" s="228"/>
      <c r="GK63" s="228"/>
      <c r="GL63" s="228"/>
      <c r="GM63" s="228"/>
      <c r="GN63" s="228"/>
      <c r="GO63" s="228"/>
      <c r="GP63" s="228"/>
      <c r="GQ63" s="228"/>
      <c r="GR63" s="228"/>
      <c r="GS63" s="228"/>
      <c r="GT63" s="228"/>
      <c r="GU63" s="228"/>
      <c r="GV63" s="228"/>
      <c r="GW63" s="228"/>
      <c r="GX63" s="228"/>
      <c r="GY63" s="228"/>
      <c r="GZ63" s="228"/>
      <c r="HA63" s="228"/>
      <c r="HB63" s="228"/>
      <c r="HC63" s="228"/>
      <c r="HD63" s="228"/>
      <c r="HE63" s="228"/>
      <c r="HF63" s="228"/>
      <c r="HG63" s="228"/>
      <c r="HH63" s="228"/>
      <c r="HI63" s="228"/>
      <c r="HJ63" s="228"/>
      <c r="HK63" s="228"/>
      <c r="HL63" s="228"/>
      <c r="HM63" s="228"/>
      <c r="HN63" s="228"/>
      <c r="HO63" s="228"/>
      <c r="HP63" s="228"/>
      <c r="HQ63" s="228"/>
      <c r="HR63" s="228"/>
      <c r="HS63" s="228"/>
      <c r="HT63" s="228"/>
      <c r="HU63" s="228"/>
      <c r="HV63" s="228"/>
      <c r="HW63" s="228"/>
      <c r="HX63" s="228"/>
      <c r="HY63" s="228"/>
      <c r="HZ63" s="228"/>
      <c r="IA63" s="228"/>
      <c r="IB63" s="228"/>
      <c r="IC63" s="228"/>
      <c r="ID63" s="228"/>
      <c r="IE63" s="228"/>
      <c r="IF63" s="228"/>
      <c r="IG63" s="228"/>
      <c r="IH63" s="228"/>
      <c r="II63" s="228"/>
      <c r="IJ63" s="228"/>
      <c r="IK63" s="228"/>
      <c r="IL63" s="228"/>
      <c r="IM63" s="228"/>
      <c r="IN63" s="228"/>
      <c r="IO63" s="228"/>
      <c r="IP63" s="228"/>
      <c r="IQ63" s="228"/>
      <c r="IR63" s="228"/>
      <c r="IS63" s="228"/>
      <c r="IT63" s="228"/>
      <c r="IU63" s="228"/>
      <c r="IV63" s="228"/>
      <c r="IW63" s="228"/>
      <c r="IX63" s="228"/>
      <c r="IY63" s="228"/>
      <c r="IZ63" s="228"/>
      <c r="JA63" s="228"/>
      <c r="JB63" s="228"/>
      <c r="JC63" s="228"/>
      <c r="JD63" s="228"/>
      <c r="JE63" s="228"/>
      <c r="JF63" s="228"/>
      <c r="JG63" s="228"/>
      <c r="JH63" s="228"/>
      <c r="JI63" s="228"/>
      <c r="JJ63" s="228"/>
      <c r="JK63" s="228"/>
      <c r="JL63" s="228"/>
      <c r="JM63" s="228"/>
      <c r="JN63" s="228"/>
      <c r="JO63" s="228"/>
      <c r="JP63" s="228"/>
      <c r="JQ63" s="228"/>
      <c r="JR63" s="228"/>
      <c r="JS63" s="228"/>
      <c r="JT63" s="228"/>
      <c r="JU63" s="228"/>
      <c r="JV63" s="228"/>
      <c r="JW63" s="228"/>
      <c r="JX63" s="228"/>
      <c r="JY63" s="228"/>
      <c r="JZ63" s="228"/>
      <c r="KA63" s="228"/>
      <c r="KB63" s="228"/>
      <c r="KC63" s="228"/>
      <c r="KD63" s="228"/>
      <c r="KE63" s="228"/>
      <c r="KF63" s="228"/>
      <c r="KG63" s="228"/>
      <c r="KH63" s="228"/>
      <c r="KI63" s="228"/>
      <c r="KJ63" s="228"/>
      <c r="KK63" s="228"/>
      <c r="KL63" s="228"/>
      <c r="KM63" s="228"/>
      <c r="KN63" s="228"/>
      <c r="KO63" s="228"/>
      <c r="KP63" s="228"/>
      <c r="KQ63" s="228"/>
      <c r="KR63" s="228"/>
      <c r="KS63" s="228"/>
      <c r="KT63" s="228"/>
      <c r="KU63" s="228"/>
      <c r="KV63" s="228"/>
      <c r="KW63" s="228"/>
      <c r="KX63" s="228"/>
      <c r="KY63" s="228"/>
      <c r="KZ63" s="228"/>
      <c r="LA63" s="228"/>
      <c r="LB63" s="228"/>
      <c r="LC63" s="228"/>
      <c r="LD63" s="228"/>
      <c r="LE63" s="228"/>
      <c r="LF63" s="228"/>
      <c r="LG63" s="228"/>
      <c r="LH63" s="228"/>
      <c r="LI63" s="228"/>
      <c r="LJ63" s="228"/>
      <c r="LK63" s="228"/>
      <c r="LL63" s="228"/>
      <c r="LM63" s="228"/>
      <c r="LN63" s="228"/>
      <c r="LO63" s="228"/>
      <c r="LP63" s="228"/>
      <c r="LQ63" s="228"/>
      <c r="LR63" s="228"/>
      <c r="LS63" s="228"/>
      <c r="LT63" s="228"/>
      <c r="LU63" s="228"/>
      <c r="LV63" s="228"/>
      <c r="LW63" s="228"/>
      <c r="LX63" s="228"/>
      <c r="LY63" s="228"/>
      <c r="LZ63" s="228"/>
      <c r="MA63" s="228"/>
      <c r="MB63" s="228"/>
      <c r="MC63" s="228"/>
      <c r="MD63" s="228"/>
      <c r="ME63" s="228"/>
      <c r="MF63" s="228"/>
      <c r="MG63" s="228"/>
      <c r="MH63" s="228"/>
      <c r="MI63" s="228"/>
      <c r="MJ63" s="228"/>
      <c r="MK63" s="228"/>
      <c r="ML63" s="228"/>
      <c r="MM63" s="228"/>
      <c r="MN63" s="228"/>
      <c r="MO63" s="228"/>
      <c r="MP63" s="228"/>
      <c r="MQ63" s="228"/>
      <c r="MR63" s="228"/>
      <c r="MS63" s="228"/>
      <c r="MT63" s="228"/>
      <c r="MU63" s="228"/>
      <c r="MV63" s="228"/>
      <c r="MW63" s="228"/>
      <c r="MX63" s="228"/>
      <c r="MY63" s="228"/>
      <c r="MZ63" s="228"/>
      <c r="NA63" s="228"/>
      <c r="NB63" s="228"/>
      <c r="NC63" s="228"/>
      <c r="ND63" s="228"/>
      <c r="NE63" s="228"/>
      <c r="NF63" s="228"/>
      <c r="NG63" s="228"/>
      <c r="NH63" s="228"/>
      <c r="NI63" s="228"/>
      <c r="NJ63" s="228"/>
      <c r="NK63" s="228"/>
      <c r="NL63" s="228"/>
      <c r="NM63" s="228"/>
      <c r="NN63" s="228"/>
      <c r="NO63" s="228"/>
      <c r="NP63" s="228"/>
      <c r="NQ63" s="228"/>
      <c r="NR63" s="228"/>
      <c r="NS63" s="228"/>
      <c r="NT63" s="228"/>
      <c r="NU63" s="228"/>
      <c r="NV63" s="228"/>
      <c r="NW63" s="228"/>
      <c r="NX63" s="228"/>
      <c r="NY63" s="228"/>
      <c r="NZ63" s="228"/>
      <c r="OA63" s="228"/>
      <c r="OB63" s="228"/>
      <c r="OC63" s="228"/>
      <c r="OD63" s="228"/>
      <c r="OE63" s="228"/>
      <c r="OF63" s="228"/>
      <c r="OG63" s="228"/>
      <c r="OH63" s="228"/>
      <c r="OI63" s="228"/>
      <c r="OJ63" s="228"/>
      <c r="OK63" s="228"/>
      <c r="OL63" s="228"/>
      <c r="OM63" s="228"/>
      <c r="ON63" s="228"/>
      <c r="OO63" s="228"/>
      <c r="OP63" s="228"/>
      <c r="OQ63" s="228"/>
      <c r="OR63" s="228"/>
      <c r="OS63" s="228"/>
      <c r="OT63" s="228"/>
      <c r="OU63" s="228"/>
      <c r="OV63" s="228"/>
      <c r="OW63" s="228"/>
      <c r="OX63" s="228"/>
      <c r="OY63" s="228"/>
      <c r="OZ63" s="228"/>
      <c r="PA63" s="228"/>
      <c r="PB63" s="228"/>
      <c r="PC63" s="228"/>
      <c r="PD63" s="228"/>
      <c r="PE63" s="228"/>
      <c r="PF63" s="228"/>
      <c r="PG63" s="228"/>
      <c r="PH63" s="228"/>
      <c r="PI63" s="228"/>
      <c r="PJ63" s="228"/>
      <c r="PK63" s="228"/>
      <c r="PL63" s="228"/>
      <c r="PM63" s="228"/>
      <c r="PN63" s="228"/>
      <c r="PO63" s="228"/>
      <c r="PP63" s="228"/>
      <c r="PQ63" s="228"/>
      <c r="PR63" s="228"/>
      <c r="PS63" s="228"/>
      <c r="PT63" s="228"/>
      <c r="PU63" s="228"/>
      <c r="PV63" s="228"/>
      <c r="PW63" s="228"/>
      <c r="PX63" s="228"/>
      <c r="PY63" s="228"/>
      <c r="PZ63" s="228"/>
      <c r="QA63" s="228"/>
      <c r="QB63" s="228"/>
      <c r="QC63" s="228"/>
      <c r="QD63" s="228"/>
      <c r="QE63" s="228"/>
      <c r="QF63" s="228"/>
      <c r="QG63" s="228"/>
      <c r="QH63" s="228"/>
      <c r="QI63" s="228"/>
      <c r="QJ63" s="228"/>
      <c r="QK63" s="228"/>
      <c r="QL63" s="228"/>
      <c r="QM63" s="228"/>
      <c r="QN63" s="228"/>
      <c r="QO63" s="228"/>
      <c r="QP63" s="228"/>
      <c r="QQ63" s="228"/>
      <c r="QR63" s="228"/>
      <c r="QS63" s="228"/>
      <c r="QT63" s="228"/>
      <c r="QU63" s="228"/>
      <c r="QV63" s="228"/>
      <c r="QW63" s="228"/>
      <c r="QX63" s="228"/>
      <c r="QY63" s="228"/>
      <c r="QZ63" s="228"/>
      <c r="RA63" s="228"/>
      <c r="RB63" s="228"/>
      <c r="RC63" s="228"/>
      <c r="RD63" s="228"/>
      <c r="RE63" s="228"/>
      <c r="RF63" s="228"/>
      <c r="RG63" s="228"/>
      <c r="RH63" s="228"/>
      <c r="RI63" s="228"/>
      <c r="RJ63" s="228"/>
      <c r="RK63" s="228"/>
      <c r="RL63" s="228"/>
      <c r="RM63" s="228"/>
      <c r="RN63" s="228"/>
      <c r="RO63" s="228"/>
      <c r="RP63" s="228"/>
      <c r="RQ63" s="228"/>
      <c r="RR63" s="228"/>
      <c r="RS63" s="228"/>
      <c r="RT63" s="228"/>
      <c r="RU63" s="228"/>
      <c r="RV63" s="228"/>
      <c r="RW63" s="228"/>
      <c r="RX63" s="228"/>
      <c r="RY63" s="228"/>
      <c r="RZ63" s="228"/>
      <c r="SA63" s="228"/>
      <c r="SB63" s="228"/>
      <c r="SC63" s="228"/>
      <c r="SD63" s="228"/>
      <c r="SE63" s="228"/>
      <c r="SF63" s="228"/>
      <c r="SG63" s="228"/>
    </row>
    <row r="64" spans="2:501" ht="14.25" customHeight="1"/>
    <row r="65" spans="2:501" ht="14.25" customHeight="1">
      <c r="B65" s="222" t="s">
        <v>2015</v>
      </c>
      <c r="C65" s="222"/>
      <c r="D65" s="197"/>
      <c r="E65" s="198"/>
    </row>
    <row r="66" spans="2:501" ht="14.25" customHeight="1">
      <c r="C66" s="223" t="s">
        <v>1111</v>
      </c>
      <c r="D66" s="223" t="s">
        <v>93</v>
      </c>
      <c r="E66" s="223" t="s">
        <v>1727</v>
      </c>
      <c r="F66" s="223" t="s">
        <v>1728</v>
      </c>
      <c r="G66" s="223" t="s">
        <v>1729</v>
      </c>
      <c r="H66" s="223" t="s">
        <v>1730</v>
      </c>
      <c r="I66" s="223" t="s">
        <v>1731</v>
      </c>
      <c r="J66" s="223" t="s">
        <v>1732</v>
      </c>
      <c r="K66" s="223" t="s">
        <v>1733</v>
      </c>
      <c r="L66" s="223" t="s">
        <v>1734</v>
      </c>
      <c r="M66" s="223" t="s">
        <v>1735</v>
      </c>
      <c r="N66" s="228"/>
      <c r="O66" s="228"/>
      <c r="P66" s="228"/>
      <c r="Q66" s="228"/>
      <c r="R66" s="228"/>
      <c r="S66" s="228"/>
      <c r="T66" s="228"/>
      <c r="U66" s="228"/>
      <c r="V66" s="228"/>
      <c r="W66" s="228"/>
      <c r="X66" s="228"/>
      <c r="Y66" s="228"/>
      <c r="Z66" s="228"/>
      <c r="AA66" s="228"/>
      <c r="AB66" s="228"/>
      <c r="AC66" s="228"/>
      <c r="AD66" s="228"/>
      <c r="AE66" s="228"/>
      <c r="AF66" s="228"/>
      <c r="AG66" s="228"/>
      <c r="AH66" s="228"/>
      <c r="AI66" s="228"/>
      <c r="AJ66" s="228"/>
      <c r="AK66" s="228"/>
      <c r="AL66" s="228"/>
      <c r="AM66" s="228"/>
      <c r="AN66" s="228"/>
      <c r="AO66" s="228"/>
      <c r="AP66" s="228"/>
      <c r="AQ66" s="228"/>
      <c r="AR66" s="228"/>
      <c r="AS66" s="228"/>
      <c r="AT66" s="228"/>
      <c r="AU66" s="228"/>
      <c r="AV66" s="228"/>
      <c r="AW66" s="228"/>
      <c r="AX66" s="228"/>
      <c r="AY66" s="228"/>
      <c r="AZ66" s="228"/>
      <c r="BA66" s="228"/>
      <c r="BB66" s="228"/>
      <c r="BC66" s="228"/>
      <c r="BD66" s="228"/>
      <c r="BE66" s="228"/>
      <c r="BF66" s="228"/>
      <c r="BG66" s="228"/>
      <c r="BH66" s="228"/>
      <c r="BI66" s="228"/>
      <c r="BJ66" s="228"/>
      <c r="BK66" s="228"/>
      <c r="BL66" s="228"/>
      <c r="BM66" s="228"/>
      <c r="BN66" s="228"/>
      <c r="BO66" s="228"/>
      <c r="BP66" s="228"/>
      <c r="BQ66" s="228"/>
      <c r="BR66" s="228"/>
      <c r="BS66" s="228"/>
      <c r="BT66" s="228"/>
      <c r="BU66" s="228"/>
      <c r="BV66" s="228"/>
      <c r="BW66" s="228"/>
      <c r="BX66" s="228"/>
      <c r="BY66" s="228"/>
      <c r="BZ66" s="228"/>
      <c r="CA66" s="228"/>
      <c r="CB66" s="228"/>
      <c r="CC66" s="228"/>
      <c r="CD66" s="228"/>
      <c r="CE66" s="228"/>
      <c r="CF66" s="228"/>
      <c r="CG66" s="228"/>
      <c r="CH66" s="228"/>
      <c r="CI66" s="228"/>
      <c r="CJ66" s="228"/>
      <c r="CK66" s="228"/>
      <c r="CL66" s="228"/>
      <c r="CM66" s="228"/>
      <c r="CN66" s="228"/>
      <c r="CO66" s="228"/>
      <c r="CP66" s="228"/>
      <c r="CQ66" s="228"/>
      <c r="CR66" s="228"/>
      <c r="CS66" s="228"/>
      <c r="CT66" s="228"/>
      <c r="CU66" s="228"/>
      <c r="CV66" s="228"/>
      <c r="CW66" s="228"/>
      <c r="CX66" s="228"/>
      <c r="CY66" s="228"/>
      <c r="CZ66" s="228"/>
      <c r="DA66" s="228"/>
      <c r="DB66" s="228"/>
      <c r="DC66" s="228"/>
      <c r="DD66" s="228"/>
      <c r="DE66" s="228"/>
      <c r="DF66" s="228"/>
      <c r="DG66" s="228"/>
      <c r="DH66" s="228"/>
      <c r="DI66" s="228"/>
      <c r="DJ66" s="228"/>
      <c r="DK66" s="228"/>
      <c r="DL66" s="228"/>
      <c r="DM66" s="228"/>
      <c r="DN66" s="228"/>
      <c r="DO66" s="228"/>
      <c r="DP66" s="228"/>
      <c r="DQ66" s="228"/>
      <c r="DR66" s="228"/>
      <c r="DS66" s="228"/>
      <c r="DT66" s="228"/>
      <c r="DU66" s="228"/>
      <c r="DV66" s="228"/>
      <c r="DW66" s="228"/>
      <c r="DX66" s="228"/>
      <c r="DY66" s="228"/>
      <c r="DZ66" s="228"/>
      <c r="EA66" s="228"/>
      <c r="EB66" s="228"/>
      <c r="EC66" s="228"/>
      <c r="ED66" s="228"/>
      <c r="EE66" s="228"/>
      <c r="EF66" s="228"/>
      <c r="EG66" s="228"/>
      <c r="EH66" s="228"/>
      <c r="EI66" s="228"/>
      <c r="EJ66" s="228"/>
      <c r="EK66" s="228"/>
      <c r="EL66" s="228"/>
      <c r="EM66" s="228"/>
      <c r="EN66" s="228"/>
      <c r="EO66" s="228"/>
      <c r="EP66" s="228"/>
      <c r="EQ66" s="228"/>
      <c r="ER66" s="228"/>
      <c r="ES66" s="228"/>
      <c r="ET66" s="228"/>
      <c r="EU66" s="228"/>
      <c r="EV66" s="228"/>
      <c r="EW66" s="228"/>
      <c r="EX66" s="228"/>
      <c r="EY66" s="228"/>
      <c r="EZ66" s="228"/>
      <c r="FA66" s="228"/>
      <c r="FB66" s="228"/>
      <c r="FC66" s="228"/>
      <c r="FD66" s="228"/>
      <c r="FE66" s="228"/>
      <c r="FF66" s="228"/>
      <c r="FG66" s="228"/>
      <c r="FH66" s="228"/>
      <c r="FI66" s="228"/>
      <c r="FJ66" s="228"/>
      <c r="FK66" s="228"/>
      <c r="FL66" s="228"/>
      <c r="FM66" s="228"/>
      <c r="FN66" s="228"/>
      <c r="FO66" s="228"/>
      <c r="FP66" s="228"/>
      <c r="FQ66" s="228"/>
      <c r="FR66" s="228"/>
      <c r="FS66" s="228"/>
      <c r="FT66" s="228"/>
      <c r="FU66" s="228"/>
      <c r="FV66" s="228"/>
      <c r="FW66" s="228"/>
      <c r="FX66" s="228"/>
      <c r="FY66" s="228"/>
      <c r="FZ66" s="228"/>
      <c r="GA66" s="228"/>
      <c r="GB66" s="228"/>
      <c r="GC66" s="228"/>
      <c r="GD66" s="228"/>
      <c r="GE66" s="228"/>
      <c r="GF66" s="228"/>
      <c r="GG66" s="228"/>
      <c r="GH66" s="228"/>
      <c r="GI66" s="228"/>
      <c r="GJ66" s="228"/>
      <c r="GK66" s="228"/>
      <c r="GL66" s="228"/>
      <c r="GM66" s="228"/>
      <c r="GN66" s="228"/>
      <c r="GO66" s="228"/>
      <c r="GP66" s="228"/>
      <c r="GQ66" s="228"/>
      <c r="GR66" s="228"/>
      <c r="GS66" s="228"/>
      <c r="GT66" s="228"/>
      <c r="GU66" s="228"/>
      <c r="GV66" s="228"/>
      <c r="GW66" s="228"/>
      <c r="GX66" s="228"/>
      <c r="GY66" s="228"/>
      <c r="GZ66" s="228"/>
      <c r="HA66" s="228"/>
      <c r="HB66" s="228"/>
      <c r="HC66" s="228"/>
      <c r="HD66" s="228"/>
      <c r="HE66" s="228"/>
      <c r="HF66" s="228"/>
      <c r="HG66" s="228"/>
      <c r="HH66" s="228"/>
      <c r="HI66" s="228"/>
      <c r="HJ66" s="228"/>
      <c r="HK66" s="228"/>
      <c r="HL66" s="228"/>
      <c r="HM66" s="228"/>
      <c r="HN66" s="228"/>
      <c r="HO66" s="228"/>
      <c r="HP66" s="228"/>
      <c r="HQ66" s="228"/>
      <c r="HR66" s="228"/>
      <c r="HS66" s="228"/>
      <c r="HT66" s="228"/>
      <c r="HU66" s="228"/>
      <c r="HV66" s="228"/>
      <c r="HW66" s="228"/>
      <c r="HX66" s="228"/>
      <c r="HY66" s="228"/>
      <c r="HZ66" s="228"/>
      <c r="IA66" s="228"/>
      <c r="IB66" s="228"/>
      <c r="IC66" s="228"/>
      <c r="ID66" s="228"/>
      <c r="IE66" s="228"/>
      <c r="IF66" s="228"/>
      <c r="IG66" s="228"/>
      <c r="IH66" s="228"/>
      <c r="II66" s="228"/>
      <c r="IJ66" s="228"/>
      <c r="IK66" s="228"/>
      <c r="IL66" s="228"/>
      <c r="IM66" s="228"/>
      <c r="IN66" s="228"/>
      <c r="IO66" s="228"/>
      <c r="IP66" s="228"/>
      <c r="IQ66" s="228"/>
      <c r="IR66" s="228"/>
      <c r="IS66" s="228"/>
      <c r="IT66" s="228"/>
      <c r="IU66" s="228"/>
      <c r="IV66" s="228"/>
      <c r="IW66" s="228"/>
      <c r="IX66" s="228"/>
      <c r="IY66" s="228"/>
      <c r="IZ66" s="228"/>
      <c r="JA66" s="228"/>
      <c r="JB66" s="228"/>
      <c r="JC66" s="228"/>
      <c r="JD66" s="228"/>
      <c r="JE66" s="228"/>
      <c r="JF66" s="228"/>
      <c r="JG66" s="228"/>
      <c r="JH66" s="228"/>
      <c r="JI66" s="228"/>
      <c r="JJ66" s="228"/>
      <c r="JK66" s="228"/>
      <c r="JL66" s="228"/>
      <c r="JM66" s="228"/>
      <c r="JN66" s="228"/>
      <c r="JO66" s="228"/>
      <c r="JP66" s="228"/>
      <c r="JQ66" s="228"/>
      <c r="JR66" s="228"/>
      <c r="JS66" s="228"/>
      <c r="JT66" s="228"/>
      <c r="JU66" s="228"/>
      <c r="JV66" s="228"/>
      <c r="JW66" s="228"/>
      <c r="JX66" s="228"/>
      <c r="JY66" s="228"/>
      <c r="JZ66" s="228"/>
      <c r="KA66" s="228"/>
      <c r="KB66" s="228"/>
      <c r="KC66" s="228"/>
      <c r="KD66" s="228"/>
      <c r="KE66" s="228"/>
      <c r="KF66" s="228"/>
      <c r="KG66" s="228"/>
      <c r="KH66" s="228"/>
      <c r="KI66" s="228"/>
      <c r="KJ66" s="228"/>
      <c r="KK66" s="228"/>
      <c r="KL66" s="228"/>
      <c r="KM66" s="228"/>
      <c r="KN66" s="228"/>
      <c r="KO66" s="228"/>
      <c r="KP66" s="228"/>
      <c r="KQ66" s="228"/>
      <c r="KR66" s="228"/>
      <c r="KS66" s="228"/>
      <c r="KT66" s="228"/>
      <c r="KU66" s="228"/>
      <c r="KV66" s="228"/>
      <c r="KW66" s="228"/>
      <c r="KX66" s="228"/>
      <c r="KY66" s="228"/>
      <c r="KZ66" s="228"/>
      <c r="LA66" s="228"/>
      <c r="LB66" s="228"/>
      <c r="LC66" s="228"/>
      <c r="LD66" s="228"/>
      <c r="LE66" s="228"/>
      <c r="LF66" s="228"/>
      <c r="LG66" s="228"/>
      <c r="LH66" s="228"/>
      <c r="LI66" s="228"/>
      <c r="LJ66" s="228"/>
      <c r="LK66" s="228"/>
      <c r="LL66" s="228"/>
      <c r="LM66" s="228"/>
      <c r="LN66" s="228"/>
      <c r="LO66" s="228"/>
      <c r="LP66" s="228"/>
      <c r="LQ66" s="228"/>
      <c r="LR66" s="228"/>
      <c r="LS66" s="228"/>
      <c r="LT66" s="228"/>
      <c r="LU66" s="228"/>
      <c r="LV66" s="228"/>
      <c r="LW66" s="228"/>
      <c r="LX66" s="228"/>
      <c r="LY66" s="228"/>
      <c r="LZ66" s="228"/>
      <c r="MA66" s="228"/>
      <c r="MB66" s="228"/>
      <c r="MC66" s="228"/>
      <c r="MD66" s="228"/>
      <c r="ME66" s="228"/>
      <c r="MF66" s="228"/>
      <c r="MG66" s="228"/>
      <c r="MH66" s="228"/>
      <c r="MI66" s="228"/>
      <c r="MJ66" s="228"/>
      <c r="MK66" s="228"/>
      <c r="ML66" s="228"/>
      <c r="MM66" s="228"/>
      <c r="MN66" s="228"/>
      <c r="MO66" s="228"/>
      <c r="MP66" s="228"/>
      <c r="MQ66" s="228"/>
      <c r="MR66" s="228"/>
      <c r="MS66" s="228"/>
      <c r="MT66" s="228"/>
      <c r="MU66" s="228"/>
      <c r="MV66" s="228"/>
      <c r="MW66" s="228"/>
      <c r="MX66" s="228"/>
      <c r="MY66" s="228"/>
      <c r="MZ66" s="228"/>
      <c r="NA66" s="228"/>
      <c r="NB66" s="228"/>
      <c r="NC66" s="228"/>
      <c r="ND66" s="228"/>
      <c r="NE66" s="228"/>
      <c r="NF66" s="228"/>
      <c r="NG66" s="228"/>
      <c r="NH66" s="228"/>
      <c r="NI66" s="228"/>
      <c r="NJ66" s="228"/>
      <c r="NK66" s="228"/>
      <c r="NL66" s="228"/>
      <c r="NM66" s="228"/>
      <c r="NN66" s="228"/>
      <c r="NO66" s="228"/>
      <c r="NP66" s="228"/>
      <c r="NQ66" s="228"/>
      <c r="NR66" s="228"/>
      <c r="NS66" s="228"/>
      <c r="NT66" s="228"/>
      <c r="NU66" s="228"/>
      <c r="NV66" s="228"/>
      <c r="NW66" s="228"/>
      <c r="NX66" s="228"/>
      <c r="NY66" s="228"/>
      <c r="NZ66" s="228"/>
      <c r="OA66" s="228"/>
      <c r="OB66" s="228"/>
      <c r="OC66" s="228"/>
      <c r="OD66" s="228"/>
      <c r="OE66" s="228"/>
      <c r="OF66" s="228"/>
      <c r="OG66" s="228"/>
      <c r="OH66" s="228"/>
      <c r="OI66" s="228"/>
      <c r="OJ66" s="228"/>
      <c r="OK66" s="228"/>
      <c r="OL66" s="228"/>
      <c r="OM66" s="228"/>
      <c r="ON66" s="228"/>
      <c r="OO66" s="228"/>
      <c r="OP66" s="228"/>
      <c r="OQ66" s="228"/>
      <c r="OR66" s="228"/>
      <c r="OS66" s="228"/>
      <c r="OT66" s="228"/>
      <c r="OU66" s="228"/>
      <c r="OV66" s="228"/>
      <c r="OW66" s="228"/>
      <c r="OX66" s="228"/>
      <c r="OY66" s="228"/>
      <c r="OZ66" s="228"/>
      <c r="PA66" s="228"/>
      <c r="PB66" s="228"/>
      <c r="PC66" s="228"/>
      <c r="PD66" s="228"/>
      <c r="PE66" s="228"/>
      <c r="PF66" s="228"/>
      <c r="PG66" s="228"/>
      <c r="PH66" s="228"/>
      <c r="PI66" s="228"/>
      <c r="PJ66" s="228"/>
      <c r="PK66" s="228"/>
      <c r="PL66" s="228"/>
      <c r="PM66" s="228"/>
      <c r="PN66" s="228"/>
      <c r="PO66" s="228"/>
      <c r="PP66" s="228"/>
      <c r="PQ66" s="228"/>
      <c r="PR66" s="228"/>
      <c r="PS66" s="228"/>
      <c r="PT66" s="228"/>
      <c r="PU66" s="228"/>
      <c r="PV66" s="228"/>
      <c r="PW66" s="228"/>
      <c r="PX66" s="228"/>
      <c r="PY66" s="228"/>
      <c r="PZ66" s="228"/>
      <c r="QA66" s="228"/>
      <c r="QB66" s="228"/>
      <c r="QC66" s="228"/>
      <c r="QD66" s="228"/>
      <c r="QE66" s="228"/>
      <c r="QF66" s="228"/>
      <c r="QG66" s="228"/>
      <c r="QH66" s="228"/>
      <c r="QI66" s="228"/>
      <c r="QJ66" s="228"/>
      <c r="QK66" s="228"/>
      <c r="QL66" s="228"/>
      <c r="QM66" s="228"/>
      <c r="QN66" s="228"/>
      <c r="QO66" s="228"/>
      <c r="QP66" s="228"/>
      <c r="QQ66" s="228"/>
      <c r="QR66" s="228"/>
      <c r="QS66" s="228"/>
      <c r="QT66" s="228"/>
      <c r="QU66" s="228"/>
      <c r="QV66" s="228"/>
      <c r="QW66" s="228"/>
      <c r="QX66" s="228"/>
      <c r="QY66" s="228"/>
      <c r="QZ66" s="228"/>
      <c r="RA66" s="228"/>
      <c r="RB66" s="228"/>
      <c r="RC66" s="228"/>
      <c r="RD66" s="228"/>
      <c r="RE66" s="228"/>
      <c r="RF66" s="228"/>
      <c r="RG66" s="228"/>
      <c r="RH66" s="228"/>
      <c r="RI66" s="228"/>
      <c r="RJ66" s="228"/>
      <c r="RK66" s="228"/>
      <c r="RL66" s="228"/>
      <c r="RM66" s="228"/>
      <c r="RN66" s="228"/>
      <c r="RO66" s="228"/>
      <c r="RP66" s="228"/>
      <c r="RQ66" s="228"/>
      <c r="RR66" s="228"/>
      <c r="RS66" s="228"/>
      <c r="RT66" s="228"/>
      <c r="RU66" s="228"/>
      <c r="RV66" s="228"/>
      <c r="RW66" s="228"/>
      <c r="RX66" s="228"/>
      <c r="RY66" s="228"/>
      <c r="RZ66" s="228"/>
      <c r="SA66" s="228"/>
      <c r="SB66" s="228"/>
      <c r="SC66" s="228"/>
      <c r="SD66" s="228"/>
      <c r="SE66" s="228"/>
      <c r="SF66" s="228"/>
      <c r="SG66" s="228"/>
    </row>
    <row r="67" spans="2:501" ht="153.75" customHeight="1">
      <c r="C67" s="227" t="s">
        <v>2016</v>
      </c>
      <c r="D67" s="225" t="s">
        <v>2017</v>
      </c>
      <c r="E67" s="225" t="s">
        <v>2018</v>
      </c>
      <c r="F67" s="225" t="s">
        <v>2019</v>
      </c>
      <c r="G67" s="225" t="s">
        <v>1740</v>
      </c>
      <c r="H67" s="225" t="s">
        <v>1741</v>
      </c>
      <c r="I67" s="226" t="s">
        <v>2020</v>
      </c>
      <c r="J67" s="226" t="s">
        <v>2021</v>
      </c>
      <c r="K67" s="225" t="s">
        <v>2006</v>
      </c>
      <c r="L67" s="225" t="s">
        <v>1760</v>
      </c>
      <c r="M67" s="226" t="s">
        <v>2022</v>
      </c>
      <c r="N67" s="228"/>
      <c r="O67" s="228"/>
      <c r="P67" s="228"/>
      <c r="Q67" s="228"/>
      <c r="R67" s="228"/>
      <c r="S67" s="228"/>
      <c r="T67" s="228"/>
      <c r="U67" s="228"/>
      <c r="V67" s="228"/>
      <c r="W67" s="228"/>
      <c r="X67" s="228"/>
      <c r="Y67" s="228"/>
      <c r="Z67" s="228"/>
      <c r="AA67" s="228"/>
      <c r="AB67" s="228"/>
      <c r="AC67" s="228"/>
      <c r="AD67" s="228"/>
      <c r="AE67" s="228"/>
      <c r="AF67" s="228"/>
      <c r="AG67" s="228"/>
      <c r="AH67" s="228"/>
      <c r="AI67" s="228"/>
      <c r="AJ67" s="228"/>
      <c r="AK67" s="228"/>
      <c r="AL67" s="228"/>
      <c r="AM67" s="228"/>
      <c r="AN67" s="228"/>
      <c r="AO67" s="228"/>
      <c r="AP67" s="228"/>
      <c r="AQ67" s="228"/>
      <c r="AR67" s="228"/>
      <c r="AS67" s="228"/>
      <c r="AT67" s="228"/>
      <c r="AU67" s="228"/>
      <c r="AV67" s="228"/>
      <c r="AW67" s="228"/>
      <c r="AX67" s="228"/>
      <c r="AY67" s="228"/>
      <c r="AZ67" s="228"/>
      <c r="BA67" s="228"/>
      <c r="BB67" s="228"/>
      <c r="BC67" s="228"/>
      <c r="BD67" s="228"/>
      <c r="BE67" s="228"/>
      <c r="BF67" s="228"/>
      <c r="BG67" s="228"/>
      <c r="BH67" s="228"/>
      <c r="BI67" s="228"/>
      <c r="BJ67" s="228"/>
      <c r="BK67" s="228"/>
      <c r="BL67" s="228"/>
      <c r="BM67" s="228"/>
      <c r="BN67" s="228"/>
      <c r="BO67" s="228"/>
      <c r="BP67" s="228"/>
      <c r="BQ67" s="228"/>
      <c r="BR67" s="228"/>
      <c r="BS67" s="228"/>
      <c r="BT67" s="228"/>
      <c r="BU67" s="228"/>
      <c r="BV67" s="228"/>
      <c r="BW67" s="228"/>
      <c r="BX67" s="228"/>
      <c r="BY67" s="228"/>
      <c r="BZ67" s="228"/>
      <c r="CA67" s="228"/>
      <c r="CB67" s="228"/>
      <c r="CC67" s="228"/>
      <c r="CD67" s="228"/>
      <c r="CE67" s="228"/>
      <c r="CF67" s="228"/>
      <c r="CG67" s="228"/>
      <c r="CH67" s="228"/>
      <c r="CI67" s="228"/>
      <c r="CJ67" s="228"/>
      <c r="CK67" s="228"/>
      <c r="CL67" s="228"/>
      <c r="CM67" s="228"/>
      <c r="CN67" s="228"/>
      <c r="CO67" s="228"/>
      <c r="CP67" s="228"/>
      <c r="CQ67" s="228"/>
      <c r="CR67" s="228"/>
      <c r="CS67" s="228"/>
      <c r="CT67" s="228"/>
      <c r="CU67" s="228"/>
      <c r="CV67" s="228"/>
      <c r="CW67" s="228"/>
      <c r="CX67" s="228"/>
      <c r="CY67" s="228"/>
      <c r="CZ67" s="228"/>
      <c r="DA67" s="228"/>
      <c r="DB67" s="228"/>
      <c r="DC67" s="228"/>
      <c r="DD67" s="228"/>
      <c r="DE67" s="228"/>
      <c r="DF67" s="228"/>
      <c r="DG67" s="228"/>
      <c r="DH67" s="228"/>
      <c r="DI67" s="228"/>
      <c r="DJ67" s="228"/>
      <c r="DK67" s="228"/>
      <c r="DL67" s="228"/>
      <c r="DM67" s="228"/>
      <c r="DN67" s="228"/>
      <c r="DO67" s="228"/>
      <c r="DP67" s="228"/>
      <c r="DQ67" s="228"/>
      <c r="DR67" s="228"/>
      <c r="DS67" s="228"/>
      <c r="DT67" s="228"/>
      <c r="DU67" s="228"/>
      <c r="DV67" s="228"/>
      <c r="DW67" s="228"/>
      <c r="DX67" s="228"/>
      <c r="DY67" s="228"/>
      <c r="DZ67" s="228"/>
      <c r="EA67" s="228"/>
      <c r="EB67" s="228"/>
      <c r="EC67" s="228"/>
      <c r="ED67" s="228"/>
      <c r="EE67" s="228"/>
      <c r="EF67" s="228"/>
      <c r="EG67" s="228"/>
      <c r="EH67" s="228"/>
      <c r="EI67" s="228"/>
      <c r="EJ67" s="228"/>
      <c r="EK67" s="228"/>
      <c r="EL67" s="228"/>
      <c r="EM67" s="228"/>
      <c r="EN67" s="228"/>
      <c r="EO67" s="228"/>
      <c r="EP67" s="228"/>
      <c r="EQ67" s="228"/>
      <c r="ER67" s="228"/>
      <c r="ES67" s="228"/>
      <c r="ET67" s="228"/>
      <c r="EU67" s="228"/>
      <c r="EV67" s="228"/>
      <c r="EW67" s="228"/>
      <c r="EX67" s="228"/>
      <c r="EY67" s="228"/>
      <c r="EZ67" s="228"/>
      <c r="FA67" s="228"/>
      <c r="FB67" s="228"/>
      <c r="FC67" s="228"/>
      <c r="FD67" s="228"/>
      <c r="FE67" s="228"/>
      <c r="FF67" s="228"/>
      <c r="FG67" s="228"/>
      <c r="FH67" s="228"/>
      <c r="FI67" s="228"/>
      <c r="FJ67" s="228"/>
      <c r="FK67" s="228"/>
      <c r="FL67" s="228"/>
      <c r="FM67" s="228"/>
      <c r="FN67" s="228"/>
      <c r="FO67" s="228"/>
      <c r="FP67" s="228"/>
      <c r="FQ67" s="228"/>
      <c r="FR67" s="228"/>
      <c r="FS67" s="228"/>
      <c r="FT67" s="228"/>
      <c r="FU67" s="228"/>
      <c r="FV67" s="228"/>
      <c r="FW67" s="228"/>
      <c r="FX67" s="228"/>
      <c r="FY67" s="228"/>
      <c r="FZ67" s="228"/>
      <c r="GA67" s="228"/>
      <c r="GB67" s="228"/>
      <c r="GC67" s="228"/>
      <c r="GD67" s="228"/>
      <c r="GE67" s="228"/>
      <c r="GF67" s="228"/>
      <c r="GG67" s="228"/>
      <c r="GH67" s="228"/>
      <c r="GI67" s="228"/>
      <c r="GJ67" s="228"/>
      <c r="GK67" s="228"/>
      <c r="GL67" s="228"/>
      <c r="GM67" s="228"/>
      <c r="GN67" s="228"/>
      <c r="GO67" s="228"/>
      <c r="GP67" s="228"/>
      <c r="GQ67" s="228"/>
      <c r="GR67" s="228"/>
      <c r="GS67" s="228"/>
      <c r="GT67" s="228"/>
      <c r="GU67" s="228"/>
      <c r="GV67" s="228"/>
      <c r="GW67" s="228"/>
      <c r="GX67" s="228"/>
      <c r="GY67" s="228"/>
      <c r="GZ67" s="228"/>
      <c r="HA67" s="228"/>
      <c r="HB67" s="228"/>
      <c r="HC67" s="228"/>
      <c r="HD67" s="228"/>
      <c r="HE67" s="228"/>
      <c r="HF67" s="228"/>
      <c r="HG67" s="228"/>
      <c r="HH67" s="228"/>
      <c r="HI67" s="228"/>
      <c r="HJ67" s="228"/>
      <c r="HK67" s="228"/>
      <c r="HL67" s="228"/>
      <c r="HM67" s="228"/>
      <c r="HN67" s="228"/>
      <c r="HO67" s="228"/>
      <c r="HP67" s="228"/>
      <c r="HQ67" s="228"/>
      <c r="HR67" s="228"/>
      <c r="HS67" s="228"/>
      <c r="HT67" s="228"/>
      <c r="HU67" s="228"/>
      <c r="HV67" s="228"/>
      <c r="HW67" s="228"/>
      <c r="HX67" s="228"/>
      <c r="HY67" s="228"/>
      <c r="HZ67" s="228"/>
      <c r="IA67" s="228"/>
      <c r="IB67" s="228"/>
      <c r="IC67" s="228"/>
      <c r="ID67" s="228"/>
      <c r="IE67" s="228"/>
      <c r="IF67" s="228"/>
      <c r="IG67" s="228"/>
      <c r="IH67" s="228"/>
      <c r="II67" s="228"/>
      <c r="IJ67" s="228"/>
      <c r="IK67" s="228"/>
      <c r="IL67" s="228"/>
      <c r="IM67" s="228"/>
      <c r="IN67" s="228"/>
      <c r="IO67" s="228"/>
      <c r="IP67" s="228"/>
      <c r="IQ67" s="228"/>
      <c r="IR67" s="228"/>
      <c r="IS67" s="228"/>
      <c r="IT67" s="228"/>
      <c r="IU67" s="228"/>
      <c r="IV67" s="228"/>
      <c r="IW67" s="228"/>
      <c r="IX67" s="228"/>
      <c r="IY67" s="228"/>
      <c r="IZ67" s="228"/>
      <c r="JA67" s="228"/>
      <c r="JB67" s="228"/>
      <c r="JC67" s="228"/>
      <c r="JD67" s="228"/>
      <c r="JE67" s="228"/>
      <c r="JF67" s="228"/>
      <c r="JG67" s="228"/>
      <c r="JH67" s="228"/>
      <c r="JI67" s="228"/>
      <c r="JJ67" s="228"/>
      <c r="JK67" s="228"/>
      <c r="JL67" s="228"/>
      <c r="JM67" s="228"/>
      <c r="JN67" s="228"/>
      <c r="JO67" s="228"/>
      <c r="JP67" s="228"/>
      <c r="JQ67" s="228"/>
      <c r="JR67" s="228"/>
      <c r="JS67" s="228"/>
      <c r="JT67" s="228"/>
      <c r="JU67" s="228"/>
      <c r="JV67" s="228"/>
      <c r="JW67" s="228"/>
      <c r="JX67" s="228"/>
      <c r="JY67" s="228"/>
      <c r="JZ67" s="228"/>
      <c r="KA67" s="228"/>
      <c r="KB67" s="228"/>
      <c r="KC67" s="228"/>
      <c r="KD67" s="228"/>
      <c r="KE67" s="228"/>
      <c r="KF67" s="228"/>
      <c r="KG67" s="228"/>
      <c r="KH67" s="228"/>
      <c r="KI67" s="228"/>
      <c r="KJ67" s="228"/>
      <c r="KK67" s="228"/>
      <c r="KL67" s="228"/>
      <c r="KM67" s="228"/>
      <c r="KN67" s="228"/>
      <c r="KO67" s="228"/>
      <c r="KP67" s="228"/>
      <c r="KQ67" s="228"/>
      <c r="KR67" s="228"/>
      <c r="KS67" s="228"/>
      <c r="KT67" s="228"/>
      <c r="KU67" s="228"/>
      <c r="KV67" s="228"/>
      <c r="KW67" s="228"/>
      <c r="KX67" s="228"/>
      <c r="KY67" s="228"/>
      <c r="KZ67" s="228"/>
      <c r="LA67" s="228"/>
      <c r="LB67" s="228"/>
      <c r="LC67" s="228"/>
      <c r="LD67" s="228"/>
      <c r="LE67" s="228"/>
      <c r="LF67" s="228"/>
      <c r="LG67" s="228"/>
      <c r="LH67" s="228"/>
      <c r="LI67" s="228"/>
      <c r="LJ67" s="228"/>
      <c r="LK67" s="228"/>
      <c r="LL67" s="228"/>
      <c r="LM67" s="228"/>
      <c r="LN67" s="228"/>
      <c r="LO67" s="228"/>
      <c r="LP67" s="228"/>
      <c r="LQ67" s="228"/>
      <c r="LR67" s="228"/>
      <c r="LS67" s="228"/>
      <c r="LT67" s="228"/>
      <c r="LU67" s="228"/>
      <c r="LV67" s="228"/>
      <c r="LW67" s="228"/>
      <c r="LX67" s="228"/>
      <c r="LY67" s="228"/>
      <c r="LZ67" s="228"/>
      <c r="MA67" s="228"/>
      <c r="MB67" s="228"/>
      <c r="MC67" s="228"/>
      <c r="MD67" s="228"/>
      <c r="ME67" s="228"/>
      <c r="MF67" s="228"/>
      <c r="MG67" s="228"/>
      <c r="MH67" s="228"/>
      <c r="MI67" s="228"/>
      <c r="MJ67" s="228"/>
      <c r="MK67" s="228"/>
      <c r="ML67" s="228"/>
      <c r="MM67" s="228"/>
      <c r="MN67" s="228"/>
      <c r="MO67" s="228"/>
      <c r="MP67" s="228"/>
      <c r="MQ67" s="228"/>
      <c r="MR67" s="228"/>
      <c r="MS67" s="228"/>
      <c r="MT67" s="228"/>
      <c r="MU67" s="228"/>
      <c r="MV67" s="228"/>
      <c r="MW67" s="228"/>
      <c r="MX67" s="228"/>
      <c r="MY67" s="228"/>
      <c r="MZ67" s="228"/>
      <c r="NA67" s="228"/>
      <c r="NB67" s="228"/>
      <c r="NC67" s="228"/>
      <c r="ND67" s="228"/>
      <c r="NE67" s="228"/>
      <c r="NF67" s="228"/>
      <c r="NG67" s="228"/>
      <c r="NH67" s="228"/>
      <c r="NI67" s="228"/>
      <c r="NJ67" s="228"/>
      <c r="NK67" s="228"/>
      <c r="NL67" s="228"/>
      <c r="NM67" s="228"/>
      <c r="NN67" s="228"/>
      <c r="NO67" s="228"/>
      <c r="NP67" s="228"/>
      <c r="NQ67" s="228"/>
      <c r="NR67" s="228"/>
      <c r="NS67" s="228"/>
      <c r="NT67" s="228"/>
      <c r="NU67" s="228"/>
      <c r="NV67" s="228"/>
      <c r="NW67" s="228"/>
      <c r="NX67" s="228"/>
      <c r="NY67" s="228"/>
      <c r="NZ67" s="228"/>
      <c r="OA67" s="228"/>
      <c r="OB67" s="228"/>
      <c r="OC67" s="228"/>
      <c r="OD67" s="228"/>
      <c r="OE67" s="228"/>
      <c r="OF67" s="228"/>
      <c r="OG67" s="228"/>
      <c r="OH67" s="228"/>
      <c r="OI67" s="228"/>
      <c r="OJ67" s="228"/>
      <c r="OK67" s="228"/>
      <c r="OL67" s="228"/>
      <c r="OM67" s="228"/>
      <c r="ON67" s="228"/>
      <c r="OO67" s="228"/>
      <c r="OP67" s="228"/>
      <c r="OQ67" s="228"/>
      <c r="OR67" s="228"/>
      <c r="OS67" s="228"/>
      <c r="OT67" s="228"/>
      <c r="OU67" s="228"/>
      <c r="OV67" s="228"/>
      <c r="OW67" s="228"/>
      <c r="OX67" s="228"/>
      <c r="OY67" s="228"/>
      <c r="OZ67" s="228"/>
      <c r="PA67" s="228"/>
      <c r="PB67" s="228"/>
      <c r="PC67" s="228"/>
      <c r="PD67" s="228"/>
      <c r="PE67" s="228"/>
      <c r="PF67" s="228"/>
      <c r="PG67" s="228"/>
      <c r="PH67" s="228"/>
      <c r="PI67" s="228"/>
      <c r="PJ67" s="228"/>
      <c r="PK67" s="228"/>
      <c r="PL67" s="228"/>
      <c r="PM67" s="228"/>
      <c r="PN67" s="228"/>
      <c r="PO67" s="228"/>
      <c r="PP67" s="228"/>
      <c r="PQ67" s="228"/>
      <c r="PR67" s="228"/>
      <c r="PS67" s="228"/>
      <c r="PT67" s="228"/>
      <c r="PU67" s="228"/>
      <c r="PV67" s="228"/>
      <c r="PW67" s="228"/>
      <c r="PX67" s="228"/>
      <c r="PY67" s="228"/>
      <c r="PZ67" s="228"/>
      <c r="QA67" s="228"/>
      <c r="QB67" s="228"/>
      <c r="QC67" s="228"/>
      <c r="QD67" s="228"/>
      <c r="QE67" s="228"/>
      <c r="QF67" s="228"/>
      <c r="QG67" s="228"/>
      <c r="QH67" s="228"/>
      <c r="QI67" s="228"/>
      <c r="QJ67" s="228"/>
      <c r="QK67" s="228"/>
      <c r="QL67" s="228"/>
      <c r="QM67" s="228"/>
      <c r="QN67" s="228"/>
      <c r="QO67" s="228"/>
      <c r="QP67" s="228"/>
      <c r="QQ67" s="228"/>
      <c r="QR67" s="228"/>
      <c r="QS67" s="228"/>
      <c r="QT67" s="228"/>
      <c r="QU67" s="228"/>
      <c r="QV67" s="228"/>
      <c r="QW67" s="228"/>
      <c r="QX67" s="228"/>
      <c r="QY67" s="228"/>
      <c r="QZ67" s="228"/>
      <c r="RA67" s="228"/>
      <c r="RB67" s="228"/>
      <c r="RC67" s="228"/>
      <c r="RD67" s="228"/>
      <c r="RE67" s="228"/>
      <c r="RF67" s="228"/>
      <c r="RG67" s="228"/>
      <c r="RH67" s="228"/>
      <c r="RI67" s="228"/>
      <c r="RJ67" s="228"/>
      <c r="RK67" s="228"/>
      <c r="RL67" s="228"/>
      <c r="RM67" s="228"/>
      <c r="RN67" s="228"/>
      <c r="RO67" s="228"/>
      <c r="RP67" s="228"/>
      <c r="RQ67" s="228"/>
      <c r="RR67" s="228"/>
      <c r="RS67" s="228"/>
      <c r="RT67" s="228"/>
      <c r="RU67" s="228"/>
      <c r="RV67" s="228"/>
      <c r="RW67" s="228"/>
      <c r="RX67" s="228"/>
      <c r="RY67" s="228"/>
      <c r="RZ67" s="228"/>
      <c r="SA67" s="228"/>
      <c r="SB67" s="228"/>
      <c r="SC67" s="228"/>
      <c r="SD67" s="228"/>
      <c r="SE67" s="228"/>
      <c r="SF67" s="228"/>
      <c r="SG67" s="228"/>
    </row>
    <row r="68" spans="2:501" ht="97.5" customHeight="1">
      <c r="C68" s="227" t="s">
        <v>2023</v>
      </c>
      <c r="D68" s="225" t="s">
        <v>2024</v>
      </c>
      <c r="E68" s="225" t="s">
        <v>2025</v>
      </c>
      <c r="F68" s="225" t="s">
        <v>2026</v>
      </c>
      <c r="G68" s="225" t="s">
        <v>1740</v>
      </c>
      <c r="H68" s="225" t="s">
        <v>1741</v>
      </c>
      <c r="I68" s="226" t="s">
        <v>2027</v>
      </c>
      <c r="J68" s="226" t="s">
        <v>2028</v>
      </c>
      <c r="K68" s="225" t="s">
        <v>2006</v>
      </c>
      <c r="L68" s="225" t="s">
        <v>1745</v>
      </c>
      <c r="M68" s="226" t="s">
        <v>2029</v>
      </c>
      <c r="N68" s="228"/>
      <c r="O68" s="228"/>
      <c r="P68" s="228"/>
      <c r="Q68" s="228"/>
      <c r="R68" s="228"/>
      <c r="S68" s="228"/>
      <c r="T68" s="228"/>
      <c r="U68" s="228"/>
      <c r="V68" s="228"/>
      <c r="W68" s="228"/>
      <c r="X68" s="228"/>
      <c r="Y68" s="228"/>
      <c r="Z68" s="228"/>
      <c r="AA68" s="228"/>
      <c r="AB68" s="228"/>
      <c r="AC68" s="228"/>
      <c r="AD68" s="228"/>
      <c r="AE68" s="228"/>
      <c r="AF68" s="228"/>
      <c r="AG68" s="228"/>
      <c r="AH68" s="228"/>
      <c r="AI68" s="228"/>
      <c r="AJ68" s="228"/>
      <c r="AK68" s="228"/>
      <c r="AL68" s="228"/>
      <c r="AM68" s="228"/>
      <c r="AN68" s="228"/>
      <c r="AO68" s="228"/>
      <c r="AP68" s="228"/>
      <c r="AQ68" s="228"/>
      <c r="AR68" s="228"/>
      <c r="AS68" s="228"/>
      <c r="AT68" s="228"/>
      <c r="AU68" s="228"/>
      <c r="AV68" s="228"/>
      <c r="AW68" s="228"/>
      <c r="AX68" s="228"/>
      <c r="AY68" s="228"/>
      <c r="AZ68" s="228"/>
      <c r="BA68" s="228"/>
      <c r="BB68" s="228"/>
      <c r="BC68" s="228"/>
      <c r="BD68" s="228"/>
      <c r="BE68" s="228"/>
      <c r="BF68" s="228"/>
      <c r="BG68" s="228"/>
      <c r="BH68" s="228"/>
      <c r="BI68" s="228"/>
      <c r="BJ68" s="228"/>
      <c r="BK68" s="228"/>
      <c r="BL68" s="228"/>
      <c r="BM68" s="228"/>
      <c r="BN68" s="228"/>
      <c r="BO68" s="228"/>
      <c r="BP68" s="228"/>
      <c r="BQ68" s="228"/>
      <c r="BR68" s="228"/>
      <c r="BS68" s="228"/>
      <c r="BT68" s="228"/>
      <c r="BU68" s="228"/>
      <c r="BV68" s="228"/>
      <c r="BW68" s="228"/>
      <c r="BX68" s="228"/>
      <c r="BY68" s="228"/>
      <c r="BZ68" s="228"/>
      <c r="CA68" s="228"/>
      <c r="CB68" s="228"/>
      <c r="CC68" s="228"/>
      <c r="CD68" s="228"/>
      <c r="CE68" s="228"/>
      <c r="CF68" s="228"/>
      <c r="CG68" s="228"/>
      <c r="CH68" s="228"/>
      <c r="CI68" s="228"/>
      <c r="CJ68" s="228"/>
      <c r="CK68" s="228"/>
      <c r="CL68" s="228"/>
      <c r="CM68" s="228"/>
      <c r="CN68" s="228"/>
      <c r="CO68" s="228"/>
      <c r="CP68" s="228"/>
      <c r="CQ68" s="228"/>
      <c r="CR68" s="228"/>
      <c r="CS68" s="228"/>
      <c r="CT68" s="228"/>
      <c r="CU68" s="228"/>
      <c r="CV68" s="228"/>
      <c r="CW68" s="228"/>
      <c r="CX68" s="228"/>
      <c r="CY68" s="228"/>
      <c r="CZ68" s="228"/>
      <c r="DA68" s="228"/>
      <c r="DB68" s="228"/>
      <c r="DC68" s="228"/>
      <c r="DD68" s="228"/>
      <c r="DE68" s="228"/>
      <c r="DF68" s="228"/>
      <c r="DG68" s="228"/>
      <c r="DH68" s="228"/>
      <c r="DI68" s="228"/>
      <c r="DJ68" s="228"/>
      <c r="DK68" s="228"/>
      <c r="DL68" s="228"/>
      <c r="DM68" s="228"/>
      <c r="DN68" s="228"/>
      <c r="DO68" s="228"/>
      <c r="DP68" s="228"/>
      <c r="DQ68" s="228"/>
      <c r="DR68" s="228"/>
      <c r="DS68" s="228"/>
      <c r="DT68" s="228"/>
      <c r="DU68" s="228"/>
      <c r="DV68" s="228"/>
      <c r="DW68" s="228"/>
      <c r="DX68" s="228"/>
      <c r="DY68" s="228"/>
      <c r="DZ68" s="228"/>
      <c r="EA68" s="228"/>
      <c r="EB68" s="228"/>
      <c r="EC68" s="228"/>
      <c r="ED68" s="228"/>
      <c r="EE68" s="228"/>
      <c r="EF68" s="228"/>
      <c r="EG68" s="228"/>
      <c r="EH68" s="228"/>
      <c r="EI68" s="228"/>
      <c r="EJ68" s="228"/>
      <c r="EK68" s="228"/>
      <c r="EL68" s="228"/>
      <c r="EM68" s="228"/>
      <c r="EN68" s="228"/>
      <c r="EO68" s="228"/>
      <c r="EP68" s="228"/>
      <c r="EQ68" s="228"/>
      <c r="ER68" s="228"/>
      <c r="ES68" s="228"/>
      <c r="ET68" s="228"/>
      <c r="EU68" s="228"/>
      <c r="EV68" s="228"/>
      <c r="EW68" s="228"/>
      <c r="EX68" s="228"/>
      <c r="EY68" s="228"/>
      <c r="EZ68" s="228"/>
      <c r="FA68" s="228"/>
      <c r="FB68" s="228"/>
      <c r="FC68" s="228"/>
      <c r="FD68" s="228"/>
      <c r="FE68" s="228"/>
      <c r="FF68" s="228"/>
      <c r="FG68" s="228"/>
      <c r="FH68" s="228"/>
      <c r="FI68" s="228"/>
      <c r="FJ68" s="228"/>
      <c r="FK68" s="228"/>
      <c r="FL68" s="228"/>
      <c r="FM68" s="228"/>
      <c r="FN68" s="228"/>
      <c r="FO68" s="228"/>
      <c r="FP68" s="228"/>
      <c r="FQ68" s="228"/>
      <c r="FR68" s="228"/>
      <c r="FS68" s="228"/>
      <c r="FT68" s="228"/>
      <c r="FU68" s="228"/>
      <c r="FV68" s="228"/>
      <c r="FW68" s="228"/>
      <c r="FX68" s="228"/>
      <c r="FY68" s="228"/>
      <c r="FZ68" s="228"/>
      <c r="GA68" s="228"/>
      <c r="GB68" s="228"/>
      <c r="GC68" s="228"/>
      <c r="GD68" s="228"/>
      <c r="GE68" s="228"/>
      <c r="GF68" s="228"/>
      <c r="GG68" s="228"/>
      <c r="GH68" s="228"/>
      <c r="GI68" s="228"/>
      <c r="GJ68" s="228"/>
      <c r="GK68" s="228"/>
      <c r="GL68" s="228"/>
      <c r="GM68" s="228"/>
      <c r="GN68" s="228"/>
      <c r="GO68" s="228"/>
      <c r="GP68" s="228"/>
      <c r="GQ68" s="228"/>
      <c r="GR68" s="228"/>
      <c r="GS68" s="228"/>
      <c r="GT68" s="228"/>
      <c r="GU68" s="228"/>
      <c r="GV68" s="228"/>
      <c r="GW68" s="228"/>
      <c r="GX68" s="228"/>
      <c r="GY68" s="228"/>
      <c r="GZ68" s="228"/>
      <c r="HA68" s="228"/>
      <c r="HB68" s="228"/>
      <c r="HC68" s="228"/>
      <c r="HD68" s="228"/>
      <c r="HE68" s="228"/>
      <c r="HF68" s="228"/>
      <c r="HG68" s="228"/>
      <c r="HH68" s="228"/>
      <c r="HI68" s="228"/>
      <c r="HJ68" s="228"/>
      <c r="HK68" s="228"/>
      <c r="HL68" s="228"/>
      <c r="HM68" s="228"/>
      <c r="HN68" s="228"/>
      <c r="HO68" s="228"/>
      <c r="HP68" s="228"/>
      <c r="HQ68" s="228"/>
      <c r="HR68" s="228"/>
      <c r="HS68" s="228"/>
      <c r="HT68" s="228"/>
      <c r="HU68" s="228"/>
      <c r="HV68" s="228"/>
      <c r="HW68" s="228"/>
      <c r="HX68" s="228"/>
      <c r="HY68" s="228"/>
      <c r="HZ68" s="228"/>
      <c r="IA68" s="228"/>
      <c r="IB68" s="228"/>
      <c r="IC68" s="228"/>
      <c r="ID68" s="228"/>
      <c r="IE68" s="228"/>
      <c r="IF68" s="228"/>
      <c r="IG68" s="228"/>
      <c r="IH68" s="228"/>
      <c r="II68" s="228"/>
      <c r="IJ68" s="228"/>
      <c r="IK68" s="228"/>
      <c r="IL68" s="228"/>
      <c r="IM68" s="228"/>
      <c r="IN68" s="228"/>
      <c r="IO68" s="228"/>
      <c r="IP68" s="228"/>
      <c r="IQ68" s="228"/>
      <c r="IR68" s="228"/>
      <c r="IS68" s="228"/>
      <c r="IT68" s="228"/>
      <c r="IU68" s="228"/>
      <c r="IV68" s="228"/>
      <c r="IW68" s="228"/>
      <c r="IX68" s="228"/>
      <c r="IY68" s="228"/>
      <c r="IZ68" s="228"/>
      <c r="JA68" s="228"/>
      <c r="JB68" s="228"/>
      <c r="JC68" s="228"/>
      <c r="JD68" s="228"/>
      <c r="JE68" s="228"/>
      <c r="JF68" s="228"/>
      <c r="JG68" s="228"/>
      <c r="JH68" s="228"/>
      <c r="JI68" s="228"/>
      <c r="JJ68" s="228"/>
      <c r="JK68" s="228"/>
      <c r="JL68" s="228"/>
      <c r="JM68" s="228"/>
      <c r="JN68" s="228"/>
      <c r="JO68" s="228"/>
      <c r="JP68" s="228"/>
      <c r="JQ68" s="228"/>
      <c r="JR68" s="228"/>
      <c r="JS68" s="228"/>
      <c r="JT68" s="228"/>
      <c r="JU68" s="228"/>
      <c r="JV68" s="228"/>
      <c r="JW68" s="228"/>
      <c r="JX68" s="228"/>
      <c r="JY68" s="228"/>
      <c r="JZ68" s="228"/>
      <c r="KA68" s="228"/>
      <c r="KB68" s="228"/>
      <c r="KC68" s="228"/>
      <c r="KD68" s="228"/>
      <c r="KE68" s="228"/>
      <c r="KF68" s="228"/>
      <c r="KG68" s="228"/>
      <c r="KH68" s="228"/>
      <c r="KI68" s="228"/>
      <c r="KJ68" s="228"/>
      <c r="KK68" s="228"/>
      <c r="KL68" s="228"/>
      <c r="KM68" s="228"/>
      <c r="KN68" s="228"/>
      <c r="KO68" s="228"/>
      <c r="KP68" s="228"/>
      <c r="KQ68" s="228"/>
      <c r="KR68" s="228"/>
      <c r="KS68" s="228"/>
      <c r="KT68" s="228"/>
      <c r="KU68" s="228"/>
      <c r="KV68" s="228"/>
      <c r="KW68" s="228"/>
      <c r="KX68" s="228"/>
      <c r="KY68" s="228"/>
      <c r="KZ68" s="228"/>
      <c r="LA68" s="228"/>
      <c r="LB68" s="228"/>
      <c r="LC68" s="228"/>
      <c r="LD68" s="228"/>
      <c r="LE68" s="228"/>
      <c r="LF68" s="228"/>
      <c r="LG68" s="228"/>
      <c r="LH68" s="228"/>
      <c r="LI68" s="228"/>
      <c r="LJ68" s="228"/>
      <c r="LK68" s="228"/>
      <c r="LL68" s="228"/>
      <c r="LM68" s="228"/>
      <c r="LN68" s="228"/>
      <c r="LO68" s="228"/>
      <c r="LP68" s="228"/>
      <c r="LQ68" s="228"/>
      <c r="LR68" s="228"/>
      <c r="LS68" s="228"/>
      <c r="LT68" s="228"/>
      <c r="LU68" s="228"/>
      <c r="LV68" s="228"/>
      <c r="LW68" s="228"/>
      <c r="LX68" s="228"/>
      <c r="LY68" s="228"/>
      <c r="LZ68" s="228"/>
      <c r="MA68" s="228"/>
      <c r="MB68" s="228"/>
      <c r="MC68" s="228"/>
      <c r="MD68" s="228"/>
      <c r="ME68" s="228"/>
      <c r="MF68" s="228"/>
      <c r="MG68" s="228"/>
      <c r="MH68" s="228"/>
      <c r="MI68" s="228"/>
      <c r="MJ68" s="228"/>
      <c r="MK68" s="228"/>
      <c r="ML68" s="228"/>
      <c r="MM68" s="228"/>
      <c r="MN68" s="228"/>
      <c r="MO68" s="228"/>
      <c r="MP68" s="228"/>
      <c r="MQ68" s="228"/>
      <c r="MR68" s="228"/>
      <c r="MS68" s="228"/>
      <c r="MT68" s="228"/>
      <c r="MU68" s="228"/>
      <c r="MV68" s="228"/>
      <c r="MW68" s="228"/>
      <c r="MX68" s="228"/>
      <c r="MY68" s="228"/>
      <c r="MZ68" s="228"/>
      <c r="NA68" s="228"/>
      <c r="NB68" s="228"/>
      <c r="NC68" s="228"/>
      <c r="ND68" s="228"/>
      <c r="NE68" s="228"/>
      <c r="NF68" s="228"/>
      <c r="NG68" s="228"/>
      <c r="NH68" s="228"/>
      <c r="NI68" s="228"/>
      <c r="NJ68" s="228"/>
      <c r="NK68" s="228"/>
      <c r="NL68" s="228"/>
      <c r="NM68" s="228"/>
      <c r="NN68" s="228"/>
      <c r="NO68" s="228"/>
      <c r="NP68" s="228"/>
      <c r="NQ68" s="228"/>
      <c r="NR68" s="228"/>
      <c r="NS68" s="228"/>
      <c r="NT68" s="228"/>
      <c r="NU68" s="228"/>
      <c r="NV68" s="228"/>
      <c r="NW68" s="228"/>
      <c r="NX68" s="228"/>
      <c r="NY68" s="228"/>
      <c r="NZ68" s="228"/>
      <c r="OA68" s="228"/>
      <c r="OB68" s="228"/>
      <c r="OC68" s="228"/>
      <c r="OD68" s="228"/>
      <c r="OE68" s="228"/>
      <c r="OF68" s="228"/>
      <c r="OG68" s="228"/>
      <c r="OH68" s="228"/>
      <c r="OI68" s="228"/>
      <c r="OJ68" s="228"/>
      <c r="OK68" s="228"/>
      <c r="OL68" s="228"/>
      <c r="OM68" s="228"/>
      <c r="ON68" s="228"/>
      <c r="OO68" s="228"/>
      <c r="OP68" s="228"/>
      <c r="OQ68" s="228"/>
      <c r="OR68" s="228"/>
      <c r="OS68" s="228"/>
      <c r="OT68" s="228"/>
      <c r="OU68" s="228"/>
      <c r="OV68" s="228"/>
      <c r="OW68" s="228"/>
      <c r="OX68" s="228"/>
      <c r="OY68" s="228"/>
      <c r="OZ68" s="228"/>
      <c r="PA68" s="228"/>
      <c r="PB68" s="228"/>
      <c r="PC68" s="228"/>
      <c r="PD68" s="228"/>
      <c r="PE68" s="228"/>
      <c r="PF68" s="228"/>
      <c r="PG68" s="228"/>
      <c r="PH68" s="228"/>
      <c r="PI68" s="228"/>
      <c r="PJ68" s="228"/>
      <c r="PK68" s="228"/>
      <c r="PL68" s="228"/>
      <c r="PM68" s="228"/>
      <c r="PN68" s="228"/>
      <c r="PO68" s="228"/>
      <c r="PP68" s="228"/>
      <c r="PQ68" s="228"/>
      <c r="PR68" s="228"/>
      <c r="PS68" s="228"/>
      <c r="PT68" s="228"/>
      <c r="PU68" s="228"/>
      <c r="PV68" s="228"/>
      <c r="PW68" s="228"/>
      <c r="PX68" s="228"/>
      <c r="PY68" s="228"/>
      <c r="PZ68" s="228"/>
      <c r="QA68" s="228"/>
      <c r="QB68" s="228"/>
      <c r="QC68" s="228"/>
      <c r="QD68" s="228"/>
      <c r="QE68" s="228"/>
      <c r="QF68" s="228"/>
      <c r="QG68" s="228"/>
      <c r="QH68" s="228"/>
      <c r="QI68" s="228"/>
      <c r="QJ68" s="228"/>
      <c r="QK68" s="228"/>
      <c r="QL68" s="228"/>
      <c r="QM68" s="228"/>
      <c r="QN68" s="228"/>
      <c r="QO68" s="228"/>
      <c r="QP68" s="228"/>
      <c r="QQ68" s="228"/>
      <c r="QR68" s="228"/>
      <c r="QS68" s="228"/>
      <c r="QT68" s="228"/>
      <c r="QU68" s="228"/>
      <c r="QV68" s="228"/>
      <c r="QW68" s="228"/>
      <c r="QX68" s="228"/>
      <c r="QY68" s="228"/>
      <c r="QZ68" s="228"/>
      <c r="RA68" s="228"/>
      <c r="RB68" s="228"/>
      <c r="RC68" s="228"/>
      <c r="RD68" s="228"/>
      <c r="RE68" s="228"/>
      <c r="RF68" s="228"/>
      <c r="RG68" s="228"/>
      <c r="RH68" s="228"/>
      <c r="RI68" s="228"/>
      <c r="RJ68" s="228"/>
      <c r="RK68" s="228"/>
      <c r="RL68" s="228"/>
      <c r="RM68" s="228"/>
      <c r="RN68" s="228"/>
      <c r="RO68" s="228"/>
      <c r="RP68" s="228"/>
      <c r="RQ68" s="228"/>
      <c r="RR68" s="228"/>
      <c r="RS68" s="228"/>
      <c r="RT68" s="228"/>
      <c r="RU68" s="228"/>
      <c r="RV68" s="228"/>
      <c r="RW68" s="228"/>
      <c r="RX68" s="228"/>
      <c r="RY68" s="228"/>
      <c r="RZ68" s="228"/>
      <c r="SA68" s="228"/>
      <c r="SB68" s="228"/>
      <c r="SC68" s="228"/>
      <c r="SD68" s="228"/>
      <c r="SE68" s="228"/>
      <c r="SF68" s="228"/>
      <c r="SG68" s="228"/>
    </row>
    <row r="69" spans="2:501" ht="69.75" customHeight="1">
      <c r="C69" s="227" t="s">
        <v>2030</v>
      </c>
      <c r="D69" s="225" t="s">
        <v>2031</v>
      </c>
      <c r="E69" s="225" t="s">
        <v>2032</v>
      </c>
      <c r="F69" s="225" t="s">
        <v>2033</v>
      </c>
      <c r="G69" s="225" t="s">
        <v>1740</v>
      </c>
      <c r="H69" s="225" t="s">
        <v>1741</v>
      </c>
      <c r="I69" s="226" t="s">
        <v>2034</v>
      </c>
      <c r="J69" s="226" t="s">
        <v>1740</v>
      </c>
      <c r="K69" s="225" t="s">
        <v>2006</v>
      </c>
      <c r="L69" s="225" t="s">
        <v>1792</v>
      </c>
      <c r="M69" s="226" t="s">
        <v>2035</v>
      </c>
      <c r="N69" s="228"/>
      <c r="O69" s="228"/>
      <c r="P69" s="228"/>
      <c r="Q69" s="228"/>
      <c r="R69" s="228"/>
      <c r="S69" s="228"/>
      <c r="T69" s="228"/>
      <c r="U69" s="228"/>
      <c r="V69" s="228"/>
      <c r="W69" s="228"/>
      <c r="X69" s="228"/>
      <c r="Y69" s="228"/>
      <c r="Z69" s="228"/>
      <c r="AA69" s="228"/>
      <c r="AB69" s="228"/>
      <c r="AC69" s="228"/>
      <c r="AD69" s="228"/>
      <c r="AE69" s="228"/>
      <c r="AF69" s="228"/>
      <c r="AG69" s="228"/>
      <c r="AH69" s="228"/>
      <c r="AI69" s="228"/>
      <c r="AJ69" s="228"/>
      <c r="AK69" s="228"/>
      <c r="AL69" s="228"/>
      <c r="AM69" s="228"/>
      <c r="AN69" s="228"/>
      <c r="AO69" s="228"/>
      <c r="AP69" s="228"/>
      <c r="AQ69" s="228"/>
      <c r="AR69" s="228"/>
      <c r="AS69" s="228"/>
      <c r="AT69" s="228"/>
      <c r="AU69" s="228"/>
      <c r="AV69" s="228"/>
      <c r="AW69" s="228"/>
      <c r="AX69" s="228"/>
      <c r="AY69" s="228"/>
      <c r="AZ69" s="228"/>
      <c r="BA69" s="228"/>
      <c r="BB69" s="228"/>
      <c r="BC69" s="228"/>
      <c r="BD69" s="228"/>
      <c r="BE69" s="228"/>
      <c r="BF69" s="228"/>
      <c r="BG69" s="228"/>
      <c r="BH69" s="228"/>
      <c r="BI69" s="228"/>
      <c r="BJ69" s="228"/>
      <c r="BK69" s="228"/>
      <c r="BL69" s="228"/>
      <c r="BM69" s="228"/>
      <c r="BN69" s="228"/>
      <c r="BO69" s="228"/>
      <c r="BP69" s="228"/>
      <c r="BQ69" s="228"/>
      <c r="BR69" s="228"/>
      <c r="BS69" s="228"/>
      <c r="BT69" s="228"/>
      <c r="BU69" s="228"/>
      <c r="BV69" s="228"/>
      <c r="BW69" s="228"/>
      <c r="BX69" s="228"/>
      <c r="BY69" s="228"/>
      <c r="BZ69" s="228"/>
      <c r="CA69" s="228"/>
      <c r="CB69" s="228"/>
      <c r="CC69" s="228"/>
      <c r="CD69" s="228"/>
      <c r="CE69" s="228"/>
      <c r="CF69" s="228"/>
      <c r="CG69" s="228"/>
      <c r="CH69" s="228"/>
      <c r="CI69" s="228"/>
      <c r="CJ69" s="228"/>
      <c r="CK69" s="228"/>
      <c r="CL69" s="228"/>
      <c r="CM69" s="228"/>
      <c r="CN69" s="228"/>
      <c r="CO69" s="228"/>
      <c r="CP69" s="228"/>
      <c r="CQ69" s="228"/>
      <c r="CR69" s="228"/>
      <c r="CS69" s="228"/>
      <c r="CT69" s="228"/>
      <c r="CU69" s="228"/>
      <c r="CV69" s="228"/>
      <c r="CW69" s="228"/>
      <c r="CX69" s="228"/>
      <c r="CY69" s="228"/>
      <c r="CZ69" s="228"/>
      <c r="DA69" s="228"/>
      <c r="DB69" s="228"/>
      <c r="DC69" s="228"/>
      <c r="DD69" s="228"/>
      <c r="DE69" s="228"/>
      <c r="DF69" s="228"/>
      <c r="DG69" s="228"/>
      <c r="DH69" s="228"/>
      <c r="DI69" s="228"/>
      <c r="DJ69" s="228"/>
      <c r="DK69" s="228"/>
      <c r="DL69" s="228"/>
      <c r="DM69" s="228"/>
      <c r="DN69" s="228"/>
      <c r="DO69" s="228"/>
      <c r="DP69" s="228"/>
      <c r="DQ69" s="228"/>
      <c r="DR69" s="228"/>
      <c r="DS69" s="228"/>
      <c r="DT69" s="228"/>
      <c r="DU69" s="228"/>
      <c r="DV69" s="228"/>
      <c r="DW69" s="228"/>
      <c r="DX69" s="228"/>
      <c r="DY69" s="228"/>
      <c r="DZ69" s="228"/>
      <c r="EA69" s="228"/>
      <c r="EB69" s="228"/>
      <c r="EC69" s="228"/>
      <c r="ED69" s="228"/>
      <c r="EE69" s="228"/>
      <c r="EF69" s="228"/>
      <c r="EG69" s="228"/>
      <c r="EH69" s="228"/>
      <c r="EI69" s="228"/>
      <c r="EJ69" s="228"/>
      <c r="EK69" s="228"/>
      <c r="EL69" s="228"/>
      <c r="EM69" s="228"/>
      <c r="EN69" s="228"/>
      <c r="EO69" s="228"/>
      <c r="EP69" s="228"/>
      <c r="EQ69" s="228"/>
      <c r="ER69" s="228"/>
      <c r="ES69" s="228"/>
      <c r="ET69" s="228"/>
      <c r="EU69" s="228"/>
      <c r="EV69" s="228"/>
      <c r="EW69" s="228"/>
      <c r="EX69" s="228"/>
      <c r="EY69" s="228"/>
      <c r="EZ69" s="228"/>
      <c r="FA69" s="228"/>
      <c r="FB69" s="228"/>
      <c r="FC69" s="228"/>
      <c r="FD69" s="228"/>
      <c r="FE69" s="228"/>
      <c r="FF69" s="228"/>
      <c r="FG69" s="228"/>
      <c r="FH69" s="228"/>
      <c r="FI69" s="228"/>
      <c r="FJ69" s="228"/>
      <c r="FK69" s="228"/>
      <c r="FL69" s="228"/>
      <c r="FM69" s="228"/>
      <c r="FN69" s="228"/>
      <c r="FO69" s="228"/>
      <c r="FP69" s="228"/>
      <c r="FQ69" s="228"/>
      <c r="FR69" s="228"/>
      <c r="FS69" s="228"/>
      <c r="FT69" s="228"/>
      <c r="FU69" s="228"/>
      <c r="FV69" s="228"/>
      <c r="FW69" s="228"/>
      <c r="FX69" s="228"/>
      <c r="FY69" s="228"/>
      <c r="FZ69" s="228"/>
      <c r="GA69" s="228"/>
      <c r="GB69" s="228"/>
      <c r="GC69" s="228"/>
      <c r="GD69" s="228"/>
      <c r="GE69" s="228"/>
      <c r="GF69" s="228"/>
      <c r="GG69" s="228"/>
      <c r="GH69" s="228"/>
      <c r="GI69" s="228"/>
      <c r="GJ69" s="228"/>
      <c r="GK69" s="228"/>
      <c r="GL69" s="228"/>
      <c r="GM69" s="228"/>
      <c r="GN69" s="228"/>
      <c r="GO69" s="228"/>
      <c r="GP69" s="228"/>
      <c r="GQ69" s="228"/>
      <c r="GR69" s="228"/>
      <c r="GS69" s="228"/>
      <c r="GT69" s="228"/>
      <c r="GU69" s="228"/>
      <c r="GV69" s="228"/>
      <c r="GW69" s="228"/>
      <c r="GX69" s="228"/>
      <c r="GY69" s="228"/>
      <c r="GZ69" s="228"/>
      <c r="HA69" s="228"/>
      <c r="HB69" s="228"/>
      <c r="HC69" s="228"/>
      <c r="HD69" s="228"/>
      <c r="HE69" s="228"/>
      <c r="HF69" s="228"/>
      <c r="HG69" s="228"/>
      <c r="HH69" s="228"/>
      <c r="HI69" s="228"/>
      <c r="HJ69" s="228"/>
      <c r="HK69" s="228"/>
      <c r="HL69" s="228"/>
      <c r="HM69" s="228"/>
      <c r="HN69" s="228"/>
      <c r="HO69" s="228"/>
      <c r="HP69" s="228"/>
      <c r="HQ69" s="228"/>
      <c r="HR69" s="228"/>
      <c r="HS69" s="228"/>
      <c r="HT69" s="228"/>
      <c r="HU69" s="228"/>
      <c r="HV69" s="228"/>
      <c r="HW69" s="228"/>
      <c r="HX69" s="228"/>
      <c r="HY69" s="228"/>
      <c r="HZ69" s="228"/>
      <c r="IA69" s="228"/>
      <c r="IB69" s="228"/>
      <c r="IC69" s="228"/>
      <c r="ID69" s="228"/>
      <c r="IE69" s="228"/>
      <c r="IF69" s="228"/>
      <c r="IG69" s="228"/>
      <c r="IH69" s="228"/>
      <c r="II69" s="228"/>
      <c r="IJ69" s="228"/>
      <c r="IK69" s="228"/>
      <c r="IL69" s="228"/>
      <c r="IM69" s="228"/>
      <c r="IN69" s="228"/>
      <c r="IO69" s="228"/>
      <c r="IP69" s="228"/>
      <c r="IQ69" s="228"/>
      <c r="IR69" s="228"/>
      <c r="IS69" s="228"/>
      <c r="IT69" s="228"/>
      <c r="IU69" s="228"/>
      <c r="IV69" s="228"/>
      <c r="IW69" s="228"/>
      <c r="IX69" s="228"/>
      <c r="IY69" s="228"/>
      <c r="IZ69" s="228"/>
      <c r="JA69" s="228"/>
      <c r="JB69" s="228"/>
      <c r="JC69" s="228"/>
      <c r="JD69" s="228"/>
      <c r="JE69" s="228"/>
      <c r="JF69" s="228"/>
      <c r="JG69" s="228"/>
      <c r="JH69" s="228"/>
      <c r="JI69" s="228"/>
      <c r="JJ69" s="228"/>
      <c r="JK69" s="228"/>
      <c r="JL69" s="228"/>
      <c r="JM69" s="228"/>
      <c r="JN69" s="228"/>
      <c r="JO69" s="228"/>
      <c r="JP69" s="228"/>
      <c r="JQ69" s="228"/>
      <c r="JR69" s="228"/>
      <c r="JS69" s="228"/>
      <c r="JT69" s="228"/>
      <c r="JU69" s="228"/>
      <c r="JV69" s="228"/>
      <c r="JW69" s="228"/>
      <c r="JX69" s="228"/>
      <c r="JY69" s="228"/>
      <c r="JZ69" s="228"/>
      <c r="KA69" s="228"/>
      <c r="KB69" s="228"/>
      <c r="KC69" s="228"/>
      <c r="KD69" s="228"/>
      <c r="KE69" s="228"/>
      <c r="KF69" s="228"/>
      <c r="KG69" s="228"/>
      <c r="KH69" s="228"/>
      <c r="KI69" s="228"/>
      <c r="KJ69" s="228"/>
      <c r="KK69" s="228"/>
      <c r="KL69" s="228"/>
      <c r="KM69" s="228"/>
      <c r="KN69" s="228"/>
      <c r="KO69" s="228"/>
      <c r="KP69" s="228"/>
      <c r="KQ69" s="228"/>
      <c r="KR69" s="228"/>
      <c r="KS69" s="228"/>
      <c r="KT69" s="228"/>
      <c r="KU69" s="228"/>
      <c r="KV69" s="228"/>
      <c r="KW69" s="228"/>
      <c r="KX69" s="228"/>
      <c r="KY69" s="228"/>
      <c r="KZ69" s="228"/>
      <c r="LA69" s="228"/>
      <c r="LB69" s="228"/>
      <c r="LC69" s="228"/>
      <c r="LD69" s="228"/>
      <c r="LE69" s="228"/>
      <c r="LF69" s="228"/>
      <c r="LG69" s="228"/>
      <c r="LH69" s="228"/>
      <c r="LI69" s="228"/>
      <c r="LJ69" s="228"/>
      <c r="LK69" s="228"/>
      <c r="LL69" s="228"/>
      <c r="LM69" s="228"/>
      <c r="LN69" s="228"/>
      <c r="LO69" s="228"/>
      <c r="LP69" s="228"/>
      <c r="LQ69" s="228"/>
      <c r="LR69" s="228"/>
      <c r="LS69" s="228"/>
      <c r="LT69" s="228"/>
      <c r="LU69" s="228"/>
      <c r="LV69" s="228"/>
      <c r="LW69" s="228"/>
      <c r="LX69" s="228"/>
      <c r="LY69" s="228"/>
      <c r="LZ69" s="228"/>
      <c r="MA69" s="228"/>
      <c r="MB69" s="228"/>
      <c r="MC69" s="228"/>
      <c r="MD69" s="228"/>
      <c r="ME69" s="228"/>
      <c r="MF69" s="228"/>
      <c r="MG69" s="228"/>
      <c r="MH69" s="228"/>
      <c r="MI69" s="228"/>
      <c r="MJ69" s="228"/>
      <c r="MK69" s="228"/>
      <c r="ML69" s="228"/>
      <c r="MM69" s="228"/>
      <c r="MN69" s="228"/>
      <c r="MO69" s="228"/>
      <c r="MP69" s="228"/>
      <c r="MQ69" s="228"/>
      <c r="MR69" s="228"/>
      <c r="MS69" s="228"/>
      <c r="MT69" s="228"/>
      <c r="MU69" s="228"/>
      <c r="MV69" s="228"/>
      <c r="MW69" s="228"/>
      <c r="MX69" s="228"/>
      <c r="MY69" s="228"/>
      <c r="MZ69" s="228"/>
      <c r="NA69" s="228"/>
      <c r="NB69" s="228"/>
      <c r="NC69" s="228"/>
      <c r="ND69" s="228"/>
      <c r="NE69" s="228"/>
      <c r="NF69" s="228"/>
      <c r="NG69" s="228"/>
      <c r="NH69" s="228"/>
      <c r="NI69" s="228"/>
      <c r="NJ69" s="228"/>
      <c r="NK69" s="228"/>
      <c r="NL69" s="228"/>
      <c r="NM69" s="228"/>
      <c r="NN69" s="228"/>
      <c r="NO69" s="228"/>
      <c r="NP69" s="228"/>
      <c r="NQ69" s="228"/>
      <c r="NR69" s="228"/>
      <c r="NS69" s="228"/>
      <c r="NT69" s="228"/>
      <c r="NU69" s="228"/>
      <c r="NV69" s="228"/>
      <c r="NW69" s="228"/>
      <c r="NX69" s="228"/>
      <c r="NY69" s="228"/>
      <c r="NZ69" s="228"/>
      <c r="OA69" s="228"/>
      <c r="OB69" s="228"/>
      <c r="OC69" s="228"/>
      <c r="OD69" s="228"/>
      <c r="OE69" s="228"/>
      <c r="OF69" s="228"/>
      <c r="OG69" s="228"/>
      <c r="OH69" s="228"/>
      <c r="OI69" s="228"/>
      <c r="OJ69" s="228"/>
      <c r="OK69" s="228"/>
      <c r="OL69" s="228"/>
      <c r="OM69" s="228"/>
      <c r="ON69" s="228"/>
      <c r="OO69" s="228"/>
      <c r="OP69" s="228"/>
      <c r="OQ69" s="228"/>
      <c r="OR69" s="228"/>
      <c r="OS69" s="228"/>
      <c r="OT69" s="228"/>
      <c r="OU69" s="228"/>
      <c r="OV69" s="228"/>
      <c r="OW69" s="228"/>
      <c r="OX69" s="228"/>
      <c r="OY69" s="228"/>
      <c r="OZ69" s="228"/>
      <c r="PA69" s="228"/>
      <c r="PB69" s="228"/>
      <c r="PC69" s="228"/>
      <c r="PD69" s="228"/>
      <c r="PE69" s="228"/>
      <c r="PF69" s="228"/>
      <c r="PG69" s="228"/>
      <c r="PH69" s="228"/>
      <c r="PI69" s="228"/>
      <c r="PJ69" s="228"/>
      <c r="PK69" s="228"/>
      <c r="PL69" s="228"/>
      <c r="PM69" s="228"/>
      <c r="PN69" s="228"/>
      <c r="PO69" s="228"/>
      <c r="PP69" s="228"/>
      <c r="PQ69" s="228"/>
      <c r="PR69" s="228"/>
      <c r="PS69" s="228"/>
      <c r="PT69" s="228"/>
      <c r="PU69" s="228"/>
      <c r="PV69" s="228"/>
      <c r="PW69" s="228"/>
      <c r="PX69" s="228"/>
      <c r="PY69" s="228"/>
      <c r="PZ69" s="228"/>
      <c r="QA69" s="228"/>
      <c r="QB69" s="228"/>
      <c r="QC69" s="228"/>
      <c r="QD69" s="228"/>
      <c r="QE69" s="228"/>
      <c r="QF69" s="228"/>
      <c r="QG69" s="228"/>
      <c r="QH69" s="228"/>
      <c r="QI69" s="228"/>
      <c r="QJ69" s="228"/>
      <c r="QK69" s="228"/>
      <c r="QL69" s="228"/>
      <c r="QM69" s="228"/>
      <c r="QN69" s="228"/>
      <c r="QO69" s="228"/>
      <c r="QP69" s="228"/>
      <c r="QQ69" s="228"/>
      <c r="QR69" s="228"/>
      <c r="QS69" s="228"/>
      <c r="QT69" s="228"/>
      <c r="QU69" s="228"/>
      <c r="QV69" s="228"/>
      <c r="QW69" s="228"/>
      <c r="QX69" s="228"/>
      <c r="QY69" s="228"/>
      <c r="QZ69" s="228"/>
      <c r="RA69" s="228"/>
      <c r="RB69" s="228"/>
      <c r="RC69" s="228"/>
      <c r="RD69" s="228"/>
      <c r="RE69" s="228"/>
      <c r="RF69" s="228"/>
      <c r="RG69" s="228"/>
      <c r="RH69" s="228"/>
      <c r="RI69" s="228"/>
      <c r="RJ69" s="228"/>
      <c r="RK69" s="228"/>
      <c r="RL69" s="228"/>
      <c r="RM69" s="228"/>
      <c r="RN69" s="228"/>
      <c r="RO69" s="228"/>
      <c r="RP69" s="228"/>
      <c r="RQ69" s="228"/>
      <c r="RR69" s="228"/>
      <c r="RS69" s="228"/>
      <c r="RT69" s="228"/>
      <c r="RU69" s="228"/>
      <c r="RV69" s="228"/>
      <c r="RW69" s="228"/>
      <c r="RX69" s="228"/>
      <c r="RY69" s="228"/>
      <c r="RZ69" s="228"/>
      <c r="SA69" s="228"/>
      <c r="SB69" s="228"/>
      <c r="SC69" s="228"/>
      <c r="SD69" s="228"/>
      <c r="SE69" s="228"/>
      <c r="SF69" s="228"/>
      <c r="SG69" s="228"/>
    </row>
    <row r="70" spans="2:501" ht="84" customHeight="1">
      <c r="C70" s="227" t="s">
        <v>2036</v>
      </c>
      <c r="D70" s="225" t="s">
        <v>2037</v>
      </c>
      <c r="E70" s="225" t="s">
        <v>2038</v>
      </c>
      <c r="F70" s="225" t="s">
        <v>2039</v>
      </c>
      <c r="G70" s="225" t="s">
        <v>1342</v>
      </c>
      <c r="H70" s="225" t="s">
        <v>1741</v>
      </c>
      <c r="I70" s="226" t="s">
        <v>2040</v>
      </c>
      <c r="J70" s="226" t="s">
        <v>1342</v>
      </c>
      <c r="K70" s="225" t="s">
        <v>2006</v>
      </c>
      <c r="L70" s="225" t="s">
        <v>1760</v>
      </c>
      <c r="M70" s="226" t="s">
        <v>2041</v>
      </c>
      <c r="N70" s="228"/>
      <c r="O70" s="228"/>
      <c r="P70" s="228"/>
      <c r="Q70" s="228"/>
      <c r="R70" s="228"/>
      <c r="S70" s="228"/>
      <c r="T70" s="228"/>
      <c r="U70" s="228"/>
      <c r="V70" s="228"/>
      <c r="W70" s="228"/>
      <c r="X70" s="228"/>
      <c r="Y70" s="228"/>
      <c r="Z70" s="228"/>
      <c r="AA70" s="228"/>
      <c r="AB70" s="228"/>
      <c r="AC70" s="228"/>
      <c r="AD70" s="228"/>
      <c r="AE70" s="228"/>
      <c r="AF70" s="228"/>
      <c r="AG70" s="228"/>
      <c r="AH70" s="228"/>
      <c r="AI70" s="228"/>
      <c r="AJ70" s="228"/>
      <c r="AK70" s="228"/>
      <c r="AL70" s="228"/>
      <c r="AM70" s="228"/>
      <c r="AN70" s="228"/>
      <c r="AO70" s="228"/>
      <c r="AP70" s="228"/>
      <c r="AQ70" s="228"/>
      <c r="AR70" s="228"/>
      <c r="AS70" s="228"/>
      <c r="AT70" s="228"/>
      <c r="AU70" s="228"/>
      <c r="AV70" s="228"/>
      <c r="AW70" s="228"/>
      <c r="AX70" s="228"/>
      <c r="AY70" s="228"/>
      <c r="AZ70" s="228"/>
      <c r="BA70" s="228"/>
      <c r="BB70" s="228"/>
      <c r="BC70" s="228"/>
      <c r="BD70" s="228"/>
      <c r="BE70" s="228"/>
      <c r="BF70" s="228"/>
      <c r="BG70" s="228"/>
      <c r="BH70" s="228"/>
      <c r="BI70" s="228"/>
      <c r="BJ70" s="228"/>
      <c r="BK70" s="228"/>
      <c r="BL70" s="228"/>
      <c r="BM70" s="228"/>
      <c r="BN70" s="228"/>
      <c r="BO70" s="228"/>
      <c r="BP70" s="228"/>
      <c r="BQ70" s="228"/>
      <c r="BR70" s="228"/>
      <c r="BS70" s="228"/>
      <c r="BT70" s="228"/>
      <c r="BU70" s="228"/>
      <c r="BV70" s="228"/>
      <c r="BW70" s="228"/>
      <c r="BX70" s="228"/>
      <c r="BY70" s="228"/>
      <c r="BZ70" s="228"/>
      <c r="CA70" s="228"/>
      <c r="CB70" s="228"/>
      <c r="CC70" s="228"/>
      <c r="CD70" s="228"/>
      <c r="CE70" s="228"/>
      <c r="CF70" s="228"/>
      <c r="CG70" s="228"/>
      <c r="CH70" s="228"/>
      <c r="CI70" s="228"/>
      <c r="CJ70" s="228"/>
      <c r="CK70" s="228"/>
      <c r="CL70" s="228"/>
      <c r="CM70" s="228"/>
      <c r="CN70" s="228"/>
      <c r="CO70" s="228"/>
      <c r="CP70" s="228"/>
      <c r="CQ70" s="228"/>
      <c r="CR70" s="228"/>
      <c r="CS70" s="228"/>
      <c r="CT70" s="228"/>
      <c r="CU70" s="228"/>
      <c r="CV70" s="228"/>
      <c r="CW70" s="228"/>
      <c r="CX70" s="228"/>
      <c r="CY70" s="228"/>
      <c r="CZ70" s="228"/>
      <c r="DA70" s="228"/>
      <c r="DB70" s="228"/>
      <c r="DC70" s="228"/>
      <c r="DD70" s="228"/>
      <c r="DE70" s="228"/>
      <c r="DF70" s="228"/>
      <c r="DG70" s="228"/>
      <c r="DH70" s="228"/>
      <c r="DI70" s="228"/>
      <c r="DJ70" s="228"/>
      <c r="DK70" s="228"/>
      <c r="DL70" s="228"/>
      <c r="DM70" s="228"/>
      <c r="DN70" s="228"/>
      <c r="DO70" s="228"/>
      <c r="DP70" s="228"/>
      <c r="DQ70" s="228"/>
      <c r="DR70" s="228"/>
      <c r="DS70" s="228"/>
      <c r="DT70" s="228"/>
      <c r="DU70" s="228"/>
      <c r="DV70" s="228"/>
      <c r="DW70" s="228"/>
      <c r="DX70" s="228"/>
      <c r="DY70" s="228"/>
      <c r="DZ70" s="228"/>
      <c r="EA70" s="228"/>
      <c r="EB70" s="228"/>
      <c r="EC70" s="228"/>
      <c r="ED70" s="228"/>
      <c r="EE70" s="228"/>
      <c r="EF70" s="228"/>
      <c r="EG70" s="228"/>
      <c r="EH70" s="228"/>
      <c r="EI70" s="228"/>
      <c r="EJ70" s="228"/>
      <c r="EK70" s="228"/>
      <c r="EL70" s="228"/>
      <c r="EM70" s="228"/>
      <c r="EN70" s="228"/>
      <c r="EO70" s="228"/>
      <c r="EP70" s="228"/>
      <c r="EQ70" s="228"/>
      <c r="ER70" s="228"/>
      <c r="ES70" s="228"/>
      <c r="ET70" s="228"/>
      <c r="EU70" s="228"/>
      <c r="EV70" s="228"/>
      <c r="EW70" s="228"/>
      <c r="EX70" s="228"/>
      <c r="EY70" s="228"/>
      <c r="EZ70" s="228"/>
      <c r="FA70" s="228"/>
      <c r="FB70" s="228"/>
      <c r="FC70" s="228"/>
      <c r="FD70" s="228"/>
      <c r="FE70" s="228"/>
      <c r="FF70" s="228"/>
      <c r="FG70" s="228"/>
      <c r="FH70" s="228"/>
      <c r="FI70" s="228"/>
      <c r="FJ70" s="228"/>
      <c r="FK70" s="228"/>
      <c r="FL70" s="228"/>
      <c r="FM70" s="228"/>
      <c r="FN70" s="228"/>
      <c r="FO70" s="228"/>
      <c r="FP70" s="228"/>
      <c r="FQ70" s="228"/>
      <c r="FR70" s="228"/>
      <c r="FS70" s="228"/>
      <c r="FT70" s="228"/>
      <c r="FU70" s="228"/>
      <c r="FV70" s="228"/>
      <c r="FW70" s="228"/>
      <c r="FX70" s="228"/>
      <c r="FY70" s="228"/>
      <c r="FZ70" s="228"/>
      <c r="GA70" s="228"/>
      <c r="GB70" s="228"/>
      <c r="GC70" s="228"/>
      <c r="GD70" s="228"/>
      <c r="GE70" s="228"/>
      <c r="GF70" s="228"/>
      <c r="GG70" s="228"/>
      <c r="GH70" s="228"/>
      <c r="GI70" s="228"/>
      <c r="GJ70" s="228"/>
      <c r="GK70" s="228"/>
      <c r="GL70" s="228"/>
      <c r="GM70" s="228"/>
      <c r="GN70" s="228"/>
      <c r="GO70" s="228"/>
      <c r="GP70" s="228"/>
      <c r="GQ70" s="228"/>
      <c r="GR70" s="228"/>
      <c r="GS70" s="228"/>
      <c r="GT70" s="228"/>
      <c r="GU70" s="228"/>
      <c r="GV70" s="228"/>
      <c r="GW70" s="228"/>
      <c r="GX70" s="228"/>
      <c r="GY70" s="228"/>
      <c r="GZ70" s="228"/>
      <c r="HA70" s="228"/>
      <c r="HB70" s="228"/>
      <c r="HC70" s="228"/>
      <c r="HD70" s="228"/>
      <c r="HE70" s="228"/>
      <c r="HF70" s="228"/>
      <c r="HG70" s="228"/>
      <c r="HH70" s="228"/>
      <c r="HI70" s="228"/>
      <c r="HJ70" s="228"/>
      <c r="HK70" s="228"/>
      <c r="HL70" s="228"/>
      <c r="HM70" s="228"/>
      <c r="HN70" s="228"/>
      <c r="HO70" s="228"/>
      <c r="HP70" s="228"/>
      <c r="HQ70" s="228"/>
      <c r="HR70" s="228"/>
      <c r="HS70" s="228"/>
      <c r="HT70" s="228"/>
      <c r="HU70" s="228"/>
      <c r="HV70" s="228"/>
      <c r="HW70" s="228"/>
      <c r="HX70" s="228"/>
      <c r="HY70" s="228"/>
      <c r="HZ70" s="228"/>
      <c r="IA70" s="228"/>
      <c r="IB70" s="228"/>
      <c r="IC70" s="228"/>
      <c r="ID70" s="228"/>
      <c r="IE70" s="228"/>
      <c r="IF70" s="228"/>
      <c r="IG70" s="228"/>
      <c r="IH70" s="228"/>
      <c r="II70" s="228"/>
      <c r="IJ70" s="228"/>
      <c r="IK70" s="228"/>
      <c r="IL70" s="228"/>
      <c r="IM70" s="228"/>
      <c r="IN70" s="228"/>
      <c r="IO70" s="228"/>
      <c r="IP70" s="228"/>
      <c r="IQ70" s="228"/>
      <c r="IR70" s="228"/>
      <c r="IS70" s="228"/>
      <c r="IT70" s="228"/>
      <c r="IU70" s="228"/>
      <c r="IV70" s="228"/>
      <c r="IW70" s="228"/>
      <c r="IX70" s="228"/>
      <c r="IY70" s="228"/>
      <c r="IZ70" s="228"/>
      <c r="JA70" s="228"/>
      <c r="JB70" s="228"/>
      <c r="JC70" s="228"/>
      <c r="JD70" s="228"/>
      <c r="JE70" s="228"/>
      <c r="JF70" s="228"/>
      <c r="JG70" s="228"/>
      <c r="JH70" s="228"/>
      <c r="JI70" s="228"/>
      <c r="JJ70" s="228"/>
      <c r="JK70" s="228"/>
      <c r="JL70" s="228"/>
      <c r="JM70" s="228"/>
      <c r="JN70" s="228"/>
      <c r="JO70" s="228"/>
      <c r="JP70" s="228"/>
      <c r="JQ70" s="228"/>
      <c r="JR70" s="228"/>
      <c r="JS70" s="228"/>
      <c r="JT70" s="228"/>
      <c r="JU70" s="228"/>
      <c r="JV70" s="228"/>
      <c r="JW70" s="228"/>
      <c r="JX70" s="228"/>
      <c r="JY70" s="228"/>
      <c r="JZ70" s="228"/>
      <c r="KA70" s="228"/>
      <c r="KB70" s="228"/>
      <c r="KC70" s="228"/>
      <c r="KD70" s="228"/>
      <c r="KE70" s="228"/>
      <c r="KF70" s="228"/>
      <c r="KG70" s="228"/>
      <c r="KH70" s="228"/>
      <c r="KI70" s="228"/>
      <c r="KJ70" s="228"/>
      <c r="KK70" s="228"/>
      <c r="KL70" s="228"/>
      <c r="KM70" s="228"/>
      <c r="KN70" s="228"/>
      <c r="KO70" s="228"/>
      <c r="KP70" s="228"/>
      <c r="KQ70" s="228"/>
      <c r="KR70" s="228"/>
      <c r="KS70" s="228"/>
      <c r="KT70" s="228"/>
      <c r="KU70" s="228"/>
      <c r="KV70" s="228"/>
      <c r="KW70" s="228"/>
      <c r="KX70" s="228"/>
      <c r="KY70" s="228"/>
      <c r="KZ70" s="228"/>
      <c r="LA70" s="228"/>
      <c r="LB70" s="228"/>
      <c r="LC70" s="228"/>
      <c r="LD70" s="228"/>
      <c r="LE70" s="228"/>
      <c r="LF70" s="228"/>
      <c r="LG70" s="228"/>
      <c r="LH70" s="228"/>
      <c r="LI70" s="228"/>
      <c r="LJ70" s="228"/>
      <c r="LK70" s="228"/>
      <c r="LL70" s="228"/>
      <c r="LM70" s="228"/>
      <c r="LN70" s="228"/>
      <c r="LO70" s="228"/>
      <c r="LP70" s="228"/>
      <c r="LQ70" s="228"/>
      <c r="LR70" s="228"/>
      <c r="LS70" s="228"/>
      <c r="LT70" s="228"/>
      <c r="LU70" s="228"/>
      <c r="LV70" s="228"/>
      <c r="LW70" s="228"/>
      <c r="LX70" s="228"/>
      <c r="LY70" s="228"/>
      <c r="LZ70" s="228"/>
      <c r="MA70" s="228"/>
      <c r="MB70" s="228"/>
      <c r="MC70" s="228"/>
      <c r="MD70" s="228"/>
      <c r="ME70" s="228"/>
      <c r="MF70" s="228"/>
      <c r="MG70" s="228"/>
      <c r="MH70" s="228"/>
      <c r="MI70" s="228"/>
      <c r="MJ70" s="228"/>
      <c r="MK70" s="228"/>
      <c r="ML70" s="228"/>
      <c r="MM70" s="228"/>
      <c r="MN70" s="228"/>
      <c r="MO70" s="228"/>
      <c r="MP70" s="228"/>
      <c r="MQ70" s="228"/>
      <c r="MR70" s="228"/>
      <c r="MS70" s="228"/>
      <c r="MT70" s="228"/>
      <c r="MU70" s="228"/>
      <c r="MV70" s="228"/>
      <c r="MW70" s="228"/>
      <c r="MX70" s="228"/>
      <c r="MY70" s="228"/>
      <c r="MZ70" s="228"/>
      <c r="NA70" s="228"/>
      <c r="NB70" s="228"/>
      <c r="NC70" s="228"/>
      <c r="ND70" s="228"/>
      <c r="NE70" s="228"/>
      <c r="NF70" s="228"/>
      <c r="NG70" s="228"/>
      <c r="NH70" s="228"/>
      <c r="NI70" s="228"/>
      <c r="NJ70" s="228"/>
      <c r="NK70" s="228"/>
      <c r="NL70" s="228"/>
      <c r="NM70" s="228"/>
      <c r="NN70" s="228"/>
      <c r="NO70" s="228"/>
      <c r="NP70" s="228"/>
      <c r="NQ70" s="228"/>
      <c r="NR70" s="228"/>
      <c r="NS70" s="228"/>
      <c r="NT70" s="228"/>
      <c r="NU70" s="228"/>
      <c r="NV70" s="228"/>
      <c r="NW70" s="228"/>
      <c r="NX70" s="228"/>
      <c r="NY70" s="228"/>
      <c r="NZ70" s="228"/>
      <c r="OA70" s="228"/>
      <c r="OB70" s="228"/>
      <c r="OC70" s="228"/>
      <c r="OD70" s="228"/>
      <c r="OE70" s="228"/>
      <c r="OF70" s="228"/>
      <c r="OG70" s="228"/>
      <c r="OH70" s="228"/>
      <c r="OI70" s="228"/>
      <c r="OJ70" s="228"/>
      <c r="OK70" s="228"/>
      <c r="OL70" s="228"/>
      <c r="OM70" s="228"/>
      <c r="ON70" s="228"/>
      <c r="OO70" s="228"/>
      <c r="OP70" s="228"/>
      <c r="OQ70" s="228"/>
      <c r="OR70" s="228"/>
      <c r="OS70" s="228"/>
      <c r="OT70" s="228"/>
      <c r="OU70" s="228"/>
      <c r="OV70" s="228"/>
      <c r="OW70" s="228"/>
      <c r="OX70" s="228"/>
      <c r="OY70" s="228"/>
      <c r="OZ70" s="228"/>
      <c r="PA70" s="228"/>
      <c r="PB70" s="228"/>
      <c r="PC70" s="228"/>
      <c r="PD70" s="228"/>
      <c r="PE70" s="228"/>
      <c r="PF70" s="228"/>
      <c r="PG70" s="228"/>
      <c r="PH70" s="228"/>
      <c r="PI70" s="228"/>
      <c r="PJ70" s="228"/>
      <c r="PK70" s="228"/>
      <c r="PL70" s="228"/>
      <c r="PM70" s="228"/>
      <c r="PN70" s="228"/>
      <c r="PO70" s="228"/>
      <c r="PP70" s="228"/>
      <c r="PQ70" s="228"/>
      <c r="PR70" s="228"/>
      <c r="PS70" s="228"/>
      <c r="PT70" s="228"/>
      <c r="PU70" s="228"/>
      <c r="PV70" s="228"/>
      <c r="PW70" s="228"/>
      <c r="PX70" s="228"/>
      <c r="PY70" s="228"/>
      <c r="PZ70" s="228"/>
      <c r="QA70" s="228"/>
      <c r="QB70" s="228"/>
      <c r="QC70" s="228"/>
      <c r="QD70" s="228"/>
      <c r="QE70" s="228"/>
      <c r="QF70" s="228"/>
      <c r="QG70" s="228"/>
      <c r="QH70" s="228"/>
      <c r="QI70" s="228"/>
      <c r="QJ70" s="228"/>
      <c r="QK70" s="228"/>
      <c r="QL70" s="228"/>
      <c r="QM70" s="228"/>
      <c r="QN70" s="228"/>
      <c r="QO70" s="228"/>
      <c r="QP70" s="228"/>
      <c r="QQ70" s="228"/>
      <c r="QR70" s="228"/>
      <c r="QS70" s="228"/>
      <c r="QT70" s="228"/>
      <c r="QU70" s="228"/>
      <c r="QV70" s="228"/>
      <c r="QW70" s="228"/>
      <c r="QX70" s="228"/>
      <c r="QY70" s="228"/>
      <c r="QZ70" s="228"/>
      <c r="RA70" s="228"/>
      <c r="RB70" s="228"/>
      <c r="RC70" s="228"/>
      <c r="RD70" s="228"/>
      <c r="RE70" s="228"/>
      <c r="RF70" s="228"/>
      <c r="RG70" s="228"/>
      <c r="RH70" s="228"/>
      <c r="RI70" s="228"/>
      <c r="RJ70" s="228"/>
      <c r="RK70" s="228"/>
      <c r="RL70" s="228"/>
      <c r="RM70" s="228"/>
      <c r="RN70" s="228"/>
      <c r="RO70" s="228"/>
      <c r="RP70" s="228"/>
      <c r="RQ70" s="228"/>
      <c r="RR70" s="228"/>
      <c r="RS70" s="228"/>
      <c r="RT70" s="228"/>
      <c r="RU70" s="228"/>
      <c r="RV70" s="228"/>
      <c r="RW70" s="228"/>
      <c r="RX70" s="228"/>
      <c r="RY70" s="228"/>
      <c r="RZ70" s="228"/>
      <c r="SA70" s="228"/>
      <c r="SB70" s="228"/>
      <c r="SC70" s="228"/>
      <c r="SD70" s="228"/>
      <c r="SE70" s="228"/>
      <c r="SF70" s="228"/>
      <c r="SG70" s="228"/>
    </row>
    <row r="71" spans="2:501" ht="14.25" customHeight="1"/>
    <row r="72" spans="2:501" ht="14.25" customHeight="1">
      <c r="B72" s="222" t="s">
        <v>2042</v>
      </c>
      <c r="C72" s="222"/>
      <c r="D72" s="197"/>
      <c r="E72" s="198"/>
    </row>
    <row r="73" spans="2:501" ht="14.25" customHeight="1">
      <c r="C73" s="223" t="s">
        <v>1111</v>
      </c>
      <c r="D73" s="223" t="s">
        <v>93</v>
      </c>
      <c r="E73" s="223" t="s">
        <v>1727</v>
      </c>
      <c r="F73" s="223" t="s">
        <v>1728</v>
      </c>
      <c r="G73" s="223" t="s">
        <v>1729</v>
      </c>
      <c r="H73" s="223" t="s">
        <v>1730</v>
      </c>
      <c r="I73" s="223" t="s">
        <v>1731</v>
      </c>
      <c r="J73" s="223" t="s">
        <v>1732</v>
      </c>
      <c r="K73" s="223" t="s">
        <v>1733</v>
      </c>
      <c r="L73" s="223" t="s">
        <v>1734</v>
      </c>
      <c r="M73" s="223" t="s">
        <v>1735</v>
      </c>
      <c r="N73" s="228"/>
      <c r="O73" s="228"/>
      <c r="P73" s="228"/>
      <c r="Q73" s="228"/>
      <c r="R73" s="228"/>
      <c r="S73" s="228"/>
      <c r="T73" s="228"/>
      <c r="U73" s="228"/>
      <c r="V73" s="228"/>
      <c r="W73" s="228"/>
      <c r="X73" s="228"/>
      <c r="Y73" s="228"/>
      <c r="Z73" s="228"/>
      <c r="AA73" s="228"/>
      <c r="AB73" s="228"/>
      <c r="AC73" s="228"/>
      <c r="AD73" s="228"/>
      <c r="AE73" s="228"/>
      <c r="AF73" s="228"/>
      <c r="AG73" s="228"/>
      <c r="AH73" s="228"/>
      <c r="AI73" s="228"/>
      <c r="AJ73" s="228"/>
      <c r="AK73" s="228"/>
      <c r="AL73" s="228"/>
      <c r="AM73" s="228"/>
      <c r="AN73" s="228"/>
      <c r="AO73" s="228"/>
      <c r="AP73" s="228"/>
      <c r="AQ73" s="228"/>
      <c r="AR73" s="228"/>
      <c r="AS73" s="228"/>
      <c r="AT73" s="228"/>
      <c r="AU73" s="228"/>
      <c r="AV73" s="228"/>
      <c r="AW73" s="228"/>
      <c r="AX73" s="228"/>
      <c r="AY73" s="228"/>
      <c r="AZ73" s="228"/>
      <c r="BA73" s="228"/>
      <c r="BB73" s="228"/>
      <c r="BC73" s="228"/>
      <c r="BD73" s="228"/>
      <c r="BE73" s="228"/>
      <c r="BF73" s="228"/>
      <c r="BG73" s="228"/>
      <c r="BH73" s="228"/>
      <c r="BI73" s="228"/>
      <c r="BJ73" s="228"/>
      <c r="BK73" s="228"/>
      <c r="BL73" s="228"/>
      <c r="BM73" s="228"/>
      <c r="BN73" s="228"/>
      <c r="BO73" s="228"/>
      <c r="BP73" s="228"/>
      <c r="BQ73" s="228"/>
      <c r="BR73" s="228"/>
      <c r="BS73" s="228"/>
      <c r="BT73" s="228"/>
      <c r="BU73" s="228"/>
      <c r="BV73" s="228"/>
      <c r="BW73" s="228"/>
      <c r="BX73" s="228"/>
      <c r="BY73" s="228"/>
      <c r="BZ73" s="228"/>
      <c r="CA73" s="228"/>
      <c r="CB73" s="228"/>
      <c r="CC73" s="228"/>
      <c r="CD73" s="228"/>
      <c r="CE73" s="228"/>
      <c r="CF73" s="228"/>
      <c r="CG73" s="228"/>
      <c r="CH73" s="228"/>
      <c r="CI73" s="228"/>
      <c r="CJ73" s="228"/>
      <c r="CK73" s="228"/>
      <c r="CL73" s="228"/>
      <c r="CM73" s="228"/>
      <c r="CN73" s="228"/>
      <c r="CO73" s="228"/>
      <c r="CP73" s="228"/>
      <c r="CQ73" s="228"/>
      <c r="CR73" s="228"/>
      <c r="CS73" s="228"/>
      <c r="CT73" s="228"/>
      <c r="CU73" s="228"/>
      <c r="CV73" s="228"/>
      <c r="CW73" s="228"/>
      <c r="CX73" s="228"/>
      <c r="CY73" s="228"/>
      <c r="CZ73" s="228"/>
      <c r="DA73" s="228"/>
      <c r="DB73" s="228"/>
      <c r="DC73" s="228"/>
      <c r="DD73" s="228"/>
      <c r="DE73" s="228"/>
      <c r="DF73" s="228"/>
      <c r="DG73" s="228"/>
      <c r="DH73" s="228"/>
      <c r="DI73" s="228"/>
      <c r="DJ73" s="228"/>
      <c r="DK73" s="228"/>
      <c r="DL73" s="228"/>
      <c r="DM73" s="228"/>
      <c r="DN73" s="228"/>
      <c r="DO73" s="228"/>
      <c r="DP73" s="228"/>
      <c r="DQ73" s="228"/>
      <c r="DR73" s="228"/>
      <c r="DS73" s="228"/>
      <c r="DT73" s="228"/>
      <c r="DU73" s="228"/>
      <c r="DV73" s="228"/>
      <c r="DW73" s="228"/>
      <c r="DX73" s="228"/>
      <c r="DY73" s="228"/>
      <c r="DZ73" s="228"/>
      <c r="EA73" s="228"/>
      <c r="EB73" s="228"/>
      <c r="EC73" s="228"/>
      <c r="ED73" s="228"/>
      <c r="EE73" s="228"/>
      <c r="EF73" s="228"/>
      <c r="EG73" s="228"/>
      <c r="EH73" s="228"/>
      <c r="EI73" s="228"/>
      <c r="EJ73" s="228"/>
      <c r="EK73" s="228"/>
      <c r="EL73" s="228"/>
      <c r="EM73" s="228"/>
      <c r="EN73" s="228"/>
      <c r="EO73" s="228"/>
      <c r="EP73" s="228"/>
      <c r="EQ73" s="228"/>
      <c r="ER73" s="228"/>
      <c r="ES73" s="228"/>
      <c r="ET73" s="228"/>
      <c r="EU73" s="228"/>
      <c r="EV73" s="228"/>
      <c r="EW73" s="228"/>
      <c r="EX73" s="228"/>
      <c r="EY73" s="228"/>
      <c r="EZ73" s="228"/>
      <c r="FA73" s="228"/>
      <c r="FB73" s="228"/>
      <c r="FC73" s="228"/>
      <c r="FD73" s="228"/>
      <c r="FE73" s="228"/>
      <c r="FF73" s="228"/>
      <c r="FG73" s="228"/>
      <c r="FH73" s="228"/>
      <c r="FI73" s="228"/>
      <c r="FJ73" s="228"/>
      <c r="FK73" s="228"/>
      <c r="FL73" s="228"/>
      <c r="FM73" s="228"/>
      <c r="FN73" s="228"/>
      <c r="FO73" s="228"/>
      <c r="FP73" s="228"/>
      <c r="FQ73" s="228"/>
      <c r="FR73" s="228"/>
      <c r="FS73" s="228"/>
      <c r="FT73" s="228"/>
      <c r="FU73" s="228"/>
      <c r="FV73" s="228"/>
      <c r="FW73" s="228"/>
      <c r="FX73" s="228"/>
      <c r="FY73" s="228"/>
      <c r="FZ73" s="228"/>
      <c r="GA73" s="228"/>
      <c r="GB73" s="228"/>
      <c r="GC73" s="228"/>
      <c r="GD73" s="228"/>
      <c r="GE73" s="228"/>
      <c r="GF73" s="228"/>
      <c r="GG73" s="228"/>
      <c r="GH73" s="228"/>
      <c r="GI73" s="228"/>
      <c r="GJ73" s="228"/>
      <c r="GK73" s="228"/>
      <c r="GL73" s="228"/>
      <c r="GM73" s="228"/>
      <c r="GN73" s="228"/>
      <c r="GO73" s="228"/>
      <c r="GP73" s="228"/>
      <c r="GQ73" s="228"/>
      <c r="GR73" s="228"/>
      <c r="GS73" s="228"/>
      <c r="GT73" s="228"/>
      <c r="GU73" s="228"/>
      <c r="GV73" s="228"/>
      <c r="GW73" s="228"/>
      <c r="GX73" s="228"/>
      <c r="GY73" s="228"/>
      <c r="GZ73" s="228"/>
      <c r="HA73" s="228"/>
      <c r="HB73" s="228"/>
      <c r="HC73" s="228"/>
      <c r="HD73" s="228"/>
      <c r="HE73" s="228"/>
      <c r="HF73" s="228"/>
      <c r="HG73" s="228"/>
      <c r="HH73" s="228"/>
      <c r="HI73" s="228"/>
      <c r="HJ73" s="228"/>
      <c r="HK73" s="228"/>
      <c r="HL73" s="228"/>
      <c r="HM73" s="228"/>
      <c r="HN73" s="228"/>
      <c r="HO73" s="228"/>
      <c r="HP73" s="228"/>
      <c r="HQ73" s="228"/>
      <c r="HR73" s="228"/>
      <c r="HS73" s="228"/>
      <c r="HT73" s="228"/>
      <c r="HU73" s="228"/>
      <c r="HV73" s="228"/>
      <c r="HW73" s="228"/>
      <c r="HX73" s="228"/>
      <c r="HY73" s="228"/>
      <c r="HZ73" s="228"/>
      <c r="IA73" s="228"/>
      <c r="IB73" s="228"/>
      <c r="IC73" s="228"/>
      <c r="ID73" s="228"/>
      <c r="IE73" s="228"/>
      <c r="IF73" s="228"/>
      <c r="IG73" s="228"/>
      <c r="IH73" s="228"/>
      <c r="II73" s="228"/>
      <c r="IJ73" s="228"/>
      <c r="IK73" s="228"/>
      <c r="IL73" s="228"/>
      <c r="IM73" s="228"/>
      <c r="IN73" s="228"/>
      <c r="IO73" s="228"/>
      <c r="IP73" s="228"/>
      <c r="IQ73" s="228"/>
      <c r="IR73" s="228"/>
      <c r="IS73" s="228"/>
      <c r="IT73" s="228"/>
      <c r="IU73" s="228"/>
      <c r="IV73" s="228"/>
      <c r="IW73" s="228"/>
      <c r="IX73" s="228"/>
      <c r="IY73" s="228"/>
      <c r="IZ73" s="228"/>
      <c r="JA73" s="228"/>
      <c r="JB73" s="228"/>
      <c r="JC73" s="228"/>
      <c r="JD73" s="228"/>
      <c r="JE73" s="228"/>
      <c r="JF73" s="228"/>
      <c r="JG73" s="228"/>
      <c r="JH73" s="228"/>
      <c r="JI73" s="228"/>
      <c r="JJ73" s="228"/>
      <c r="JK73" s="228"/>
      <c r="JL73" s="228"/>
      <c r="JM73" s="228"/>
      <c r="JN73" s="228"/>
      <c r="JO73" s="228"/>
      <c r="JP73" s="228"/>
      <c r="JQ73" s="228"/>
      <c r="JR73" s="228"/>
      <c r="JS73" s="228"/>
      <c r="JT73" s="228"/>
      <c r="JU73" s="228"/>
      <c r="JV73" s="228"/>
      <c r="JW73" s="228"/>
      <c r="JX73" s="228"/>
      <c r="JY73" s="228"/>
      <c r="JZ73" s="228"/>
      <c r="KA73" s="228"/>
      <c r="KB73" s="228"/>
      <c r="KC73" s="228"/>
      <c r="KD73" s="228"/>
      <c r="KE73" s="228"/>
      <c r="KF73" s="228"/>
      <c r="KG73" s="228"/>
      <c r="KH73" s="228"/>
      <c r="KI73" s="228"/>
      <c r="KJ73" s="228"/>
      <c r="KK73" s="228"/>
      <c r="KL73" s="228"/>
      <c r="KM73" s="228"/>
      <c r="KN73" s="228"/>
      <c r="KO73" s="228"/>
      <c r="KP73" s="228"/>
      <c r="KQ73" s="228"/>
      <c r="KR73" s="228"/>
      <c r="KS73" s="228"/>
      <c r="KT73" s="228"/>
      <c r="KU73" s="228"/>
      <c r="KV73" s="228"/>
      <c r="KW73" s="228"/>
      <c r="KX73" s="228"/>
      <c r="KY73" s="228"/>
      <c r="KZ73" s="228"/>
      <c r="LA73" s="228"/>
      <c r="LB73" s="228"/>
      <c r="LC73" s="228"/>
      <c r="LD73" s="228"/>
      <c r="LE73" s="228"/>
      <c r="LF73" s="228"/>
      <c r="LG73" s="228"/>
      <c r="LH73" s="228"/>
      <c r="LI73" s="228"/>
      <c r="LJ73" s="228"/>
      <c r="LK73" s="228"/>
      <c r="LL73" s="228"/>
      <c r="LM73" s="228"/>
      <c r="LN73" s="228"/>
      <c r="LO73" s="228"/>
      <c r="LP73" s="228"/>
      <c r="LQ73" s="228"/>
      <c r="LR73" s="228"/>
      <c r="LS73" s="228"/>
      <c r="LT73" s="228"/>
      <c r="LU73" s="228"/>
      <c r="LV73" s="228"/>
      <c r="LW73" s="228"/>
      <c r="LX73" s="228"/>
      <c r="LY73" s="228"/>
      <c r="LZ73" s="228"/>
      <c r="MA73" s="228"/>
      <c r="MB73" s="228"/>
      <c r="MC73" s="228"/>
      <c r="MD73" s="228"/>
      <c r="ME73" s="228"/>
      <c r="MF73" s="228"/>
      <c r="MG73" s="228"/>
      <c r="MH73" s="228"/>
      <c r="MI73" s="228"/>
      <c r="MJ73" s="228"/>
      <c r="MK73" s="228"/>
      <c r="ML73" s="228"/>
      <c r="MM73" s="228"/>
      <c r="MN73" s="228"/>
      <c r="MO73" s="228"/>
      <c r="MP73" s="228"/>
      <c r="MQ73" s="228"/>
      <c r="MR73" s="228"/>
      <c r="MS73" s="228"/>
      <c r="MT73" s="228"/>
      <c r="MU73" s="228"/>
      <c r="MV73" s="228"/>
      <c r="MW73" s="228"/>
      <c r="MX73" s="228"/>
      <c r="MY73" s="228"/>
      <c r="MZ73" s="228"/>
      <c r="NA73" s="228"/>
      <c r="NB73" s="228"/>
      <c r="NC73" s="228"/>
      <c r="ND73" s="228"/>
      <c r="NE73" s="228"/>
      <c r="NF73" s="228"/>
      <c r="NG73" s="228"/>
      <c r="NH73" s="228"/>
      <c r="NI73" s="228"/>
      <c r="NJ73" s="228"/>
      <c r="NK73" s="228"/>
      <c r="NL73" s="228"/>
      <c r="NM73" s="228"/>
      <c r="NN73" s="228"/>
      <c r="NO73" s="228"/>
      <c r="NP73" s="228"/>
      <c r="NQ73" s="228"/>
      <c r="NR73" s="228"/>
      <c r="NS73" s="228"/>
      <c r="NT73" s="228"/>
      <c r="NU73" s="228"/>
      <c r="NV73" s="228"/>
      <c r="NW73" s="228"/>
      <c r="NX73" s="228"/>
      <c r="NY73" s="228"/>
      <c r="NZ73" s="228"/>
      <c r="OA73" s="228"/>
      <c r="OB73" s="228"/>
      <c r="OC73" s="228"/>
      <c r="OD73" s="228"/>
      <c r="OE73" s="228"/>
      <c r="OF73" s="228"/>
      <c r="OG73" s="228"/>
      <c r="OH73" s="228"/>
      <c r="OI73" s="228"/>
      <c r="OJ73" s="228"/>
      <c r="OK73" s="228"/>
      <c r="OL73" s="228"/>
      <c r="OM73" s="228"/>
      <c r="ON73" s="228"/>
      <c r="OO73" s="228"/>
      <c r="OP73" s="228"/>
      <c r="OQ73" s="228"/>
      <c r="OR73" s="228"/>
      <c r="OS73" s="228"/>
      <c r="OT73" s="228"/>
      <c r="OU73" s="228"/>
      <c r="OV73" s="228"/>
      <c r="OW73" s="228"/>
      <c r="OX73" s="228"/>
      <c r="OY73" s="228"/>
      <c r="OZ73" s="228"/>
      <c r="PA73" s="228"/>
      <c r="PB73" s="228"/>
      <c r="PC73" s="228"/>
      <c r="PD73" s="228"/>
      <c r="PE73" s="228"/>
      <c r="PF73" s="228"/>
      <c r="PG73" s="228"/>
      <c r="PH73" s="228"/>
      <c r="PI73" s="228"/>
      <c r="PJ73" s="228"/>
      <c r="PK73" s="228"/>
      <c r="PL73" s="228"/>
      <c r="PM73" s="228"/>
      <c r="PN73" s="228"/>
      <c r="PO73" s="228"/>
      <c r="PP73" s="228"/>
      <c r="PQ73" s="228"/>
      <c r="PR73" s="228"/>
      <c r="PS73" s="228"/>
      <c r="PT73" s="228"/>
      <c r="PU73" s="228"/>
      <c r="PV73" s="228"/>
      <c r="PW73" s="228"/>
      <c r="PX73" s="228"/>
      <c r="PY73" s="228"/>
      <c r="PZ73" s="228"/>
      <c r="QA73" s="228"/>
      <c r="QB73" s="228"/>
      <c r="QC73" s="228"/>
      <c r="QD73" s="228"/>
      <c r="QE73" s="228"/>
      <c r="QF73" s="228"/>
      <c r="QG73" s="228"/>
      <c r="QH73" s="228"/>
      <c r="QI73" s="228"/>
      <c r="QJ73" s="228"/>
      <c r="QK73" s="228"/>
      <c r="QL73" s="228"/>
      <c r="QM73" s="228"/>
      <c r="QN73" s="228"/>
      <c r="QO73" s="228"/>
      <c r="QP73" s="228"/>
      <c r="QQ73" s="228"/>
      <c r="QR73" s="228"/>
      <c r="QS73" s="228"/>
      <c r="QT73" s="228"/>
      <c r="QU73" s="228"/>
      <c r="QV73" s="228"/>
      <c r="QW73" s="228"/>
      <c r="QX73" s="228"/>
      <c r="QY73" s="228"/>
      <c r="QZ73" s="228"/>
      <c r="RA73" s="228"/>
      <c r="RB73" s="228"/>
      <c r="RC73" s="228"/>
      <c r="RD73" s="228"/>
      <c r="RE73" s="228"/>
      <c r="RF73" s="228"/>
      <c r="RG73" s="228"/>
      <c r="RH73" s="228"/>
      <c r="RI73" s="228"/>
      <c r="RJ73" s="228"/>
      <c r="RK73" s="228"/>
      <c r="RL73" s="228"/>
      <c r="RM73" s="228"/>
      <c r="RN73" s="228"/>
      <c r="RO73" s="228"/>
      <c r="RP73" s="228"/>
      <c r="RQ73" s="228"/>
      <c r="RR73" s="228"/>
      <c r="RS73" s="228"/>
      <c r="RT73" s="228"/>
      <c r="RU73" s="228"/>
      <c r="RV73" s="228"/>
      <c r="RW73" s="228"/>
      <c r="RX73" s="228"/>
      <c r="RY73" s="228"/>
      <c r="RZ73" s="228"/>
      <c r="SA73" s="228"/>
      <c r="SB73" s="228"/>
      <c r="SC73" s="228"/>
      <c r="SD73" s="228"/>
      <c r="SE73" s="228"/>
      <c r="SF73" s="228"/>
      <c r="SG73" s="228"/>
    </row>
    <row r="74" spans="2:501" ht="84" customHeight="1">
      <c r="C74" s="227" t="s">
        <v>2043</v>
      </c>
      <c r="D74" s="225" t="s">
        <v>2044</v>
      </c>
      <c r="E74" s="225" t="s">
        <v>2045</v>
      </c>
      <c r="F74" s="225" t="s">
        <v>2046</v>
      </c>
      <c r="G74" s="225" t="s">
        <v>1740</v>
      </c>
      <c r="H74" s="225" t="s">
        <v>1741</v>
      </c>
      <c r="I74" s="226" t="s">
        <v>2047</v>
      </c>
      <c r="J74" s="226" t="s">
        <v>1740</v>
      </c>
      <c r="K74" s="225" t="s">
        <v>1844</v>
      </c>
      <c r="L74" s="225" t="s">
        <v>1760</v>
      </c>
      <c r="M74" s="226" t="s">
        <v>2048</v>
      </c>
      <c r="N74" s="228"/>
      <c r="O74" s="228"/>
      <c r="P74" s="228"/>
      <c r="Q74" s="228"/>
      <c r="R74" s="228"/>
      <c r="S74" s="228"/>
      <c r="T74" s="228"/>
      <c r="U74" s="228"/>
      <c r="V74" s="228"/>
      <c r="W74" s="228"/>
      <c r="X74" s="228"/>
      <c r="Y74" s="228"/>
      <c r="Z74" s="228"/>
      <c r="AA74" s="228"/>
      <c r="AB74" s="228"/>
      <c r="AC74" s="228"/>
      <c r="AD74" s="228"/>
      <c r="AE74" s="228"/>
      <c r="AF74" s="228"/>
      <c r="AG74" s="228"/>
      <c r="AH74" s="228"/>
      <c r="AI74" s="228"/>
      <c r="AJ74" s="228"/>
      <c r="AK74" s="228"/>
      <c r="AL74" s="228"/>
      <c r="AM74" s="228"/>
      <c r="AN74" s="228"/>
      <c r="AO74" s="228"/>
      <c r="AP74" s="228"/>
      <c r="AQ74" s="228"/>
      <c r="AR74" s="228"/>
      <c r="AS74" s="228"/>
      <c r="AT74" s="228"/>
      <c r="AU74" s="228"/>
      <c r="AV74" s="228"/>
      <c r="AW74" s="228"/>
      <c r="AX74" s="228"/>
      <c r="AY74" s="228"/>
      <c r="AZ74" s="228"/>
      <c r="BA74" s="228"/>
      <c r="BB74" s="228"/>
      <c r="BC74" s="228"/>
      <c r="BD74" s="228"/>
      <c r="BE74" s="228"/>
      <c r="BF74" s="228"/>
      <c r="BG74" s="228"/>
      <c r="BH74" s="228"/>
      <c r="BI74" s="228"/>
      <c r="BJ74" s="228"/>
      <c r="BK74" s="228"/>
      <c r="BL74" s="228"/>
      <c r="BM74" s="228"/>
      <c r="BN74" s="228"/>
      <c r="BO74" s="228"/>
      <c r="BP74" s="228"/>
      <c r="BQ74" s="228"/>
      <c r="BR74" s="228"/>
      <c r="BS74" s="228"/>
      <c r="BT74" s="228"/>
      <c r="BU74" s="228"/>
      <c r="BV74" s="228"/>
      <c r="BW74" s="228"/>
      <c r="BX74" s="228"/>
      <c r="BY74" s="228"/>
      <c r="BZ74" s="228"/>
      <c r="CA74" s="228"/>
      <c r="CB74" s="228"/>
      <c r="CC74" s="228"/>
      <c r="CD74" s="228"/>
      <c r="CE74" s="228"/>
      <c r="CF74" s="228"/>
      <c r="CG74" s="228"/>
      <c r="CH74" s="228"/>
      <c r="CI74" s="228"/>
      <c r="CJ74" s="228"/>
      <c r="CK74" s="228"/>
      <c r="CL74" s="228"/>
      <c r="CM74" s="228"/>
      <c r="CN74" s="228"/>
      <c r="CO74" s="228"/>
      <c r="CP74" s="228"/>
      <c r="CQ74" s="228"/>
      <c r="CR74" s="228"/>
      <c r="CS74" s="228"/>
      <c r="CT74" s="228"/>
      <c r="CU74" s="228"/>
      <c r="CV74" s="228"/>
      <c r="CW74" s="228"/>
      <c r="CX74" s="228"/>
      <c r="CY74" s="228"/>
      <c r="CZ74" s="228"/>
      <c r="DA74" s="228"/>
      <c r="DB74" s="228"/>
      <c r="DC74" s="228"/>
      <c r="DD74" s="228"/>
      <c r="DE74" s="228"/>
      <c r="DF74" s="228"/>
      <c r="DG74" s="228"/>
      <c r="DH74" s="228"/>
      <c r="DI74" s="228"/>
      <c r="DJ74" s="228"/>
      <c r="DK74" s="228"/>
      <c r="DL74" s="228"/>
      <c r="DM74" s="228"/>
      <c r="DN74" s="228"/>
      <c r="DO74" s="228"/>
      <c r="DP74" s="228"/>
      <c r="DQ74" s="228"/>
      <c r="DR74" s="228"/>
      <c r="DS74" s="228"/>
      <c r="DT74" s="228"/>
      <c r="DU74" s="228"/>
      <c r="DV74" s="228"/>
      <c r="DW74" s="228"/>
      <c r="DX74" s="228"/>
      <c r="DY74" s="228"/>
      <c r="DZ74" s="228"/>
      <c r="EA74" s="228"/>
      <c r="EB74" s="228"/>
      <c r="EC74" s="228"/>
      <c r="ED74" s="228"/>
      <c r="EE74" s="228"/>
      <c r="EF74" s="228"/>
      <c r="EG74" s="228"/>
      <c r="EH74" s="228"/>
      <c r="EI74" s="228"/>
      <c r="EJ74" s="228"/>
      <c r="EK74" s="228"/>
      <c r="EL74" s="228"/>
      <c r="EM74" s="228"/>
      <c r="EN74" s="228"/>
      <c r="EO74" s="228"/>
      <c r="EP74" s="228"/>
      <c r="EQ74" s="228"/>
      <c r="ER74" s="228"/>
      <c r="ES74" s="228"/>
      <c r="ET74" s="228"/>
      <c r="EU74" s="228"/>
      <c r="EV74" s="228"/>
      <c r="EW74" s="228"/>
      <c r="EX74" s="228"/>
      <c r="EY74" s="228"/>
      <c r="EZ74" s="228"/>
      <c r="FA74" s="228"/>
      <c r="FB74" s="228"/>
      <c r="FC74" s="228"/>
      <c r="FD74" s="228"/>
      <c r="FE74" s="228"/>
      <c r="FF74" s="228"/>
      <c r="FG74" s="228"/>
      <c r="FH74" s="228"/>
      <c r="FI74" s="228"/>
      <c r="FJ74" s="228"/>
      <c r="FK74" s="228"/>
      <c r="FL74" s="228"/>
      <c r="FM74" s="228"/>
      <c r="FN74" s="228"/>
      <c r="FO74" s="228"/>
      <c r="FP74" s="228"/>
      <c r="FQ74" s="228"/>
      <c r="FR74" s="228"/>
      <c r="FS74" s="228"/>
      <c r="FT74" s="228"/>
      <c r="FU74" s="228"/>
      <c r="FV74" s="228"/>
      <c r="FW74" s="228"/>
      <c r="FX74" s="228"/>
      <c r="FY74" s="228"/>
      <c r="FZ74" s="228"/>
      <c r="GA74" s="228"/>
      <c r="GB74" s="228"/>
      <c r="GC74" s="228"/>
      <c r="GD74" s="228"/>
      <c r="GE74" s="228"/>
      <c r="GF74" s="228"/>
      <c r="GG74" s="228"/>
      <c r="GH74" s="228"/>
      <c r="GI74" s="228"/>
      <c r="GJ74" s="228"/>
      <c r="GK74" s="228"/>
      <c r="GL74" s="228"/>
      <c r="GM74" s="228"/>
      <c r="GN74" s="228"/>
      <c r="GO74" s="228"/>
      <c r="GP74" s="228"/>
      <c r="GQ74" s="228"/>
      <c r="GR74" s="228"/>
      <c r="GS74" s="228"/>
      <c r="GT74" s="228"/>
      <c r="GU74" s="228"/>
      <c r="GV74" s="228"/>
      <c r="GW74" s="228"/>
      <c r="GX74" s="228"/>
      <c r="GY74" s="228"/>
      <c r="GZ74" s="228"/>
      <c r="HA74" s="228"/>
      <c r="HB74" s="228"/>
      <c r="HC74" s="228"/>
      <c r="HD74" s="228"/>
      <c r="HE74" s="228"/>
      <c r="HF74" s="228"/>
      <c r="HG74" s="228"/>
      <c r="HH74" s="228"/>
      <c r="HI74" s="228"/>
      <c r="HJ74" s="228"/>
      <c r="HK74" s="228"/>
      <c r="HL74" s="228"/>
      <c r="HM74" s="228"/>
      <c r="HN74" s="228"/>
      <c r="HO74" s="228"/>
      <c r="HP74" s="228"/>
      <c r="HQ74" s="228"/>
      <c r="HR74" s="228"/>
      <c r="HS74" s="228"/>
      <c r="HT74" s="228"/>
      <c r="HU74" s="228"/>
      <c r="HV74" s="228"/>
      <c r="HW74" s="228"/>
      <c r="HX74" s="228"/>
      <c r="HY74" s="228"/>
      <c r="HZ74" s="228"/>
      <c r="IA74" s="228"/>
      <c r="IB74" s="228"/>
      <c r="IC74" s="228"/>
      <c r="ID74" s="228"/>
      <c r="IE74" s="228"/>
      <c r="IF74" s="228"/>
      <c r="IG74" s="228"/>
      <c r="IH74" s="228"/>
      <c r="II74" s="228"/>
      <c r="IJ74" s="228"/>
      <c r="IK74" s="228"/>
      <c r="IL74" s="228"/>
      <c r="IM74" s="228"/>
      <c r="IN74" s="228"/>
      <c r="IO74" s="228"/>
      <c r="IP74" s="228"/>
      <c r="IQ74" s="228"/>
      <c r="IR74" s="228"/>
      <c r="IS74" s="228"/>
      <c r="IT74" s="228"/>
      <c r="IU74" s="228"/>
      <c r="IV74" s="228"/>
      <c r="IW74" s="228"/>
      <c r="IX74" s="228"/>
      <c r="IY74" s="228"/>
      <c r="IZ74" s="228"/>
      <c r="JA74" s="228"/>
      <c r="JB74" s="228"/>
      <c r="JC74" s="228"/>
      <c r="JD74" s="228"/>
      <c r="JE74" s="228"/>
      <c r="JF74" s="228"/>
      <c r="JG74" s="228"/>
      <c r="JH74" s="228"/>
      <c r="JI74" s="228"/>
      <c r="JJ74" s="228"/>
      <c r="JK74" s="228"/>
      <c r="JL74" s="228"/>
      <c r="JM74" s="228"/>
      <c r="JN74" s="228"/>
      <c r="JO74" s="228"/>
      <c r="JP74" s="228"/>
      <c r="JQ74" s="228"/>
      <c r="JR74" s="228"/>
      <c r="JS74" s="228"/>
      <c r="JT74" s="228"/>
      <c r="JU74" s="228"/>
      <c r="JV74" s="228"/>
      <c r="JW74" s="228"/>
      <c r="JX74" s="228"/>
      <c r="JY74" s="228"/>
      <c r="JZ74" s="228"/>
      <c r="KA74" s="228"/>
      <c r="KB74" s="228"/>
      <c r="KC74" s="228"/>
      <c r="KD74" s="228"/>
      <c r="KE74" s="228"/>
      <c r="KF74" s="228"/>
      <c r="KG74" s="228"/>
      <c r="KH74" s="228"/>
      <c r="KI74" s="228"/>
      <c r="KJ74" s="228"/>
      <c r="KK74" s="228"/>
      <c r="KL74" s="228"/>
      <c r="KM74" s="228"/>
      <c r="KN74" s="228"/>
      <c r="KO74" s="228"/>
      <c r="KP74" s="228"/>
      <c r="KQ74" s="228"/>
      <c r="KR74" s="228"/>
      <c r="KS74" s="228"/>
      <c r="KT74" s="228"/>
      <c r="KU74" s="228"/>
      <c r="KV74" s="228"/>
      <c r="KW74" s="228"/>
      <c r="KX74" s="228"/>
      <c r="KY74" s="228"/>
      <c r="KZ74" s="228"/>
      <c r="LA74" s="228"/>
      <c r="LB74" s="228"/>
      <c r="LC74" s="228"/>
      <c r="LD74" s="228"/>
      <c r="LE74" s="228"/>
      <c r="LF74" s="228"/>
      <c r="LG74" s="228"/>
      <c r="LH74" s="228"/>
      <c r="LI74" s="228"/>
      <c r="LJ74" s="228"/>
      <c r="LK74" s="228"/>
      <c r="LL74" s="228"/>
      <c r="LM74" s="228"/>
      <c r="LN74" s="228"/>
      <c r="LO74" s="228"/>
      <c r="LP74" s="228"/>
      <c r="LQ74" s="228"/>
      <c r="LR74" s="228"/>
      <c r="LS74" s="228"/>
      <c r="LT74" s="228"/>
      <c r="LU74" s="228"/>
      <c r="LV74" s="228"/>
      <c r="LW74" s="228"/>
      <c r="LX74" s="228"/>
      <c r="LY74" s="228"/>
      <c r="LZ74" s="228"/>
      <c r="MA74" s="228"/>
      <c r="MB74" s="228"/>
      <c r="MC74" s="228"/>
      <c r="MD74" s="228"/>
      <c r="ME74" s="228"/>
      <c r="MF74" s="228"/>
      <c r="MG74" s="228"/>
      <c r="MH74" s="228"/>
      <c r="MI74" s="228"/>
      <c r="MJ74" s="228"/>
      <c r="MK74" s="228"/>
      <c r="ML74" s="228"/>
      <c r="MM74" s="228"/>
      <c r="MN74" s="228"/>
      <c r="MO74" s="228"/>
      <c r="MP74" s="228"/>
      <c r="MQ74" s="228"/>
      <c r="MR74" s="228"/>
      <c r="MS74" s="228"/>
      <c r="MT74" s="228"/>
      <c r="MU74" s="228"/>
      <c r="MV74" s="228"/>
      <c r="MW74" s="228"/>
      <c r="MX74" s="228"/>
      <c r="MY74" s="228"/>
      <c r="MZ74" s="228"/>
      <c r="NA74" s="228"/>
      <c r="NB74" s="228"/>
      <c r="NC74" s="228"/>
      <c r="ND74" s="228"/>
      <c r="NE74" s="228"/>
      <c r="NF74" s="228"/>
      <c r="NG74" s="228"/>
      <c r="NH74" s="228"/>
      <c r="NI74" s="228"/>
      <c r="NJ74" s="228"/>
      <c r="NK74" s="228"/>
      <c r="NL74" s="228"/>
      <c r="NM74" s="228"/>
      <c r="NN74" s="228"/>
      <c r="NO74" s="228"/>
      <c r="NP74" s="228"/>
      <c r="NQ74" s="228"/>
      <c r="NR74" s="228"/>
      <c r="NS74" s="228"/>
      <c r="NT74" s="228"/>
      <c r="NU74" s="228"/>
      <c r="NV74" s="228"/>
      <c r="NW74" s="228"/>
      <c r="NX74" s="228"/>
      <c r="NY74" s="228"/>
      <c r="NZ74" s="228"/>
      <c r="OA74" s="228"/>
      <c r="OB74" s="228"/>
      <c r="OC74" s="228"/>
      <c r="OD74" s="228"/>
      <c r="OE74" s="228"/>
      <c r="OF74" s="228"/>
      <c r="OG74" s="228"/>
      <c r="OH74" s="228"/>
      <c r="OI74" s="228"/>
      <c r="OJ74" s="228"/>
      <c r="OK74" s="228"/>
      <c r="OL74" s="228"/>
      <c r="OM74" s="228"/>
      <c r="ON74" s="228"/>
      <c r="OO74" s="228"/>
      <c r="OP74" s="228"/>
      <c r="OQ74" s="228"/>
      <c r="OR74" s="228"/>
      <c r="OS74" s="228"/>
      <c r="OT74" s="228"/>
      <c r="OU74" s="228"/>
      <c r="OV74" s="228"/>
      <c r="OW74" s="228"/>
      <c r="OX74" s="228"/>
      <c r="OY74" s="228"/>
      <c r="OZ74" s="228"/>
      <c r="PA74" s="228"/>
      <c r="PB74" s="228"/>
      <c r="PC74" s="228"/>
      <c r="PD74" s="228"/>
      <c r="PE74" s="228"/>
      <c r="PF74" s="228"/>
      <c r="PG74" s="228"/>
      <c r="PH74" s="228"/>
      <c r="PI74" s="228"/>
      <c r="PJ74" s="228"/>
      <c r="PK74" s="228"/>
      <c r="PL74" s="228"/>
      <c r="PM74" s="228"/>
      <c r="PN74" s="228"/>
      <c r="PO74" s="228"/>
      <c r="PP74" s="228"/>
      <c r="PQ74" s="228"/>
      <c r="PR74" s="228"/>
      <c r="PS74" s="228"/>
      <c r="PT74" s="228"/>
      <c r="PU74" s="228"/>
      <c r="PV74" s="228"/>
      <c r="PW74" s="228"/>
      <c r="PX74" s="228"/>
      <c r="PY74" s="228"/>
      <c r="PZ74" s="228"/>
      <c r="QA74" s="228"/>
      <c r="QB74" s="228"/>
      <c r="QC74" s="228"/>
      <c r="QD74" s="228"/>
      <c r="QE74" s="228"/>
      <c r="QF74" s="228"/>
      <c r="QG74" s="228"/>
      <c r="QH74" s="228"/>
      <c r="QI74" s="228"/>
      <c r="QJ74" s="228"/>
      <c r="QK74" s="228"/>
      <c r="QL74" s="228"/>
      <c r="QM74" s="228"/>
      <c r="QN74" s="228"/>
      <c r="QO74" s="228"/>
      <c r="QP74" s="228"/>
      <c r="QQ74" s="228"/>
      <c r="QR74" s="228"/>
      <c r="QS74" s="228"/>
      <c r="QT74" s="228"/>
      <c r="QU74" s="228"/>
      <c r="QV74" s="228"/>
      <c r="QW74" s="228"/>
      <c r="QX74" s="228"/>
      <c r="QY74" s="228"/>
      <c r="QZ74" s="228"/>
      <c r="RA74" s="228"/>
      <c r="RB74" s="228"/>
      <c r="RC74" s="228"/>
      <c r="RD74" s="228"/>
      <c r="RE74" s="228"/>
      <c r="RF74" s="228"/>
      <c r="RG74" s="228"/>
      <c r="RH74" s="228"/>
      <c r="RI74" s="228"/>
      <c r="RJ74" s="228"/>
      <c r="RK74" s="228"/>
      <c r="RL74" s="228"/>
      <c r="RM74" s="228"/>
      <c r="RN74" s="228"/>
      <c r="RO74" s="228"/>
      <c r="RP74" s="228"/>
      <c r="RQ74" s="228"/>
      <c r="RR74" s="228"/>
      <c r="RS74" s="228"/>
      <c r="RT74" s="228"/>
      <c r="RU74" s="228"/>
      <c r="RV74" s="228"/>
      <c r="RW74" s="228"/>
      <c r="RX74" s="228"/>
      <c r="RY74" s="228"/>
      <c r="RZ74" s="228"/>
      <c r="SA74" s="228"/>
      <c r="SB74" s="228"/>
      <c r="SC74" s="228"/>
      <c r="SD74" s="228"/>
      <c r="SE74" s="228"/>
      <c r="SF74" s="228"/>
      <c r="SG74" s="228"/>
    </row>
    <row r="75" spans="2:501" ht="153.75" customHeight="1">
      <c r="C75" s="227" t="s">
        <v>2049</v>
      </c>
      <c r="D75" s="225" t="s">
        <v>2050</v>
      </c>
      <c r="E75" s="225" t="s">
        <v>2051</v>
      </c>
      <c r="F75" s="225" t="s">
        <v>2052</v>
      </c>
      <c r="G75" s="225" t="s">
        <v>1740</v>
      </c>
      <c r="H75" s="225" t="s">
        <v>1741</v>
      </c>
      <c r="I75" s="226" t="s">
        <v>2053</v>
      </c>
      <c r="J75" s="226" t="s">
        <v>2054</v>
      </c>
      <c r="K75" s="225" t="s">
        <v>1844</v>
      </c>
      <c r="L75" s="225" t="s">
        <v>1760</v>
      </c>
      <c r="M75" s="226" t="s">
        <v>2055</v>
      </c>
      <c r="N75" s="228"/>
      <c r="O75" s="228"/>
      <c r="P75" s="228"/>
      <c r="Q75" s="228"/>
      <c r="R75" s="228"/>
      <c r="S75" s="228"/>
      <c r="T75" s="228"/>
      <c r="U75" s="228"/>
      <c r="V75" s="228"/>
      <c r="W75" s="228"/>
      <c r="X75" s="228"/>
      <c r="Y75" s="228"/>
      <c r="Z75" s="228"/>
      <c r="AA75" s="228"/>
      <c r="AB75" s="228"/>
      <c r="AC75" s="228"/>
      <c r="AD75" s="228"/>
      <c r="AE75" s="228"/>
      <c r="AF75" s="228"/>
      <c r="AG75" s="228"/>
      <c r="AH75" s="228"/>
      <c r="AI75" s="228"/>
      <c r="AJ75" s="228"/>
      <c r="AK75" s="228"/>
      <c r="AL75" s="228"/>
      <c r="AM75" s="228"/>
      <c r="AN75" s="228"/>
      <c r="AO75" s="228"/>
      <c r="AP75" s="228"/>
      <c r="AQ75" s="228"/>
      <c r="AR75" s="228"/>
      <c r="AS75" s="228"/>
      <c r="AT75" s="228"/>
      <c r="AU75" s="228"/>
      <c r="AV75" s="228"/>
      <c r="AW75" s="228"/>
      <c r="AX75" s="228"/>
      <c r="AY75" s="228"/>
      <c r="AZ75" s="228"/>
      <c r="BA75" s="228"/>
      <c r="BB75" s="228"/>
      <c r="BC75" s="228"/>
      <c r="BD75" s="228"/>
      <c r="BE75" s="228"/>
      <c r="BF75" s="228"/>
      <c r="BG75" s="228"/>
      <c r="BH75" s="228"/>
      <c r="BI75" s="228"/>
      <c r="BJ75" s="228"/>
      <c r="BK75" s="228"/>
      <c r="BL75" s="228"/>
      <c r="BM75" s="228"/>
      <c r="BN75" s="228"/>
      <c r="BO75" s="228"/>
      <c r="BP75" s="228"/>
      <c r="BQ75" s="228"/>
      <c r="BR75" s="228"/>
      <c r="BS75" s="228"/>
      <c r="BT75" s="228"/>
      <c r="BU75" s="228"/>
      <c r="BV75" s="228"/>
      <c r="BW75" s="228"/>
      <c r="BX75" s="228"/>
      <c r="BY75" s="228"/>
      <c r="BZ75" s="228"/>
      <c r="CA75" s="228"/>
      <c r="CB75" s="228"/>
      <c r="CC75" s="228"/>
      <c r="CD75" s="228"/>
      <c r="CE75" s="228"/>
      <c r="CF75" s="228"/>
      <c r="CG75" s="228"/>
      <c r="CH75" s="228"/>
      <c r="CI75" s="228"/>
      <c r="CJ75" s="228"/>
      <c r="CK75" s="228"/>
      <c r="CL75" s="228"/>
      <c r="CM75" s="228"/>
      <c r="CN75" s="228"/>
      <c r="CO75" s="228"/>
      <c r="CP75" s="228"/>
      <c r="CQ75" s="228"/>
      <c r="CR75" s="228"/>
      <c r="CS75" s="228"/>
      <c r="CT75" s="228"/>
      <c r="CU75" s="228"/>
      <c r="CV75" s="228"/>
      <c r="CW75" s="228"/>
      <c r="CX75" s="228"/>
      <c r="CY75" s="228"/>
      <c r="CZ75" s="228"/>
      <c r="DA75" s="228"/>
      <c r="DB75" s="228"/>
      <c r="DC75" s="228"/>
      <c r="DD75" s="228"/>
      <c r="DE75" s="228"/>
      <c r="DF75" s="228"/>
      <c r="DG75" s="228"/>
      <c r="DH75" s="228"/>
      <c r="DI75" s="228"/>
      <c r="DJ75" s="228"/>
      <c r="DK75" s="228"/>
      <c r="DL75" s="228"/>
      <c r="DM75" s="228"/>
      <c r="DN75" s="228"/>
      <c r="DO75" s="228"/>
      <c r="DP75" s="228"/>
      <c r="DQ75" s="228"/>
      <c r="DR75" s="228"/>
      <c r="DS75" s="228"/>
      <c r="DT75" s="228"/>
      <c r="DU75" s="228"/>
      <c r="DV75" s="228"/>
      <c r="DW75" s="228"/>
      <c r="DX75" s="228"/>
      <c r="DY75" s="228"/>
      <c r="DZ75" s="228"/>
      <c r="EA75" s="228"/>
      <c r="EB75" s="228"/>
      <c r="EC75" s="228"/>
      <c r="ED75" s="228"/>
      <c r="EE75" s="228"/>
      <c r="EF75" s="228"/>
      <c r="EG75" s="228"/>
      <c r="EH75" s="228"/>
      <c r="EI75" s="228"/>
      <c r="EJ75" s="228"/>
      <c r="EK75" s="228"/>
      <c r="EL75" s="228"/>
      <c r="EM75" s="228"/>
      <c r="EN75" s="228"/>
      <c r="EO75" s="228"/>
      <c r="EP75" s="228"/>
      <c r="EQ75" s="228"/>
      <c r="ER75" s="228"/>
      <c r="ES75" s="228"/>
      <c r="ET75" s="228"/>
      <c r="EU75" s="228"/>
      <c r="EV75" s="228"/>
      <c r="EW75" s="228"/>
      <c r="EX75" s="228"/>
      <c r="EY75" s="228"/>
      <c r="EZ75" s="228"/>
      <c r="FA75" s="228"/>
      <c r="FB75" s="228"/>
      <c r="FC75" s="228"/>
      <c r="FD75" s="228"/>
      <c r="FE75" s="228"/>
      <c r="FF75" s="228"/>
      <c r="FG75" s="228"/>
      <c r="FH75" s="228"/>
      <c r="FI75" s="228"/>
      <c r="FJ75" s="228"/>
      <c r="FK75" s="228"/>
      <c r="FL75" s="228"/>
      <c r="FM75" s="228"/>
      <c r="FN75" s="228"/>
      <c r="FO75" s="228"/>
      <c r="FP75" s="228"/>
      <c r="FQ75" s="228"/>
      <c r="FR75" s="228"/>
      <c r="FS75" s="228"/>
      <c r="FT75" s="228"/>
      <c r="FU75" s="228"/>
      <c r="FV75" s="228"/>
      <c r="FW75" s="228"/>
      <c r="FX75" s="228"/>
      <c r="FY75" s="228"/>
      <c r="FZ75" s="228"/>
      <c r="GA75" s="228"/>
      <c r="GB75" s="228"/>
      <c r="GC75" s="228"/>
      <c r="GD75" s="228"/>
      <c r="GE75" s="228"/>
      <c r="GF75" s="228"/>
      <c r="GG75" s="228"/>
      <c r="GH75" s="228"/>
      <c r="GI75" s="228"/>
      <c r="GJ75" s="228"/>
      <c r="GK75" s="228"/>
      <c r="GL75" s="228"/>
      <c r="GM75" s="228"/>
      <c r="GN75" s="228"/>
      <c r="GO75" s="228"/>
      <c r="GP75" s="228"/>
      <c r="GQ75" s="228"/>
      <c r="GR75" s="228"/>
      <c r="GS75" s="228"/>
      <c r="GT75" s="228"/>
      <c r="GU75" s="228"/>
      <c r="GV75" s="228"/>
      <c r="GW75" s="228"/>
      <c r="GX75" s="228"/>
      <c r="GY75" s="228"/>
      <c r="GZ75" s="228"/>
      <c r="HA75" s="228"/>
      <c r="HB75" s="228"/>
      <c r="HC75" s="228"/>
      <c r="HD75" s="228"/>
      <c r="HE75" s="228"/>
      <c r="HF75" s="228"/>
      <c r="HG75" s="228"/>
      <c r="HH75" s="228"/>
      <c r="HI75" s="228"/>
      <c r="HJ75" s="228"/>
      <c r="HK75" s="228"/>
      <c r="HL75" s="228"/>
      <c r="HM75" s="228"/>
      <c r="HN75" s="228"/>
      <c r="HO75" s="228"/>
      <c r="HP75" s="228"/>
      <c r="HQ75" s="228"/>
      <c r="HR75" s="228"/>
      <c r="HS75" s="228"/>
      <c r="HT75" s="228"/>
      <c r="HU75" s="228"/>
      <c r="HV75" s="228"/>
      <c r="HW75" s="228"/>
      <c r="HX75" s="228"/>
      <c r="HY75" s="228"/>
      <c r="HZ75" s="228"/>
      <c r="IA75" s="228"/>
      <c r="IB75" s="228"/>
      <c r="IC75" s="228"/>
      <c r="ID75" s="228"/>
      <c r="IE75" s="228"/>
      <c r="IF75" s="228"/>
      <c r="IG75" s="228"/>
      <c r="IH75" s="228"/>
      <c r="II75" s="228"/>
      <c r="IJ75" s="228"/>
      <c r="IK75" s="228"/>
      <c r="IL75" s="228"/>
      <c r="IM75" s="228"/>
      <c r="IN75" s="228"/>
      <c r="IO75" s="228"/>
      <c r="IP75" s="228"/>
      <c r="IQ75" s="228"/>
      <c r="IR75" s="228"/>
      <c r="IS75" s="228"/>
      <c r="IT75" s="228"/>
      <c r="IU75" s="228"/>
      <c r="IV75" s="228"/>
      <c r="IW75" s="228"/>
      <c r="IX75" s="228"/>
      <c r="IY75" s="228"/>
      <c r="IZ75" s="228"/>
      <c r="JA75" s="228"/>
      <c r="JB75" s="228"/>
      <c r="JC75" s="228"/>
      <c r="JD75" s="228"/>
      <c r="JE75" s="228"/>
      <c r="JF75" s="228"/>
      <c r="JG75" s="228"/>
      <c r="JH75" s="228"/>
      <c r="JI75" s="228"/>
      <c r="JJ75" s="228"/>
      <c r="JK75" s="228"/>
      <c r="JL75" s="228"/>
      <c r="JM75" s="228"/>
      <c r="JN75" s="228"/>
      <c r="JO75" s="228"/>
      <c r="JP75" s="228"/>
      <c r="JQ75" s="228"/>
      <c r="JR75" s="228"/>
      <c r="JS75" s="228"/>
      <c r="JT75" s="228"/>
      <c r="JU75" s="228"/>
      <c r="JV75" s="228"/>
      <c r="JW75" s="228"/>
      <c r="JX75" s="228"/>
      <c r="JY75" s="228"/>
      <c r="JZ75" s="228"/>
      <c r="KA75" s="228"/>
      <c r="KB75" s="228"/>
      <c r="KC75" s="228"/>
      <c r="KD75" s="228"/>
      <c r="KE75" s="228"/>
      <c r="KF75" s="228"/>
      <c r="KG75" s="228"/>
      <c r="KH75" s="228"/>
      <c r="KI75" s="228"/>
      <c r="KJ75" s="228"/>
      <c r="KK75" s="228"/>
      <c r="KL75" s="228"/>
      <c r="KM75" s="228"/>
      <c r="KN75" s="228"/>
      <c r="KO75" s="228"/>
      <c r="KP75" s="228"/>
      <c r="KQ75" s="228"/>
      <c r="KR75" s="228"/>
      <c r="KS75" s="228"/>
      <c r="KT75" s="228"/>
      <c r="KU75" s="228"/>
      <c r="KV75" s="228"/>
      <c r="KW75" s="228"/>
      <c r="KX75" s="228"/>
      <c r="KY75" s="228"/>
      <c r="KZ75" s="228"/>
      <c r="LA75" s="228"/>
      <c r="LB75" s="228"/>
      <c r="LC75" s="228"/>
      <c r="LD75" s="228"/>
      <c r="LE75" s="228"/>
      <c r="LF75" s="228"/>
      <c r="LG75" s="228"/>
      <c r="LH75" s="228"/>
      <c r="LI75" s="228"/>
      <c r="LJ75" s="228"/>
      <c r="LK75" s="228"/>
      <c r="LL75" s="228"/>
      <c r="LM75" s="228"/>
      <c r="LN75" s="228"/>
      <c r="LO75" s="228"/>
      <c r="LP75" s="228"/>
      <c r="LQ75" s="228"/>
      <c r="LR75" s="228"/>
      <c r="LS75" s="228"/>
      <c r="LT75" s="228"/>
      <c r="LU75" s="228"/>
      <c r="LV75" s="228"/>
      <c r="LW75" s="228"/>
      <c r="LX75" s="228"/>
      <c r="LY75" s="228"/>
      <c r="LZ75" s="228"/>
      <c r="MA75" s="228"/>
      <c r="MB75" s="228"/>
      <c r="MC75" s="228"/>
      <c r="MD75" s="228"/>
      <c r="ME75" s="228"/>
      <c r="MF75" s="228"/>
      <c r="MG75" s="228"/>
      <c r="MH75" s="228"/>
      <c r="MI75" s="228"/>
      <c r="MJ75" s="228"/>
      <c r="MK75" s="228"/>
      <c r="ML75" s="228"/>
      <c r="MM75" s="228"/>
      <c r="MN75" s="228"/>
      <c r="MO75" s="228"/>
      <c r="MP75" s="228"/>
      <c r="MQ75" s="228"/>
      <c r="MR75" s="228"/>
      <c r="MS75" s="228"/>
      <c r="MT75" s="228"/>
      <c r="MU75" s="228"/>
      <c r="MV75" s="228"/>
      <c r="MW75" s="228"/>
      <c r="MX75" s="228"/>
      <c r="MY75" s="228"/>
      <c r="MZ75" s="228"/>
      <c r="NA75" s="228"/>
      <c r="NB75" s="228"/>
      <c r="NC75" s="228"/>
      <c r="ND75" s="228"/>
      <c r="NE75" s="228"/>
      <c r="NF75" s="228"/>
      <c r="NG75" s="228"/>
      <c r="NH75" s="228"/>
      <c r="NI75" s="228"/>
      <c r="NJ75" s="228"/>
      <c r="NK75" s="228"/>
      <c r="NL75" s="228"/>
      <c r="NM75" s="228"/>
      <c r="NN75" s="228"/>
      <c r="NO75" s="228"/>
      <c r="NP75" s="228"/>
      <c r="NQ75" s="228"/>
      <c r="NR75" s="228"/>
      <c r="NS75" s="228"/>
      <c r="NT75" s="228"/>
      <c r="NU75" s="228"/>
      <c r="NV75" s="228"/>
      <c r="NW75" s="228"/>
      <c r="NX75" s="228"/>
      <c r="NY75" s="228"/>
      <c r="NZ75" s="228"/>
      <c r="OA75" s="228"/>
      <c r="OB75" s="228"/>
      <c r="OC75" s="228"/>
      <c r="OD75" s="228"/>
      <c r="OE75" s="228"/>
      <c r="OF75" s="228"/>
      <c r="OG75" s="228"/>
      <c r="OH75" s="228"/>
      <c r="OI75" s="228"/>
      <c r="OJ75" s="228"/>
      <c r="OK75" s="228"/>
      <c r="OL75" s="228"/>
      <c r="OM75" s="228"/>
      <c r="ON75" s="228"/>
      <c r="OO75" s="228"/>
      <c r="OP75" s="228"/>
      <c r="OQ75" s="228"/>
      <c r="OR75" s="228"/>
      <c r="OS75" s="228"/>
      <c r="OT75" s="228"/>
      <c r="OU75" s="228"/>
      <c r="OV75" s="228"/>
      <c r="OW75" s="228"/>
      <c r="OX75" s="228"/>
      <c r="OY75" s="228"/>
      <c r="OZ75" s="228"/>
      <c r="PA75" s="228"/>
      <c r="PB75" s="228"/>
      <c r="PC75" s="228"/>
      <c r="PD75" s="228"/>
      <c r="PE75" s="228"/>
      <c r="PF75" s="228"/>
      <c r="PG75" s="228"/>
      <c r="PH75" s="228"/>
      <c r="PI75" s="228"/>
      <c r="PJ75" s="228"/>
      <c r="PK75" s="228"/>
      <c r="PL75" s="228"/>
      <c r="PM75" s="228"/>
      <c r="PN75" s="228"/>
      <c r="PO75" s="228"/>
      <c r="PP75" s="228"/>
      <c r="PQ75" s="228"/>
      <c r="PR75" s="228"/>
      <c r="PS75" s="228"/>
      <c r="PT75" s="228"/>
      <c r="PU75" s="228"/>
      <c r="PV75" s="228"/>
      <c r="PW75" s="228"/>
      <c r="PX75" s="228"/>
      <c r="PY75" s="228"/>
      <c r="PZ75" s="228"/>
      <c r="QA75" s="228"/>
      <c r="QB75" s="228"/>
      <c r="QC75" s="228"/>
      <c r="QD75" s="228"/>
      <c r="QE75" s="228"/>
      <c r="QF75" s="228"/>
      <c r="QG75" s="228"/>
      <c r="QH75" s="228"/>
      <c r="QI75" s="228"/>
      <c r="QJ75" s="228"/>
      <c r="QK75" s="228"/>
      <c r="QL75" s="228"/>
      <c r="QM75" s="228"/>
      <c r="QN75" s="228"/>
      <c r="QO75" s="228"/>
      <c r="QP75" s="228"/>
      <c r="QQ75" s="228"/>
      <c r="QR75" s="228"/>
      <c r="QS75" s="228"/>
      <c r="QT75" s="228"/>
      <c r="QU75" s="228"/>
      <c r="QV75" s="228"/>
      <c r="QW75" s="228"/>
      <c r="QX75" s="228"/>
      <c r="QY75" s="228"/>
      <c r="QZ75" s="228"/>
      <c r="RA75" s="228"/>
      <c r="RB75" s="228"/>
      <c r="RC75" s="228"/>
      <c r="RD75" s="228"/>
      <c r="RE75" s="228"/>
      <c r="RF75" s="228"/>
      <c r="RG75" s="228"/>
      <c r="RH75" s="228"/>
      <c r="RI75" s="228"/>
      <c r="RJ75" s="228"/>
      <c r="RK75" s="228"/>
      <c r="RL75" s="228"/>
      <c r="RM75" s="228"/>
      <c r="RN75" s="228"/>
      <c r="RO75" s="228"/>
      <c r="RP75" s="228"/>
      <c r="RQ75" s="228"/>
      <c r="RR75" s="228"/>
      <c r="RS75" s="228"/>
      <c r="RT75" s="228"/>
      <c r="RU75" s="228"/>
      <c r="RV75" s="228"/>
      <c r="RW75" s="228"/>
      <c r="RX75" s="228"/>
      <c r="RY75" s="228"/>
      <c r="RZ75" s="228"/>
      <c r="SA75" s="228"/>
      <c r="SB75" s="228"/>
      <c r="SC75" s="228"/>
      <c r="SD75" s="228"/>
      <c r="SE75" s="228"/>
      <c r="SF75" s="228"/>
      <c r="SG75" s="228"/>
    </row>
    <row r="76" spans="2:501" ht="97.5" customHeight="1">
      <c r="C76" s="227" t="s">
        <v>2056</v>
      </c>
      <c r="D76" s="225" t="s">
        <v>2057</v>
      </c>
      <c r="E76" s="225" t="s">
        <v>2058</v>
      </c>
      <c r="F76" s="225" t="s">
        <v>2059</v>
      </c>
      <c r="G76" s="225" t="s">
        <v>1342</v>
      </c>
      <c r="H76" s="225" t="s">
        <v>1741</v>
      </c>
      <c r="I76" s="226" t="s">
        <v>2060</v>
      </c>
      <c r="J76" s="226" t="s">
        <v>1342</v>
      </c>
      <c r="K76" s="225" t="s">
        <v>1844</v>
      </c>
      <c r="L76" s="225" t="s">
        <v>1792</v>
      </c>
      <c r="M76" s="226" t="s">
        <v>2061</v>
      </c>
      <c r="N76" s="228"/>
      <c r="O76" s="228"/>
      <c r="P76" s="228"/>
      <c r="Q76" s="228"/>
      <c r="R76" s="228"/>
      <c r="S76" s="228"/>
      <c r="T76" s="228"/>
      <c r="U76" s="228"/>
      <c r="V76" s="228"/>
      <c r="W76" s="228"/>
      <c r="X76" s="228"/>
      <c r="Y76" s="228"/>
      <c r="Z76" s="228"/>
      <c r="AA76" s="228"/>
      <c r="AB76" s="228"/>
      <c r="AC76" s="228"/>
      <c r="AD76" s="228"/>
      <c r="AE76" s="228"/>
      <c r="AF76" s="228"/>
      <c r="AG76" s="228"/>
      <c r="AH76" s="228"/>
      <c r="AI76" s="228"/>
      <c r="AJ76" s="228"/>
      <c r="AK76" s="228"/>
      <c r="AL76" s="228"/>
      <c r="AM76" s="228"/>
      <c r="AN76" s="228"/>
      <c r="AO76" s="228"/>
      <c r="AP76" s="228"/>
      <c r="AQ76" s="228"/>
      <c r="AR76" s="228"/>
      <c r="AS76" s="228"/>
      <c r="AT76" s="228"/>
      <c r="AU76" s="228"/>
      <c r="AV76" s="228"/>
      <c r="AW76" s="228"/>
      <c r="AX76" s="228"/>
      <c r="AY76" s="228"/>
      <c r="AZ76" s="228"/>
      <c r="BA76" s="228"/>
      <c r="BB76" s="228"/>
      <c r="BC76" s="228"/>
      <c r="BD76" s="228"/>
      <c r="BE76" s="228"/>
      <c r="BF76" s="228"/>
      <c r="BG76" s="228"/>
      <c r="BH76" s="228"/>
      <c r="BI76" s="228"/>
      <c r="BJ76" s="228"/>
      <c r="BK76" s="228"/>
      <c r="BL76" s="228"/>
      <c r="BM76" s="228"/>
      <c r="BN76" s="228"/>
      <c r="BO76" s="228"/>
      <c r="BP76" s="228"/>
      <c r="BQ76" s="228"/>
      <c r="BR76" s="228"/>
      <c r="BS76" s="228"/>
      <c r="BT76" s="228"/>
      <c r="BU76" s="228"/>
      <c r="BV76" s="228"/>
      <c r="BW76" s="228"/>
      <c r="BX76" s="228"/>
      <c r="BY76" s="228"/>
      <c r="BZ76" s="228"/>
      <c r="CA76" s="228"/>
      <c r="CB76" s="228"/>
      <c r="CC76" s="228"/>
      <c r="CD76" s="228"/>
      <c r="CE76" s="228"/>
      <c r="CF76" s="228"/>
      <c r="CG76" s="228"/>
      <c r="CH76" s="228"/>
      <c r="CI76" s="228"/>
      <c r="CJ76" s="228"/>
      <c r="CK76" s="228"/>
      <c r="CL76" s="228"/>
      <c r="CM76" s="228"/>
      <c r="CN76" s="228"/>
      <c r="CO76" s="228"/>
      <c r="CP76" s="228"/>
      <c r="CQ76" s="228"/>
      <c r="CR76" s="228"/>
      <c r="CS76" s="228"/>
      <c r="CT76" s="228"/>
      <c r="CU76" s="228"/>
      <c r="CV76" s="228"/>
      <c r="CW76" s="228"/>
      <c r="CX76" s="228"/>
      <c r="CY76" s="228"/>
      <c r="CZ76" s="228"/>
      <c r="DA76" s="228"/>
      <c r="DB76" s="228"/>
      <c r="DC76" s="228"/>
      <c r="DD76" s="228"/>
      <c r="DE76" s="228"/>
      <c r="DF76" s="228"/>
      <c r="DG76" s="228"/>
      <c r="DH76" s="228"/>
      <c r="DI76" s="228"/>
      <c r="DJ76" s="228"/>
      <c r="DK76" s="228"/>
      <c r="DL76" s="228"/>
      <c r="DM76" s="228"/>
      <c r="DN76" s="228"/>
      <c r="DO76" s="228"/>
      <c r="DP76" s="228"/>
      <c r="DQ76" s="228"/>
      <c r="DR76" s="228"/>
      <c r="DS76" s="228"/>
      <c r="DT76" s="228"/>
      <c r="DU76" s="228"/>
      <c r="DV76" s="228"/>
      <c r="DW76" s="228"/>
      <c r="DX76" s="228"/>
      <c r="DY76" s="228"/>
      <c r="DZ76" s="228"/>
      <c r="EA76" s="228"/>
      <c r="EB76" s="228"/>
      <c r="EC76" s="228"/>
      <c r="ED76" s="228"/>
      <c r="EE76" s="228"/>
      <c r="EF76" s="228"/>
      <c r="EG76" s="228"/>
      <c r="EH76" s="228"/>
      <c r="EI76" s="228"/>
      <c r="EJ76" s="228"/>
      <c r="EK76" s="228"/>
      <c r="EL76" s="228"/>
      <c r="EM76" s="228"/>
      <c r="EN76" s="228"/>
      <c r="EO76" s="228"/>
      <c r="EP76" s="228"/>
      <c r="EQ76" s="228"/>
      <c r="ER76" s="228"/>
      <c r="ES76" s="228"/>
      <c r="ET76" s="228"/>
      <c r="EU76" s="228"/>
      <c r="EV76" s="228"/>
      <c r="EW76" s="228"/>
      <c r="EX76" s="228"/>
      <c r="EY76" s="228"/>
      <c r="EZ76" s="228"/>
      <c r="FA76" s="228"/>
      <c r="FB76" s="228"/>
      <c r="FC76" s="228"/>
      <c r="FD76" s="228"/>
      <c r="FE76" s="228"/>
      <c r="FF76" s="228"/>
      <c r="FG76" s="228"/>
      <c r="FH76" s="228"/>
      <c r="FI76" s="228"/>
      <c r="FJ76" s="228"/>
      <c r="FK76" s="228"/>
      <c r="FL76" s="228"/>
      <c r="FM76" s="228"/>
      <c r="FN76" s="228"/>
      <c r="FO76" s="228"/>
      <c r="FP76" s="228"/>
      <c r="FQ76" s="228"/>
      <c r="FR76" s="228"/>
      <c r="FS76" s="228"/>
      <c r="FT76" s="228"/>
      <c r="FU76" s="228"/>
      <c r="FV76" s="228"/>
      <c r="FW76" s="228"/>
      <c r="FX76" s="228"/>
      <c r="FY76" s="228"/>
      <c r="FZ76" s="228"/>
      <c r="GA76" s="228"/>
      <c r="GB76" s="228"/>
      <c r="GC76" s="228"/>
      <c r="GD76" s="228"/>
      <c r="GE76" s="228"/>
      <c r="GF76" s="228"/>
      <c r="GG76" s="228"/>
      <c r="GH76" s="228"/>
      <c r="GI76" s="228"/>
      <c r="GJ76" s="228"/>
      <c r="GK76" s="228"/>
      <c r="GL76" s="228"/>
      <c r="GM76" s="228"/>
      <c r="GN76" s="228"/>
      <c r="GO76" s="228"/>
      <c r="GP76" s="228"/>
      <c r="GQ76" s="228"/>
      <c r="GR76" s="228"/>
      <c r="GS76" s="228"/>
      <c r="GT76" s="228"/>
      <c r="GU76" s="228"/>
      <c r="GV76" s="228"/>
      <c r="GW76" s="228"/>
      <c r="GX76" s="228"/>
      <c r="GY76" s="228"/>
      <c r="GZ76" s="228"/>
      <c r="HA76" s="228"/>
      <c r="HB76" s="228"/>
      <c r="HC76" s="228"/>
      <c r="HD76" s="228"/>
      <c r="HE76" s="228"/>
      <c r="HF76" s="228"/>
      <c r="HG76" s="228"/>
      <c r="HH76" s="228"/>
      <c r="HI76" s="228"/>
      <c r="HJ76" s="228"/>
      <c r="HK76" s="228"/>
      <c r="HL76" s="228"/>
      <c r="HM76" s="228"/>
      <c r="HN76" s="228"/>
      <c r="HO76" s="228"/>
      <c r="HP76" s="228"/>
      <c r="HQ76" s="228"/>
      <c r="HR76" s="228"/>
      <c r="HS76" s="228"/>
      <c r="HT76" s="228"/>
      <c r="HU76" s="228"/>
      <c r="HV76" s="228"/>
      <c r="HW76" s="228"/>
      <c r="HX76" s="228"/>
      <c r="HY76" s="228"/>
      <c r="HZ76" s="228"/>
      <c r="IA76" s="228"/>
      <c r="IB76" s="228"/>
      <c r="IC76" s="228"/>
      <c r="ID76" s="228"/>
      <c r="IE76" s="228"/>
      <c r="IF76" s="228"/>
      <c r="IG76" s="228"/>
      <c r="IH76" s="228"/>
      <c r="II76" s="228"/>
      <c r="IJ76" s="228"/>
      <c r="IK76" s="228"/>
      <c r="IL76" s="228"/>
      <c r="IM76" s="228"/>
      <c r="IN76" s="228"/>
      <c r="IO76" s="228"/>
      <c r="IP76" s="228"/>
      <c r="IQ76" s="228"/>
      <c r="IR76" s="228"/>
      <c r="IS76" s="228"/>
      <c r="IT76" s="228"/>
      <c r="IU76" s="228"/>
      <c r="IV76" s="228"/>
      <c r="IW76" s="228"/>
      <c r="IX76" s="228"/>
      <c r="IY76" s="228"/>
      <c r="IZ76" s="228"/>
      <c r="JA76" s="228"/>
      <c r="JB76" s="228"/>
      <c r="JC76" s="228"/>
      <c r="JD76" s="228"/>
      <c r="JE76" s="228"/>
      <c r="JF76" s="228"/>
      <c r="JG76" s="228"/>
      <c r="JH76" s="228"/>
      <c r="JI76" s="228"/>
      <c r="JJ76" s="228"/>
      <c r="JK76" s="228"/>
      <c r="JL76" s="228"/>
      <c r="JM76" s="228"/>
      <c r="JN76" s="228"/>
      <c r="JO76" s="228"/>
      <c r="JP76" s="228"/>
      <c r="JQ76" s="228"/>
      <c r="JR76" s="228"/>
      <c r="JS76" s="228"/>
      <c r="JT76" s="228"/>
      <c r="JU76" s="228"/>
      <c r="JV76" s="228"/>
      <c r="JW76" s="228"/>
      <c r="JX76" s="228"/>
      <c r="JY76" s="228"/>
      <c r="JZ76" s="228"/>
      <c r="KA76" s="228"/>
      <c r="KB76" s="228"/>
      <c r="KC76" s="228"/>
      <c r="KD76" s="228"/>
      <c r="KE76" s="228"/>
      <c r="KF76" s="228"/>
      <c r="KG76" s="228"/>
      <c r="KH76" s="228"/>
      <c r="KI76" s="228"/>
      <c r="KJ76" s="228"/>
      <c r="KK76" s="228"/>
      <c r="KL76" s="228"/>
      <c r="KM76" s="228"/>
      <c r="KN76" s="228"/>
      <c r="KO76" s="228"/>
      <c r="KP76" s="228"/>
      <c r="KQ76" s="228"/>
      <c r="KR76" s="228"/>
      <c r="KS76" s="228"/>
      <c r="KT76" s="228"/>
      <c r="KU76" s="228"/>
      <c r="KV76" s="228"/>
      <c r="KW76" s="228"/>
      <c r="KX76" s="228"/>
      <c r="KY76" s="228"/>
      <c r="KZ76" s="228"/>
      <c r="LA76" s="228"/>
      <c r="LB76" s="228"/>
      <c r="LC76" s="228"/>
      <c r="LD76" s="228"/>
      <c r="LE76" s="228"/>
      <c r="LF76" s="228"/>
      <c r="LG76" s="228"/>
      <c r="LH76" s="228"/>
      <c r="LI76" s="228"/>
      <c r="LJ76" s="228"/>
      <c r="LK76" s="228"/>
      <c r="LL76" s="228"/>
      <c r="LM76" s="228"/>
      <c r="LN76" s="228"/>
      <c r="LO76" s="228"/>
      <c r="LP76" s="228"/>
      <c r="LQ76" s="228"/>
      <c r="LR76" s="228"/>
      <c r="LS76" s="228"/>
      <c r="LT76" s="228"/>
      <c r="LU76" s="228"/>
      <c r="LV76" s="228"/>
      <c r="LW76" s="228"/>
      <c r="LX76" s="228"/>
      <c r="LY76" s="228"/>
      <c r="LZ76" s="228"/>
      <c r="MA76" s="228"/>
      <c r="MB76" s="228"/>
      <c r="MC76" s="228"/>
      <c r="MD76" s="228"/>
      <c r="ME76" s="228"/>
      <c r="MF76" s="228"/>
      <c r="MG76" s="228"/>
      <c r="MH76" s="228"/>
      <c r="MI76" s="228"/>
      <c r="MJ76" s="228"/>
      <c r="MK76" s="228"/>
      <c r="ML76" s="228"/>
      <c r="MM76" s="228"/>
      <c r="MN76" s="228"/>
      <c r="MO76" s="228"/>
      <c r="MP76" s="228"/>
      <c r="MQ76" s="228"/>
      <c r="MR76" s="228"/>
      <c r="MS76" s="228"/>
      <c r="MT76" s="228"/>
      <c r="MU76" s="228"/>
      <c r="MV76" s="228"/>
      <c r="MW76" s="228"/>
      <c r="MX76" s="228"/>
      <c r="MY76" s="228"/>
      <c r="MZ76" s="228"/>
      <c r="NA76" s="228"/>
      <c r="NB76" s="228"/>
      <c r="NC76" s="228"/>
      <c r="ND76" s="228"/>
      <c r="NE76" s="228"/>
      <c r="NF76" s="228"/>
      <c r="NG76" s="228"/>
      <c r="NH76" s="228"/>
      <c r="NI76" s="228"/>
      <c r="NJ76" s="228"/>
      <c r="NK76" s="228"/>
      <c r="NL76" s="228"/>
      <c r="NM76" s="228"/>
      <c r="NN76" s="228"/>
      <c r="NO76" s="228"/>
      <c r="NP76" s="228"/>
      <c r="NQ76" s="228"/>
      <c r="NR76" s="228"/>
      <c r="NS76" s="228"/>
      <c r="NT76" s="228"/>
      <c r="NU76" s="228"/>
      <c r="NV76" s="228"/>
      <c r="NW76" s="228"/>
      <c r="NX76" s="228"/>
      <c r="NY76" s="228"/>
      <c r="NZ76" s="228"/>
      <c r="OA76" s="228"/>
      <c r="OB76" s="228"/>
      <c r="OC76" s="228"/>
      <c r="OD76" s="228"/>
      <c r="OE76" s="228"/>
      <c r="OF76" s="228"/>
      <c r="OG76" s="228"/>
      <c r="OH76" s="228"/>
      <c r="OI76" s="228"/>
      <c r="OJ76" s="228"/>
      <c r="OK76" s="228"/>
      <c r="OL76" s="228"/>
      <c r="OM76" s="228"/>
      <c r="ON76" s="228"/>
      <c r="OO76" s="228"/>
      <c r="OP76" s="228"/>
      <c r="OQ76" s="228"/>
      <c r="OR76" s="228"/>
      <c r="OS76" s="228"/>
      <c r="OT76" s="228"/>
      <c r="OU76" s="228"/>
      <c r="OV76" s="228"/>
      <c r="OW76" s="228"/>
      <c r="OX76" s="228"/>
      <c r="OY76" s="228"/>
      <c r="OZ76" s="228"/>
      <c r="PA76" s="228"/>
      <c r="PB76" s="228"/>
      <c r="PC76" s="228"/>
      <c r="PD76" s="228"/>
      <c r="PE76" s="228"/>
      <c r="PF76" s="228"/>
      <c r="PG76" s="228"/>
      <c r="PH76" s="228"/>
      <c r="PI76" s="228"/>
      <c r="PJ76" s="228"/>
      <c r="PK76" s="228"/>
      <c r="PL76" s="228"/>
      <c r="PM76" s="228"/>
      <c r="PN76" s="228"/>
      <c r="PO76" s="228"/>
      <c r="PP76" s="228"/>
      <c r="PQ76" s="228"/>
      <c r="PR76" s="228"/>
      <c r="PS76" s="228"/>
      <c r="PT76" s="228"/>
      <c r="PU76" s="228"/>
      <c r="PV76" s="228"/>
      <c r="PW76" s="228"/>
      <c r="PX76" s="228"/>
      <c r="PY76" s="228"/>
      <c r="PZ76" s="228"/>
      <c r="QA76" s="228"/>
      <c r="QB76" s="228"/>
      <c r="QC76" s="228"/>
      <c r="QD76" s="228"/>
      <c r="QE76" s="228"/>
      <c r="QF76" s="228"/>
      <c r="QG76" s="228"/>
      <c r="QH76" s="228"/>
      <c r="QI76" s="228"/>
      <c r="QJ76" s="228"/>
      <c r="QK76" s="228"/>
      <c r="QL76" s="228"/>
      <c r="QM76" s="228"/>
      <c r="QN76" s="228"/>
      <c r="QO76" s="228"/>
      <c r="QP76" s="228"/>
      <c r="QQ76" s="228"/>
      <c r="QR76" s="228"/>
      <c r="QS76" s="228"/>
      <c r="QT76" s="228"/>
      <c r="QU76" s="228"/>
      <c r="QV76" s="228"/>
      <c r="QW76" s="228"/>
      <c r="QX76" s="228"/>
      <c r="QY76" s="228"/>
      <c r="QZ76" s="228"/>
      <c r="RA76" s="228"/>
      <c r="RB76" s="228"/>
      <c r="RC76" s="228"/>
      <c r="RD76" s="228"/>
      <c r="RE76" s="228"/>
      <c r="RF76" s="228"/>
      <c r="RG76" s="228"/>
      <c r="RH76" s="228"/>
      <c r="RI76" s="228"/>
      <c r="RJ76" s="228"/>
      <c r="RK76" s="228"/>
      <c r="RL76" s="228"/>
      <c r="RM76" s="228"/>
      <c r="RN76" s="228"/>
      <c r="RO76" s="228"/>
      <c r="RP76" s="228"/>
      <c r="RQ76" s="228"/>
      <c r="RR76" s="228"/>
      <c r="RS76" s="228"/>
      <c r="RT76" s="228"/>
      <c r="RU76" s="228"/>
      <c r="RV76" s="228"/>
      <c r="RW76" s="228"/>
      <c r="RX76" s="228"/>
      <c r="RY76" s="228"/>
      <c r="RZ76" s="228"/>
      <c r="SA76" s="228"/>
      <c r="SB76" s="228"/>
      <c r="SC76" s="228"/>
      <c r="SD76" s="228"/>
      <c r="SE76" s="228"/>
      <c r="SF76" s="228"/>
      <c r="SG76" s="228"/>
    </row>
    <row r="77" spans="2:501" ht="84" customHeight="1">
      <c r="C77" s="227" t="s">
        <v>2062</v>
      </c>
      <c r="D77" s="225" t="s">
        <v>2063</v>
      </c>
      <c r="E77" s="225" t="s">
        <v>2064</v>
      </c>
      <c r="F77" s="225" t="s">
        <v>2065</v>
      </c>
      <c r="G77" s="225" t="s">
        <v>1740</v>
      </c>
      <c r="H77" s="225" t="s">
        <v>1741</v>
      </c>
      <c r="I77" s="226" t="s">
        <v>2066</v>
      </c>
      <c r="J77" s="226" t="s">
        <v>2054</v>
      </c>
      <c r="K77" s="225" t="s">
        <v>2067</v>
      </c>
      <c r="L77" s="225" t="s">
        <v>1760</v>
      </c>
      <c r="M77" s="226" t="s">
        <v>2068</v>
      </c>
      <c r="N77" s="228"/>
      <c r="O77" s="228"/>
      <c r="P77" s="228"/>
      <c r="Q77" s="228"/>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X77" s="228"/>
      <c r="AY77" s="228"/>
      <c r="AZ77" s="228"/>
      <c r="BA77" s="228"/>
      <c r="BB77" s="228"/>
      <c r="BC77" s="228"/>
      <c r="BD77" s="228"/>
      <c r="BE77" s="228"/>
      <c r="BF77" s="228"/>
      <c r="BG77" s="228"/>
      <c r="BH77" s="228"/>
      <c r="BI77" s="228"/>
      <c r="BJ77" s="228"/>
      <c r="BK77" s="228"/>
      <c r="BL77" s="228"/>
      <c r="BM77" s="228"/>
      <c r="BN77" s="228"/>
      <c r="BO77" s="228"/>
      <c r="BP77" s="228"/>
      <c r="BQ77" s="228"/>
      <c r="BR77" s="228"/>
      <c r="BS77" s="228"/>
      <c r="BT77" s="228"/>
      <c r="BU77" s="228"/>
      <c r="BV77" s="228"/>
      <c r="BW77" s="228"/>
      <c r="BX77" s="228"/>
      <c r="BY77" s="228"/>
      <c r="BZ77" s="228"/>
      <c r="CA77" s="228"/>
      <c r="CB77" s="228"/>
      <c r="CC77" s="228"/>
      <c r="CD77" s="228"/>
      <c r="CE77" s="228"/>
      <c r="CF77" s="228"/>
      <c r="CG77" s="228"/>
      <c r="CH77" s="228"/>
      <c r="CI77" s="228"/>
      <c r="CJ77" s="228"/>
      <c r="CK77" s="228"/>
      <c r="CL77" s="228"/>
      <c r="CM77" s="228"/>
      <c r="CN77" s="228"/>
      <c r="CO77" s="228"/>
      <c r="CP77" s="228"/>
      <c r="CQ77" s="228"/>
      <c r="CR77" s="228"/>
      <c r="CS77" s="228"/>
      <c r="CT77" s="228"/>
      <c r="CU77" s="228"/>
      <c r="CV77" s="228"/>
      <c r="CW77" s="228"/>
      <c r="CX77" s="228"/>
      <c r="CY77" s="228"/>
      <c r="CZ77" s="228"/>
      <c r="DA77" s="228"/>
      <c r="DB77" s="228"/>
      <c r="DC77" s="228"/>
      <c r="DD77" s="228"/>
      <c r="DE77" s="228"/>
      <c r="DF77" s="228"/>
      <c r="DG77" s="228"/>
      <c r="DH77" s="228"/>
      <c r="DI77" s="228"/>
      <c r="DJ77" s="228"/>
      <c r="DK77" s="228"/>
      <c r="DL77" s="228"/>
      <c r="DM77" s="228"/>
      <c r="DN77" s="228"/>
      <c r="DO77" s="228"/>
      <c r="DP77" s="228"/>
      <c r="DQ77" s="228"/>
      <c r="DR77" s="228"/>
      <c r="DS77" s="228"/>
      <c r="DT77" s="228"/>
      <c r="DU77" s="228"/>
      <c r="DV77" s="228"/>
      <c r="DW77" s="228"/>
      <c r="DX77" s="228"/>
      <c r="DY77" s="228"/>
      <c r="DZ77" s="228"/>
      <c r="EA77" s="228"/>
      <c r="EB77" s="228"/>
      <c r="EC77" s="228"/>
      <c r="ED77" s="228"/>
      <c r="EE77" s="228"/>
      <c r="EF77" s="228"/>
      <c r="EG77" s="228"/>
      <c r="EH77" s="228"/>
      <c r="EI77" s="228"/>
      <c r="EJ77" s="228"/>
      <c r="EK77" s="228"/>
      <c r="EL77" s="228"/>
      <c r="EM77" s="228"/>
      <c r="EN77" s="228"/>
      <c r="EO77" s="228"/>
      <c r="EP77" s="228"/>
      <c r="EQ77" s="228"/>
      <c r="ER77" s="228"/>
      <c r="ES77" s="228"/>
      <c r="ET77" s="228"/>
      <c r="EU77" s="228"/>
      <c r="EV77" s="228"/>
      <c r="EW77" s="228"/>
      <c r="EX77" s="228"/>
      <c r="EY77" s="228"/>
      <c r="EZ77" s="228"/>
      <c r="FA77" s="228"/>
      <c r="FB77" s="228"/>
      <c r="FC77" s="228"/>
      <c r="FD77" s="228"/>
      <c r="FE77" s="228"/>
      <c r="FF77" s="228"/>
      <c r="FG77" s="228"/>
      <c r="FH77" s="228"/>
      <c r="FI77" s="228"/>
      <c r="FJ77" s="228"/>
      <c r="FK77" s="228"/>
      <c r="FL77" s="228"/>
      <c r="FM77" s="228"/>
      <c r="FN77" s="228"/>
      <c r="FO77" s="228"/>
      <c r="FP77" s="228"/>
      <c r="FQ77" s="228"/>
      <c r="FR77" s="228"/>
      <c r="FS77" s="228"/>
      <c r="FT77" s="228"/>
      <c r="FU77" s="228"/>
      <c r="FV77" s="228"/>
      <c r="FW77" s="228"/>
      <c r="FX77" s="228"/>
      <c r="FY77" s="228"/>
      <c r="FZ77" s="228"/>
      <c r="GA77" s="228"/>
      <c r="GB77" s="228"/>
      <c r="GC77" s="228"/>
      <c r="GD77" s="228"/>
      <c r="GE77" s="228"/>
      <c r="GF77" s="228"/>
      <c r="GG77" s="228"/>
      <c r="GH77" s="228"/>
      <c r="GI77" s="228"/>
      <c r="GJ77" s="228"/>
      <c r="GK77" s="228"/>
      <c r="GL77" s="228"/>
      <c r="GM77" s="228"/>
      <c r="GN77" s="228"/>
      <c r="GO77" s="228"/>
      <c r="GP77" s="228"/>
      <c r="GQ77" s="228"/>
      <c r="GR77" s="228"/>
      <c r="GS77" s="228"/>
      <c r="GT77" s="228"/>
      <c r="GU77" s="228"/>
      <c r="GV77" s="228"/>
      <c r="GW77" s="228"/>
      <c r="GX77" s="228"/>
      <c r="GY77" s="228"/>
      <c r="GZ77" s="228"/>
      <c r="HA77" s="228"/>
      <c r="HB77" s="228"/>
      <c r="HC77" s="228"/>
      <c r="HD77" s="228"/>
      <c r="HE77" s="228"/>
      <c r="HF77" s="228"/>
      <c r="HG77" s="228"/>
      <c r="HH77" s="228"/>
      <c r="HI77" s="228"/>
      <c r="HJ77" s="228"/>
      <c r="HK77" s="228"/>
      <c r="HL77" s="228"/>
      <c r="HM77" s="228"/>
      <c r="HN77" s="228"/>
      <c r="HO77" s="228"/>
      <c r="HP77" s="228"/>
      <c r="HQ77" s="228"/>
      <c r="HR77" s="228"/>
      <c r="HS77" s="228"/>
      <c r="HT77" s="228"/>
      <c r="HU77" s="228"/>
      <c r="HV77" s="228"/>
      <c r="HW77" s="228"/>
      <c r="HX77" s="228"/>
      <c r="HY77" s="228"/>
      <c r="HZ77" s="228"/>
      <c r="IA77" s="228"/>
      <c r="IB77" s="228"/>
      <c r="IC77" s="228"/>
      <c r="ID77" s="228"/>
      <c r="IE77" s="228"/>
      <c r="IF77" s="228"/>
      <c r="IG77" s="228"/>
      <c r="IH77" s="228"/>
      <c r="II77" s="228"/>
      <c r="IJ77" s="228"/>
      <c r="IK77" s="228"/>
      <c r="IL77" s="228"/>
      <c r="IM77" s="228"/>
      <c r="IN77" s="228"/>
      <c r="IO77" s="228"/>
      <c r="IP77" s="228"/>
      <c r="IQ77" s="228"/>
      <c r="IR77" s="228"/>
      <c r="IS77" s="228"/>
      <c r="IT77" s="228"/>
      <c r="IU77" s="228"/>
      <c r="IV77" s="228"/>
      <c r="IW77" s="228"/>
      <c r="IX77" s="228"/>
      <c r="IY77" s="228"/>
      <c r="IZ77" s="228"/>
      <c r="JA77" s="228"/>
      <c r="JB77" s="228"/>
      <c r="JC77" s="228"/>
      <c r="JD77" s="228"/>
      <c r="JE77" s="228"/>
      <c r="JF77" s="228"/>
      <c r="JG77" s="228"/>
      <c r="JH77" s="228"/>
      <c r="JI77" s="228"/>
      <c r="JJ77" s="228"/>
      <c r="JK77" s="228"/>
      <c r="JL77" s="228"/>
      <c r="JM77" s="228"/>
      <c r="JN77" s="228"/>
      <c r="JO77" s="228"/>
      <c r="JP77" s="228"/>
      <c r="JQ77" s="228"/>
      <c r="JR77" s="228"/>
      <c r="JS77" s="228"/>
      <c r="JT77" s="228"/>
      <c r="JU77" s="228"/>
      <c r="JV77" s="228"/>
      <c r="JW77" s="228"/>
      <c r="JX77" s="228"/>
      <c r="JY77" s="228"/>
      <c r="JZ77" s="228"/>
      <c r="KA77" s="228"/>
      <c r="KB77" s="228"/>
      <c r="KC77" s="228"/>
      <c r="KD77" s="228"/>
      <c r="KE77" s="228"/>
      <c r="KF77" s="228"/>
      <c r="KG77" s="228"/>
      <c r="KH77" s="228"/>
      <c r="KI77" s="228"/>
      <c r="KJ77" s="228"/>
      <c r="KK77" s="228"/>
      <c r="KL77" s="228"/>
      <c r="KM77" s="228"/>
      <c r="KN77" s="228"/>
      <c r="KO77" s="228"/>
      <c r="KP77" s="228"/>
      <c r="KQ77" s="228"/>
      <c r="KR77" s="228"/>
      <c r="KS77" s="228"/>
      <c r="KT77" s="228"/>
      <c r="KU77" s="228"/>
      <c r="KV77" s="228"/>
      <c r="KW77" s="228"/>
      <c r="KX77" s="228"/>
      <c r="KY77" s="228"/>
      <c r="KZ77" s="228"/>
      <c r="LA77" s="228"/>
      <c r="LB77" s="228"/>
      <c r="LC77" s="228"/>
      <c r="LD77" s="228"/>
      <c r="LE77" s="228"/>
      <c r="LF77" s="228"/>
      <c r="LG77" s="228"/>
      <c r="LH77" s="228"/>
      <c r="LI77" s="228"/>
      <c r="LJ77" s="228"/>
      <c r="LK77" s="228"/>
      <c r="LL77" s="228"/>
      <c r="LM77" s="228"/>
      <c r="LN77" s="228"/>
      <c r="LO77" s="228"/>
      <c r="LP77" s="228"/>
      <c r="LQ77" s="228"/>
      <c r="LR77" s="228"/>
      <c r="LS77" s="228"/>
      <c r="LT77" s="228"/>
      <c r="LU77" s="228"/>
      <c r="LV77" s="228"/>
      <c r="LW77" s="228"/>
      <c r="LX77" s="228"/>
      <c r="LY77" s="228"/>
      <c r="LZ77" s="228"/>
      <c r="MA77" s="228"/>
      <c r="MB77" s="228"/>
      <c r="MC77" s="228"/>
      <c r="MD77" s="228"/>
      <c r="ME77" s="228"/>
      <c r="MF77" s="228"/>
      <c r="MG77" s="228"/>
      <c r="MH77" s="228"/>
      <c r="MI77" s="228"/>
      <c r="MJ77" s="228"/>
      <c r="MK77" s="228"/>
      <c r="ML77" s="228"/>
      <c r="MM77" s="228"/>
      <c r="MN77" s="228"/>
      <c r="MO77" s="228"/>
      <c r="MP77" s="228"/>
      <c r="MQ77" s="228"/>
      <c r="MR77" s="228"/>
      <c r="MS77" s="228"/>
      <c r="MT77" s="228"/>
      <c r="MU77" s="228"/>
      <c r="MV77" s="228"/>
      <c r="MW77" s="228"/>
      <c r="MX77" s="228"/>
      <c r="MY77" s="228"/>
      <c r="MZ77" s="228"/>
      <c r="NA77" s="228"/>
      <c r="NB77" s="228"/>
      <c r="NC77" s="228"/>
      <c r="ND77" s="228"/>
      <c r="NE77" s="228"/>
      <c r="NF77" s="228"/>
      <c r="NG77" s="228"/>
      <c r="NH77" s="228"/>
      <c r="NI77" s="228"/>
      <c r="NJ77" s="228"/>
      <c r="NK77" s="228"/>
      <c r="NL77" s="228"/>
      <c r="NM77" s="228"/>
      <c r="NN77" s="228"/>
      <c r="NO77" s="228"/>
      <c r="NP77" s="228"/>
      <c r="NQ77" s="228"/>
      <c r="NR77" s="228"/>
      <c r="NS77" s="228"/>
      <c r="NT77" s="228"/>
      <c r="NU77" s="228"/>
      <c r="NV77" s="228"/>
      <c r="NW77" s="228"/>
      <c r="NX77" s="228"/>
      <c r="NY77" s="228"/>
      <c r="NZ77" s="228"/>
      <c r="OA77" s="228"/>
      <c r="OB77" s="228"/>
      <c r="OC77" s="228"/>
      <c r="OD77" s="228"/>
      <c r="OE77" s="228"/>
      <c r="OF77" s="228"/>
      <c r="OG77" s="228"/>
      <c r="OH77" s="228"/>
      <c r="OI77" s="228"/>
      <c r="OJ77" s="228"/>
      <c r="OK77" s="228"/>
      <c r="OL77" s="228"/>
      <c r="OM77" s="228"/>
      <c r="ON77" s="228"/>
      <c r="OO77" s="228"/>
      <c r="OP77" s="228"/>
      <c r="OQ77" s="228"/>
      <c r="OR77" s="228"/>
      <c r="OS77" s="228"/>
      <c r="OT77" s="228"/>
      <c r="OU77" s="228"/>
      <c r="OV77" s="228"/>
      <c r="OW77" s="228"/>
      <c r="OX77" s="228"/>
      <c r="OY77" s="228"/>
      <c r="OZ77" s="228"/>
      <c r="PA77" s="228"/>
      <c r="PB77" s="228"/>
      <c r="PC77" s="228"/>
      <c r="PD77" s="228"/>
      <c r="PE77" s="228"/>
      <c r="PF77" s="228"/>
      <c r="PG77" s="228"/>
      <c r="PH77" s="228"/>
      <c r="PI77" s="228"/>
      <c r="PJ77" s="228"/>
      <c r="PK77" s="228"/>
      <c r="PL77" s="228"/>
      <c r="PM77" s="228"/>
      <c r="PN77" s="228"/>
      <c r="PO77" s="228"/>
      <c r="PP77" s="228"/>
      <c r="PQ77" s="228"/>
      <c r="PR77" s="228"/>
      <c r="PS77" s="228"/>
      <c r="PT77" s="228"/>
      <c r="PU77" s="228"/>
      <c r="PV77" s="228"/>
      <c r="PW77" s="228"/>
      <c r="PX77" s="228"/>
      <c r="PY77" s="228"/>
      <c r="PZ77" s="228"/>
      <c r="QA77" s="228"/>
      <c r="QB77" s="228"/>
      <c r="QC77" s="228"/>
      <c r="QD77" s="228"/>
      <c r="QE77" s="228"/>
      <c r="QF77" s="228"/>
      <c r="QG77" s="228"/>
      <c r="QH77" s="228"/>
      <c r="QI77" s="228"/>
      <c r="QJ77" s="228"/>
      <c r="QK77" s="228"/>
      <c r="QL77" s="228"/>
      <c r="QM77" s="228"/>
      <c r="QN77" s="228"/>
      <c r="QO77" s="228"/>
      <c r="QP77" s="228"/>
      <c r="QQ77" s="228"/>
      <c r="QR77" s="228"/>
      <c r="QS77" s="228"/>
      <c r="QT77" s="228"/>
      <c r="QU77" s="228"/>
      <c r="QV77" s="228"/>
      <c r="QW77" s="228"/>
      <c r="QX77" s="228"/>
      <c r="QY77" s="228"/>
      <c r="QZ77" s="228"/>
      <c r="RA77" s="228"/>
      <c r="RB77" s="228"/>
      <c r="RC77" s="228"/>
      <c r="RD77" s="228"/>
      <c r="RE77" s="228"/>
      <c r="RF77" s="228"/>
      <c r="RG77" s="228"/>
      <c r="RH77" s="228"/>
      <c r="RI77" s="228"/>
      <c r="RJ77" s="228"/>
      <c r="RK77" s="228"/>
      <c r="RL77" s="228"/>
      <c r="RM77" s="228"/>
      <c r="RN77" s="228"/>
      <c r="RO77" s="228"/>
      <c r="RP77" s="228"/>
      <c r="RQ77" s="228"/>
      <c r="RR77" s="228"/>
      <c r="RS77" s="228"/>
      <c r="RT77" s="228"/>
      <c r="RU77" s="228"/>
      <c r="RV77" s="228"/>
      <c r="RW77" s="228"/>
      <c r="RX77" s="228"/>
      <c r="RY77" s="228"/>
      <c r="RZ77" s="228"/>
      <c r="SA77" s="228"/>
      <c r="SB77" s="228"/>
      <c r="SC77" s="228"/>
      <c r="SD77" s="228"/>
      <c r="SE77" s="228"/>
      <c r="SF77" s="228"/>
      <c r="SG77" s="228"/>
    </row>
    <row r="78" spans="2:501" ht="97.5" customHeight="1">
      <c r="C78" s="227" t="s">
        <v>2069</v>
      </c>
      <c r="D78" s="225" t="s">
        <v>2070</v>
      </c>
      <c r="E78" s="225" t="s">
        <v>2071</v>
      </c>
      <c r="F78" s="225" t="s">
        <v>2072</v>
      </c>
      <c r="G78" s="225" t="s">
        <v>1740</v>
      </c>
      <c r="H78" s="225" t="s">
        <v>1741</v>
      </c>
      <c r="I78" s="226" t="s">
        <v>2073</v>
      </c>
      <c r="J78" s="226" t="s">
        <v>1740</v>
      </c>
      <c r="K78" s="225" t="s">
        <v>1844</v>
      </c>
      <c r="L78" s="225" t="s">
        <v>1760</v>
      </c>
      <c r="M78" s="226" t="s">
        <v>2074</v>
      </c>
      <c r="N78" s="228"/>
      <c r="O78" s="228"/>
      <c r="P78" s="228"/>
      <c r="Q78" s="228"/>
      <c r="R78" s="228"/>
      <c r="S78" s="228"/>
      <c r="T78" s="228"/>
      <c r="U78" s="228"/>
      <c r="V78" s="228"/>
      <c r="W78" s="228"/>
      <c r="X78" s="228"/>
      <c r="Y78" s="228"/>
      <c r="Z78" s="228"/>
      <c r="AA78" s="228"/>
      <c r="AB78" s="228"/>
      <c r="AC78" s="228"/>
      <c r="AD78" s="228"/>
      <c r="AE78" s="228"/>
      <c r="AF78" s="228"/>
      <c r="AG78" s="228"/>
      <c r="AH78" s="228"/>
      <c r="AI78" s="228"/>
      <c r="AJ78" s="228"/>
      <c r="AK78" s="228"/>
      <c r="AL78" s="228"/>
      <c r="AM78" s="228"/>
      <c r="AN78" s="228"/>
      <c r="AO78" s="228"/>
      <c r="AP78" s="228"/>
      <c r="AQ78" s="228"/>
      <c r="AR78" s="228"/>
      <c r="AS78" s="228"/>
      <c r="AT78" s="228"/>
      <c r="AU78" s="228"/>
      <c r="AV78" s="228"/>
      <c r="AW78" s="228"/>
      <c r="AX78" s="228"/>
      <c r="AY78" s="228"/>
      <c r="AZ78" s="228"/>
      <c r="BA78" s="228"/>
      <c r="BB78" s="228"/>
      <c r="BC78" s="228"/>
      <c r="BD78" s="228"/>
      <c r="BE78" s="228"/>
      <c r="BF78" s="228"/>
      <c r="BG78" s="228"/>
      <c r="BH78" s="228"/>
      <c r="BI78" s="228"/>
      <c r="BJ78" s="228"/>
      <c r="BK78" s="228"/>
      <c r="BL78" s="228"/>
      <c r="BM78" s="228"/>
      <c r="BN78" s="228"/>
      <c r="BO78" s="228"/>
      <c r="BP78" s="228"/>
      <c r="BQ78" s="228"/>
      <c r="BR78" s="228"/>
      <c r="BS78" s="228"/>
      <c r="BT78" s="228"/>
      <c r="BU78" s="228"/>
      <c r="BV78" s="228"/>
      <c r="BW78" s="228"/>
      <c r="BX78" s="228"/>
      <c r="BY78" s="228"/>
      <c r="BZ78" s="228"/>
      <c r="CA78" s="228"/>
      <c r="CB78" s="228"/>
      <c r="CC78" s="228"/>
      <c r="CD78" s="228"/>
      <c r="CE78" s="228"/>
      <c r="CF78" s="228"/>
      <c r="CG78" s="228"/>
      <c r="CH78" s="228"/>
      <c r="CI78" s="228"/>
      <c r="CJ78" s="228"/>
      <c r="CK78" s="228"/>
      <c r="CL78" s="228"/>
      <c r="CM78" s="228"/>
      <c r="CN78" s="228"/>
      <c r="CO78" s="228"/>
      <c r="CP78" s="228"/>
      <c r="CQ78" s="228"/>
      <c r="CR78" s="228"/>
      <c r="CS78" s="228"/>
      <c r="CT78" s="228"/>
      <c r="CU78" s="228"/>
      <c r="CV78" s="228"/>
      <c r="CW78" s="228"/>
      <c r="CX78" s="228"/>
      <c r="CY78" s="228"/>
      <c r="CZ78" s="228"/>
      <c r="DA78" s="228"/>
      <c r="DB78" s="228"/>
      <c r="DC78" s="228"/>
      <c r="DD78" s="228"/>
      <c r="DE78" s="228"/>
      <c r="DF78" s="228"/>
      <c r="DG78" s="228"/>
      <c r="DH78" s="228"/>
      <c r="DI78" s="228"/>
      <c r="DJ78" s="228"/>
      <c r="DK78" s="228"/>
      <c r="DL78" s="228"/>
      <c r="DM78" s="228"/>
      <c r="DN78" s="228"/>
      <c r="DO78" s="228"/>
      <c r="DP78" s="228"/>
      <c r="DQ78" s="228"/>
      <c r="DR78" s="228"/>
      <c r="DS78" s="228"/>
      <c r="DT78" s="228"/>
      <c r="DU78" s="228"/>
      <c r="DV78" s="228"/>
      <c r="DW78" s="228"/>
      <c r="DX78" s="228"/>
      <c r="DY78" s="228"/>
      <c r="DZ78" s="228"/>
      <c r="EA78" s="228"/>
      <c r="EB78" s="228"/>
      <c r="EC78" s="228"/>
      <c r="ED78" s="228"/>
      <c r="EE78" s="228"/>
      <c r="EF78" s="228"/>
      <c r="EG78" s="228"/>
      <c r="EH78" s="228"/>
      <c r="EI78" s="228"/>
      <c r="EJ78" s="228"/>
      <c r="EK78" s="228"/>
      <c r="EL78" s="228"/>
      <c r="EM78" s="228"/>
      <c r="EN78" s="228"/>
      <c r="EO78" s="228"/>
      <c r="EP78" s="228"/>
      <c r="EQ78" s="228"/>
      <c r="ER78" s="228"/>
      <c r="ES78" s="228"/>
      <c r="ET78" s="228"/>
      <c r="EU78" s="228"/>
      <c r="EV78" s="228"/>
      <c r="EW78" s="228"/>
      <c r="EX78" s="228"/>
      <c r="EY78" s="228"/>
      <c r="EZ78" s="228"/>
      <c r="FA78" s="228"/>
      <c r="FB78" s="228"/>
      <c r="FC78" s="228"/>
      <c r="FD78" s="228"/>
      <c r="FE78" s="228"/>
      <c r="FF78" s="228"/>
      <c r="FG78" s="228"/>
      <c r="FH78" s="228"/>
      <c r="FI78" s="228"/>
      <c r="FJ78" s="228"/>
      <c r="FK78" s="228"/>
      <c r="FL78" s="228"/>
      <c r="FM78" s="228"/>
      <c r="FN78" s="228"/>
      <c r="FO78" s="228"/>
      <c r="FP78" s="228"/>
      <c r="FQ78" s="228"/>
      <c r="FR78" s="228"/>
      <c r="FS78" s="228"/>
      <c r="FT78" s="228"/>
      <c r="FU78" s="228"/>
      <c r="FV78" s="228"/>
      <c r="FW78" s="228"/>
      <c r="FX78" s="228"/>
      <c r="FY78" s="228"/>
      <c r="FZ78" s="228"/>
      <c r="GA78" s="228"/>
      <c r="GB78" s="228"/>
      <c r="GC78" s="228"/>
      <c r="GD78" s="228"/>
      <c r="GE78" s="228"/>
      <c r="GF78" s="228"/>
      <c r="GG78" s="228"/>
      <c r="GH78" s="228"/>
      <c r="GI78" s="228"/>
      <c r="GJ78" s="228"/>
      <c r="GK78" s="228"/>
      <c r="GL78" s="228"/>
      <c r="GM78" s="228"/>
      <c r="GN78" s="228"/>
      <c r="GO78" s="228"/>
      <c r="GP78" s="228"/>
      <c r="GQ78" s="228"/>
      <c r="GR78" s="228"/>
      <c r="GS78" s="228"/>
      <c r="GT78" s="228"/>
      <c r="GU78" s="228"/>
      <c r="GV78" s="228"/>
      <c r="GW78" s="228"/>
      <c r="GX78" s="228"/>
      <c r="GY78" s="228"/>
      <c r="GZ78" s="228"/>
      <c r="HA78" s="228"/>
      <c r="HB78" s="228"/>
      <c r="HC78" s="228"/>
      <c r="HD78" s="228"/>
      <c r="HE78" s="228"/>
      <c r="HF78" s="228"/>
      <c r="HG78" s="228"/>
      <c r="HH78" s="228"/>
      <c r="HI78" s="228"/>
      <c r="HJ78" s="228"/>
      <c r="HK78" s="228"/>
      <c r="HL78" s="228"/>
      <c r="HM78" s="228"/>
      <c r="HN78" s="228"/>
      <c r="HO78" s="228"/>
      <c r="HP78" s="228"/>
      <c r="HQ78" s="228"/>
      <c r="HR78" s="228"/>
      <c r="HS78" s="228"/>
      <c r="HT78" s="228"/>
      <c r="HU78" s="228"/>
      <c r="HV78" s="228"/>
      <c r="HW78" s="228"/>
      <c r="HX78" s="228"/>
      <c r="HY78" s="228"/>
      <c r="HZ78" s="228"/>
      <c r="IA78" s="228"/>
      <c r="IB78" s="228"/>
      <c r="IC78" s="228"/>
      <c r="ID78" s="228"/>
      <c r="IE78" s="228"/>
      <c r="IF78" s="228"/>
      <c r="IG78" s="228"/>
      <c r="IH78" s="228"/>
      <c r="II78" s="228"/>
      <c r="IJ78" s="228"/>
      <c r="IK78" s="228"/>
      <c r="IL78" s="228"/>
      <c r="IM78" s="228"/>
      <c r="IN78" s="228"/>
      <c r="IO78" s="228"/>
      <c r="IP78" s="228"/>
      <c r="IQ78" s="228"/>
      <c r="IR78" s="228"/>
      <c r="IS78" s="228"/>
      <c r="IT78" s="228"/>
      <c r="IU78" s="228"/>
      <c r="IV78" s="228"/>
      <c r="IW78" s="228"/>
      <c r="IX78" s="228"/>
      <c r="IY78" s="228"/>
      <c r="IZ78" s="228"/>
      <c r="JA78" s="228"/>
      <c r="JB78" s="228"/>
      <c r="JC78" s="228"/>
      <c r="JD78" s="228"/>
      <c r="JE78" s="228"/>
      <c r="JF78" s="228"/>
      <c r="JG78" s="228"/>
      <c r="JH78" s="228"/>
      <c r="JI78" s="228"/>
      <c r="JJ78" s="228"/>
      <c r="JK78" s="228"/>
      <c r="JL78" s="228"/>
      <c r="JM78" s="228"/>
      <c r="JN78" s="228"/>
      <c r="JO78" s="228"/>
      <c r="JP78" s="228"/>
      <c r="JQ78" s="228"/>
      <c r="JR78" s="228"/>
      <c r="JS78" s="228"/>
      <c r="JT78" s="228"/>
      <c r="JU78" s="228"/>
      <c r="JV78" s="228"/>
      <c r="JW78" s="228"/>
      <c r="JX78" s="228"/>
      <c r="JY78" s="228"/>
      <c r="JZ78" s="228"/>
      <c r="KA78" s="228"/>
      <c r="KB78" s="228"/>
      <c r="KC78" s="228"/>
      <c r="KD78" s="228"/>
      <c r="KE78" s="228"/>
      <c r="KF78" s="228"/>
      <c r="KG78" s="228"/>
      <c r="KH78" s="228"/>
      <c r="KI78" s="228"/>
      <c r="KJ78" s="228"/>
      <c r="KK78" s="228"/>
      <c r="KL78" s="228"/>
      <c r="KM78" s="228"/>
      <c r="KN78" s="228"/>
      <c r="KO78" s="228"/>
      <c r="KP78" s="228"/>
      <c r="KQ78" s="228"/>
      <c r="KR78" s="228"/>
      <c r="KS78" s="228"/>
      <c r="KT78" s="228"/>
      <c r="KU78" s="228"/>
      <c r="KV78" s="228"/>
      <c r="KW78" s="228"/>
      <c r="KX78" s="228"/>
      <c r="KY78" s="228"/>
      <c r="KZ78" s="228"/>
      <c r="LA78" s="228"/>
      <c r="LB78" s="228"/>
      <c r="LC78" s="228"/>
      <c r="LD78" s="228"/>
      <c r="LE78" s="228"/>
      <c r="LF78" s="228"/>
      <c r="LG78" s="228"/>
      <c r="LH78" s="228"/>
      <c r="LI78" s="228"/>
      <c r="LJ78" s="228"/>
      <c r="LK78" s="228"/>
      <c r="LL78" s="228"/>
      <c r="LM78" s="228"/>
      <c r="LN78" s="228"/>
      <c r="LO78" s="228"/>
      <c r="LP78" s="228"/>
      <c r="LQ78" s="228"/>
      <c r="LR78" s="228"/>
      <c r="LS78" s="228"/>
      <c r="LT78" s="228"/>
      <c r="LU78" s="228"/>
      <c r="LV78" s="228"/>
      <c r="LW78" s="228"/>
      <c r="LX78" s="228"/>
      <c r="LY78" s="228"/>
      <c r="LZ78" s="228"/>
      <c r="MA78" s="228"/>
      <c r="MB78" s="228"/>
      <c r="MC78" s="228"/>
      <c r="MD78" s="228"/>
      <c r="ME78" s="228"/>
      <c r="MF78" s="228"/>
      <c r="MG78" s="228"/>
      <c r="MH78" s="228"/>
      <c r="MI78" s="228"/>
      <c r="MJ78" s="228"/>
      <c r="MK78" s="228"/>
      <c r="ML78" s="228"/>
      <c r="MM78" s="228"/>
      <c r="MN78" s="228"/>
      <c r="MO78" s="228"/>
      <c r="MP78" s="228"/>
      <c r="MQ78" s="228"/>
      <c r="MR78" s="228"/>
      <c r="MS78" s="228"/>
      <c r="MT78" s="228"/>
      <c r="MU78" s="228"/>
      <c r="MV78" s="228"/>
      <c r="MW78" s="228"/>
      <c r="MX78" s="228"/>
      <c r="MY78" s="228"/>
      <c r="MZ78" s="228"/>
      <c r="NA78" s="228"/>
      <c r="NB78" s="228"/>
      <c r="NC78" s="228"/>
      <c r="ND78" s="228"/>
      <c r="NE78" s="228"/>
      <c r="NF78" s="228"/>
      <c r="NG78" s="228"/>
      <c r="NH78" s="228"/>
      <c r="NI78" s="228"/>
      <c r="NJ78" s="228"/>
      <c r="NK78" s="228"/>
      <c r="NL78" s="228"/>
      <c r="NM78" s="228"/>
      <c r="NN78" s="228"/>
      <c r="NO78" s="228"/>
      <c r="NP78" s="228"/>
      <c r="NQ78" s="228"/>
      <c r="NR78" s="228"/>
      <c r="NS78" s="228"/>
      <c r="NT78" s="228"/>
      <c r="NU78" s="228"/>
      <c r="NV78" s="228"/>
      <c r="NW78" s="228"/>
      <c r="NX78" s="228"/>
      <c r="NY78" s="228"/>
      <c r="NZ78" s="228"/>
      <c r="OA78" s="228"/>
      <c r="OB78" s="228"/>
      <c r="OC78" s="228"/>
      <c r="OD78" s="228"/>
      <c r="OE78" s="228"/>
      <c r="OF78" s="228"/>
      <c r="OG78" s="228"/>
      <c r="OH78" s="228"/>
      <c r="OI78" s="228"/>
      <c r="OJ78" s="228"/>
      <c r="OK78" s="228"/>
      <c r="OL78" s="228"/>
      <c r="OM78" s="228"/>
      <c r="ON78" s="228"/>
      <c r="OO78" s="228"/>
      <c r="OP78" s="228"/>
      <c r="OQ78" s="228"/>
      <c r="OR78" s="228"/>
      <c r="OS78" s="228"/>
      <c r="OT78" s="228"/>
      <c r="OU78" s="228"/>
      <c r="OV78" s="228"/>
      <c r="OW78" s="228"/>
      <c r="OX78" s="228"/>
      <c r="OY78" s="228"/>
      <c r="OZ78" s="228"/>
      <c r="PA78" s="228"/>
      <c r="PB78" s="228"/>
      <c r="PC78" s="228"/>
      <c r="PD78" s="228"/>
      <c r="PE78" s="228"/>
      <c r="PF78" s="228"/>
      <c r="PG78" s="228"/>
      <c r="PH78" s="228"/>
      <c r="PI78" s="228"/>
      <c r="PJ78" s="228"/>
      <c r="PK78" s="228"/>
      <c r="PL78" s="228"/>
      <c r="PM78" s="228"/>
      <c r="PN78" s="228"/>
      <c r="PO78" s="228"/>
      <c r="PP78" s="228"/>
      <c r="PQ78" s="228"/>
      <c r="PR78" s="228"/>
      <c r="PS78" s="228"/>
      <c r="PT78" s="228"/>
      <c r="PU78" s="228"/>
      <c r="PV78" s="228"/>
      <c r="PW78" s="228"/>
      <c r="PX78" s="228"/>
      <c r="PY78" s="228"/>
      <c r="PZ78" s="228"/>
      <c r="QA78" s="228"/>
      <c r="QB78" s="228"/>
      <c r="QC78" s="228"/>
      <c r="QD78" s="228"/>
      <c r="QE78" s="228"/>
      <c r="QF78" s="228"/>
      <c r="QG78" s="228"/>
      <c r="QH78" s="228"/>
      <c r="QI78" s="228"/>
      <c r="QJ78" s="228"/>
      <c r="QK78" s="228"/>
      <c r="QL78" s="228"/>
      <c r="QM78" s="228"/>
      <c r="QN78" s="228"/>
      <c r="QO78" s="228"/>
      <c r="QP78" s="228"/>
      <c r="QQ78" s="228"/>
      <c r="QR78" s="228"/>
      <c r="QS78" s="228"/>
      <c r="QT78" s="228"/>
      <c r="QU78" s="228"/>
      <c r="QV78" s="228"/>
      <c r="QW78" s="228"/>
      <c r="QX78" s="228"/>
      <c r="QY78" s="228"/>
      <c r="QZ78" s="228"/>
      <c r="RA78" s="228"/>
      <c r="RB78" s="228"/>
      <c r="RC78" s="228"/>
      <c r="RD78" s="228"/>
      <c r="RE78" s="228"/>
      <c r="RF78" s="228"/>
      <c r="RG78" s="228"/>
      <c r="RH78" s="228"/>
      <c r="RI78" s="228"/>
      <c r="RJ78" s="228"/>
      <c r="RK78" s="228"/>
      <c r="RL78" s="228"/>
      <c r="RM78" s="228"/>
      <c r="RN78" s="228"/>
      <c r="RO78" s="228"/>
      <c r="RP78" s="228"/>
      <c r="RQ78" s="228"/>
      <c r="RR78" s="228"/>
      <c r="RS78" s="228"/>
      <c r="RT78" s="228"/>
      <c r="RU78" s="228"/>
      <c r="RV78" s="228"/>
      <c r="RW78" s="228"/>
      <c r="RX78" s="228"/>
      <c r="RY78" s="228"/>
      <c r="RZ78" s="228"/>
      <c r="SA78" s="228"/>
      <c r="SB78" s="228"/>
      <c r="SC78" s="228"/>
      <c r="SD78" s="228"/>
      <c r="SE78" s="228"/>
      <c r="SF78" s="228"/>
      <c r="SG78" s="228"/>
    </row>
    <row r="79" spans="2:501" ht="14.25" customHeight="1"/>
    <row r="80" spans="2:501" ht="14.25" customHeight="1">
      <c r="B80" s="222" t="s">
        <v>2075</v>
      </c>
      <c r="C80" s="222"/>
      <c r="D80" s="197"/>
      <c r="E80" s="198"/>
    </row>
    <row r="81" spans="2:501" ht="14.25" customHeight="1">
      <c r="C81" s="223" t="s">
        <v>1111</v>
      </c>
      <c r="D81" s="223" t="s">
        <v>93</v>
      </c>
      <c r="E81" s="223" t="s">
        <v>1727</v>
      </c>
      <c r="F81" s="223" t="s">
        <v>1728</v>
      </c>
      <c r="G81" s="223" t="s">
        <v>1729</v>
      </c>
      <c r="H81" s="223" t="s">
        <v>1730</v>
      </c>
      <c r="I81" s="223" t="s">
        <v>1731</v>
      </c>
      <c r="J81" s="223" t="s">
        <v>1732</v>
      </c>
      <c r="K81" s="223" t="s">
        <v>1733</v>
      </c>
      <c r="L81" s="223" t="s">
        <v>1734</v>
      </c>
      <c r="M81" s="223" t="s">
        <v>1735</v>
      </c>
      <c r="N81" s="228"/>
      <c r="O81" s="228"/>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A81" s="228"/>
      <c r="BB81" s="228"/>
      <c r="BC81" s="228"/>
      <c r="BD81" s="228"/>
      <c r="BE81" s="228"/>
      <c r="BF81" s="228"/>
      <c r="BG81" s="228"/>
      <c r="BH81" s="228"/>
      <c r="BI81" s="228"/>
      <c r="BJ81" s="228"/>
      <c r="BK81" s="228"/>
      <c r="BL81" s="228"/>
      <c r="BM81" s="228"/>
      <c r="BN81" s="228"/>
      <c r="BO81" s="228"/>
      <c r="BP81" s="228"/>
      <c r="BQ81" s="228"/>
      <c r="BR81" s="228"/>
      <c r="BS81" s="228"/>
      <c r="BT81" s="228"/>
      <c r="BU81" s="228"/>
      <c r="BV81" s="228"/>
      <c r="BW81" s="228"/>
      <c r="BX81" s="228"/>
      <c r="BY81" s="228"/>
      <c r="BZ81" s="228"/>
      <c r="CA81" s="228"/>
      <c r="CB81" s="228"/>
      <c r="CC81" s="228"/>
      <c r="CD81" s="228"/>
      <c r="CE81" s="228"/>
      <c r="CF81" s="228"/>
      <c r="CG81" s="228"/>
      <c r="CH81" s="228"/>
      <c r="CI81" s="228"/>
      <c r="CJ81" s="228"/>
      <c r="CK81" s="228"/>
      <c r="CL81" s="228"/>
      <c r="CM81" s="228"/>
      <c r="CN81" s="228"/>
      <c r="CO81" s="228"/>
      <c r="CP81" s="228"/>
      <c r="CQ81" s="228"/>
      <c r="CR81" s="228"/>
      <c r="CS81" s="228"/>
      <c r="CT81" s="228"/>
      <c r="CU81" s="228"/>
      <c r="CV81" s="228"/>
      <c r="CW81" s="228"/>
      <c r="CX81" s="228"/>
      <c r="CY81" s="228"/>
      <c r="CZ81" s="228"/>
      <c r="DA81" s="228"/>
      <c r="DB81" s="228"/>
      <c r="DC81" s="228"/>
      <c r="DD81" s="228"/>
      <c r="DE81" s="228"/>
      <c r="DF81" s="228"/>
      <c r="DG81" s="228"/>
      <c r="DH81" s="228"/>
      <c r="DI81" s="228"/>
      <c r="DJ81" s="228"/>
      <c r="DK81" s="228"/>
      <c r="DL81" s="228"/>
      <c r="DM81" s="228"/>
      <c r="DN81" s="228"/>
      <c r="DO81" s="228"/>
      <c r="DP81" s="228"/>
      <c r="DQ81" s="228"/>
      <c r="DR81" s="228"/>
      <c r="DS81" s="228"/>
      <c r="DT81" s="228"/>
      <c r="DU81" s="228"/>
      <c r="DV81" s="228"/>
      <c r="DW81" s="228"/>
      <c r="DX81" s="228"/>
      <c r="DY81" s="228"/>
      <c r="DZ81" s="228"/>
      <c r="EA81" s="228"/>
      <c r="EB81" s="228"/>
      <c r="EC81" s="228"/>
      <c r="ED81" s="228"/>
      <c r="EE81" s="228"/>
      <c r="EF81" s="228"/>
      <c r="EG81" s="228"/>
      <c r="EH81" s="228"/>
      <c r="EI81" s="228"/>
      <c r="EJ81" s="228"/>
      <c r="EK81" s="228"/>
      <c r="EL81" s="228"/>
      <c r="EM81" s="228"/>
      <c r="EN81" s="228"/>
      <c r="EO81" s="228"/>
      <c r="EP81" s="228"/>
      <c r="EQ81" s="228"/>
      <c r="ER81" s="228"/>
      <c r="ES81" s="228"/>
      <c r="ET81" s="228"/>
      <c r="EU81" s="228"/>
      <c r="EV81" s="228"/>
      <c r="EW81" s="228"/>
      <c r="EX81" s="228"/>
      <c r="EY81" s="228"/>
      <c r="EZ81" s="228"/>
      <c r="FA81" s="228"/>
      <c r="FB81" s="228"/>
      <c r="FC81" s="228"/>
      <c r="FD81" s="228"/>
      <c r="FE81" s="228"/>
      <c r="FF81" s="228"/>
      <c r="FG81" s="228"/>
      <c r="FH81" s="228"/>
      <c r="FI81" s="228"/>
      <c r="FJ81" s="228"/>
      <c r="FK81" s="228"/>
      <c r="FL81" s="228"/>
      <c r="FM81" s="228"/>
      <c r="FN81" s="228"/>
      <c r="FO81" s="228"/>
      <c r="FP81" s="228"/>
      <c r="FQ81" s="228"/>
      <c r="FR81" s="228"/>
      <c r="FS81" s="228"/>
      <c r="FT81" s="228"/>
      <c r="FU81" s="228"/>
      <c r="FV81" s="228"/>
      <c r="FW81" s="228"/>
      <c r="FX81" s="228"/>
      <c r="FY81" s="228"/>
      <c r="FZ81" s="228"/>
      <c r="GA81" s="228"/>
      <c r="GB81" s="228"/>
      <c r="GC81" s="228"/>
      <c r="GD81" s="228"/>
      <c r="GE81" s="228"/>
      <c r="GF81" s="228"/>
      <c r="GG81" s="228"/>
      <c r="GH81" s="228"/>
      <c r="GI81" s="228"/>
      <c r="GJ81" s="228"/>
      <c r="GK81" s="228"/>
      <c r="GL81" s="228"/>
      <c r="GM81" s="228"/>
      <c r="GN81" s="228"/>
      <c r="GO81" s="228"/>
      <c r="GP81" s="228"/>
      <c r="GQ81" s="228"/>
      <c r="GR81" s="228"/>
      <c r="GS81" s="228"/>
      <c r="GT81" s="228"/>
      <c r="GU81" s="228"/>
      <c r="GV81" s="228"/>
      <c r="GW81" s="228"/>
      <c r="GX81" s="228"/>
      <c r="GY81" s="228"/>
      <c r="GZ81" s="228"/>
      <c r="HA81" s="228"/>
      <c r="HB81" s="228"/>
      <c r="HC81" s="228"/>
      <c r="HD81" s="228"/>
      <c r="HE81" s="228"/>
      <c r="HF81" s="228"/>
      <c r="HG81" s="228"/>
      <c r="HH81" s="228"/>
      <c r="HI81" s="228"/>
      <c r="HJ81" s="228"/>
      <c r="HK81" s="228"/>
      <c r="HL81" s="228"/>
      <c r="HM81" s="228"/>
      <c r="HN81" s="228"/>
      <c r="HO81" s="228"/>
      <c r="HP81" s="228"/>
      <c r="HQ81" s="228"/>
      <c r="HR81" s="228"/>
      <c r="HS81" s="228"/>
      <c r="HT81" s="228"/>
      <c r="HU81" s="228"/>
      <c r="HV81" s="228"/>
      <c r="HW81" s="228"/>
      <c r="HX81" s="228"/>
      <c r="HY81" s="228"/>
      <c r="HZ81" s="228"/>
      <c r="IA81" s="228"/>
      <c r="IB81" s="228"/>
      <c r="IC81" s="228"/>
      <c r="ID81" s="228"/>
      <c r="IE81" s="228"/>
      <c r="IF81" s="228"/>
      <c r="IG81" s="228"/>
      <c r="IH81" s="228"/>
      <c r="II81" s="228"/>
      <c r="IJ81" s="228"/>
      <c r="IK81" s="228"/>
      <c r="IL81" s="228"/>
      <c r="IM81" s="228"/>
      <c r="IN81" s="228"/>
      <c r="IO81" s="228"/>
      <c r="IP81" s="228"/>
      <c r="IQ81" s="228"/>
      <c r="IR81" s="228"/>
      <c r="IS81" s="228"/>
      <c r="IT81" s="228"/>
      <c r="IU81" s="228"/>
      <c r="IV81" s="228"/>
      <c r="IW81" s="228"/>
      <c r="IX81" s="228"/>
      <c r="IY81" s="228"/>
      <c r="IZ81" s="228"/>
      <c r="JA81" s="228"/>
      <c r="JB81" s="228"/>
      <c r="JC81" s="228"/>
      <c r="JD81" s="228"/>
      <c r="JE81" s="228"/>
      <c r="JF81" s="228"/>
      <c r="JG81" s="228"/>
      <c r="JH81" s="228"/>
      <c r="JI81" s="228"/>
      <c r="JJ81" s="228"/>
      <c r="JK81" s="228"/>
      <c r="JL81" s="228"/>
      <c r="JM81" s="228"/>
      <c r="JN81" s="228"/>
      <c r="JO81" s="228"/>
      <c r="JP81" s="228"/>
      <c r="JQ81" s="228"/>
      <c r="JR81" s="228"/>
      <c r="JS81" s="228"/>
      <c r="JT81" s="228"/>
      <c r="JU81" s="228"/>
      <c r="JV81" s="228"/>
      <c r="JW81" s="228"/>
      <c r="JX81" s="228"/>
      <c r="JY81" s="228"/>
      <c r="JZ81" s="228"/>
      <c r="KA81" s="228"/>
      <c r="KB81" s="228"/>
      <c r="KC81" s="228"/>
      <c r="KD81" s="228"/>
      <c r="KE81" s="228"/>
      <c r="KF81" s="228"/>
      <c r="KG81" s="228"/>
      <c r="KH81" s="228"/>
      <c r="KI81" s="228"/>
      <c r="KJ81" s="228"/>
      <c r="KK81" s="228"/>
      <c r="KL81" s="228"/>
      <c r="KM81" s="228"/>
      <c r="KN81" s="228"/>
      <c r="KO81" s="228"/>
      <c r="KP81" s="228"/>
      <c r="KQ81" s="228"/>
      <c r="KR81" s="228"/>
      <c r="KS81" s="228"/>
      <c r="KT81" s="228"/>
      <c r="KU81" s="228"/>
      <c r="KV81" s="228"/>
      <c r="KW81" s="228"/>
      <c r="KX81" s="228"/>
      <c r="KY81" s="228"/>
      <c r="KZ81" s="228"/>
      <c r="LA81" s="228"/>
      <c r="LB81" s="228"/>
      <c r="LC81" s="228"/>
      <c r="LD81" s="228"/>
      <c r="LE81" s="228"/>
      <c r="LF81" s="228"/>
      <c r="LG81" s="228"/>
      <c r="LH81" s="228"/>
      <c r="LI81" s="228"/>
      <c r="LJ81" s="228"/>
      <c r="LK81" s="228"/>
      <c r="LL81" s="228"/>
      <c r="LM81" s="228"/>
      <c r="LN81" s="228"/>
      <c r="LO81" s="228"/>
      <c r="LP81" s="228"/>
      <c r="LQ81" s="228"/>
      <c r="LR81" s="228"/>
      <c r="LS81" s="228"/>
      <c r="LT81" s="228"/>
      <c r="LU81" s="228"/>
      <c r="LV81" s="228"/>
      <c r="LW81" s="228"/>
      <c r="LX81" s="228"/>
      <c r="LY81" s="228"/>
      <c r="LZ81" s="228"/>
      <c r="MA81" s="228"/>
      <c r="MB81" s="228"/>
      <c r="MC81" s="228"/>
      <c r="MD81" s="228"/>
      <c r="ME81" s="228"/>
      <c r="MF81" s="228"/>
      <c r="MG81" s="228"/>
      <c r="MH81" s="228"/>
      <c r="MI81" s="228"/>
      <c r="MJ81" s="228"/>
      <c r="MK81" s="228"/>
      <c r="ML81" s="228"/>
      <c r="MM81" s="228"/>
      <c r="MN81" s="228"/>
      <c r="MO81" s="228"/>
      <c r="MP81" s="228"/>
      <c r="MQ81" s="228"/>
      <c r="MR81" s="228"/>
      <c r="MS81" s="228"/>
      <c r="MT81" s="228"/>
      <c r="MU81" s="228"/>
      <c r="MV81" s="228"/>
      <c r="MW81" s="228"/>
      <c r="MX81" s="228"/>
      <c r="MY81" s="228"/>
      <c r="MZ81" s="228"/>
      <c r="NA81" s="228"/>
      <c r="NB81" s="228"/>
      <c r="NC81" s="228"/>
      <c r="ND81" s="228"/>
      <c r="NE81" s="228"/>
      <c r="NF81" s="228"/>
      <c r="NG81" s="228"/>
      <c r="NH81" s="228"/>
      <c r="NI81" s="228"/>
      <c r="NJ81" s="228"/>
      <c r="NK81" s="228"/>
      <c r="NL81" s="228"/>
      <c r="NM81" s="228"/>
      <c r="NN81" s="228"/>
      <c r="NO81" s="228"/>
      <c r="NP81" s="228"/>
      <c r="NQ81" s="228"/>
      <c r="NR81" s="228"/>
      <c r="NS81" s="228"/>
      <c r="NT81" s="228"/>
      <c r="NU81" s="228"/>
      <c r="NV81" s="228"/>
      <c r="NW81" s="228"/>
      <c r="NX81" s="228"/>
      <c r="NY81" s="228"/>
      <c r="NZ81" s="228"/>
      <c r="OA81" s="228"/>
      <c r="OB81" s="228"/>
      <c r="OC81" s="228"/>
      <c r="OD81" s="228"/>
      <c r="OE81" s="228"/>
      <c r="OF81" s="228"/>
      <c r="OG81" s="228"/>
      <c r="OH81" s="228"/>
      <c r="OI81" s="228"/>
      <c r="OJ81" s="228"/>
      <c r="OK81" s="228"/>
      <c r="OL81" s="228"/>
      <c r="OM81" s="228"/>
      <c r="ON81" s="228"/>
      <c r="OO81" s="228"/>
      <c r="OP81" s="228"/>
      <c r="OQ81" s="228"/>
      <c r="OR81" s="228"/>
      <c r="OS81" s="228"/>
      <c r="OT81" s="228"/>
      <c r="OU81" s="228"/>
      <c r="OV81" s="228"/>
      <c r="OW81" s="228"/>
      <c r="OX81" s="228"/>
      <c r="OY81" s="228"/>
      <c r="OZ81" s="228"/>
      <c r="PA81" s="228"/>
      <c r="PB81" s="228"/>
      <c r="PC81" s="228"/>
      <c r="PD81" s="228"/>
      <c r="PE81" s="228"/>
      <c r="PF81" s="228"/>
      <c r="PG81" s="228"/>
      <c r="PH81" s="228"/>
      <c r="PI81" s="228"/>
      <c r="PJ81" s="228"/>
      <c r="PK81" s="228"/>
      <c r="PL81" s="228"/>
      <c r="PM81" s="228"/>
      <c r="PN81" s="228"/>
      <c r="PO81" s="228"/>
      <c r="PP81" s="228"/>
      <c r="PQ81" s="228"/>
      <c r="PR81" s="228"/>
      <c r="PS81" s="228"/>
      <c r="PT81" s="228"/>
      <c r="PU81" s="228"/>
      <c r="PV81" s="228"/>
      <c r="PW81" s="228"/>
      <c r="PX81" s="228"/>
      <c r="PY81" s="228"/>
      <c r="PZ81" s="228"/>
      <c r="QA81" s="228"/>
      <c r="QB81" s="228"/>
      <c r="QC81" s="228"/>
      <c r="QD81" s="228"/>
      <c r="QE81" s="228"/>
      <c r="QF81" s="228"/>
      <c r="QG81" s="228"/>
      <c r="QH81" s="228"/>
      <c r="QI81" s="228"/>
      <c r="QJ81" s="228"/>
      <c r="QK81" s="228"/>
      <c r="QL81" s="228"/>
      <c r="QM81" s="228"/>
      <c r="QN81" s="228"/>
      <c r="QO81" s="228"/>
      <c r="QP81" s="228"/>
      <c r="QQ81" s="228"/>
      <c r="QR81" s="228"/>
      <c r="QS81" s="228"/>
      <c r="QT81" s="228"/>
      <c r="QU81" s="228"/>
      <c r="QV81" s="228"/>
      <c r="QW81" s="228"/>
      <c r="QX81" s="228"/>
      <c r="QY81" s="228"/>
      <c r="QZ81" s="228"/>
      <c r="RA81" s="228"/>
      <c r="RB81" s="228"/>
      <c r="RC81" s="228"/>
      <c r="RD81" s="228"/>
      <c r="RE81" s="228"/>
      <c r="RF81" s="228"/>
      <c r="RG81" s="228"/>
      <c r="RH81" s="228"/>
      <c r="RI81" s="228"/>
      <c r="RJ81" s="228"/>
      <c r="RK81" s="228"/>
      <c r="RL81" s="228"/>
      <c r="RM81" s="228"/>
      <c r="RN81" s="228"/>
      <c r="RO81" s="228"/>
      <c r="RP81" s="228"/>
      <c r="RQ81" s="228"/>
      <c r="RR81" s="228"/>
      <c r="RS81" s="228"/>
      <c r="RT81" s="228"/>
      <c r="RU81" s="228"/>
      <c r="RV81" s="228"/>
      <c r="RW81" s="228"/>
      <c r="RX81" s="228"/>
      <c r="RY81" s="228"/>
      <c r="RZ81" s="228"/>
      <c r="SA81" s="228"/>
      <c r="SB81" s="228"/>
      <c r="SC81" s="228"/>
      <c r="SD81" s="228"/>
      <c r="SE81" s="228"/>
      <c r="SF81" s="228"/>
      <c r="SG81" s="228"/>
    </row>
    <row r="82" spans="2:501" ht="69.75" customHeight="1">
      <c r="C82" s="227" t="s">
        <v>2076</v>
      </c>
      <c r="D82" s="225" t="s">
        <v>2077</v>
      </c>
      <c r="E82" s="225" t="s">
        <v>2078</v>
      </c>
      <c r="F82" s="225" t="s">
        <v>2079</v>
      </c>
      <c r="G82" s="225" t="s">
        <v>1740</v>
      </c>
      <c r="H82" s="225" t="s">
        <v>1741</v>
      </c>
      <c r="I82" s="226" t="s">
        <v>2080</v>
      </c>
      <c r="J82" s="226" t="s">
        <v>1740</v>
      </c>
      <c r="K82" s="225" t="s">
        <v>1844</v>
      </c>
      <c r="L82" s="225" t="s">
        <v>1760</v>
      </c>
      <c r="M82" s="226" t="s">
        <v>2081</v>
      </c>
      <c r="N82" s="228"/>
      <c r="O82" s="228"/>
      <c r="P82" s="228"/>
      <c r="Q82" s="228"/>
      <c r="R82" s="228"/>
      <c r="S82" s="228"/>
      <c r="T82" s="228"/>
      <c r="U82" s="228"/>
      <c r="V82" s="228"/>
      <c r="W82" s="228"/>
      <c r="X82" s="228"/>
      <c r="Y82" s="228"/>
      <c r="Z82" s="228"/>
      <c r="AA82" s="228"/>
      <c r="AB82" s="228"/>
      <c r="AC82" s="228"/>
      <c r="AD82" s="228"/>
      <c r="AE82" s="228"/>
      <c r="AF82" s="228"/>
      <c r="AG82" s="228"/>
      <c r="AH82" s="228"/>
      <c r="AI82" s="228"/>
      <c r="AJ82" s="228"/>
      <c r="AK82" s="228"/>
      <c r="AL82" s="228"/>
      <c r="AM82" s="228"/>
      <c r="AN82" s="228"/>
      <c r="AO82" s="228"/>
      <c r="AP82" s="228"/>
      <c r="AQ82" s="228"/>
      <c r="AR82" s="228"/>
      <c r="AS82" s="228"/>
      <c r="AT82" s="228"/>
      <c r="AU82" s="228"/>
      <c r="AV82" s="228"/>
      <c r="AW82" s="228"/>
      <c r="AX82" s="228"/>
      <c r="AY82" s="228"/>
      <c r="AZ82" s="228"/>
      <c r="BA82" s="228"/>
      <c r="BB82" s="228"/>
      <c r="BC82" s="228"/>
      <c r="BD82" s="228"/>
      <c r="BE82" s="228"/>
      <c r="BF82" s="228"/>
      <c r="BG82" s="228"/>
      <c r="BH82" s="228"/>
      <c r="BI82" s="228"/>
      <c r="BJ82" s="228"/>
      <c r="BK82" s="228"/>
      <c r="BL82" s="228"/>
      <c r="BM82" s="228"/>
      <c r="BN82" s="228"/>
      <c r="BO82" s="228"/>
      <c r="BP82" s="228"/>
      <c r="BQ82" s="228"/>
      <c r="BR82" s="228"/>
      <c r="BS82" s="228"/>
      <c r="BT82" s="228"/>
      <c r="BU82" s="228"/>
      <c r="BV82" s="228"/>
      <c r="BW82" s="228"/>
      <c r="BX82" s="228"/>
      <c r="BY82" s="228"/>
      <c r="BZ82" s="228"/>
      <c r="CA82" s="228"/>
      <c r="CB82" s="228"/>
      <c r="CC82" s="228"/>
      <c r="CD82" s="228"/>
      <c r="CE82" s="228"/>
      <c r="CF82" s="228"/>
      <c r="CG82" s="228"/>
      <c r="CH82" s="228"/>
      <c r="CI82" s="228"/>
      <c r="CJ82" s="228"/>
      <c r="CK82" s="228"/>
      <c r="CL82" s="228"/>
      <c r="CM82" s="228"/>
      <c r="CN82" s="228"/>
      <c r="CO82" s="228"/>
      <c r="CP82" s="228"/>
      <c r="CQ82" s="228"/>
      <c r="CR82" s="228"/>
      <c r="CS82" s="228"/>
      <c r="CT82" s="228"/>
      <c r="CU82" s="228"/>
      <c r="CV82" s="228"/>
      <c r="CW82" s="228"/>
      <c r="CX82" s="228"/>
      <c r="CY82" s="228"/>
      <c r="CZ82" s="228"/>
      <c r="DA82" s="228"/>
      <c r="DB82" s="228"/>
      <c r="DC82" s="228"/>
      <c r="DD82" s="228"/>
      <c r="DE82" s="228"/>
      <c r="DF82" s="228"/>
      <c r="DG82" s="228"/>
      <c r="DH82" s="228"/>
      <c r="DI82" s="228"/>
      <c r="DJ82" s="228"/>
      <c r="DK82" s="228"/>
      <c r="DL82" s="228"/>
      <c r="DM82" s="228"/>
      <c r="DN82" s="228"/>
      <c r="DO82" s="228"/>
      <c r="DP82" s="228"/>
      <c r="DQ82" s="228"/>
      <c r="DR82" s="228"/>
      <c r="DS82" s="228"/>
      <c r="DT82" s="228"/>
      <c r="DU82" s="228"/>
      <c r="DV82" s="228"/>
      <c r="DW82" s="228"/>
      <c r="DX82" s="228"/>
      <c r="DY82" s="228"/>
      <c r="DZ82" s="228"/>
      <c r="EA82" s="228"/>
      <c r="EB82" s="228"/>
      <c r="EC82" s="228"/>
      <c r="ED82" s="228"/>
      <c r="EE82" s="228"/>
      <c r="EF82" s="228"/>
      <c r="EG82" s="228"/>
      <c r="EH82" s="228"/>
      <c r="EI82" s="228"/>
      <c r="EJ82" s="228"/>
      <c r="EK82" s="228"/>
      <c r="EL82" s="228"/>
      <c r="EM82" s="228"/>
      <c r="EN82" s="228"/>
      <c r="EO82" s="228"/>
      <c r="EP82" s="228"/>
      <c r="EQ82" s="228"/>
      <c r="ER82" s="228"/>
      <c r="ES82" s="228"/>
      <c r="ET82" s="228"/>
      <c r="EU82" s="228"/>
      <c r="EV82" s="228"/>
      <c r="EW82" s="228"/>
      <c r="EX82" s="228"/>
      <c r="EY82" s="228"/>
      <c r="EZ82" s="228"/>
      <c r="FA82" s="228"/>
      <c r="FB82" s="228"/>
      <c r="FC82" s="228"/>
      <c r="FD82" s="228"/>
      <c r="FE82" s="228"/>
      <c r="FF82" s="228"/>
      <c r="FG82" s="228"/>
      <c r="FH82" s="228"/>
      <c r="FI82" s="228"/>
      <c r="FJ82" s="228"/>
      <c r="FK82" s="228"/>
      <c r="FL82" s="228"/>
      <c r="FM82" s="228"/>
      <c r="FN82" s="228"/>
      <c r="FO82" s="228"/>
      <c r="FP82" s="228"/>
      <c r="FQ82" s="228"/>
      <c r="FR82" s="228"/>
      <c r="FS82" s="228"/>
      <c r="FT82" s="228"/>
      <c r="FU82" s="228"/>
      <c r="FV82" s="228"/>
      <c r="FW82" s="228"/>
      <c r="FX82" s="228"/>
      <c r="FY82" s="228"/>
      <c r="FZ82" s="228"/>
      <c r="GA82" s="228"/>
      <c r="GB82" s="228"/>
      <c r="GC82" s="228"/>
      <c r="GD82" s="228"/>
      <c r="GE82" s="228"/>
      <c r="GF82" s="228"/>
      <c r="GG82" s="228"/>
      <c r="GH82" s="228"/>
      <c r="GI82" s="228"/>
      <c r="GJ82" s="228"/>
      <c r="GK82" s="228"/>
      <c r="GL82" s="228"/>
      <c r="GM82" s="228"/>
      <c r="GN82" s="228"/>
      <c r="GO82" s="228"/>
      <c r="GP82" s="228"/>
      <c r="GQ82" s="228"/>
      <c r="GR82" s="228"/>
      <c r="GS82" s="228"/>
      <c r="GT82" s="228"/>
      <c r="GU82" s="228"/>
      <c r="GV82" s="228"/>
      <c r="GW82" s="228"/>
      <c r="GX82" s="228"/>
      <c r="GY82" s="228"/>
      <c r="GZ82" s="228"/>
      <c r="HA82" s="228"/>
      <c r="HB82" s="228"/>
      <c r="HC82" s="228"/>
      <c r="HD82" s="228"/>
      <c r="HE82" s="228"/>
      <c r="HF82" s="228"/>
      <c r="HG82" s="228"/>
      <c r="HH82" s="228"/>
      <c r="HI82" s="228"/>
      <c r="HJ82" s="228"/>
      <c r="HK82" s="228"/>
      <c r="HL82" s="228"/>
      <c r="HM82" s="228"/>
      <c r="HN82" s="228"/>
      <c r="HO82" s="228"/>
      <c r="HP82" s="228"/>
      <c r="HQ82" s="228"/>
      <c r="HR82" s="228"/>
      <c r="HS82" s="228"/>
      <c r="HT82" s="228"/>
      <c r="HU82" s="228"/>
      <c r="HV82" s="228"/>
      <c r="HW82" s="228"/>
      <c r="HX82" s="228"/>
      <c r="HY82" s="228"/>
      <c r="HZ82" s="228"/>
      <c r="IA82" s="228"/>
      <c r="IB82" s="228"/>
      <c r="IC82" s="228"/>
      <c r="ID82" s="228"/>
      <c r="IE82" s="228"/>
      <c r="IF82" s="228"/>
      <c r="IG82" s="228"/>
      <c r="IH82" s="228"/>
      <c r="II82" s="228"/>
      <c r="IJ82" s="228"/>
      <c r="IK82" s="228"/>
      <c r="IL82" s="228"/>
      <c r="IM82" s="228"/>
      <c r="IN82" s="228"/>
      <c r="IO82" s="228"/>
      <c r="IP82" s="228"/>
      <c r="IQ82" s="228"/>
      <c r="IR82" s="228"/>
      <c r="IS82" s="228"/>
      <c r="IT82" s="228"/>
      <c r="IU82" s="228"/>
      <c r="IV82" s="228"/>
      <c r="IW82" s="228"/>
      <c r="IX82" s="228"/>
      <c r="IY82" s="228"/>
      <c r="IZ82" s="228"/>
      <c r="JA82" s="228"/>
      <c r="JB82" s="228"/>
      <c r="JC82" s="228"/>
      <c r="JD82" s="228"/>
      <c r="JE82" s="228"/>
      <c r="JF82" s="228"/>
      <c r="JG82" s="228"/>
      <c r="JH82" s="228"/>
      <c r="JI82" s="228"/>
      <c r="JJ82" s="228"/>
      <c r="JK82" s="228"/>
      <c r="JL82" s="228"/>
      <c r="JM82" s="228"/>
      <c r="JN82" s="228"/>
      <c r="JO82" s="228"/>
      <c r="JP82" s="228"/>
      <c r="JQ82" s="228"/>
      <c r="JR82" s="228"/>
      <c r="JS82" s="228"/>
      <c r="JT82" s="228"/>
      <c r="JU82" s="228"/>
      <c r="JV82" s="228"/>
      <c r="JW82" s="228"/>
      <c r="JX82" s="228"/>
      <c r="JY82" s="228"/>
      <c r="JZ82" s="228"/>
      <c r="KA82" s="228"/>
      <c r="KB82" s="228"/>
      <c r="KC82" s="228"/>
      <c r="KD82" s="228"/>
      <c r="KE82" s="228"/>
      <c r="KF82" s="228"/>
      <c r="KG82" s="228"/>
      <c r="KH82" s="228"/>
      <c r="KI82" s="228"/>
      <c r="KJ82" s="228"/>
      <c r="KK82" s="228"/>
      <c r="KL82" s="228"/>
      <c r="KM82" s="228"/>
      <c r="KN82" s="228"/>
      <c r="KO82" s="228"/>
      <c r="KP82" s="228"/>
      <c r="KQ82" s="228"/>
      <c r="KR82" s="228"/>
      <c r="KS82" s="228"/>
      <c r="KT82" s="228"/>
      <c r="KU82" s="228"/>
      <c r="KV82" s="228"/>
      <c r="KW82" s="228"/>
      <c r="KX82" s="228"/>
      <c r="KY82" s="228"/>
      <c r="KZ82" s="228"/>
      <c r="LA82" s="228"/>
      <c r="LB82" s="228"/>
      <c r="LC82" s="228"/>
      <c r="LD82" s="228"/>
      <c r="LE82" s="228"/>
      <c r="LF82" s="228"/>
      <c r="LG82" s="228"/>
      <c r="LH82" s="228"/>
      <c r="LI82" s="228"/>
      <c r="LJ82" s="228"/>
      <c r="LK82" s="228"/>
      <c r="LL82" s="228"/>
      <c r="LM82" s="228"/>
      <c r="LN82" s="228"/>
      <c r="LO82" s="228"/>
      <c r="LP82" s="228"/>
      <c r="LQ82" s="228"/>
      <c r="LR82" s="228"/>
      <c r="LS82" s="228"/>
      <c r="LT82" s="228"/>
      <c r="LU82" s="228"/>
      <c r="LV82" s="228"/>
      <c r="LW82" s="228"/>
      <c r="LX82" s="228"/>
      <c r="LY82" s="228"/>
      <c r="LZ82" s="228"/>
      <c r="MA82" s="228"/>
      <c r="MB82" s="228"/>
      <c r="MC82" s="228"/>
      <c r="MD82" s="228"/>
      <c r="ME82" s="228"/>
      <c r="MF82" s="228"/>
      <c r="MG82" s="228"/>
      <c r="MH82" s="228"/>
      <c r="MI82" s="228"/>
      <c r="MJ82" s="228"/>
      <c r="MK82" s="228"/>
      <c r="ML82" s="228"/>
      <c r="MM82" s="228"/>
      <c r="MN82" s="228"/>
      <c r="MO82" s="228"/>
      <c r="MP82" s="228"/>
      <c r="MQ82" s="228"/>
      <c r="MR82" s="228"/>
      <c r="MS82" s="228"/>
      <c r="MT82" s="228"/>
      <c r="MU82" s="228"/>
      <c r="MV82" s="228"/>
      <c r="MW82" s="228"/>
      <c r="MX82" s="228"/>
      <c r="MY82" s="228"/>
      <c r="MZ82" s="228"/>
      <c r="NA82" s="228"/>
      <c r="NB82" s="228"/>
      <c r="NC82" s="228"/>
      <c r="ND82" s="228"/>
      <c r="NE82" s="228"/>
      <c r="NF82" s="228"/>
      <c r="NG82" s="228"/>
      <c r="NH82" s="228"/>
      <c r="NI82" s="228"/>
      <c r="NJ82" s="228"/>
      <c r="NK82" s="228"/>
      <c r="NL82" s="228"/>
      <c r="NM82" s="228"/>
      <c r="NN82" s="228"/>
      <c r="NO82" s="228"/>
      <c r="NP82" s="228"/>
      <c r="NQ82" s="228"/>
      <c r="NR82" s="228"/>
      <c r="NS82" s="228"/>
      <c r="NT82" s="228"/>
      <c r="NU82" s="228"/>
      <c r="NV82" s="228"/>
      <c r="NW82" s="228"/>
      <c r="NX82" s="228"/>
      <c r="NY82" s="228"/>
      <c r="NZ82" s="228"/>
      <c r="OA82" s="228"/>
      <c r="OB82" s="228"/>
      <c r="OC82" s="228"/>
      <c r="OD82" s="228"/>
      <c r="OE82" s="228"/>
      <c r="OF82" s="228"/>
      <c r="OG82" s="228"/>
      <c r="OH82" s="228"/>
      <c r="OI82" s="228"/>
      <c r="OJ82" s="228"/>
      <c r="OK82" s="228"/>
      <c r="OL82" s="228"/>
      <c r="OM82" s="228"/>
      <c r="ON82" s="228"/>
      <c r="OO82" s="228"/>
      <c r="OP82" s="228"/>
      <c r="OQ82" s="228"/>
      <c r="OR82" s="228"/>
      <c r="OS82" s="228"/>
      <c r="OT82" s="228"/>
      <c r="OU82" s="228"/>
      <c r="OV82" s="228"/>
      <c r="OW82" s="228"/>
      <c r="OX82" s="228"/>
      <c r="OY82" s="228"/>
      <c r="OZ82" s="228"/>
      <c r="PA82" s="228"/>
      <c r="PB82" s="228"/>
      <c r="PC82" s="228"/>
      <c r="PD82" s="228"/>
      <c r="PE82" s="228"/>
      <c r="PF82" s="228"/>
      <c r="PG82" s="228"/>
      <c r="PH82" s="228"/>
      <c r="PI82" s="228"/>
      <c r="PJ82" s="228"/>
      <c r="PK82" s="228"/>
      <c r="PL82" s="228"/>
      <c r="PM82" s="228"/>
      <c r="PN82" s="228"/>
      <c r="PO82" s="228"/>
      <c r="PP82" s="228"/>
      <c r="PQ82" s="228"/>
      <c r="PR82" s="228"/>
      <c r="PS82" s="228"/>
      <c r="PT82" s="228"/>
      <c r="PU82" s="228"/>
      <c r="PV82" s="228"/>
      <c r="PW82" s="228"/>
      <c r="PX82" s="228"/>
      <c r="PY82" s="228"/>
      <c r="PZ82" s="228"/>
      <c r="QA82" s="228"/>
      <c r="QB82" s="228"/>
      <c r="QC82" s="228"/>
      <c r="QD82" s="228"/>
      <c r="QE82" s="228"/>
      <c r="QF82" s="228"/>
      <c r="QG82" s="228"/>
      <c r="QH82" s="228"/>
      <c r="QI82" s="228"/>
      <c r="QJ82" s="228"/>
      <c r="QK82" s="228"/>
      <c r="QL82" s="228"/>
      <c r="QM82" s="228"/>
      <c r="QN82" s="228"/>
      <c r="QO82" s="228"/>
      <c r="QP82" s="228"/>
      <c r="QQ82" s="228"/>
      <c r="QR82" s="228"/>
      <c r="QS82" s="228"/>
      <c r="QT82" s="228"/>
      <c r="QU82" s="228"/>
      <c r="QV82" s="228"/>
      <c r="QW82" s="228"/>
      <c r="QX82" s="228"/>
      <c r="QY82" s="228"/>
      <c r="QZ82" s="228"/>
      <c r="RA82" s="228"/>
      <c r="RB82" s="228"/>
      <c r="RC82" s="228"/>
      <c r="RD82" s="228"/>
      <c r="RE82" s="228"/>
      <c r="RF82" s="228"/>
      <c r="RG82" s="228"/>
      <c r="RH82" s="228"/>
      <c r="RI82" s="228"/>
      <c r="RJ82" s="228"/>
      <c r="RK82" s="228"/>
      <c r="RL82" s="228"/>
      <c r="RM82" s="228"/>
      <c r="RN82" s="228"/>
      <c r="RO82" s="228"/>
      <c r="RP82" s="228"/>
      <c r="RQ82" s="228"/>
      <c r="RR82" s="228"/>
      <c r="RS82" s="228"/>
      <c r="RT82" s="228"/>
      <c r="RU82" s="228"/>
      <c r="RV82" s="228"/>
      <c r="RW82" s="228"/>
      <c r="RX82" s="228"/>
      <c r="RY82" s="228"/>
      <c r="RZ82" s="228"/>
      <c r="SA82" s="228"/>
      <c r="SB82" s="228"/>
      <c r="SC82" s="228"/>
      <c r="SD82" s="228"/>
      <c r="SE82" s="228"/>
      <c r="SF82" s="228"/>
      <c r="SG82" s="228"/>
    </row>
    <row r="83" spans="2:501" ht="69.75" customHeight="1">
      <c r="C83" s="227" t="s">
        <v>2082</v>
      </c>
      <c r="D83" s="225" t="s">
        <v>2083</v>
      </c>
      <c r="E83" s="225" t="s">
        <v>2084</v>
      </c>
      <c r="F83" s="225" t="s">
        <v>2085</v>
      </c>
      <c r="G83" s="225" t="s">
        <v>1740</v>
      </c>
      <c r="H83" s="225" t="s">
        <v>1741</v>
      </c>
      <c r="I83" s="226" t="s">
        <v>2086</v>
      </c>
      <c r="J83" s="226" t="s">
        <v>1740</v>
      </c>
      <c r="K83" s="225" t="s">
        <v>1844</v>
      </c>
      <c r="L83" s="225" t="s">
        <v>1760</v>
      </c>
      <c r="M83" s="226" t="s">
        <v>2087</v>
      </c>
      <c r="N83" s="228"/>
      <c r="O83" s="228"/>
      <c r="P83" s="228"/>
      <c r="Q83" s="228"/>
      <c r="R83" s="228"/>
      <c r="S83" s="228"/>
      <c r="T83" s="228"/>
      <c r="U83" s="228"/>
      <c r="V83" s="228"/>
      <c r="W83" s="228"/>
      <c r="X83" s="228"/>
      <c r="Y83" s="228"/>
      <c r="Z83" s="228"/>
      <c r="AA83" s="228"/>
      <c r="AB83" s="228"/>
      <c r="AC83" s="228"/>
      <c r="AD83" s="228"/>
      <c r="AE83" s="228"/>
      <c r="AF83" s="228"/>
      <c r="AG83" s="228"/>
      <c r="AH83" s="228"/>
      <c r="AI83" s="228"/>
      <c r="AJ83" s="228"/>
      <c r="AK83" s="228"/>
      <c r="AL83" s="228"/>
      <c r="AM83" s="228"/>
      <c r="AN83" s="228"/>
      <c r="AO83" s="228"/>
      <c r="AP83" s="228"/>
      <c r="AQ83" s="228"/>
      <c r="AR83" s="228"/>
      <c r="AS83" s="228"/>
      <c r="AT83" s="228"/>
      <c r="AU83" s="228"/>
      <c r="AV83" s="228"/>
      <c r="AW83" s="228"/>
      <c r="AX83" s="228"/>
      <c r="AY83" s="228"/>
      <c r="AZ83" s="228"/>
      <c r="BA83" s="228"/>
      <c r="BB83" s="228"/>
      <c r="BC83" s="228"/>
      <c r="BD83" s="228"/>
      <c r="BE83" s="228"/>
      <c r="BF83" s="228"/>
      <c r="BG83" s="228"/>
      <c r="BH83" s="228"/>
      <c r="BI83" s="228"/>
      <c r="BJ83" s="228"/>
      <c r="BK83" s="228"/>
      <c r="BL83" s="228"/>
      <c r="BM83" s="228"/>
      <c r="BN83" s="228"/>
      <c r="BO83" s="228"/>
      <c r="BP83" s="228"/>
      <c r="BQ83" s="228"/>
      <c r="BR83" s="228"/>
      <c r="BS83" s="228"/>
      <c r="BT83" s="228"/>
      <c r="BU83" s="228"/>
      <c r="BV83" s="228"/>
      <c r="BW83" s="228"/>
      <c r="BX83" s="228"/>
      <c r="BY83" s="228"/>
      <c r="BZ83" s="228"/>
      <c r="CA83" s="228"/>
      <c r="CB83" s="228"/>
      <c r="CC83" s="228"/>
      <c r="CD83" s="228"/>
      <c r="CE83" s="228"/>
      <c r="CF83" s="228"/>
      <c r="CG83" s="228"/>
      <c r="CH83" s="228"/>
      <c r="CI83" s="228"/>
      <c r="CJ83" s="228"/>
      <c r="CK83" s="228"/>
      <c r="CL83" s="228"/>
      <c r="CM83" s="228"/>
      <c r="CN83" s="228"/>
      <c r="CO83" s="228"/>
      <c r="CP83" s="228"/>
      <c r="CQ83" s="228"/>
      <c r="CR83" s="228"/>
      <c r="CS83" s="228"/>
      <c r="CT83" s="228"/>
      <c r="CU83" s="228"/>
      <c r="CV83" s="228"/>
      <c r="CW83" s="228"/>
      <c r="CX83" s="228"/>
      <c r="CY83" s="228"/>
      <c r="CZ83" s="228"/>
      <c r="DA83" s="228"/>
      <c r="DB83" s="228"/>
      <c r="DC83" s="228"/>
      <c r="DD83" s="228"/>
      <c r="DE83" s="228"/>
      <c r="DF83" s="228"/>
      <c r="DG83" s="228"/>
      <c r="DH83" s="228"/>
      <c r="DI83" s="228"/>
      <c r="DJ83" s="228"/>
      <c r="DK83" s="228"/>
      <c r="DL83" s="228"/>
      <c r="DM83" s="228"/>
      <c r="DN83" s="228"/>
      <c r="DO83" s="228"/>
      <c r="DP83" s="228"/>
      <c r="DQ83" s="228"/>
      <c r="DR83" s="228"/>
      <c r="DS83" s="228"/>
      <c r="DT83" s="228"/>
      <c r="DU83" s="228"/>
      <c r="DV83" s="228"/>
      <c r="DW83" s="228"/>
      <c r="DX83" s="228"/>
      <c r="DY83" s="228"/>
      <c r="DZ83" s="228"/>
      <c r="EA83" s="228"/>
      <c r="EB83" s="228"/>
      <c r="EC83" s="228"/>
      <c r="ED83" s="228"/>
      <c r="EE83" s="228"/>
      <c r="EF83" s="228"/>
      <c r="EG83" s="228"/>
      <c r="EH83" s="228"/>
      <c r="EI83" s="228"/>
      <c r="EJ83" s="228"/>
      <c r="EK83" s="228"/>
      <c r="EL83" s="228"/>
      <c r="EM83" s="228"/>
      <c r="EN83" s="228"/>
      <c r="EO83" s="228"/>
      <c r="EP83" s="228"/>
      <c r="EQ83" s="228"/>
      <c r="ER83" s="228"/>
      <c r="ES83" s="228"/>
      <c r="ET83" s="228"/>
      <c r="EU83" s="228"/>
      <c r="EV83" s="228"/>
      <c r="EW83" s="228"/>
      <c r="EX83" s="228"/>
      <c r="EY83" s="228"/>
      <c r="EZ83" s="228"/>
      <c r="FA83" s="228"/>
      <c r="FB83" s="228"/>
      <c r="FC83" s="228"/>
      <c r="FD83" s="228"/>
      <c r="FE83" s="228"/>
      <c r="FF83" s="228"/>
      <c r="FG83" s="228"/>
      <c r="FH83" s="228"/>
      <c r="FI83" s="228"/>
      <c r="FJ83" s="228"/>
      <c r="FK83" s="228"/>
      <c r="FL83" s="228"/>
      <c r="FM83" s="228"/>
      <c r="FN83" s="228"/>
      <c r="FO83" s="228"/>
      <c r="FP83" s="228"/>
      <c r="FQ83" s="228"/>
      <c r="FR83" s="228"/>
      <c r="FS83" s="228"/>
      <c r="FT83" s="228"/>
      <c r="FU83" s="228"/>
      <c r="FV83" s="228"/>
      <c r="FW83" s="228"/>
      <c r="FX83" s="228"/>
      <c r="FY83" s="228"/>
      <c r="FZ83" s="228"/>
      <c r="GA83" s="228"/>
      <c r="GB83" s="228"/>
      <c r="GC83" s="228"/>
      <c r="GD83" s="228"/>
      <c r="GE83" s="228"/>
      <c r="GF83" s="228"/>
      <c r="GG83" s="228"/>
      <c r="GH83" s="228"/>
      <c r="GI83" s="228"/>
      <c r="GJ83" s="228"/>
      <c r="GK83" s="228"/>
      <c r="GL83" s="228"/>
      <c r="GM83" s="228"/>
      <c r="GN83" s="228"/>
      <c r="GO83" s="228"/>
      <c r="GP83" s="228"/>
      <c r="GQ83" s="228"/>
      <c r="GR83" s="228"/>
      <c r="GS83" s="228"/>
      <c r="GT83" s="228"/>
      <c r="GU83" s="228"/>
      <c r="GV83" s="228"/>
      <c r="GW83" s="228"/>
      <c r="GX83" s="228"/>
      <c r="GY83" s="228"/>
      <c r="GZ83" s="228"/>
      <c r="HA83" s="228"/>
      <c r="HB83" s="228"/>
      <c r="HC83" s="228"/>
      <c r="HD83" s="228"/>
      <c r="HE83" s="228"/>
      <c r="HF83" s="228"/>
      <c r="HG83" s="228"/>
      <c r="HH83" s="228"/>
      <c r="HI83" s="228"/>
      <c r="HJ83" s="228"/>
      <c r="HK83" s="228"/>
      <c r="HL83" s="228"/>
      <c r="HM83" s="228"/>
      <c r="HN83" s="228"/>
      <c r="HO83" s="228"/>
      <c r="HP83" s="228"/>
      <c r="HQ83" s="228"/>
      <c r="HR83" s="228"/>
      <c r="HS83" s="228"/>
      <c r="HT83" s="228"/>
      <c r="HU83" s="228"/>
      <c r="HV83" s="228"/>
      <c r="HW83" s="228"/>
      <c r="HX83" s="228"/>
      <c r="HY83" s="228"/>
      <c r="HZ83" s="228"/>
      <c r="IA83" s="228"/>
      <c r="IB83" s="228"/>
      <c r="IC83" s="228"/>
      <c r="ID83" s="228"/>
      <c r="IE83" s="228"/>
      <c r="IF83" s="228"/>
      <c r="IG83" s="228"/>
      <c r="IH83" s="228"/>
      <c r="II83" s="228"/>
      <c r="IJ83" s="228"/>
      <c r="IK83" s="228"/>
      <c r="IL83" s="228"/>
      <c r="IM83" s="228"/>
      <c r="IN83" s="228"/>
      <c r="IO83" s="228"/>
      <c r="IP83" s="228"/>
      <c r="IQ83" s="228"/>
      <c r="IR83" s="228"/>
      <c r="IS83" s="228"/>
      <c r="IT83" s="228"/>
      <c r="IU83" s="228"/>
      <c r="IV83" s="228"/>
      <c r="IW83" s="228"/>
      <c r="IX83" s="228"/>
      <c r="IY83" s="228"/>
      <c r="IZ83" s="228"/>
      <c r="JA83" s="228"/>
      <c r="JB83" s="228"/>
      <c r="JC83" s="228"/>
      <c r="JD83" s="228"/>
      <c r="JE83" s="228"/>
      <c r="JF83" s="228"/>
      <c r="JG83" s="228"/>
      <c r="JH83" s="228"/>
      <c r="JI83" s="228"/>
      <c r="JJ83" s="228"/>
      <c r="JK83" s="228"/>
      <c r="JL83" s="228"/>
      <c r="JM83" s="228"/>
      <c r="JN83" s="228"/>
      <c r="JO83" s="228"/>
      <c r="JP83" s="228"/>
      <c r="JQ83" s="228"/>
      <c r="JR83" s="228"/>
      <c r="JS83" s="228"/>
      <c r="JT83" s="228"/>
      <c r="JU83" s="228"/>
      <c r="JV83" s="228"/>
      <c r="JW83" s="228"/>
      <c r="JX83" s="228"/>
      <c r="JY83" s="228"/>
      <c r="JZ83" s="228"/>
      <c r="KA83" s="228"/>
      <c r="KB83" s="228"/>
      <c r="KC83" s="228"/>
      <c r="KD83" s="228"/>
      <c r="KE83" s="228"/>
      <c r="KF83" s="228"/>
      <c r="KG83" s="228"/>
      <c r="KH83" s="228"/>
      <c r="KI83" s="228"/>
      <c r="KJ83" s="228"/>
      <c r="KK83" s="228"/>
      <c r="KL83" s="228"/>
      <c r="KM83" s="228"/>
      <c r="KN83" s="228"/>
      <c r="KO83" s="228"/>
      <c r="KP83" s="228"/>
      <c r="KQ83" s="228"/>
      <c r="KR83" s="228"/>
      <c r="KS83" s="228"/>
      <c r="KT83" s="228"/>
      <c r="KU83" s="228"/>
      <c r="KV83" s="228"/>
      <c r="KW83" s="228"/>
      <c r="KX83" s="228"/>
      <c r="KY83" s="228"/>
      <c r="KZ83" s="228"/>
      <c r="LA83" s="228"/>
      <c r="LB83" s="228"/>
      <c r="LC83" s="228"/>
      <c r="LD83" s="228"/>
      <c r="LE83" s="228"/>
      <c r="LF83" s="228"/>
      <c r="LG83" s="228"/>
      <c r="LH83" s="228"/>
      <c r="LI83" s="228"/>
      <c r="LJ83" s="228"/>
      <c r="LK83" s="228"/>
      <c r="LL83" s="228"/>
      <c r="LM83" s="228"/>
      <c r="LN83" s="228"/>
      <c r="LO83" s="228"/>
      <c r="LP83" s="228"/>
      <c r="LQ83" s="228"/>
      <c r="LR83" s="228"/>
      <c r="LS83" s="228"/>
      <c r="LT83" s="228"/>
      <c r="LU83" s="228"/>
      <c r="LV83" s="228"/>
      <c r="LW83" s="228"/>
      <c r="LX83" s="228"/>
      <c r="LY83" s="228"/>
      <c r="LZ83" s="228"/>
      <c r="MA83" s="228"/>
      <c r="MB83" s="228"/>
      <c r="MC83" s="228"/>
      <c r="MD83" s="228"/>
      <c r="ME83" s="228"/>
      <c r="MF83" s="228"/>
      <c r="MG83" s="228"/>
      <c r="MH83" s="228"/>
      <c r="MI83" s="228"/>
      <c r="MJ83" s="228"/>
      <c r="MK83" s="228"/>
      <c r="ML83" s="228"/>
      <c r="MM83" s="228"/>
      <c r="MN83" s="228"/>
      <c r="MO83" s="228"/>
      <c r="MP83" s="228"/>
      <c r="MQ83" s="228"/>
      <c r="MR83" s="228"/>
      <c r="MS83" s="228"/>
      <c r="MT83" s="228"/>
      <c r="MU83" s="228"/>
      <c r="MV83" s="228"/>
      <c r="MW83" s="228"/>
      <c r="MX83" s="228"/>
      <c r="MY83" s="228"/>
      <c r="MZ83" s="228"/>
      <c r="NA83" s="228"/>
      <c r="NB83" s="228"/>
      <c r="NC83" s="228"/>
      <c r="ND83" s="228"/>
      <c r="NE83" s="228"/>
      <c r="NF83" s="228"/>
      <c r="NG83" s="228"/>
      <c r="NH83" s="228"/>
      <c r="NI83" s="228"/>
      <c r="NJ83" s="228"/>
      <c r="NK83" s="228"/>
      <c r="NL83" s="228"/>
      <c r="NM83" s="228"/>
      <c r="NN83" s="228"/>
      <c r="NO83" s="228"/>
      <c r="NP83" s="228"/>
      <c r="NQ83" s="228"/>
      <c r="NR83" s="228"/>
      <c r="NS83" s="228"/>
      <c r="NT83" s="228"/>
      <c r="NU83" s="228"/>
      <c r="NV83" s="228"/>
      <c r="NW83" s="228"/>
      <c r="NX83" s="228"/>
      <c r="NY83" s="228"/>
      <c r="NZ83" s="228"/>
      <c r="OA83" s="228"/>
      <c r="OB83" s="228"/>
      <c r="OC83" s="228"/>
      <c r="OD83" s="228"/>
      <c r="OE83" s="228"/>
      <c r="OF83" s="228"/>
      <c r="OG83" s="228"/>
      <c r="OH83" s="228"/>
      <c r="OI83" s="228"/>
      <c r="OJ83" s="228"/>
      <c r="OK83" s="228"/>
      <c r="OL83" s="228"/>
      <c r="OM83" s="228"/>
      <c r="ON83" s="228"/>
      <c r="OO83" s="228"/>
      <c r="OP83" s="228"/>
      <c r="OQ83" s="228"/>
      <c r="OR83" s="228"/>
      <c r="OS83" s="228"/>
      <c r="OT83" s="228"/>
      <c r="OU83" s="228"/>
      <c r="OV83" s="228"/>
      <c r="OW83" s="228"/>
      <c r="OX83" s="228"/>
      <c r="OY83" s="228"/>
      <c r="OZ83" s="228"/>
      <c r="PA83" s="228"/>
      <c r="PB83" s="228"/>
      <c r="PC83" s="228"/>
      <c r="PD83" s="228"/>
      <c r="PE83" s="228"/>
      <c r="PF83" s="228"/>
      <c r="PG83" s="228"/>
      <c r="PH83" s="228"/>
      <c r="PI83" s="228"/>
      <c r="PJ83" s="228"/>
      <c r="PK83" s="228"/>
      <c r="PL83" s="228"/>
      <c r="PM83" s="228"/>
      <c r="PN83" s="228"/>
      <c r="PO83" s="228"/>
      <c r="PP83" s="228"/>
      <c r="PQ83" s="228"/>
      <c r="PR83" s="228"/>
      <c r="PS83" s="228"/>
      <c r="PT83" s="228"/>
      <c r="PU83" s="228"/>
      <c r="PV83" s="228"/>
      <c r="PW83" s="228"/>
      <c r="PX83" s="228"/>
      <c r="PY83" s="228"/>
      <c r="PZ83" s="228"/>
      <c r="QA83" s="228"/>
      <c r="QB83" s="228"/>
      <c r="QC83" s="228"/>
      <c r="QD83" s="228"/>
      <c r="QE83" s="228"/>
      <c r="QF83" s="228"/>
      <c r="QG83" s="228"/>
      <c r="QH83" s="228"/>
      <c r="QI83" s="228"/>
      <c r="QJ83" s="228"/>
      <c r="QK83" s="228"/>
      <c r="QL83" s="228"/>
      <c r="QM83" s="228"/>
      <c r="QN83" s="228"/>
      <c r="QO83" s="228"/>
      <c r="QP83" s="228"/>
      <c r="QQ83" s="228"/>
      <c r="QR83" s="228"/>
      <c r="QS83" s="228"/>
      <c r="QT83" s="228"/>
      <c r="QU83" s="228"/>
      <c r="QV83" s="228"/>
      <c r="QW83" s="228"/>
      <c r="QX83" s="228"/>
      <c r="QY83" s="228"/>
      <c r="QZ83" s="228"/>
      <c r="RA83" s="228"/>
      <c r="RB83" s="228"/>
      <c r="RC83" s="228"/>
      <c r="RD83" s="228"/>
      <c r="RE83" s="228"/>
      <c r="RF83" s="228"/>
      <c r="RG83" s="228"/>
      <c r="RH83" s="228"/>
      <c r="RI83" s="228"/>
      <c r="RJ83" s="228"/>
      <c r="RK83" s="228"/>
      <c r="RL83" s="228"/>
      <c r="RM83" s="228"/>
      <c r="RN83" s="228"/>
      <c r="RO83" s="228"/>
      <c r="RP83" s="228"/>
      <c r="RQ83" s="228"/>
      <c r="RR83" s="228"/>
      <c r="RS83" s="228"/>
      <c r="RT83" s="228"/>
      <c r="RU83" s="228"/>
      <c r="RV83" s="228"/>
      <c r="RW83" s="228"/>
      <c r="RX83" s="228"/>
      <c r="RY83" s="228"/>
      <c r="RZ83" s="228"/>
      <c r="SA83" s="228"/>
      <c r="SB83" s="228"/>
      <c r="SC83" s="228"/>
      <c r="SD83" s="228"/>
      <c r="SE83" s="228"/>
      <c r="SF83" s="228"/>
      <c r="SG83" s="228"/>
    </row>
    <row r="84" spans="2:501" ht="84" customHeight="1">
      <c r="C84" s="227" t="s">
        <v>2088</v>
      </c>
      <c r="D84" s="225" t="s">
        <v>2089</v>
      </c>
      <c r="E84" s="225" t="s">
        <v>2090</v>
      </c>
      <c r="F84" s="225" t="s">
        <v>2091</v>
      </c>
      <c r="G84" s="225" t="s">
        <v>1740</v>
      </c>
      <c r="H84" s="225" t="s">
        <v>1741</v>
      </c>
      <c r="I84" s="226" t="s">
        <v>2092</v>
      </c>
      <c r="J84" s="226" t="s">
        <v>1740</v>
      </c>
      <c r="K84" s="225" t="s">
        <v>1844</v>
      </c>
      <c r="L84" s="225" t="s">
        <v>1760</v>
      </c>
      <c r="M84" s="226" t="s">
        <v>2093</v>
      </c>
      <c r="N84" s="228"/>
      <c r="O84" s="228"/>
      <c r="P84" s="228"/>
      <c r="Q84" s="228"/>
      <c r="R84" s="228"/>
      <c r="S84" s="228"/>
      <c r="T84" s="228"/>
      <c r="U84" s="228"/>
      <c r="V84" s="228"/>
      <c r="W84" s="228"/>
      <c r="X84" s="228"/>
      <c r="Y84" s="228"/>
      <c r="Z84" s="228"/>
      <c r="AA84" s="228"/>
      <c r="AB84" s="228"/>
      <c r="AC84" s="228"/>
      <c r="AD84" s="228"/>
      <c r="AE84" s="228"/>
      <c r="AF84" s="228"/>
      <c r="AG84" s="228"/>
      <c r="AH84" s="228"/>
      <c r="AI84" s="228"/>
      <c r="AJ84" s="228"/>
      <c r="AK84" s="228"/>
      <c r="AL84" s="228"/>
      <c r="AM84" s="228"/>
      <c r="AN84" s="228"/>
      <c r="AO84" s="228"/>
      <c r="AP84" s="228"/>
      <c r="AQ84" s="228"/>
      <c r="AR84" s="228"/>
      <c r="AS84" s="228"/>
      <c r="AT84" s="228"/>
      <c r="AU84" s="228"/>
      <c r="AV84" s="228"/>
      <c r="AW84" s="228"/>
      <c r="AX84" s="228"/>
      <c r="AY84" s="228"/>
      <c r="AZ84" s="228"/>
      <c r="BA84" s="228"/>
      <c r="BB84" s="228"/>
      <c r="BC84" s="228"/>
      <c r="BD84" s="228"/>
      <c r="BE84" s="228"/>
      <c r="BF84" s="228"/>
      <c r="BG84" s="228"/>
      <c r="BH84" s="228"/>
      <c r="BI84" s="228"/>
      <c r="BJ84" s="228"/>
      <c r="BK84" s="228"/>
      <c r="BL84" s="228"/>
      <c r="BM84" s="228"/>
      <c r="BN84" s="228"/>
      <c r="BO84" s="228"/>
      <c r="BP84" s="228"/>
      <c r="BQ84" s="228"/>
      <c r="BR84" s="228"/>
      <c r="BS84" s="228"/>
      <c r="BT84" s="228"/>
      <c r="BU84" s="228"/>
      <c r="BV84" s="228"/>
      <c r="BW84" s="228"/>
      <c r="BX84" s="228"/>
      <c r="BY84" s="228"/>
      <c r="BZ84" s="228"/>
      <c r="CA84" s="228"/>
      <c r="CB84" s="228"/>
      <c r="CC84" s="228"/>
      <c r="CD84" s="228"/>
      <c r="CE84" s="228"/>
      <c r="CF84" s="228"/>
      <c r="CG84" s="228"/>
      <c r="CH84" s="228"/>
      <c r="CI84" s="228"/>
      <c r="CJ84" s="228"/>
      <c r="CK84" s="228"/>
      <c r="CL84" s="228"/>
      <c r="CM84" s="228"/>
      <c r="CN84" s="228"/>
      <c r="CO84" s="228"/>
      <c r="CP84" s="228"/>
      <c r="CQ84" s="228"/>
      <c r="CR84" s="228"/>
      <c r="CS84" s="228"/>
      <c r="CT84" s="228"/>
      <c r="CU84" s="228"/>
      <c r="CV84" s="228"/>
      <c r="CW84" s="228"/>
      <c r="CX84" s="228"/>
      <c r="CY84" s="228"/>
      <c r="CZ84" s="228"/>
      <c r="DA84" s="228"/>
      <c r="DB84" s="228"/>
      <c r="DC84" s="228"/>
      <c r="DD84" s="228"/>
      <c r="DE84" s="228"/>
      <c r="DF84" s="228"/>
      <c r="DG84" s="228"/>
      <c r="DH84" s="228"/>
      <c r="DI84" s="228"/>
      <c r="DJ84" s="228"/>
      <c r="DK84" s="228"/>
      <c r="DL84" s="228"/>
      <c r="DM84" s="228"/>
      <c r="DN84" s="228"/>
      <c r="DO84" s="228"/>
      <c r="DP84" s="228"/>
      <c r="DQ84" s="228"/>
      <c r="DR84" s="228"/>
      <c r="DS84" s="228"/>
      <c r="DT84" s="228"/>
      <c r="DU84" s="228"/>
      <c r="DV84" s="228"/>
      <c r="DW84" s="228"/>
      <c r="DX84" s="228"/>
      <c r="DY84" s="228"/>
      <c r="DZ84" s="228"/>
      <c r="EA84" s="228"/>
      <c r="EB84" s="228"/>
      <c r="EC84" s="228"/>
      <c r="ED84" s="228"/>
      <c r="EE84" s="228"/>
      <c r="EF84" s="228"/>
      <c r="EG84" s="228"/>
      <c r="EH84" s="228"/>
      <c r="EI84" s="228"/>
      <c r="EJ84" s="228"/>
      <c r="EK84" s="228"/>
      <c r="EL84" s="228"/>
      <c r="EM84" s="228"/>
      <c r="EN84" s="228"/>
      <c r="EO84" s="228"/>
      <c r="EP84" s="228"/>
      <c r="EQ84" s="228"/>
      <c r="ER84" s="228"/>
      <c r="ES84" s="228"/>
      <c r="ET84" s="228"/>
      <c r="EU84" s="228"/>
      <c r="EV84" s="228"/>
      <c r="EW84" s="228"/>
      <c r="EX84" s="228"/>
      <c r="EY84" s="228"/>
      <c r="EZ84" s="228"/>
      <c r="FA84" s="228"/>
      <c r="FB84" s="228"/>
      <c r="FC84" s="228"/>
      <c r="FD84" s="228"/>
      <c r="FE84" s="228"/>
      <c r="FF84" s="228"/>
      <c r="FG84" s="228"/>
      <c r="FH84" s="228"/>
      <c r="FI84" s="228"/>
      <c r="FJ84" s="228"/>
      <c r="FK84" s="228"/>
      <c r="FL84" s="228"/>
      <c r="FM84" s="228"/>
      <c r="FN84" s="228"/>
      <c r="FO84" s="228"/>
      <c r="FP84" s="228"/>
      <c r="FQ84" s="228"/>
      <c r="FR84" s="228"/>
      <c r="FS84" s="228"/>
      <c r="FT84" s="228"/>
      <c r="FU84" s="228"/>
      <c r="FV84" s="228"/>
      <c r="FW84" s="228"/>
      <c r="FX84" s="228"/>
      <c r="FY84" s="228"/>
      <c r="FZ84" s="228"/>
      <c r="GA84" s="228"/>
      <c r="GB84" s="228"/>
      <c r="GC84" s="228"/>
      <c r="GD84" s="228"/>
      <c r="GE84" s="228"/>
      <c r="GF84" s="228"/>
      <c r="GG84" s="228"/>
      <c r="GH84" s="228"/>
      <c r="GI84" s="228"/>
      <c r="GJ84" s="228"/>
      <c r="GK84" s="228"/>
      <c r="GL84" s="228"/>
      <c r="GM84" s="228"/>
      <c r="GN84" s="228"/>
      <c r="GO84" s="228"/>
      <c r="GP84" s="228"/>
      <c r="GQ84" s="228"/>
      <c r="GR84" s="228"/>
      <c r="GS84" s="228"/>
      <c r="GT84" s="228"/>
      <c r="GU84" s="228"/>
      <c r="GV84" s="228"/>
      <c r="GW84" s="228"/>
      <c r="GX84" s="228"/>
      <c r="GY84" s="228"/>
      <c r="GZ84" s="228"/>
      <c r="HA84" s="228"/>
      <c r="HB84" s="228"/>
      <c r="HC84" s="228"/>
      <c r="HD84" s="228"/>
      <c r="HE84" s="228"/>
      <c r="HF84" s="228"/>
      <c r="HG84" s="228"/>
      <c r="HH84" s="228"/>
      <c r="HI84" s="228"/>
      <c r="HJ84" s="228"/>
      <c r="HK84" s="228"/>
      <c r="HL84" s="228"/>
      <c r="HM84" s="228"/>
      <c r="HN84" s="228"/>
      <c r="HO84" s="228"/>
      <c r="HP84" s="228"/>
      <c r="HQ84" s="228"/>
      <c r="HR84" s="228"/>
      <c r="HS84" s="228"/>
      <c r="HT84" s="228"/>
      <c r="HU84" s="228"/>
      <c r="HV84" s="228"/>
      <c r="HW84" s="228"/>
      <c r="HX84" s="228"/>
      <c r="HY84" s="228"/>
      <c r="HZ84" s="228"/>
      <c r="IA84" s="228"/>
      <c r="IB84" s="228"/>
      <c r="IC84" s="228"/>
      <c r="ID84" s="228"/>
      <c r="IE84" s="228"/>
      <c r="IF84" s="228"/>
      <c r="IG84" s="228"/>
      <c r="IH84" s="228"/>
      <c r="II84" s="228"/>
      <c r="IJ84" s="228"/>
      <c r="IK84" s="228"/>
      <c r="IL84" s="228"/>
      <c r="IM84" s="228"/>
      <c r="IN84" s="228"/>
      <c r="IO84" s="228"/>
      <c r="IP84" s="228"/>
      <c r="IQ84" s="228"/>
      <c r="IR84" s="228"/>
      <c r="IS84" s="228"/>
      <c r="IT84" s="228"/>
      <c r="IU84" s="228"/>
      <c r="IV84" s="228"/>
      <c r="IW84" s="228"/>
      <c r="IX84" s="228"/>
      <c r="IY84" s="228"/>
      <c r="IZ84" s="228"/>
      <c r="JA84" s="228"/>
      <c r="JB84" s="228"/>
      <c r="JC84" s="228"/>
      <c r="JD84" s="228"/>
      <c r="JE84" s="228"/>
      <c r="JF84" s="228"/>
      <c r="JG84" s="228"/>
      <c r="JH84" s="228"/>
      <c r="JI84" s="228"/>
      <c r="JJ84" s="228"/>
      <c r="JK84" s="228"/>
      <c r="JL84" s="228"/>
      <c r="JM84" s="228"/>
      <c r="JN84" s="228"/>
      <c r="JO84" s="228"/>
      <c r="JP84" s="228"/>
      <c r="JQ84" s="228"/>
      <c r="JR84" s="228"/>
      <c r="JS84" s="228"/>
      <c r="JT84" s="228"/>
      <c r="JU84" s="228"/>
      <c r="JV84" s="228"/>
      <c r="JW84" s="228"/>
      <c r="JX84" s="228"/>
      <c r="JY84" s="228"/>
      <c r="JZ84" s="228"/>
      <c r="KA84" s="228"/>
      <c r="KB84" s="228"/>
      <c r="KC84" s="228"/>
      <c r="KD84" s="228"/>
      <c r="KE84" s="228"/>
      <c r="KF84" s="228"/>
      <c r="KG84" s="228"/>
      <c r="KH84" s="228"/>
      <c r="KI84" s="228"/>
      <c r="KJ84" s="228"/>
      <c r="KK84" s="228"/>
      <c r="KL84" s="228"/>
      <c r="KM84" s="228"/>
      <c r="KN84" s="228"/>
      <c r="KO84" s="228"/>
      <c r="KP84" s="228"/>
      <c r="KQ84" s="228"/>
      <c r="KR84" s="228"/>
      <c r="KS84" s="228"/>
      <c r="KT84" s="228"/>
      <c r="KU84" s="228"/>
      <c r="KV84" s="228"/>
      <c r="KW84" s="228"/>
      <c r="KX84" s="228"/>
      <c r="KY84" s="228"/>
      <c r="KZ84" s="228"/>
      <c r="LA84" s="228"/>
      <c r="LB84" s="228"/>
      <c r="LC84" s="228"/>
      <c r="LD84" s="228"/>
      <c r="LE84" s="228"/>
      <c r="LF84" s="228"/>
      <c r="LG84" s="228"/>
      <c r="LH84" s="228"/>
      <c r="LI84" s="228"/>
      <c r="LJ84" s="228"/>
      <c r="LK84" s="228"/>
      <c r="LL84" s="228"/>
      <c r="LM84" s="228"/>
      <c r="LN84" s="228"/>
      <c r="LO84" s="228"/>
      <c r="LP84" s="228"/>
      <c r="LQ84" s="228"/>
      <c r="LR84" s="228"/>
      <c r="LS84" s="228"/>
      <c r="LT84" s="228"/>
      <c r="LU84" s="228"/>
      <c r="LV84" s="228"/>
      <c r="LW84" s="228"/>
      <c r="LX84" s="228"/>
      <c r="LY84" s="228"/>
      <c r="LZ84" s="228"/>
      <c r="MA84" s="228"/>
      <c r="MB84" s="228"/>
      <c r="MC84" s="228"/>
      <c r="MD84" s="228"/>
      <c r="ME84" s="228"/>
      <c r="MF84" s="228"/>
      <c r="MG84" s="228"/>
      <c r="MH84" s="228"/>
      <c r="MI84" s="228"/>
      <c r="MJ84" s="228"/>
      <c r="MK84" s="228"/>
      <c r="ML84" s="228"/>
      <c r="MM84" s="228"/>
      <c r="MN84" s="228"/>
      <c r="MO84" s="228"/>
      <c r="MP84" s="228"/>
      <c r="MQ84" s="228"/>
      <c r="MR84" s="228"/>
      <c r="MS84" s="228"/>
      <c r="MT84" s="228"/>
      <c r="MU84" s="228"/>
      <c r="MV84" s="228"/>
      <c r="MW84" s="228"/>
      <c r="MX84" s="228"/>
      <c r="MY84" s="228"/>
      <c r="MZ84" s="228"/>
      <c r="NA84" s="228"/>
      <c r="NB84" s="228"/>
      <c r="NC84" s="228"/>
      <c r="ND84" s="228"/>
      <c r="NE84" s="228"/>
      <c r="NF84" s="228"/>
      <c r="NG84" s="228"/>
      <c r="NH84" s="228"/>
      <c r="NI84" s="228"/>
      <c r="NJ84" s="228"/>
      <c r="NK84" s="228"/>
      <c r="NL84" s="228"/>
      <c r="NM84" s="228"/>
      <c r="NN84" s="228"/>
      <c r="NO84" s="228"/>
      <c r="NP84" s="228"/>
      <c r="NQ84" s="228"/>
      <c r="NR84" s="228"/>
      <c r="NS84" s="228"/>
      <c r="NT84" s="228"/>
      <c r="NU84" s="228"/>
      <c r="NV84" s="228"/>
      <c r="NW84" s="228"/>
      <c r="NX84" s="228"/>
      <c r="NY84" s="228"/>
      <c r="NZ84" s="228"/>
      <c r="OA84" s="228"/>
      <c r="OB84" s="228"/>
      <c r="OC84" s="228"/>
      <c r="OD84" s="228"/>
      <c r="OE84" s="228"/>
      <c r="OF84" s="228"/>
      <c r="OG84" s="228"/>
      <c r="OH84" s="228"/>
      <c r="OI84" s="228"/>
      <c r="OJ84" s="228"/>
      <c r="OK84" s="228"/>
      <c r="OL84" s="228"/>
      <c r="OM84" s="228"/>
      <c r="ON84" s="228"/>
      <c r="OO84" s="228"/>
      <c r="OP84" s="228"/>
      <c r="OQ84" s="228"/>
      <c r="OR84" s="228"/>
      <c r="OS84" s="228"/>
      <c r="OT84" s="228"/>
      <c r="OU84" s="228"/>
      <c r="OV84" s="228"/>
      <c r="OW84" s="228"/>
      <c r="OX84" s="228"/>
      <c r="OY84" s="228"/>
      <c r="OZ84" s="228"/>
      <c r="PA84" s="228"/>
      <c r="PB84" s="228"/>
      <c r="PC84" s="228"/>
      <c r="PD84" s="228"/>
      <c r="PE84" s="228"/>
      <c r="PF84" s="228"/>
      <c r="PG84" s="228"/>
      <c r="PH84" s="228"/>
      <c r="PI84" s="228"/>
      <c r="PJ84" s="228"/>
      <c r="PK84" s="228"/>
      <c r="PL84" s="228"/>
      <c r="PM84" s="228"/>
      <c r="PN84" s="228"/>
      <c r="PO84" s="228"/>
      <c r="PP84" s="228"/>
      <c r="PQ84" s="228"/>
      <c r="PR84" s="228"/>
      <c r="PS84" s="228"/>
      <c r="PT84" s="228"/>
      <c r="PU84" s="228"/>
      <c r="PV84" s="228"/>
      <c r="PW84" s="228"/>
      <c r="PX84" s="228"/>
      <c r="PY84" s="228"/>
      <c r="PZ84" s="228"/>
      <c r="QA84" s="228"/>
      <c r="QB84" s="228"/>
      <c r="QC84" s="228"/>
      <c r="QD84" s="228"/>
      <c r="QE84" s="228"/>
      <c r="QF84" s="228"/>
      <c r="QG84" s="228"/>
      <c r="QH84" s="228"/>
      <c r="QI84" s="228"/>
      <c r="QJ84" s="228"/>
      <c r="QK84" s="228"/>
      <c r="QL84" s="228"/>
      <c r="QM84" s="228"/>
      <c r="QN84" s="228"/>
      <c r="QO84" s="228"/>
      <c r="QP84" s="228"/>
      <c r="QQ84" s="228"/>
      <c r="QR84" s="228"/>
      <c r="QS84" s="228"/>
      <c r="QT84" s="228"/>
      <c r="QU84" s="228"/>
      <c r="QV84" s="228"/>
      <c r="QW84" s="228"/>
      <c r="QX84" s="228"/>
      <c r="QY84" s="228"/>
      <c r="QZ84" s="228"/>
      <c r="RA84" s="228"/>
      <c r="RB84" s="228"/>
      <c r="RC84" s="228"/>
      <c r="RD84" s="228"/>
      <c r="RE84" s="228"/>
      <c r="RF84" s="228"/>
      <c r="RG84" s="228"/>
      <c r="RH84" s="228"/>
      <c r="RI84" s="228"/>
      <c r="RJ84" s="228"/>
      <c r="RK84" s="228"/>
      <c r="RL84" s="228"/>
      <c r="RM84" s="228"/>
      <c r="RN84" s="228"/>
      <c r="RO84" s="228"/>
      <c r="RP84" s="228"/>
      <c r="RQ84" s="228"/>
      <c r="RR84" s="228"/>
      <c r="RS84" s="228"/>
      <c r="RT84" s="228"/>
      <c r="RU84" s="228"/>
      <c r="RV84" s="228"/>
      <c r="RW84" s="228"/>
      <c r="RX84" s="228"/>
      <c r="RY84" s="228"/>
      <c r="RZ84" s="228"/>
      <c r="SA84" s="228"/>
      <c r="SB84" s="228"/>
      <c r="SC84" s="228"/>
      <c r="SD84" s="228"/>
      <c r="SE84" s="228"/>
      <c r="SF84" s="228"/>
      <c r="SG84" s="228"/>
    </row>
    <row r="85" spans="2:501" ht="84" customHeight="1">
      <c r="C85" s="227" t="s">
        <v>2094</v>
      </c>
      <c r="D85" s="225" t="s">
        <v>2095</v>
      </c>
      <c r="E85" s="225" t="s">
        <v>2096</v>
      </c>
      <c r="F85" s="225" t="s">
        <v>2097</v>
      </c>
      <c r="G85" s="225" t="s">
        <v>1740</v>
      </c>
      <c r="H85" s="225" t="s">
        <v>1741</v>
      </c>
      <c r="I85" s="226" t="s">
        <v>2098</v>
      </c>
      <c r="J85" s="226" t="s">
        <v>1740</v>
      </c>
      <c r="K85" s="225" t="s">
        <v>1844</v>
      </c>
      <c r="L85" s="225" t="s">
        <v>1760</v>
      </c>
      <c r="M85" s="226" t="s">
        <v>2099</v>
      </c>
      <c r="N85" s="228"/>
      <c r="O85" s="228"/>
      <c r="P85" s="228"/>
      <c r="Q85" s="228"/>
      <c r="R85" s="228"/>
      <c r="S85" s="228"/>
      <c r="T85" s="228"/>
      <c r="U85" s="228"/>
      <c r="V85" s="228"/>
      <c r="W85" s="228"/>
      <c r="X85" s="228"/>
      <c r="Y85" s="228"/>
      <c r="Z85" s="228"/>
      <c r="AA85" s="228"/>
      <c r="AB85" s="228"/>
      <c r="AC85" s="228"/>
      <c r="AD85" s="228"/>
      <c r="AE85" s="228"/>
      <c r="AF85" s="228"/>
      <c r="AG85" s="228"/>
      <c r="AH85" s="228"/>
      <c r="AI85" s="228"/>
      <c r="AJ85" s="228"/>
      <c r="AK85" s="228"/>
      <c r="AL85" s="228"/>
      <c r="AM85" s="228"/>
      <c r="AN85" s="228"/>
      <c r="AO85" s="228"/>
      <c r="AP85" s="228"/>
      <c r="AQ85" s="228"/>
      <c r="AR85" s="228"/>
      <c r="AS85" s="228"/>
      <c r="AT85" s="228"/>
      <c r="AU85" s="228"/>
      <c r="AV85" s="228"/>
      <c r="AW85" s="228"/>
      <c r="AX85" s="228"/>
      <c r="AY85" s="228"/>
      <c r="AZ85" s="228"/>
      <c r="BA85" s="228"/>
      <c r="BB85" s="228"/>
      <c r="BC85" s="228"/>
      <c r="BD85" s="228"/>
      <c r="BE85" s="228"/>
      <c r="BF85" s="228"/>
      <c r="BG85" s="228"/>
      <c r="BH85" s="228"/>
      <c r="BI85" s="228"/>
      <c r="BJ85" s="228"/>
      <c r="BK85" s="228"/>
      <c r="BL85" s="228"/>
      <c r="BM85" s="228"/>
      <c r="BN85" s="228"/>
      <c r="BO85" s="228"/>
      <c r="BP85" s="228"/>
      <c r="BQ85" s="228"/>
      <c r="BR85" s="228"/>
      <c r="BS85" s="228"/>
      <c r="BT85" s="228"/>
      <c r="BU85" s="228"/>
      <c r="BV85" s="228"/>
      <c r="BW85" s="228"/>
      <c r="BX85" s="228"/>
      <c r="BY85" s="228"/>
      <c r="BZ85" s="228"/>
      <c r="CA85" s="228"/>
      <c r="CB85" s="228"/>
      <c r="CC85" s="228"/>
      <c r="CD85" s="228"/>
      <c r="CE85" s="228"/>
      <c r="CF85" s="228"/>
      <c r="CG85" s="228"/>
      <c r="CH85" s="228"/>
      <c r="CI85" s="228"/>
      <c r="CJ85" s="228"/>
      <c r="CK85" s="228"/>
      <c r="CL85" s="228"/>
      <c r="CM85" s="228"/>
      <c r="CN85" s="228"/>
      <c r="CO85" s="228"/>
      <c r="CP85" s="228"/>
      <c r="CQ85" s="228"/>
      <c r="CR85" s="228"/>
      <c r="CS85" s="228"/>
      <c r="CT85" s="228"/>
      <c r="CU85" s="228"/>
      <c r="CV85" s="228"/>
      <c r="CW85" s="228"/>
      <c r="CX85" s="228"/>
      <c r="CY85" s="228"/>
      <c r="CZ85" s="228"/>
      <c r="DA85" s="228"/>
      <c r="DB85" s="228"/>
      <c r="DC85" s="228"/>
      <c r="DD85" s="228"/>
      <c r="DE85" s="228"/>
      <c r="DF85" s="228"/>
      <c r="DG85" s="228"/>
      <c r="DH85" s="228"/>
      <c r="DI85" s="228"/>
      <c r="DJ85" s="228"/>
      <c r="DK85" s="228"/>
      <c r="DL85" s="228"/>
      <c r="DM85" s="228"/>
      <c r="DN85" s="228"/>
      <c r="DO85" s="228"/>
      <c r="DP85" s="228"/>
      <c r="DQ85" s="228"/>
      <c r="DR85" s="228"/>
      <c r="DS85" s="228"/>
      <c r="DT85" s="228"/>
      <c r="DU85" s="228"/>
      <c r="DV85" s="228"/>
      <c r="DW85" s="228"/>
      <c r="DX85" s="228"/>
      <c r="DY85" s="228"/>
      <c r="DZ85" s="228"/>
      <c r="EA85" s="228"/>
      <c r="EB85" s="228"/>
      <c r="EC85" s="228"/>
      <c r="ED85" s="228"/>
      <c r="EE85" s="228"/>
      <c r="EF85" s="228"/>
      <c r="EG85" s="228"/>
      <c r="EH85" s="228"/>
      <c r="EI85" s="228"/>
      <c r="EJ85" s="228"/>
      <c r="EK85" s="228"/>
      <c r="EL85" s="228"/>
      <c r="EM85" s="228"/>
      <c r="EN85" s="228"/>
      <c r="EO85" s="228"/>
      <c r="EP85" s="228"/>
      <c r="EQ85" s="228"/>
      <c r="ER85" s="228"/>
      <c r="ES85" s="228"/>
      <c r="ET85" s="228"/>
      <c r="EU85" s="228"/>
      <c r="EV85" s="228"/>
      <c r="EW85" s="228"/>
      <c r="EX85" s="228"/>
      <c r="EY85" s="228"/>
      <c r="EZ85" s="228"/>
      <c r="FA85" s="228"/>
      <c r="FB85" s="228"/>
      <c r="FC85" s="228"/>
      <c r="FD85" s="228"/>
      <c r="FE85" s="228"/>
      <c r="FF85" s="228"/>
      <c r="FG85" s="228"/>
      <c r="FH85" s="228"/>
      <c r="FI85" s="228"/>
      <c r="FJ85" s="228"/>
      <c r="FK85" s="228"/>
      <c r="FL85" s="228"/>
      <c r="FM85" s="228"/>
      <c r="FN85" s="228"/>
      <c r="FO85" s="228"/>
      <c r="FP85" s="228"/>
      <c r="FQ85" s="228"/>
      <c r="FR85" s="228"/>
      <c r="FS85" s="228"/>
      <c r="FT85" s="228"/>
      <c r="FU85" s="228"/>
      <c r="FV85" s="228"/>
      <c r="FW85" s="228"/>
      <c r="FX85" s="228"/>
      <c r="FY85" s="228"/>
      <c r="FZ85" s="228"/>
      <c r="GA85" s="228"/>
      <c r="GB85" s="228"/>
      <c r="GC85" s="228"/>
      <c r="GD85" s="228"/>
      <c r="GE85" s="228"/>
      <c r="GF85" s="228"/>
      <c r="GG85" s="228"/>
      <c r="GH85" s="228"/>
      <c r="GI85" s="228"/>
      <c r="GJ85" s="228"/>
      <c r="GK85" s="228"/>
      <c r="GL85" s="228"/>
      <c r="GM85" s="228"/>
      <c r="GN85" s="228"/>
      <c r="GO85" s="228"/>
      <c r="GP85" s="228"/>
      <c r="GQ85" s="228"/>
      <c r="GR85" s="228"/>
      <c r="GS85" s="228"/>
      <c r="GT85" s="228"/>
      <c r="GU85" s="228"/>
      <c r="GV85" s="228"/>
      <c r="GW85" s="228"/>
      <c r="GX85" s="228"/>
      <c r="GY85" s="228"/>
      <c r="GZ85" s="228"/>
      <c r="HA85" s="228"/>
      <c r="HB85" s="228"/>
      <c r="HC85" s="228"/>
      <c r="HD85" s="228"/>
      <c r="HE85" s="228"/>
      <c r="HF85" s="228"/>
      <c r="HG85" s="228"/>
      <c r="HH85" s="228"/>
      <c r="HI85" s="228"/>
      <c r="HJ85" s="228"/>
      <c r="HK85" s="228"/>
      <c r="HL85" s="228"/>
      <c r="HM85" s="228"/>
      <c r="HN85" s="228"/>
      <c r="HO85" s="228"/>
      <c r="HP85" s="228"/>
      <c r="HQ85" s="228"/>
      <c r="HR85" s="228"/>
      <c r="HS85" s="228"/>
      <c r="HT85" s="228"/>
      <c r="HU85" s="228"/>
      <c r="HV85" s="228"/>
      <c r="HW85" s="228"/>
      <c r="HX85" s="228"/>
      <c r="HY85" s="228"/>
      <c r="HZ85" s="228"/>
      <c r="IA85" s="228"/>
      <c r="IB85" s="228"/>
      <c r="IC85" s="228"/>
      <c r="ID85" s="228"/>
      <c r="IE85" s="228"/>
      <c r="IF85" s="228"/>
      <c r="IG85" s="228"/>
      <c r="IH85" s="228"/>
      <c r="II85" s="228"/>
      <c r="IJ85" s="228"/>
      <c r="IK85" s="228"/>
      <c r="IL85" s="228"/>
      <c r="IM85" s="228"/>
      <c r="IN85" s="228"/>
      <c r="IO85" s="228"/>
      <c r="IP85" s="228"/>
      <c r="IQ85" s="228"/>
      <c r="IR85" s="228"/>
      <c r="IS85" s="228"/>
      <c r="IT85" s="228"/>
      <c r="IU85" s="228"/>
      <c r="IV85" s="228"/>
      <c r="IW85" s="228"/>
      <c r="IX85" s="228"/>
      <c r="IY85" s="228"/>
      <c r="IZ85" s="228"/>
      <c r="JA85" s="228"/>
      <c r="JB85" s="228"/>
      <c r="JC85" s="228"/>
      <c r="JD85" s="228"/>
      <c r="JE85" s="228"/>
      <c r="JF85" s="228"/>
      <c r="JG85" s="228"/>
      <c r="JH85" s="228"/>
      <c r="JI85" s="228"/>
      <c r="JJ85" s="228"/>
      <c r="JK85" s="228"/>
      <c r="JL85" s="228"/>
      <c r="JM85" s="228"/>
      <c r="JN85" s="228"/>
      <c r="JO85" s="228"/>
      <c r="JP85" s="228"/>
      <c r="JQ85" s="228"/>
      <c r="JR85" s="228"/>
      <c r="JS85" s="228"/>
      <c r="JT85" s="228"/>
      <c r="JU85" s="228"/>
      <c r="JV85" s="228"/>
      <c r="JW85" s="228"/>
      <c r="JX85" s="228"/>
      <c r="JY85" s="228"/>
      <c r="JZ85" s="228"/>
      <c r="KA85" s="228"/>
      <c r="KB85" s="228"/>
      <c r="KC85" s="228"/>
      <c r="KD85" s="228"/>
      <c r="KE85" s="228"/>
      <c r="KF85" s="228"/>
      <c r="KG85" s="228"/>
      <c r="KH85" s="228"/>
      <c r="KI85" s="228"/>
      <c r="KJ85" s="228"/>
      <c r="KK85" s="228"/>
      <c r="KL85" s="228"/>
      <c r="KM85" s="228"/>
      <c r="KN85" s="228"/>
      <c r="KO85" s="228"/>
      <c r="KP85" s="228"/>
      <c r="KQ85" s="228"/>
      <c r="KR85" s="228"/>
      <c r="KS85" s="228"/>
      <c r="KT85" s="228"/>
      <c r="KU85" s="228"/>
      <c r="KV85" s="228"/>
      <c r="KW85" s="228"/>
      <c r="KX85" s="228"/>
      <c r="KY85" s="228"/>
      <c r="KZ85" s="228"/>
      <c r="LA85" s="228"/>
      <c r="LB85" s="228"/>
      <c r="LC85" s="228"/>
      <c r="LD85" s="228"/>
      <c r="LE85" s="228"/>
      <c r="LF85" s="228"/>
      <c r="LG85" s="228"/>
      <c r="LH85" s="228"/>
      <c r="LI85" s="228"/>
      <c r="LJ85" s="228"/>
      <c r="LK85" s="228"/>
      <c r="LL85" s="228"/>
      <c r="LM85" s="228"/>
      <c r="LN85" s="228"/>
      <c r="LO85" s="228"/>
      <c r="LP85" s="228"/>
      <c r="LQ85" s="228"/>
      <c r="LR85" s="228"/>
      <c r="LS85" s="228"/>
      <c r="LT85" s="228"/>
      <c r="LU85" s="228"/>
      <c r="LV85" s="228"/>
      <c r="LW85" s="228"/>
      <c r="LX85" s="228"/>
      <c r="LY85" s="228"/>
      <c r="LZ85" s="228"/>
      <c r="MA85" s="228"/>
      <c r="MB85" s="228"/>
      <c r="MC85" s="228"/>
      <c r="MD85" s="228"/>
      <c r="ME85" s="228"/>
      <c r="MF85" s="228"/>
      <c r="MG85" s="228"/>
      <c r="MH85" s="228"/>
      <c r="MI85" s="228"/>
      <c r="MJ85" s="228"/>
      <c r="MK85" s="228"/>
      <c r="ML85" s="228"/>
      <c r="MM85" s="228"/>
      <c r="MN85" s="228"/>
      <c r="MO85" s="228"/>
      <c r="MP85" s="228"/>
      <c r="MQ85" s="228"/>
      <c r="MR85" s="228"/>
      <c r="MS85" s="228"/>
      <c r="MT85" s="228"/>
      <c r="MU85" s="228"/>
      <c r="MV85" s="228"/>
      <c r="MW85" s="228"/>
      <c r="MX85" s="228"/>
      <c r="MY85" s="228"/>
      <c r="MZ85" s="228"/>
      <c r="NA85" s="228"/>
      <c r="NB85" s="228"/>
      <c r="NC85" s="228"/>
      <c r="ND85" s="228"/>
      <c r="NE85" s="228"/>
      <c r="NF85" s="228"/>
      <c r="NG85" s="228"/>
      <c r="NH85" s="228"/>
      <c r="NI85" s="228"/>
      <c r="NJ85" s="228"/>
      <c r="NK85" s="228"/>
      <c r="NL85" s="228"/>
      <c r="NM85" s="228"/>
      <c r="NN85" s="228"/>
      <c r="NO85" s="228"/>
      <c r="NP85" s="228"/>
      <c r="NQ85" s="228"/>
      <c r="NR85" s="228"/>
      <c r="NS85" s="228"/>
      <c r="NT85" s="228"/>
      <c r="NU85" s="228"/>
      <c r="NV85" s="228"/>
      <c r="NW85" s="228"/>
      <c r="NX85" s="228"/>
      <c r="NY85" s="228"/>
      <c r="NZ85" s="228"/>
      <c r="OA85" s="228"/>
      <c r="OB85" s="228"/>
      <c r="OC85" s="228"/>
      <c r="OD85" s="228"/>
      <c r="OE85" s="228"/>
      <c r="OF85" s="228"/>
      <c r="OG85" s="228"/>
      <c r="OH85" s="228"/>
      <c r="OI85" s="228"/>
      <c r="OJ85" s="228"/>
      <c r="OK85" s="228"/>
      <c r="OL85" s="228"/>
      <c r="OM85" s="228"/>
      <c r="ON85" s="228"/>
      <c r="OO85" s="228"/>
      <c r="OP85" s="228"/>
      <c r="OQ85" s="228"/>
      <c r="OR85" s="228"/>
      <c r="OS85" s="228"/>
      <c r="OT85" s="228"/>
      <c r="OU85" s="228"/>
      <c r="OV85" s="228"/>
      <c r="OW85" s="228"/>
      <c r="OX85" s="228"/>
      <c r="OY85" s="228"/>
      <c r="OZ85" s="228"/>
      <c r="PA85" s="228"/>
      <c r="PB85" s="228"/>
      <c r="PC85" s="228"/>
      <c r="PD85" s="228"/>
      <c r="PE85" s="228"/>
      <c r="PF85" s="228"/>
      <c r="PG85" s="228"/>
      <c r="PH85" s="228"/>
      <c r="PI85" s="228"/>
      <c r="PJ85" s="228"/>
      <c r="PK85" s="228"/>
      <c r="PL85" s="228"/>
      <c r="PM85" s="228"/>
      <c r="PN85" s="228"/>
      <c r="PO85" s="228"/>
      <c r="PP85" s="228"/>
      <c r="PQ85" s="228"/>
      <c r="PR85" s="228"/>
      <c r="PS85" s="228"/>
      <c r="PT85" s="228"/>
      <c r="PU85" s="228"/>
      <c r="PV85" s="228"/>
      <c r="PW85" s="228"/>
      <c r="PX85" s="228"/>
      <c r="PY85" s="228"/>
      <c r="PZ85" s="228"/>
      <c r="QA85" s="228"/>
      <c r="QB85" s="228"/>
      <c r="QC85" s="228"/>
      <c r="QD85" s="228"/>
      <c r="QE85" s="228"/>
      <c r="QF85" s="228"/>
      <c r="QG85" s="228"/>
      <c r="QH85" s="228"/>
      <c r="QI85" s="228"/>
      <c r="QJ85" s="228"/>
      <c r="QK85" s="228"/>
      <c r="QL85" s="228"/>
      <c r="QM85" s="228"/>
      <c r="QN85" s="228"/>
      <c r="QO85" s="228"/>
      <c r="QP85" s="228"/>
      <c r="QQ85" s="228"/>
      <c r="QR85" s="228"/>
      <c r="QS85" s="228"/>
      <c r="QT85" s="228"/>
      <c r="QU85" s="228"/>
      <c r="QV85" s="228"/>
      <c r="QW85" s="228"/>
      <c r="QX85" s="228"/>
      <c r="QY85" s="228"/>
      <c r="QZ85" s="228"/>
      <c r="RA85" s="228"/>
      <c r="RB85" s="228"/>
      <c r="RC85" s="228"/>
      <c r="RD85" s="228"/>
      <c r="RE85" s="228"/>
      <c r="RF85" s="228"/>
      <c r="RG85" s="228"/>
      <c r="RH85" s="228"/>
      <c r="RI85" s="228"/>
      <c r="RJ85" s="228"/>
      <c r="RK85" s="228"/>
      <c r="RL85" s="228"/>
      <c r="RM85" s="228"/>
      <c r="RN85" s="228"/>
      <c r="RO85" s="228"/>
      <c r="RP85" s="228"/>
      <c r="RQ85" s="228"/>
      <c r="RR85" s="228"/>
      <c r="RS85" s="228"/>
      <c r="RT85" s="228"/>
      <c r="RU85" s="228"/>
      <c r="RV85" s="228"/>
      <c r="RW85" s="228"/>
      <c r="RX85" s="228"/>
      <c r="RY85" s="228"/>
      <c r="RZ85" s="228"/>
      <c r="SA85" s="228"/>
      <c r="SB85" s="228"/>
      <c r="SC85" s="228"/>
      <c r="SD85" s="228"/>
      <c r="SE85" s="228"/>
      <c r="SF85" s="228"/>
      <c r="SG85" s="228"/>
    </row>
    <row r="86" spans="2:501" ht="14.25" customHeight="1"/>
    <row r="87" spans="2:501" ht="14.25" customHeight="1">
      <c r="B87" s="222" t="s">
        <v>2100</v>
      </c>
      <c r="C87" s="222"/>
      <c r="D87" s="197"/>
      <c r="E87" s="198"/>
    </row>
    <row r="88" spans="2:501" ht="14.25" customHeight="1">
      <c r="C88" s="223" t="s">
        <v>1111</v>
      </c>
      <c r="D88" s="223" t="s">
        <v>93</v>
      </c>
      <c r="E88" s="223" t="s">
        <v>1727</v>
      </c>
      <c r="F88" s="223" t="s">
        <v>1728</v>
      </c>
      <c r="G88" s="223" t="s">
        <v>1729</v>
      </c>
      <c r="H88" s="223" t="s">
        <v>1730</v>
      </c>
      <c r="I88" s="223" t="s">
        <v>1731</v>
      </c>
      <c r="J88" s="223" t="s">
        <v>1732</v>
      </c>
      <c r="K88" s="223" t="s">
        <v>1733</v>
      </c>
      <c r="L88" s="223" t="s">
        <v>1734</v>
      </c>
      <c r="M88" s="223" t="s">
        <v>1735</v>
      </c>
      <c r="N88" s="228"/>
      <c r="O88" s="228"/>
      <c r="P88" s="228"/>
      <c r="Q88" s="228"/>
      <c r="R88" s="228"/>
      <c r="S88" s="228"/>
      <c r="T88" s="228"/>
      <c r="U88" s="228"/>
      <c r="V88" s="228"/>
      <c r="W88" s="228"/>
      <c r="X88" s="228"/>
      <c r="Y88" s="228"/>
      <c r="Z88" s="228"/>
      <c r="AA88" s="228"/>
      <c r="AB88" s="228"/>
      <c r="AC88" s="228"/>
      <c r="AD88" s="228"/>
      <c r="AE88" s="228"/>
      <c r="AF88" s="228"/>
      <c r="AG88" s="228"/>
      <c r="AH88" s="228"/>
      <c r="AI88" s="228"/>
      <c r="AJ88" s="228"/>
      <c r="AK88" s="228"/>
      <c r="AL88" s="228"/>
      <c r="AM88" s="228"/>
      <c r="AN88" s="228"/>
      <c r="AO88" s="228"/>
      <c r="AP88" s="228"/>
      <c r="AQ88" s="228"/>
      <c r="AR88" s="228"/>
      <c r="AS88" s="228"/>
      <c r="AT88" s="228"/>
      <c r="AU88" s="228"/>
      <c r="AV88" s="228"/>
      <c r="AW88" s="228"/>
      <c r="AX88" s="228"/>
      <c r="AY88" s="228"/>
      <c r="AZ88" s="228"/>
      <c r="BA88" s="228"/>
      <c r="BB88" s="228"/>
      <c r="BC88" s="228"/>
      <c r="BD88" s="228"/>
      <c r="BE88" s="228"/>
      <c r="BF88" s="228"/>
      <c r="BG88" s="228"/>
      <c r="BH88" s="228"/>
      <c r="BI88" s="228"/>
      <c r="BJ88" s="228"/>
      <c r="BK88" s="228"/>
      <c r="BL88" s="228"/>
      <c r="BM88" s="228"/>
      <c r="BN88" s="228"/>
      <c r="BO88" s="228"/>
      <c r="BP88" s="228"/>
      <c r="BQ88" s="228"/>
      <c r="BR88" s="228"/>
      <c r="BS88" s="228"/>
      <c r="BT88" s="228"/>
      <c r="BU88" s="228"/>
      <c r="BV88" s="228"/>
      <c r="BW88" s="228"/>
      <c r="BX88" s="228"/>
      <c r="BY88" s="228"/>
      <c r="BZ88" s="228"/>
      <c r="CA88" s="228"/>
      <c r="CB88" s="228"/>
      <c r="CC88" s="228"/>
      <c r="CD88" s="228"/>
      <c r="CE88" s="228"/>
      <c r="CF88" s="228"/>
      <c r="CG88" s="228"/>
      <c r="CH88" s="228"/>
      <c r="CI88" s="228"/>
      <c r="CJ88" s="228"/>
      <c r="CK88" s="228"/>
      <c r="CL88" s="228"/>
      <c r="CM88" s="228"/>
      <c r="CN88" s="228"/>
      <c r="CO88" s="228"/>
      <c r="CP88" s="228"/>
      <c r="CQ88" s="228"/>
      <c r="CR88" s="228"/>
      <c r="CS88" s="228"/>
      <c r="CT88" s="228"/>
      <c r="CU88" s="228"/>
      <c r="CV88" s="228"/>
      <c r="CW88" s="228"/>
      <c r="CX88" s="228"/>
      <c r="CY88" s="228"/>
      <c r="CZ88" s="228"/>
      <c r="DA88" s="228"/>
      <c r="DB88" s="228"/>
      <c r="DC88" s="228"/>
      <c r="DD88" s="228"/>
      <c r="DE88" s="228"/>
      <c r="DF88" s="228"/>
      <c r="DG88" s="228"/>
      <c r="DH88" s="228"/>
      <c r="DI88" s="228"/>
      <c r="DJ88" s="228"/>
      <c r="DK88" s="228"/>
      <c r="DL88" s="228"/>
      <c r="DM88" s="228"/>
      <c r="DN88" s="228"/>
      <c r="DO88" s="228"/>
      <c r="DP88" s="228"/>
      <c r="DQ88" s="228"/>
      <c r="DR88" s="228"/>
      <c r="DS88" s="228"/>
      <c r="DT88" s="228"/>
      <c r="DU88" s="228"/>
      <c r="DV88" s="228"/>
      <c r="DW88" s="228"/>
      <c r="DX88" s="228"/>
      <c r="DY88" s="228"/>
      <c r="DZ88" s="228"/>
      <c r="EA88" s="228"/>
      <c r="EB88" s="228"/>
      <c r="EC88" s="228"/>
      <c r="ED88" s="228"/>
      <c r="EE88" s="228"/>
      <c r="EF88" s="228"/>
      <c r="EG88" s="228"/>
      <c r="EH88" s="228"/>
      <c r="EI88" s="228"/>
      <c r="EJ88" s="228"/>
      <c r="EK88" s="228"/>
      <c r="EL88" s="228"/>
      <c r="EM88" s="228"/>
      <c r="EN88" s="228"/>
      <c r="EO88" s="228"/>
      <c r="EP88" s="228"/>
      <c r="EQ88" s="228"/>
      <c r="ER88" s="228"/>
      <c r="ES88" s="228"/>
      <c r="ET88" s="228"/>
      <c r="EU88" s="228"/>
      <c r="EV88" s="228"/>
      <c r="EW88" s="228"/>
      <c r="EX88" s="228"/>
      <c r="EY88" s="228"/>
      <c r="EZ88" s="228"/>
      <c r="FA88" s="228"/>
      <c r="FB88" s="228"/>
      <c r="FC88" s="228"/>
      <c r="FD88" s="228"/>
      <c r="FE88" s="228"/>
      <c r="FF88" s="228"/>
      <c r="FG88" s="228"/>
      <c r="FH88" s="228"/>
      <c r="FI88" s="228"/>
      <c r="FJ88" s="228"/>
      <c r="FK88" s="228"/>
      <c r="FL88" s="228"/>
      <c r="FM88" s="228"/>
      <c r="FN88" s="228"/>
      <c r="FO88" s="228"/>
      <c r="FP88" s="228"/>
      <c r="FQ88" s="228"/>
      <c r="FR88" s="228"/>
      <c r="FS88" s="228"/>
      <c r="FT88" s="228"/>
      <c r="FU88" s="228"/>
      <c r="FV88" s="228"/>
      <c r="FW88" s="228"/>
      <c r="FX88" s="228"/>
      <c r="FY88" s="228"/>
      <c r="FZ88" s="228"/>
      <c r="GA88" s="228"/>
      <c r="GB88" s="228"/>
      <c r="GC88" s="228"/>
      <c r="GD88" s="228"/>
      <c r="GE88" s="228"/>
      <c r="GF88" s="228"/>
      <c r="GG88" s="228"/>
      <c r="GH88" s="228"/>
      <c r="GI88" s="228"/>
      <c r="GJ88" s="228"/>
      <c r="GK88" s="228"/>
      <c r="GL88" s="228"/>
      <c r="GM88" s="228"/>
      <c r="GN88" s="228"/>
      <c r="GO88" s="228"/>
      <c r="GP88" s="228"/>
      <c r="GQ88" s="228"/>
      <c r="GR88" s="228"/>
      <c r="GS88" s="228"/>
      <c r="GT88" s="228"/>
      <c r="GU88" s="228"/>
      <c r="GV88" s="228"/>
      <c r="GW88" s="228"/>
      <c r="GX88" s="228"/>
      <c r="GY88" s="228"/>
      <c r="GZ88" s="228"/>
      <c r="HA88" s="228"/>
      <c r="HB88" s="228"/>
      <c r="HC88" s="228"/>
      <c r="HD88" s="228"/>
      <c r="HE88" s="228"/>
      <c r="HF88" s="228"/>
      <c r="HG88" s="228"/>
      <c r="HH88" s="228"/>
      <c r="HI88" s="228"/>
      <c r="HJ88" s="228"/>
      <c r="HK88" s="228"/>
      <c r="HL88" s="228"/>
      <c r="HM88" s="228"/>
      <c r="HN88" s="228"/>
      <c r="HO88" s="228"/>
      <c r="HP88" s="228"/>
      <c r="HQ88" s="228"/>
      <c r="HR88" s="228"/>
      <c r="HS88" s="228"/>
      <c r="HT88" s="228"/>
      <c r="HU88" s="228"/>
      <c r="HV88" s="228"/>
      <c r="HW88" s="228"/>
      <c r="HX88" s="228"/>
      <c r="HY88" s="228"/>
      <c r="HZ88" s="228"/>
      <c r="IA88" s="228"/>
      <c r="IB88" s="228"/>
      <c r="IC88" s="228"/>
      <c r="ID88" s="228"/>
      <c r="IE88" s="228"/>
      <c r="IF88" s="228"/>
      <c r="IG88" s="228"/>
      <c r="IH88" s="228"/>
      <c r="II88" s="228"/>
      <c r="IJ88" s="228"/>
      <c r="IK88" s="228"/>
      <c r="IL88" s="228"/>
      <c r="IM88" s="228"/>
      <c r="IN88" s="228"/>
      <c r="IO88" s="228"/>
      <c r="IP88" s="228"/>
      <c r="IQ88" s="228"/>
      <c r="IR88" s="228"/>
      <c r="IS88" s="228"/>
      <c r="IT88" s="228"/>
      <c r="IU88" s="228"/>
      <c r="IV88" s="228"/>
      <c r="IW88" s="228"/>
      <c r="IX88" s="228"/>
      <c r="IY88" s="228"/>
      <c r="IZ88" s="228"/>
      <c r="JA88" s="228"/>
      <c r="JB88" s="228"/>
      <c r="JC88" s="228"/>
      <c r="JD88" s="228"/>
      <c r="JE88" s="228"/>
      <c r="JF88" s="228"/>
      <c r="JG88" s="228"/>
      <c r="JH88" s="228"/>
      <c r="JI88" s="228"/>
      <c r="JJ88" s="228"/>
      <c r="JK88" s="228"/>
      <c r="JL88" s="228"/>
      <c r="JM88" s="228"/>
      <c r="JN88" s="228"/>
      <c r="JO88" s="228"/>
      <c r="JP88" s="228"/>
      <c r="JQ88" s="228"/>
      <c r="JR88" s="228"/>
      <c r="JS88" s="228"/>
      <c r="JT88" s="228"/>
      <c r="JU88" s="228"/>
      <c r="JV88" s="228"/>
      <c r="JW88" s="228"/>
      <c r="JX88" s="228"/>
      <c r="JY88" s="228"/>
      <c r="JZ88" s="228"/>
      <c r="KA88" s="228"/>
      <c r="KB88" s="228"/>
      <c r="KC88" s="228"/>
      <c r="KD88" s="228"/>
      <c r="KE88" s="228"/>
      <c r="KF88" s="228"/>
      <c r="KG88" s="228"/>
      <c r="KH88" s="228"/>
      <c r="KI88" s="228"/>
      <c r="KJ88" s="228"/>
      <c r="KK88" s="228"/>
      <c r="KL88" s="228"/>
      <c r="KM88" s="228"/>
      <c r="KN88" s="228"/>
      <c r="KO88" s="228"/>
      <c r="KP88" s="228"/>
      <c r="KQ88" s="228"/>
      <c r="KR88" s="228"/>
      <c r="KS88" s="228"/>
      <c r="KT88" s="228"/>
      <c r="KU88" s="228"/>
      <c r="KV88" s="228"/>
      <c r="KW88" s="228"/>
      <c r="KX88" s="228"/>
      <c r="KY88" s="228"/>
      <c r="KZ88" s="228"/>
      <c r="LA88" s="228"/>
      <c r="LB88" s="228"/>
      <c r="LC88" s="228"/>
      <c r="LD88" s="228"/>
      <c r="LE88" s="228"/>
      <c r="LF88" s="228"/>
      <c r="LG88" s="228"/>
      <c r="LH88" s="228"/>
      <c r="LI88" s="228"/>
      <c r="LJ88" s="228"/>
      <c r="LK88" s="228"/>
      <c r="LL88" s="228"/>
      <c r="LM88" s="228"/>
      <c r="LN88" s="228"/>
      <c r="LO88" s="228"/>
      <c r="LP88" s="228"/>
      <c r="LQ88" s="228"/>
      <c r="LR88" s="228"/>
      <c r="LS88" s="228"/>
      <c r="LT88" s="228"/>
      <c r="LU88" s="228"/>
      <c r="LV88" s="228"/>
      <c r="LW88" s="228"/>
      <c r="LX88" s="228"/>
      <c r="LY88" s="228"/>
      <c r="LZ88" s="228"/>
      <c r="MA88" s="228"/>
      <c r="MB88" s="228"/>
      <c r="MC88" s="228"/>
      <c r="MD88" s="228"/>
      <c r="ME88" s="228"/>
      <c r="MF88" s="228"/>
      <c r="MG88" s="228"/>
      <c r="MH88" s="228"/>
      <c r="MI88" s="228"/>
      <c r="MJ88" s="228"/>
      <c r="MK88" s="228"/>
      <c r="ML88" s="228"/>
      <c r="MM88" s="228"/>
      <c r="MN88" s="228"/>
      <c r="MO88" s="228"/>
      <c r="MP88" s="228"/>
      <c r="MQ88" s="228"/>
      <c r="MR88" s="228"/>
      <c r="MS88" s="228"/>
      <c r="MT88" s="228"/>
      <c r="MU88" s="228"/>
      <c r="MV88" s="228"/>
      <c r="MW88" s="228"/>
      <c r="MX88" s="228"/>
      <c r="MY88" s="228"/>
      <c r="MZ88" s="228"/>
      <c r="NA88" s="228"/>
      <c r="NB88" s="228"/>
      <c r="NC88" s="228"/>
      <c r="ND88" s="228"/>
      <c r="NE88" s="228"/>
      <c r="NF88" s="228"/>
      <c r="NG88" s="228"/>
      <c r="NH88" s="228"/>
      <c r="NI88" s="228"/>
      <c r="NJ88" s="228"/>
      <c r="NK88" s="228"/>
      <c r="NL88" s="228"/>
      <c r="NM88" s="228"/>
      <c r="NN88" s="228"/>
      <c r="NO88" s="228"/>
      <c r="NP88" s="228"/>
      <c r="NQ88" s="228"/>
      <c r="NR88" s="228"/>
      <c r="NS88" s="228"/>
      <c r="NT88" s="228"/>
      <c r="NU88" s="228"/>
      <c r="NV88" s="228"/>
      <c r="NW88" s="228"/>
      <c r="NX88" s="228"/>
      <c r="NY88" s="228"/>
      <c r="NZ88" s="228"/>
      <c r="OA88" s="228"/>
      <c r="OB88" s="228"/>
      <c r="OC88" s="228"/>
      <c r="OD88" s="228"/>
      <c r="OE88" s="228"/>
      <c r="OF88" s="228"/>
      <c r="OG88" s="228"/>
      <c r="OH88" s="228"/>
      <c r="OI88" s="228"/>
      <c r="OJ88" s="228"/>
      <c r="OK88" s="228"/>
      <c r="OL88" s="228"/>
      <c r="OM88" s="228"/>
      <c r="ON88" s="228"/>
      <c r="OO88" s="228"/>
      <c r="OP88" s="228"/>
      <c r="OQ88" s="228"/>
      <c r="OR88" s="228"/>
      <c r="OS88" s="228"/>
      <c r="OT88" s="228"/>
      <c r="OU88" s="228"/>
      <c r="OV88" s="228"/>
      <c r="OW88" s="228"/>
      <c r="OX88" s="228"/>
      <c r="OY88" s="228"/>
      <c r="OZ88" s="228"/>
      <c r="PA88" s="228"/>
      <c r="PB88" s="228"/>
      <c r="PC88" s="228"/>
      <c r="PD88" s="228"/>
      <c r="PE88" s="228"/>
      <c r="PF88" s="228"/>
      <c r="PG88" s="228"/>
      <c r="PH88" s="228"/>
      <c r="PI88" s="228"/>
      <c r="PJ88" s="228"/>
      <c r="PK88" s="228"/>
      <c r="PL88" s="228"/>
      <c r="PM88" s="228"/>
      <c r="PN88" s="228"/>
      <c r="PO88" s="228"/>
      <c r="PP88" s="228"/>
      <c r="PQ88" s="228"/>
      <c r="PR88" s="228"/>
      <c r="PS88" s="228"/>
      <c r="PT88" s="228"/>
      <c r="PU88" s="228"/>
      <c r="PV88" s="228"/>
      <c r="PW88" s="228"/>
      <c r="PX88" s="228"/>
      <c r="PY88" s="228"/>
      <c r="PZ88" s="228"/>
      <c r="QA88" s="228"/>
      <c r="QB88" s="228"/>
      <c r="QC88" s="228"/>
      <c r="QD88" s="228"/>
      <c r="QE88" s="228"/>
      <c r="QF88" s="228"/>
      <c r="QG88" s="228"/>
      <c r="QH88" s="228"/>
      <c r="QI88" s="228"/>
      <c r="QJ88" s="228"/>
      <c r="QK88" s="228"/>
      <c r="QL88" s="228"/>
      <c r="QM88" s="228"/>
      <c r="QN88" s="228"/>
      <c r="QO88" s="228"/>
      <c r="QP88" s="228"/>
      <c r="QQ88" s="228"/>
      <c r="QR88" s="228"/>
      <c r="QS88" s="228"/>
      <c r="QT88" s="228"/>
      <c r="QU88" s="228"/>
      <c r="QV88" s="228"/>
      <c r="QW88" s="228"/>
      <c r="QX88" s="228"/>
      <c r="QY88" s="228"/>
      <c r="QZ88" s="228"/>
      <c r="RA88" s="228"/>
      <c r="RB88" s="228"/>
      <c r="RC88" s="228"/>
      <c r="RD88" s="228"/>
      <c r="RE88" s="228"/>
      <c r="RF88" s="228"/>
      <c r="RG88" s="228"/>
      <c r="RH88" s="228"/>
      <c r="RI88" s="228"/>
      <c r="RJ88" s="228"/>
      <c r="RK88" s="228"/>
      <c r="RL88" s="228"/>
      <c r="RM88" s="228"/>
      <c r="RN88" s="228"/>
      <c r="RO88" s="228"/>
      <c r="RP88" s="228"/>
      <c r="RQ88" s="228"/>
      <c r="RR88" s="228"/>
      <c r="RS88" s="228"/>
      <c r="RT88" s="228"/>
      <c r="RU88" s="228"/>
      <c r="RV88" s="228"/>
      <c r="RW88" s="228"/>
      <c r="RX88" s="228"/>
      <c r="RY88" s="228"/>
      <c r="RZ88" s="228"/>
      <c r="SA88" s="228"/>
      <c r="SB88" s="228"/>
      <c r="SC88" s="228"/>
      <c r="SD88" s="228"/>
      <c r="SE88" s="228"/>
      <c r="SF88" s="228"/>
      <c r="SG88" s="228"/>
    </row>
    <row r="89" spans="2:501" ht="153.75" customHeight="1">
      <c r="C89" s="227" t="s">
        <v>2101</v>
      </c>
      <c r="D89" s="225" t="s">
        <v>2102</v>
      </c>
      <c r="E89" s="225" t="s">
        <v>2103</v>
      </c>
      <c r="F89" s="225" t="s">
        <v>2104</v>
      </c>
      <c r="G89" s="225" t="s">
        <v>1740</v>
      </c>
      <c r="H89" s="225" t="s">
        <v>1741</v>
      </c>
      <c r="I89" s="226" t="s">
        <v>2105</v>
      </c>
      <c r="J89" s="226" t="s">
        <v>2106</v>
      </c>
      <c r="K89" s="225" t="s">
        <v>2067</v>
      </c>
      <c r="L89" s="225" t="s">
        <v>1760</v>
      </c>
      <c r="M89" s="226" t="s">
        <v>2107</v>
      </c>
      <c r="N89" s="228"/>
      <c r="O89" s="228"/>
      <c r="P89" s="228"/>
      <c r="Q89" s="228"/>
      <c r="R89" s="228"/>
      <c r="S89" s="228"/>
      <c r="T89" s="228"/>
      <c r="U89" s="228"/>
      <c r="V89" s="228"/>
      <c r="W89" s="228"/>
      <c r="X89" s="228"/>
      <c r="Y89" s="228"/>
      <c r="Z89" s="228"/>
      <c r="AA89" s="228"/>
      <c r="AB89" s="228"/>
      <c r="AC89" s="228"/>
      <c r="AD89" s="228"/>
      <c r="AE89" s="228"/>
      <c r="AF89" s="228"/>
      <c r="AG89" s="228"/>
      <c r="AH89" s="228"/>
      <c r="AI89" s="228"/>
      <c r="AJ89" s="228"/>
      <c r="AK89" s="228"/>
      <c r="AL89" s="228"/>
      <c r="AM89" s="228"/>
      <c r="AN89" s="228"/>
      <c r="AO89" s="228"/>
      <c r="AP89" s="228"/>
      <c r="AQ89" s="228"/>
      <c r="AR89" s="228"/>
      <c r="AS89" s="228"/>
      <c r="AT89" s="228"/>
      <c r="AU89" s="228"/>
      <c r="AV89" s="228"/>
      <c r="AW89" s="228"/>
      <c r="AX89" s="228"/>
      <c r="AY89" s="228"/>
      <c r="AZ89" s="228"/>
      <c r="BA89" s="228"/>
      <c r="BB89" s="228"/>
      <c r="BC89" s="228"/>
      <c r="BD89" s="228"/>
      <c r="BE89" s="228"/>
      <c r="BF89" s="228"/>
      <c r="BG89" s="228"/>
      <c r="BH89" s="228"/>
      <c r="BI89" s="228"/>
      <c r="BJ89" s="228"/>
      <c r="BK89" s="228"/>
      <c r="BL89" s="228"/>
      <c r="BM89" s="228"/>
      <c r="BN89" s="228"/>
      <c r="BO89" s="228"/>
      <c r="BP89" s="228"/>
      <c r="BQ89" s="228"/>
      <c r="BR89" s="228"/>
      <c r="BS89" s="228"/>
      <c r="BT89" s="228"/>
      <c r="BU89" s="228"/>
      <c r="BV89" s="228"/>
      <c r="BW89" s="228"/>
      <c r="BX89" s="228"/>
      <c r="BY89" s="228"/>
      <c r="BZ89" s="228"/>
      <c r="CA89" s="228"/>
      <c r="CB89" s="228"/>
      <c r="CC89" s="228"/>
      <c r="CD89" s="228"/>
      <c r="CE89" s="228"/>
      <c r="CF89" s="228"/>
      <c r="CG89" s="228"/>
      <c r="CH89" s="228"/>
      <c r="CI89" s="228"/>
      <c r="CJ89" s="228"/>
      <c r="CK89" s="228"/>
      <c r="CL89" s="228"/>
      <c r="CM89" s="228"/>
      <c r="CN89" s="228"/>
      <c r="CO89" s="228"/>
      <c r="CP89" s="228"/>
      <c r="CQ89" s="228"/>
      <c r="CR89" s="228"/>
      <c r="CS89" s="228"/>
      <c r="CT89" s="228"/>
      <c r="CU89" s="228"/>
      <c r="CV89" s="228"/>
      <c r="CW89" s="228"/>
      <c r="CX89" s="228"/>
      <c r="CY89" s="228"/>
      <c r="CZ89" s="228"/>
      <c r="DA89" s="228"/>
      <c r="DB89" s="228"/>
      <c r="DC89" s="228"/>
      <c r="DD89" s="228"/>
      <c r="DE89" s="228"/>
      <c r="DF89" s="228"/>
      <c r="DG89" s="228"/>
      <c r="DH89" s="228"/>
      <c r="DI89" s="228"/>
      <c r="DJ89" s="228"/>
      <c r="DK89" s="228"/>
      <c r="DL89" s="228"/>
      <c r="DM89" s="228"/>
      <c r="DN89" s="228"/>
      <c r="DO89" s="228"/>
      <c r="DP89" s="228"/>
      <c r="DQ89" s="228"/>
      <c r="DR89" s="228"/>
      <c r="DS89" s="228"/>
      <c r="DT89" s="228"/>
      <c r="DU89" s="228"/>
      <c r="DV89" s="228"/>
      <c r="DW89" s="228"/>
      <c r="DX89" s="228"/>
      <c r="DY89" s="228"/>
      <c r="DZ89" s="228"/>
      <c r="EA89" s="228"/>
      <c r="EB89" s="228"/>
      <c r="EC89" s="228"/>
      <c r="ED89" s="228"/>
      <c r="EE89" s="228"/>
      <c r="EF89" s="228"/>
      <c r="EG89" s="228"/>
      <c r="EH89" s="228"/>
      <c r="EI89" s="228"/>
      <c r="EJ89" s="228"/>
      <c r="EK89" s="228"/>
      <c r="EL89" s="228"/>
      <c r="EM89" s="228"/>
      <c r="EN89" s="228"/>
      <c r="EO89" s="228"/>
      <c r="EP89" s="228"/>
      <c r="EQ89" s="228"/>
      <c r="ER89" s="228"/>
      <c r="ES89" s="228"/>
      <c r="ET89" s="228"/>
      <c r="EU89" s="228"/>
      <c r="EV89" s="228"/>
      <c r="EW89" s="228"/>
      <c r="EX89" s="228"/>
      <c r="EY89" s="228"/>
      <c r="EZ89" s="228"/>
      <c r="FA89" s="228"/>
      <c r="FB89" s="228"/>
      <c r="FC89" s="228"/>
      <c r="FD89" s="228"/>
      <c r="FE89" s="228"/>
      <c r="FF89" s="228"/>
      <c r="FG89" s="228"/>
      <c r="FH89" s="228"/>
      <c r="FI89" s="228"/>
      <c r="FJ89" s="228"/>
      <c r="FK89" s="228"/>
      <c r="FL89" s="228"/>
      <c r="FM89" s="228"/>
      <c r="FN89" s="228"/>
      <c r="FO89" s="228"/>
      <c r="FP89" s="228"/>
      <c r="FQ89" s="228"/>
      <c r="FR89" s="228"/>
      <c r="FS89" s="228"/>
      <c r="FT89" s="228"/>
      <c r="FU89" s="228"/>
      <c r="FV89" s="228"/>
      <c r="FW89" s="228"/>
      <c r="FX89" s="228"/>
      <c r="FY89" s="228"/>
      <c r="FZ89" s="228"/>
      <c r="GA89" s="228"/>
      <c r="GB89" s="228"/>
      <c r="GC89" s="228"/>
      <c r="GD89" s="228"/>
      <c r="GE89" s="228"/>
      <c r="GF89" s="228"/>
      <c r="GG89" s="228"/>
      <c r="GH89" s="228"/>
      <c r="GI89" s="228"/>
      <c r="GJ89" s="228"/>
      <c r="GK89" s="228"/>
      <c r="GL89" s="228"/>
      <c r="GM89" s="228"/>
      <c r="GN89" s="228"/>
      <c r="GO89" s="228"/>
      <c r="GP89" s="228"/>
      <c r="GQ89" s="228"/>
      <c r="GR89" s="228"/>
      <c r="GS89" s="228"/>
      <c r="GT89" s="228"/>
      <c r="GU89" s="228"/>
      <c r="GV89" s="228"/>
      <c r="GW89" s="228"/>
      <c r="GX89" s="228"/>
      <c r="GY89" s="228"/>
      <c r="GZ89" s="228"/>
      <c r="HA89" s="228"/>
      <c r="HB89" s="228"/>
      <c r="HC89" s="228"/>
      <c r="HD89" s="228"/>
      <c r="HE89" s="228"/>
      <c r="HF89" s="228"/>
      <c r="HG89" s="228"/>
      <c r="HH89" s="228"/>
      <c r="HI89" s="228"/>
      <c r="HJ89" s="228"/>
      <c r="HK89" s="228"/>
      <c r="HL89" s="228"/>
      <c r="HM89" s="228"/>
      <c r="HN89" s="228"/>
      <c r="HO89" s="228"/>
      <c r="HP89" s="228"/>
      <c r="HQ89" s="228"/>
      <c r="HR89" s="228"/>
      <c r="HS89" s="228"/>
      <c r="HT89" s="228"/>
      <c r="HU89" s="228"/>
      <c r="HV89" s="228"/>
      <c r="HW89" s="228"/>
      <c r="HX89" s="228"/>
      <c r="HY89" s="228"/>
      <c r="HZ89" s="228"/>
      <c r="IA89" s="228"/>
      <c r="IB89" s="228"/>
      <c r="IC89" s="228"/>
      <c r="ID89" s="228"/>
      <c r="IE89" s="228"/>
      <c r="IF89" s="228"/>
      <c r="IG89" s="228"/>
      <c r="IH89" s="228"/>
      <c r="II89" s="228"/>
      <c r="IJ89" s="228"/>
      <c r="IK89" s="228"/>
      <c r="IL89" s="228"/>
      <c r="IM89" s="228"/>
      <c r="IN89" s="228"/>
      <c r="IO89" s="228"/>
      <c r="IP89" s="228"/>
      <c r="IQ89" s="228"/>
      <c r="IR89" s="228"/>
      <c r="IS89" s="228"/>
      <c r="IT89" s="228"/>
      <c r="IU89" s="228"/>
      <c r="IV89" s="228"/>
      <c r="IW89" s="228"/>
      <c r="IX89" s="228"/>
      <c r="IY89" s="228"/>
      <c r="IZ89" s="228"/>
      <c r="JA89" s="228"/>
      <c r="JB89" s="228"/>
      <c r="JC89" s="228"/>
      <c r="JD89" s="228"/>
      <c r="JE89" s="228"/>
      <c r="JF89" s="228"/>
      <c r="JG89" s="228"/>
      <c r="JH89" s="228"/>
      <c r="JI89" s="228"/>
      <c r="JJ89" s="228"/>
      <c r="JK89" s="228"/>
      <c r="JL89" s="228"/>
      <c r="JM89" s="228"/>
      <c r="JN89" s="228"/>
      <c r="JO89" s="228"/>
      <c r="JP89" s="228"/>
      <c r="JQ89" s="228"/>
      <c r="JR89" s="228"/>
      <c r="JS89" s="228"/>
      <c r="JT89" s="228"/>
      <c r="JU89" s="228"/>
      <c r="JV89" s="228"/>
      <c r="JW89" s="228"/>
      <c r="JX89" s="228"/>
      <c r="JY89" s="228"/>
      <c r="JZ89" s="228"/>
      <c r="KA89" s="228"/>
      <c r="KB89" s="228"/>
      <c r="KC89" s="228"/>
      <c r="KD89" s="228"/>
      <c r="KE89" s="228"/>
      <c r="KF89" s="228"/>
      <c r="KG89" s="228"/>
      <c r="KH89" s="228"/>
      <c r="KI89" s="228"/>
      <c r="KJ89" s="228"/>
      <c r="KK89" s="228"/>
      <c r="KL89" s="228"/>
      <c r="KM89" s="228"/>
      <c r="KN89" s="228"/>
      <c r="KO89" s="228"/>
      <c r="KP89" s="228"/>
      <c r="KQ89" s="228"/>
      <c r="KR89" s="228"/>
      <c r="KS89" s="228"/>
      <c r="KT89" s="228"/>
      <c r="KU89" s="228"/>
      <c r="KV89" s="228"/>
      <c r="KW89" s="228"/>
      <c r="KX89" s="228"/>
      <c r="KY89" s="228"/>
      <c r="KZ89" s="228"/>
      <c r="LA89" s="228"/>
      <c r="LB89" s="228"/>
      <c r="LC89" s="228"/>
      <c r="LD89" s="228"/>
      <c r="LE89" s="228"/>
      <c r="LF89" s="228"/>
      <c r="LG89" s="228"/>
      <c r="LH89" s="228"/>
      <c r="LI89" s="228"/>
      <c r="LJ89" s="228"/>
      <c r="LK89" s="228"/>
      <c r="LL89" s="228"/>
      <c r="LM89" s="228"/>
      <c r="LN89" s="228"/>
      <c r="LO89" s="228"/>
      <c r="LP89" s="228"/>
      <c r="LQ89" s="228"/>
      <c r="LR89" s="228"/>
      <c r="LS89" s="228"/>
      <c r="LT89" s="228"/>
      <c r="LU89" s="228"/>
      <c r="LV89" s="228"/>
      <c r="LW89" s="228"/>
      <c r="LX89" s="228"/>
      <c r="LY89" s="228"/>
      <c r="LZ89" s="228"/>
      <c r="MA89" s="228"/>
      <c r="MB89" s="228"/>
      <c r="MC89" s="228"/>
      <c r="MD89" s="228"/>
      <c r="ME89" s="228"/>
      <c r="MF89" s="228"/>
      <c r="MG89" s="228"/>
      <c r="MH89" s="228"/>
      <c r="MI89" s="228"/>
      <c r="MJ89" s="228"/>
      <c r="MK89" s="228"/>
      <c r="ML89" s="228"/>
      <c r="MM89" s="228"/>
      <c r="MN89" s="228"/>
      <c r="MO89" s="228"/>
      <c r="MP89" s="228"/>
      <c r="MQ89" s="228"/>
      <c r="MR89" s="228"/>
      <c r="MS89" s="228"/>
      <c r="MT89" s="228"/>
      <c r="MU89" s="228"/>
      <c r="MV89" s="228"/>
      <c r="MW89" s="228"/>
      <c r="MX89" s="228"/>
      <c r="MY89" s="228"/>
      <c r="MZ89" s="228"/>
      <c r="NA89" s="228"/>
      <c r="NB89" s="228"/>
      <c r="NC89" s="228"/>
      <c r="ND89" s="228"/>
      <c r="NE89" s="228"/>
      <c r="NF89" s="228"/>
      <c r="NG89" s="228"/>
      <c r="NH89" s="228"/>
      <c r="NI89" s="228"/>
      <c r="NJ89" s="228"/>
      <c r="NK89" s="228"/>
      <c r="NL89" s="228"/>
      <c r="NM89" s="228"/>
      <c r="NN89" s="228"/>
      <c r="NO89" s="228"/>
      <c r="NP89" s="228"/>
      <c r="NQ89" s="228"/>
      <c r="NR89" s="228"/>
      <c r="NS89" s="228"/>
      <c r="NT89" s="228"/>
      <c r="NU89" s="228"/>
      <c r="NV89" s="228"/>
      <c r="NW89" s="228"/>
      <c r="NX89" s="228"/>
      <c r="NY89" s="228"/>
      <c r="NZ89" s="228"/>
      <c r="OA89" s="228"/>
      <c r="OB89" s="228"/>
      <c r="OC89" s="228"/>
      <c r="OD89" s="228"/>
      <c r="OE89" s="228"/>
      <c r="OF89" s="228"/>
      <c r="OG89" s="228"/>
      <c r="OH89" s="228"/>
      <c r="OI89" s="228"/>
      <c r="OJ89" s="228"/>
      <c r="OK89" s="228"/>
      <c r="OL89" s="228"/>
      <c r="OM89" s="228"/>
      <c r="ON89" s="228"/>
      <c r="OO89" s="228"/>
      <c r="OP89" s="228"/>
      <c r="OQ89" s="228"/>
      <c r="OR89" s="228"/>
      <c r="OS89" s="228"/>
      <c r="OT89" s="228"/>
      <c r="OU89" s="228"/>
      <c r="OV89" s="228"/>
      <c r="OW89" s="228"/>
      <c r="OX89" s="228"/>
      <c r="OY89" s="228"/>
      <c r="OZ89" s="228"/>
      <c r="PA89" s="228"/>
      <c r="PB89" s="228"/>
      <c r="PC89" s="228"/>
      <c r="PD89" s="228"/>
      <c r="PE89" s="228"/>
      <c r="PF89" s="228"/>
      <c r="PG89" s="228"/>
      <c r="PH89" s="228"/>
      <c r="PI89" s="228"/>
      <c r="PJ89" s="228"/>
      <c r="PK89" s="228"/>
      <c r="PL89" s="228"/>
      <c r="PM89" s="228"/>
      <c r="PN89" s="228"/>
      <c r="PO89" s="228"/>
      <c r="PP89" s="228"/>
      <c r="PQ89" s="228"/>
      <c r="PR89" s="228"/>
      <c r="PS89" s="228"/>
      <c r="PT89" s="228"/>
      <c r="PU89" s="228"/>
      <c r="PV89" s="228"/>
      <c r="PW89" s="228"/>
      <c r="PX89" s="228"/>
      <c r="PY89" s="228"/>
      <c r="PZ89" s="228"/>
      <c r="QA89" s="228"/>
      <c r="QB89" s="228"/>
      <c r="QC89" s="228"/>
      <c r="QD89" s="228"/>
      <c r="QE89" s="228"/>
      <c r="QF89" s="228"/>
      <c r="QG89" s="228"/>
      <c r="QH89" s="228"/>
      <c r="QI89" s="228"/>
      <c r="QJ89" s="228"/>
      <c r="QK89" s="228"/>
      <c r="QL89" s="228"/>
      <c r="QM89" s="228"/>
      <c r="QN89" s="228"/>
      <c r="QO89" s="228"/>
      <c r="QP89" s="228"/>
      <c r="QQ89" s="228"/>
      <c r="QR89" s="228"/>
      <c r="QS89" s="228"/>
      <c r="QT89" s="228"/>
      <c r="QU89" s="228"/>
      <c r="QV89" s="228"/>
      <c r="QW89" s="228"/>
      <c r="QX89" s="228"/>
      <c r="QY89" s="228"/>
      <c r="QZ89" s="228"/>
      <c r="RA89" s="228"/>
      <c r="RB89" s="228"/>
      <c r="RC89" s="228"/>
      <c r="RD89" s="228"/>
      <c r="RE89" s="228"/>
      <c r="RF89" s="228"/>
      <c r="RG89" s="228"/>
      <c r="RH89" s="228"/>
      <c r="RI89" s="228"/>
      <c r="RJ89" s="228"/>
      <c r="RK89" s="228"/>
      <c r="RL89" s="228"/>
      <c r="RM89" s="228"/>
      <c r="RN89" s="228"/>
      <c r="RO89" s="228"/>
      <c r="RP89" s="228"/>
      <c r="RQ89" s="228"/>
      <c r="RR89" s="228"/>
      <c r="RS89" s="228"/>
      <c r="RT89" s="228"/>
      <c r="RU89" s="228"/>
      <c r="RV89" s="228"/>
      <c r="RW89" s="228"/>
      <c r="RX89" s="228"/>
      <c r="RY89" s="228"/>
      <c r="RZ89" s="228"/>
      <c r="SA89" s="228"/>
      <c r="SB89" s="228"/>
      <c r="SC89" s="228"/>
      <c r="SD89" s="228"/>
      <c r="SE89" s="228"/>
      <c r="SF89" s="228"/>
      <c r="SG89" s="228"/>
    </row>
    <row r="90" spans="2:501" ht="84" customHeight="1">
      <c r="C90" s="227" t="s">
        <v>2108</v>
      </c>
      <c r="D90" s="225" t="s">
        <v>2109</v>
      </c>
      <c r="E90" s="225" t="s">
        <v>2110</v>
      </c>
      <c r="F90" s="225" t="s">
        <v>2111</v>
      </c>
      <c r="G90" s="225" t="s">
        <v>1342</v>
      </c>
      <c r="H90" s="225" t="s">
        <v>1741</v>
      </c>
      <c r="I90" s="226" t="s">
        <v>2112</v>
      </c>
      <c r="J90" s="226" t="s">
        <v>1342</v>
      </c>
      <c r="K90" s="225" t="s">
        <v>2067</v>
      </c>
      <c r="L90" s="225" t="s">
        <v>1760</v>
      </c>
      <c r="M90" s="226" t="s">
        <v>2113</v>
      </c>
      <c r="N90" s="228"/>
      <c r="O90" s="228"/>
      <c r="P90" s="228"/>
      <c r="Q90" s="228"/>
      <c r="R90" s="228"/>
      <c r="S90" s="228"/>
      <c r="T90" s="228"/>
      <c r="U90" s="228"/>
      <c r="V90" s="228"/>
      <c r="W90" s="228"/>
      <c r="X90" s="228"/>
      <c r="Y90" s="228"/>
      <c r="Z90" s="228"/>
      <c r="AA90" s="228"/>
      <c r="AB90" s="228"/>
      <c r="AC90" s="228"/>
      <c r="AD90" s="228"/>
      <c r="AE90" s="228"/>
      <c r="AF90" s="228"/>
      <c r="AG90" s="228"/>
      <c r="AH90" s="228"/>
      <c r="AI90" s="228"/>
      <c r="AJ90" s="228"/>
      <c r="AK90" s="228"/>
      <c r="AL90" s="228"/>
      <c r="AM90" s="228"/>
      <c r="AN90" s="228"/>
      <c r="AO90" s="228"/>
      <c r="AP90" s="228"/>
      <c r="AQ90" s="228"/>
      <c r="AR90" s="228"/>
      <c r="AS90" s="228"/>
      <c r="AT90" s="228"/>
      <c r="AU90" s="228"/>
      <c r="AV90" s="228"/>
      <c r="AW90" s="228"/>
      <c r="AX90" s="228"/>
      <c r="AY90" s="228"/>
      <c r="AZ90" s="228"/>
      <c r="BA90" s="228"/>
      <c r="BB90" s="228"/>
      <c r="BC90" s="228"/>
      <c r="BD90" s="228"/>
      <c r="BE90" s="228"/>
      <c r="BF90" s="228"/>
      <c r="BG90" s="228"/>
      <c r="BH90" s="228"/>
      <c r="BI90" s="228"/>
      <c r="BJ90" s="228"/>
      <c r="BK90" s="228"/>
      <c r="BL90" s="228"/>
      <c r="BM90" s="228"/>
      <c r="BN90" s="228"/>
      <c r="BO90" s="228"/>
      <c r="BP90" s="228"/>
      <c r="BQ90" s="228"/>
      <c r="BR90" s="228"/>
      <c r="BS90" s="228"/>
      <c r="BT90" s="228"/>
      <c r="BU90" s="228"/>
      <c r="BV90" s="228"/>
      <c r="BW90" s="228"/>
      <c r="BX90" s="228"/>
      <c r="BY90" s="228"/>
      <c r="BZ90" s="228"/>
      <c r="CA90" s="228"/>
      <c r="CB90" s="228"/>
      <c r="CC90" s="228"/>
      <c r="CD90" s="228"/>
      <c r="CE90" s="228"/>
      <c r="CF90" s="228"/>
      <c r="CG90" s="228"/>
      <c r="CH90" s="228"/>
      <c r="CI90" s="228"/>
      <c r="CJ90" s="228"/>
      <c r="CK90" s="228"/>
      <c r="CL90" s="228"/>
      <c r="CM90" s="228"/>
      <c r="CN90" s="228"/>
      <c r="CO90" s="228"/>
      <c r="CP90" s="228"/>
      <c r="CQ90" s="228"/>
      <c r="CR90" s="228"/>
      <c r="CS90" s="228"/>
      <c r="CT90" s="228"/>
      <c r="CU90" s="228"/>
      <c r="CV90" s="228"/>
      <c r="CW90" s="228"/>
      <c r="CX90" s="228"/>
      <c r="CY90" s="228"/>
      <c r="CZ90" s="228"/>
      <c r="DA90" s="228"/>
      <c r="DB90" s="228"/>
      <c r="DC90" s="228"/>
      <c r="DD90" s="228"/>
      <c r="DE90" s="228"/>
      <c r="DF90" s="228"/>
      <c r="DG90" s="228"/>
      <c r="DH90" s="228"/>
      <c r="DI90" s="228"/>
      <c r="DJ90" s="228"/>
      <c r="DK90" s="228"/>
      <c r="DL90" s="228"/>
      <c r="DM90" s="228"/>
      <c r="DN90" s="228"/>
      <c r="DO90" s="228"/>
      <c r="DP90" s="228"/>
      <c r="DQ90" s="228"/>
      <c r="DR90" s="228"/>
      <c r="DS90" s="228"/>
      <c r="DT90" s="228"/>
      <c r="DU90" s="228"/>
      <c r="DV90" s="228"/>
      <c r="DW90" s="228"/>
      <c r="DX90" s="228"/>
      <c r="DY90" s="228"/>
      <c r="DZ90" s="228"/>
      <c r="EA90" s="228"/>
      <c r="EB90" s="228"/>
      <c r="EC90" s="228"/>
      <c r="ED90" s="228"/>
      <c r="EE90" s="228"/>
      <c r="EF90" s="228"/>
      <c r="EG90" s="228"/>
      <c r="EH90" s="228"/>
      <c r="EI90" s="228"/>
      <c r="EJ90" s="228"/>
      <c r="EK90" s="228"/>
      <c r="EL90" s="228"/>
      <c r="EM90" s="228"/>
      <c r="EN90" s="228"/>
      <c r="EO90" s="228"/>
      <c r="EP90" s="228"/>
      <c r="EQ90" s="228"/>
      <c r="ER90" s="228"/>
      <c r="ES90" s="228"/>
      <c r="ET90" s="228"/>
      <c r="EU90" s="228"/>
      <c r="EV90" s="228"/>
      <c r="EW90" s="228"/>
      <c r="EX90" s="228"/>
      <c r="EY90" s="228"/>
      <c r="EZ90" s="228"/>
      <c r="FA90" s="228"/>
      <c r="FB90" s="228"/>
      <c r="FC90" s="228"/>
      <c r="FD90" s="228"/>
      <c r="FE90" s="228"/>
      <c r="FF90" s="228"/>
      <c r="FG90" s="228"/>
      <c r="FH90" s="228"/>
      <c r="FI90" s="228"/>
      <c r="FJ90" s="228"/>
      <c r="FK90" s="228"/>
      <c r="FL90" s="228"/>
      <c r="FM90" s="228"/>
      <c r="FN90" s="228"/>
      <c r="FO90" s="228"/>
      <c r="FP90" s="228"/>
      <c r="FQ90" s="228"/>
      <c r="FR90" s="228"/>
      <c r="FS90" s="228"/>
      <c r="FT90" s="228"/>
      <c r="FU90" s="228"/>
      <c r="FV90" s="228"/>
      <c r="FW90" s="228"/>
      <c r="FX90" s="228"/>
      <c r="FY90" s="228"/>
      <c r="FZ90" s="228"/>
      <c r="GA90" s="228"/>
      <c r="GB90" s="228"/>
      <c r="GC90" s="228"/>
      <c r="GD90" s="228"/>
      <c r="GE90" s="228"/>
      <c r="GF90" s="228"/>
      <c r="GG90" s="228"/>
      <c r="GH90" s="228"/>
      <c r="GI90" s="228"/>
      <c r="GJ90" s="228"/>
      <c r="GK90" s="228"/>
      <c r="GL90" s="228"/>
      <c r="GM90" s="228"/>
      <c r="GN90" s="228"/>
      <c r="GO90" s="228"/>
      <c r="GP90" s="228"/>
      <c r="GQ90" s="228"/>
      <c r="GR90" s="228"/>
      <c r="GS90" s="228"/>
      <c r="GT90" s="228"/>
      <c r="GU90" s="228"/>
      <c r="GV90" s="228"/>
      <c r="GW90" s="228"/>
      <c r="GX90" s="228"/>
      <c r="GY90" s="228"/>
      <c r="GZ90" s="228"/>
      <c r="HA90" s="228"/>
      <c r="HB90" s="228"/>
      <c r="HC90" s="228"/>
      <c r="HD90" s="228"/>
      <c r="HE90" s="228"/>
      <c r="HF90" s="228"/>
      <c r="HG90" s="228"/>
      <c r="HH90" s="228"/>
      <c r="HI90" s="228"/>
      <c r="HJ90" s="228"/>
      <c r="HK90" s="228"/>
      <c r="HL90" s="228"/>
      <c r="HM90" s="228"/>
      <c r="HN90" s="228"/>
      <c r="HO90" s="228"/>
      <c r="HP90" s="228"/>
      <c r="HQ90" s="228"/>
      <c r="HR90" s="228"/>
      <c r="HS90" s="228"/>
      <c r="HT90" s="228"/>
      <c r="HU90" s="228"/>
      <c r="HV90" s="228"/>
      <c r="HW90" s="228"/>
      <c r="HX90" s="228"/>
      <c r="HY90" s="228"/>
      <c r="HZ90" s="228"/>
      <c r="IA90" s="228"/>
      <c r="IB90" s="228"/>
      <c r="IC90" s="228"/>
      <c r="ID90" s="228"/>
      <c r="IE90" s="228"/>
      <c r="IF90" s="228"/>
      <c r="IG90" s="228"/>
      <c r="IH90" s="228"/>
      <c r="II90" s="228"/>
      <c r="IJ90" s="228"/>
      <c r="IK90" s="228"/>
      <c r="IL90" s="228"/>
      <c r="IM90" s="228"/>
      <c r="IN90" s="228"/>
      <c r="IO90" s="228"/>
      <c r="IP90" s="228"/>
      <c r="IQ90" s="228"/>
      <c r="IR90" s="228"/>
      <c r="IS90" s="228"/>
      <c r="IT90" s="228"/>
      <c r="IU90" s="228"/>
      <c r="IV90" s="228"/>
      <c r="IW90" s="228"/>
      <c r="IX90" s="228"/>
      <c r="IY90" s="228"/>
      <c r="IZ90" s="228"/>
      <c r="JA90" s="228"/>
      <c r="JB90" s="228"/>
      <c r="JC90" s="228"/>
      <c r="JD90" s="228"/>
      <c r="JE90" s="228"/>
      <c r="JF90" s="228"/>
      <c r="JG90" s="228"/>
      <c r="JH90" s="228"/>
      <c r="JI90" s="228"/>
      <c r="JJ90" s="228"/>
      <c r="JK90" s="228"/>
      <c r="JL90" s="228"/>
      <c r="JM90" s="228"/>
      <c r="JN90" s="228"/>
      <c r="JO90" s="228"/>
      <c r="JP90" s="228"/>
      <c r="JQ90" s="228"/>
      <c r="JR90" s="228"/>
      <c r="JS90" s="228"/>
      <c r="JT90" s="228"/>
      <c r="JU90" s="228"/>
      <c r="JV90" s="228"/>
      <c r="JW90" s="228"/>
      <c r="JX90" s="228"/>
      <c r="JY90" s="228"/>
      <c r="JZ90" s="228"/>
      <c r="KA90" s="228"/>
      <c r="KB90" s="228"/>
      <c r="KC90" s="228"/>
      <c r="KD90" s="228"/>
      <c r="KE90" s="228"/>
      <c r="KF90" s="228"/>
      <c r="KG90" s="228"/>
      <c r="KH90" s="228"/>
      <c r="KI90" s="228"/>
      <c r="KJ90" s="228"/>
      <c r="KK90" s="228"/>
      <c r="KL90" s="228"/>
      <c r="KM90" s="228"/>
      <c r="KN90" s="228"/>
      <c r="KO90" s="228"/>
      <c r="KP90" s="228"/>
      <c r="KQ90" s="228"/>
      <c r="KR90" s="228"/>
      <c r="KS90" s="228"/>
      <c r="KT90" s="228"/>
      <c r="KU90" s="228"/>
      <c r="KV90" s="228"/>
      <c r="KW90" s="228"/>
      <c r="KX90" s="228"/>
      <c r="KY90" s="228"/>
      <c r="KZ90" s="228"/>
      <c r="LA90" s="228"/>
      <c r="LB90" s="228"/>
      <c r="LC90" s="228"/>
      <c r="LD90" s="228"/>
      <c r="LE90" s="228"/>
      <c r="LF90" s="228"/>
      <c r="LG90" s="228"/>
      <c r="LH90" s="228"/>
      <c r="LI90" s="228"/>
      <c r="LJ90" s="228"/>
      <c r="LK90" s="228"/>
      <c r="LL90" s="228"/>
      <c r="LM90" s="228"/>
      <c r="LN90" s="228"/>
      <c r="LO90" s="228"/>
      <c r="LP90" s="228"/>
      <c r="LQ90" s="228"/>
      <c r="LR90" s="228"/>
      <c r="LS90" s="228"/>
      <c r="LT90" s="228"/>
      <c r="LU90" s="228"/>
      <c r="LV90" s="228"/>
      <c r="LW90" s="228"/>
      <c r="LX90" s="228"/>
      <c r="LY90" s="228"/>
      <c r="LZ90" s="228"/>
      <c r="MA90" s="228"/>
      <c r="MB90" s="228"/>
      <c r="MC90" s="228"/>
      <c r="MD90" s="228"/>
      <c r="ME90" s="228"/>
      <c r="MF90" s="228"/>
      <c r="MG90" s="228"/>
      <c r="MH90" s="228"/>
      <c r="MI90" s="228"/>
      <c r="MJ90" s="228"/>
      <c r="MK90" s="228"/>
      <c r="ML90" s="228"/>
      <c r="MM90" s="228"/>
      <c r="MN90" s="228"/>
      <c r="MO90" s="228"/>
      <c r="MP90" s="228"/>
      <c r="MQ90" s="228"/>
      <c r="MR90" s="228"/>
      <c r="MS90" s="228"/>
      <c r="MT90" s="228"/>
      <c r="MU90" s="228"/>
      <c r="MV90" s="228"/>
      <c r="MW90" s="228"/>
      <c r="MX90" s="228"/>
      <c r="MY90" s="228"/>
      <c r="MZ90" s="228"/>
      <c r="NA90" s="228"/>
      <c r="NB90" s="228"/>
      <c r="NC90" s="228"/>
      <c r="ND90" s="228"/>
      <c r="NE90" s="228"/>
      <c r="NF90" s="228"/>
      <c r="NG90" s="228"/>
      <c r="NH90" s="228"/>
      <c r="NI90" s="228"/>
      <c r="NJ90" s="228"/>
      <c r="NK90" s="228"/>
      <c r="NL90" s="228"/>
      <c r="NM90" s="228"/>
      <c r="NN90" s="228"/>
      <c r="NO90" s="228"/>
      <c r="NP90" s="228"/>
      <c r="NQ90" s="228"/>
      <c r="NR90" s="228"/>
      <c r="NS90" s="228"/>
      <c r="NT90" s="228"/>
      <c r="NU90" s="228"/>
      <c r="NV90" s="228"/>
      <c r="NW90" s="228"/>
      <c r="NX90" s="228"/>
      <c r="NY90" s="228"/>
      <c r="NZ90" s="228"/>
      <c r="OA90" s="228"/>
      <c r="OB90" s="228"/>
      <c r="OC90" s="228"/>
      <c r="OD90" s="228"/>
      <c r="OE90" s="228"/>
      <c r="OF90" s="228"/>
      <c r="OG90" s="228"/>
      <c r="OH90" s="228"/>
      <c r="OI90" s="228"/>
      <c r="OJ90" s="228"/>
      <c r="OK90" s="228"/>
      <c r="OL90" s="228"/>
      <c r="OM90" s="228"/>
      <c r="ON90" s="228"/>
      <c r="OO90" s="228"/>
      <c r="OP90" s="228"/>
      <c r="OQ90" s="228"/>
      <c r="OR90" s="228"/>
      <c r="OS90" s="228"/>
      <c r="OT90" s="228"/>
      <c r="OU90" s="228"/>
      <c r="OV90" s="228"/>
      <c r="OW90" s="228"/>
      <c r="OX90" s="228"/>
      <c r="OY90" s="228"/>
      <c r="OZ90" s="228"/>
      <c r="PA90" s="228"/>
      <c r="PB90" s="228"/>
      <c r="PC90" s="228"/>
      <c r="PD90" s="228"/>
      <c r="PE90" s="228"/>
      <c r="PF90" s="228"/>
      <c r="PG90" s="228"/>
      <c r="PH90" s="228"/>
      <c r="PI90" s="228"/>
      <c r="PJ90" s="228"/>
      <c r="PK90" s="228"/>
      <c r="PL90" s="228"/>
      <c r="PM90" s="228"/>
      <c r="PN90" s="228"/>
      <c r="PO90" s="228"/>
      <c r="PP90" s="228"/>
      <c r="PQ90" s="228"/>
      <c r="PR90" s="228"/>
      <c r="PS90" s="228"/>
      <c r="PT90" s="228"/>
      <c r="PU90" s="228"/>
      <c r="PV90" s="228"/>
      <c r="PW90" s="228"/>
      <c r="PX90" s="228"/>
      <c r="PY90" s="228"/>
      <c r="PZ90" s="228"/>
      <c r="QA90" s="228"/>
      <c r="QB90" s="228"/>
      <c r="QC90" s="228"/>
      <c r="QD90" s="228"/>
      <c r="QE90" s="228"/>
      <c r="QF90" s="228"/>
      <c r="QG90" s="228"/>
      <c r="QH90" s="228"/>
      <c r="QI90" s="228"/>
      <c r="QJ90" s="228"/>
      <c r="QK90" s="228"/>
      <c r="QL90" s="228"/>
      <c r="QM90" s="228"/>
      <c r="QN90" s="228"/>
      <c r="QO90" s="228"/>
      <c r="QP90" s="228"/>
      <c r="QQ90" s="228"/>
      <c r="QR90" s="228"/>
      <c r="QS90" s="228"/>
      <c r="QT90" s="228"/>
      <c r="QU90" s="228"/>
      <c r="QV90" s="228"/>
      <c r="QW90" s="228"/>
      <c r="QX90" s="228"/>
      <c r="QY90" s="228"/>
      <c r="QZ90" s="228"/>
      <c r="RA90" s="228"/>
      <c r="RB90" s="228"/>
      <c r="RC90" s="228"/>
      <c r="RD90" s="228"/>
      <c r="RE90" s="228"/>
      <c r="RF90" s="228"/>
      <c r="RG90" s="228"/>
      <c r="RH90" s="228"/>
      <c r="RI90" s="228"/>
      <c r="RJ90" s="228"/>
      <c r="RK90" s="228"/>
      <c r="RL90" s="228"/>
      <c r="RM90" s="228"/>
      <c r="RN90" s="228"/>
      <c r="RO90" s="228"/>
      <c r="RP90" s="228"/>
      <c r="RQ90" s="228"/>
      <c r="RR90" s="228"/>
      <c r="RS90" s="228"/>
      <c r="RT90" s="228"/>
      <c r="RU90" s="228"/>
      <c r="RV90" s="228"/>
      <c r="RW90" s="228"/>
      <c r="RX90" s="228"/>
      <c r="RY90" s="228"/>
      <c r="RZ90" s="228"/>
      <c r="SA90" s="228"/>
      <c r="SB90" s="228"/>
      <c r="SC90" s="228"/>
      <c r="SD90" s="228"/>
      <c r="SE90" s="228"/>
      <c r="SF90" s="228"/>
      <c r="SG90" s="228"/>
    </row>
    <row r="91" spans="2:501" ht="84" customHeight="1">
      <c r="C91" s="227" t="s">
        <v>2114</v>
      </c>
      <c r="D91" s="225" t="s">
        <v>2115</v>
      </c>
      <c r="E91" s="225" t="s">
        <v>2116</v>
      </c>
      <c r="F91" s="225" t="s">
        <v>2117</v>
      </c>
      <c r="G91" s="225" t="s">
        <v>1740</v>
      </c>
      <c r="H91" s="225" t="s">
        <v>1741</v>
      </c>
      <c r="I91" s="226" t="s">
        <v>2118</v>
      </c>
      <c r="J91" s="226" t="s">
        <v>1740</v>
      </c>
      <c r="K91" s="225" t="s">
        <v>2067</v>
      </c>
      <c r="L91" s="225" t="s">
        <v>1760</v>
      </c>
      <c r="M91" s="226" t="s">
        <v>2119</v>
      </c>
      <c r="N91" s="228"/>
      <c r="O91" s="228"/>
      <c r="P91" s="228"/>
      <c r="Q91" s="228"/>
      <c r="R91" s="228"/>
      <c r="S91" s="228"/>
      <c r="T91" s="228"/>
      <c r="U91" s="228"/>
      <c r="V91" s="228"/>
      <c r="W91" s="228"/>
      <c r="X91" s="228"/>
      <c r="Y91" s="228"/>
      <c r="Z91" s="228"/>
      <c r="AA91" s="228"/>
      <c r="AB91" s="228"/>
      <c r="AC91" s="228"/>
      <c r="AD91" s="228"/>
      <c r="AE91" s="228"/>
      <c r="AF91" s="228"/>
      <c r="AG91" s="228"/>
      <c r="AH91" s="228"/>
      <c r="AI91" s="228"/>
      <c r="AJ91" s="228"/>
      <c r="AK91" s="228"/>
      <c r="AL91" s="228"/>
      <c r="AM91" s="228"/>
      <c r="AN91" s="228"/>
      <c r="AO91" s="228"/>
      <c r="AP91" s="228"/>
      <c r="AQ91" s="228"/>
      <c r="AR91" s="228"/>
      <c r="AS91" s="228"/>
      <c r="AT91" s="228"/>
      <c r="AU91" s="228"/>
      <c r="AV91" s="228"/>
      <c r="AW91" s="228"/>
      <c r="AX91" s="228"/>
      <c r="AY91" s="228"/>
      <c r="AZ91" s="228"/>
      <c r="BA91" s="228"/>
      <c r="BB91" s="228"/>
      <c r="BC91" s="228"/>
      <c r="BD91" s="228"/>
      <c r="BE91" s="228"/>
      <c r="BF91" s="228"/>
      <c r="BG91" s="228"/>
      <c r="BH91" s="228"/>
      <c r="BI91" s="228"/>
      <c r="BJ91" s="228"/>
      <c r="BK91" s="228"/>
      <c r="BL91" s="228"/>
      <c r="BM91" s="228"/>
      <c r="BN91" s="228"/>
      <c r="BO91" s="228"/>
      <c r="BP91" s="228"/>
      <c r="BQ91" s="228"/>
      <c r="BR91" s="228"/>
      <c r="BS91" s="228"/>
      <c r="BT91" s="228"/>
      <c r="BU91" s="228"/>
      <c r="BV91" s="228"/>
      <c r="BW91" s="228"/>
      <c r="BX91" s="228"/>
      <c r="BY91" s="228"/>
      <c r="BZ91" s="228"/>
      <c r="CA91" s="228"/>
      <c r="CB91" s="228"/>
      <c r="CC91" s="228"/>
      <c r="CD91" s="228"/>
      <c r="CE91" s="228"/>
      <c r="CF91" s="228"/>
      <c r="CG91" s="228"/>
      <c r="CH91" s="228"/>
      <c r="CI91" s="228"/>
      <c r="CJ91" s="228"/>
      <c r="CK91" s="228"/>
      <c r="CL91" s="228"/>
      <c r="CM91" s="228"/>
      <c r="CN91" s="228"/>
      <c r="CO91" s="228"/>
      <c r="CP91" s="228"/>
      <c r="CQ91" s="228"/>
      <c r="CR91" s="228"/>
      <c r="CS91" s="228"/>
      <c r="CT91" s="228"/>
      <c r="CU91" s="228"/>
      <c r="CV91" s="228"/>
      <c r="CW91" s="228"/>
      <c r="CX91" s="228"/>
      <c r="CY91" s="228"/>
      <c r="CZ91" s="228"/>
      <c r="DA91" s="228"/>
      <c r="DB91" s="228"/>
      <c r="DC91" s="228"/>
      <c r="DD91" s="228"/>
      <c r="DE91" s="228"/>
      <c r="DF91" s="228"/>
      <c r="DG91" s="228"/>
      <c r="DH91" s="228"/>
      <c r="DI91" s="228"/>
      <c r="DJ91" s="228"/>
      <c r="DK91" s="228"/>
      <c r="DL91" s="228"/>
      <c r="DM91" s="228"/>
      <c r="DN91" s="228"/>
      <c r="DO91" s="228"/>
      <c r="DP91" s="228"/>
      <c r="DQ91" s="228"/>
      <c r="DR91" s="228"/>
      <c r="DS91" s="228"/>
      <c r="DT91" s="228"/>
      <c r="DU91" s="228"/>
      <c r="DV91" s="228"/>
      <c r="DW91" s="228"/>
      <c r="DX91" s="228"/>
      <c r="DY91" s="228"/>
      <c r="DZ91" s="228"/>
      <c r="EA91" s="228"/>
      <c r="EB91" s="228"/>
      <c r="EC91" s="228"/>
      <c r="ED91" s="228"/>
      <c r="EE91" s="228"/>
      <c r="EF91" s="228"/>
      <c r="EG91" s="228"/>
      <c r="EH91" s="228"/>
      <c r="EI91" s="228"/>
      <c r="EJ91" s="228"/>
      <c r="EK91" s="228"/>
      <c r="EL91" s="228"/>
      <c r="EM91" s="228"/>
      <c r="EN91" s="228"/>
      <c r="EO91" s="228"/>
      <c r="EP91" s="228"/>
      <c r="EQ91" s="228"/>
      <c r="ER91" s="228"/>
      <c r="ES91" s="228"/>
      <c r="ET91" s="228"/>
      <c r="EU91" s="228"/>
      <c r="EV91" s="228"/>
      <c r="EW91" s="228"/>
      <c r="EX91" s="228"/>
      <c r="EY91" s="228"/>
      <c r="EZ91" s="228"/>
      <c r="FA91" s="228"/>
      <c r="FB91" s="228"/>
      <c r="FC91" s="228"/>
      <c r="FD91" s="228"/>
      <c r="FE91" s="228"/>
      <c r="FF91" s="228"/>
      <c r="FG91" s="228"/>
      <c r="FH91" s="228"/>
      <c r="FI91" s="228"/>
      <c r="FJ91" s="228"/>
      <c r="FK91" s="228"/>
      <c r="FL91" s="228"/>
      <c r="FM91" s="228"/>
      <c r="FN91" s="228"/>
      <c r="FO91" s="228"/>
      <c r="FP91" s="228"/>
      <c r="FQ91" s="228"/>
      <c r="FR91" s="228"/>
      <c r="FS91" s="228"/>
      <c r="FT91" s="228"/>
      <c r="FU91" s="228"/>
      <c r="FV91" s="228"/>
      <c r="FW91" s="228"/>
      <c r="FX91" s="228"/>
      <c r="FY91" s="228"/>
      <c r="FZ91" s="228"/>
      <c r="GA91" s="228"/>
      <c r="GB91" s="228"/>
      <c r="GC91" s="228"/>
      <c r="GD91" s="228"/>
      <c r="GE91" s="228"/>
      <c r="GF91" s="228"/>
      <c r="GG91" s="228"/>
      <c r="GH91" s="228"/>
      <c r="GI91" s="228"/>
      <c r="GJ91" s="228"/>
      <c r="GK91" s="228"/>
      <c r="GL91" s="228"/>
      <c r="GM91" s="228"/>
      <c r="GN91" s="228"/>
      <c r="GO91" s="228"/>
      <c r="GP91" s="228"/>
      <c r="GQ91" s="228"/>
      <c r="GR91" s="228"/>
      <c r="GS91" s="228"/>
      <c r="GT91" s="228"/>
      <c r="GU91" s="228"/>
      <c r="GV91" s="228"/>
      <c r="GW91" s="228"/>
      <c r="GX91" s="228"/>
      <c r="GY91" s="228"/>
      <c r="GZ91" s="228"/>
      <c r="HA91" s="228"/>
      <c r="HB91" s="228"/>
      <c r="HC91" s="228"/>
      <c r="HD91" s="228"/>
      <c r="HE91" s="228"/>
      <c r="HF91" s="228"/>
      <c r="HG91" s="228"/>
      <c r="HH91" s="228"/>
      <c r="HI91" s="228"/>
      <c r="HJ91" s="228"/>
      <c r="HK91" s="228"/>
      <c r="HL91" s="228"/>
      <c r="HM91" s="228"/>
      <c r="HN91" s="228"/>
      <c r="HO91" s="228"/>
      <c r="HP91" s="228"/>
      <c r="HQ91" s="228"/>
      <c r="HR91" s="228"/>
      <c r="HS91" s="228"/>
      <c r="HT91" s="228"/>
      <c r="HU91" s="228"/>
      <c r="HV91" s="228"/>
      <c r="HW91" s="228"/>
      <c r="HX91" s="228"/>
      <c r="HY91" s="228"/>
      <c r="HZ91" s="228"/>
      <c r="IA91" s="228"/>
      <c r="IB91" s="228"/>
      <c r="IC91" s="228"/>
      <c r="ID91" s="228"/>
      <c r="IE91" s="228"/>
      <c r="IF91" s="228"/>
      <c r="IG91" s="228"/>
      <c r="IH91" s="228"/>
      <c r="II91" s="228"/>
      <c r="IJ91" s="228"/>
      <c r="IK91" s="228"/>
      <c r="IL91" s="228"/>
      <c r="IM91" s="228"/>
      <c r="IN91" s="228"/>
      <c r="IO91" s="228"/>
      <c r="IP91" s="228"/>
      <c r="IQ91" s="228"/>
      <c r="IR91" s="228"/>
      <c r="IS91" s="228"/>
      <c r="IT91" s="228"/>
      <c r="IU91" s="228"/>
      <c r="IV91" s="228"/>
      <c r="IW91" s="228"/>
      <c r="IX91" s="228"/>
      <c r="IY91" s="228"/>
      <c r="IZ91" s="228"/>
      <c r="JA91" s="228"/>
      <c r="JB91" s="228"/>
      <c r="JC91" s="228"/>
      <c r="JD91" s="228"/>
      <c r="JE91" s="228"/>
      <c r="JF91" s="228"/>
      <c r="JG91" s="228"/>
      <c r="JH91" s="228"/>
      <c r="JI91" s="228"/>
      <c r="JJ91" s="228"/>
      <c r="JK91" s="228"/>
      <c r="JL91" s="228"/>
      <c r="JM91" s="228"/>
      <c r="JN91" s="228"/>
      <c r="JO91" s="228"/>
      <c r="JP91" s="228"/>
      <c r="JQ91" s="228"/>
      <c r="JR91" s="228"/>
      <c r="JS91" s="228"/>
      <c r="JT91" s="228"/>
      <c r="JU91" s="228"/>
      <c r="JV91" s="228"/>
      <c r="JW91" s="228"/>
      <c r="JX91" s="228"/>
      <c r="JY91" s="228"/>
      <c r="JZ91" s="228"/>
      <c r="KA91" s="228"/>
      <c r="KB91" s="228"/>
      <c r="KC91" s="228"/>
      <c r="KD91" s="228"/>
      <c r="KE91" s="228"/>
      <c r="KF91" s="228"/>
      <c r="KG91" s="228"/>
      <c r="KH91" s="228"/>
      <c r="KI91" s="228"/>
      <c r="KJ91" s="228"/>
      <c r="KK91" s="228"/>
      <c r="KL91" s="228"/>
      <c r="KM91" s="228"/>
      <c r="KN91" s="228"/>
      <c r="KO91" s="228"/>
      <c r="KP91" s="228"/>
      <c r="KQ91" s="228"/>
      <c r="KR91" s="228"/>
      <c r="KS91" s="228"/>
      <c r="KT91" s="228"/>
      <c r="KU91" s="228"/>
      <c r="KV91" s="228"/>
      <c r="KW91" s="228"/>
      <c r="KX91" s="228"/>
      <c r="KY91" s="228"/>
      <c r="KZ91" s="228"/>
      <c r="LA91" s="228"/>
      <c r="LB91" s="228"/>
      <c r="LC91" s="228"/>
      <c r="LD91" s="228"/>
      <c r="LE91" s="228"/>
      <c r="LF91" s="228"/>
      <c r="LG91" s="228"/>
      <c r="LH91" s="228"/>
      <c r="LI91" s="228"/>
      <c r="LJ91" s="228"/>
      <c r="LK91" s="228"/>
      <c r="LL91" s="228"/>
      <c r="LM91" s="228"/>
      <c r="LN91" s="228"/>
      <c r="LO91" s="228"/>
      <c r="LP91" s="228"/>
      <c r="LQ91" s="228"/>
      <c r="LR91" s="228"/>
      <c r="LS91" s="228"/>
      <c r="LT91" s="228"/>
      <c r="LU91" s="228"/>
      <c r="LV91" s="228"/>
      <c r="LW91" s="228"/>
      <c r="LX91" s="228"/>
      <c r="LY91" s="228"/>
      <c r="LZ91" s="228"/>
      <c r="MA91" s="228"/>
      <c r="MB91" s="228"/>
      <c r="MC91" s="228"/>
      <c r="MD91" s="228"/>
      <c r="ME91" s="228"/>
      <c r="MF91" s="228"/>
      <c r="MG91" s="228"/>
      <c r="MH91" s="228"/>
      <c r="MI91" s="228"/>
      <c r="MJ91" s="228"/>
      <c r="MK91" s="228"/>
      <c r="ML91" s="228"/>
      <c r="MM91" s="228"/>
      <c r="MN91" s="228"/>
      <c r="MO91" s="228"/>
      <c r="MP91" s="228"/>
      <c r="MQ91" s="228"/>
      <c r="MR91" s="228"/>
      <c r="MS91" s="228"/>
      <c r="MT91" s="228"/>
      <c r="MU91" s="228"/>
      <c r="MV91" s="228"/>
      <c r="MW91" s="228"/>
      <c r="MX91" s="228"/>
      <c r="MY91" s="228"/>
      <c r="MZ91" s="228"/>
      <c r="NA91" s="228"/>
      <c r="NB91" s="228"/>
      <c r="NC91" s="228"/>
      <c r="ND91" s="228"/>
      <c r="NE91" s="228"/>
      <c r="NF91" s="228"/>
      <c r="NG91" s="228"/>
      <c r="NH91" s="228"/>
      <c r="NI91" s="228"/>
      <c r="NJ91" s="228"/>
      <c r="NK91" s="228"/>
      <c r="NL91" s="228"/>
      <c r="NM91" s="228"/>
      <c r="NN91" s="228"/>
      <c r="NO91" s="228"/>
      <c r="NP91" s="228"/>
      <c r="NQ91" s="228"/>
      <c r="NR91" s="228"/>
      <c r="NS91" s="228"/>
      <c r="NT91" s="228"/>
      <c r="NU91" s="228"/>
      <c r="NV91" s="228"/>
      <c r="NW91" s="228"/>
      <c r="NX91" s="228"/>
      <c r="NY91" s="228"/>
      <c r="NZ91" s="228"/>
      <c r="OA91" s="228"/>
      <c r="OB91" s="228"/>
      <c r="OC91" s="228"/>
      <c r="OD91" s="228"/>
      <c r="OE91" s="228"/>
      <c r="OF91" s="228"/>
      <c r="OG91" s="228"/>
      <c r="OH91" s="228"/>
      <c r="OI91" s="228"/>
      <c r="OJ91" s="228"/>
      <c r="OK91" s="228"/>
      <c r="OL91" s="228"/>
      <c r="OM91" s="228"/>
      <c r="ON91" s="228"/>
      <c r="OO91" s="228"/>
      <c r="OP91" s="228"/>
      <c r="OQ91" s="228"/>
      <c r="OR91" s="228"/>
      <c r="OS91" s="228"/>
      <c r="OT91" s="228"/>
      <c r="OU91" s="228"/>
      <c r="OV91" s="228"/>
      <c r="OW91" s="228"/>
      <c r="OX91" s="228"/>
      <c r="OY91" s="228"/>
      <c r="OZ91" s="228"/>
      <c r="PA91" s="228"/>
      <c r="PB91" s="228"/>
      <c r="PC91" s="228"/>
      <c r="PD91" s="228"/>
      <c r="PE91" s="228"/>
      <c r="PF91" s="228"/>
      <c r="PG91" s="228"/>
      <c r="PH91" s="228"/>
      <c r="PI91" s="228"/>
      <c r="PJ91" s="228"/>
      <c r="PK91" s="228"/>
      <c r="PL91" s="228"/>
      <c r="PM91" s="228"/>
      <c r="PN91" s="228"/>
      <c r="PO91" s="228"/>
      <c r="PP91" s="228"/>
      <c r="PQ91" s="228"/>
      <c r="PR91" s="228"/>
      <c r="PS91" s="228"/>
      <c r="PT91" s="228"/>
      <c r="PU91" s="228"/>
      <c r="PV91" s="228"/>
      <c r="PW91" s="228"/>
      <c r="PX91" s="228"/>
      <c r="PY91" s="228"/>
      <c r="PZ91" s="228"/>
      <c r="QA91" s="228"/>
      <c r="QB91" s="228"/>
      <c r="QC91" s="228"/>
      <c r="QD91" s="228"/>
      <c r="QE91" s="228"/>
      <c r="QF91" s="228"/>
      <c r="QG91" s="228"/>
      <c r="QH91" s="228"/>
      <c r="QI91" s="228"/>
      <c r="QJ91" s="228"/>
      <c r="QK91" s="228"/>
      <c r="QL91" s="228"/>
      <c r="QM91" s="228"/>
      <c r="QN91" s="228"/>
      <c r="QO91" s="228"/>
      <c r="QP91" s="228"/>
      <c r="QQ91" s="228"/>
      <c r="QR91" s="228"/>
      <c r="QS91" s="228"/>
      <c r="QT91" s="228"/>
      <c r="QU91" s="228"/>
      <c r="QV91" s="228"/>
      <c r="QW91" s="228"/>
      <c r="QX91" s="228"/>
      <c r="QY91" s="228"/>
      <c r="QZ91" s="228"/>
      <c r="RA91" s="228"/>
      <c r="RB91" s="228"/>
      <c r="RC91" s="228"/>
      <c r="RD91" s="228"/>
      <c r="RE91" s="228"/>
      <c r="RF91" s="228"/>
      <c r="RG91" s="228"/>
      <c r="RH91" s="228"/>
      <c r="RI91" s="228"/>
      <c r="RJ91" s="228"/>
      <c r="RK91" s="228"/>
      <c r="RL91" s="228"/>
      <c r="RM91" s="228"/>
      <c r="RN91" s="228"/>
      <c r="RO91" s="228"/>
      <c r="RP91" s="228"/>
      <c r="RQ91" s="228"/>
      <c r="RR91" s="228"/>
      <c r="RS91" s="228"/>
      <c r="RT91" s="228"/>
      <c r="RU91" s="228"/>
      <c r="RV91" s="228"/>
      <c r="RW91" s="228"/>
      <c r="RX91" s="228"/>
      <c r="RY91" s="228"/>
      <c r="RZ91" s="228"/>
      <c r="SA91" s="228"/>
      <c r="SB91" s="228"/>
      <c r="SC91" s="228"/>
      <c r="SD91" s="228"/>
      <c r="SE91" s="228"/>
      <c r="SF91" s="228"/>
      <c r="SG91" s="228"/>
    </row>
    <row r="92" spans="2:501" ht="14.25" customHeight="1"/>
    <row r="93" spans="2:501" ht="14.25" customHeight="1"/>
    <row r="94" spans="2:501" ht="14.25" customHeight="1">
      <c r="B94" s="222" t="s">
        <v>2120</v>
      </c>
      <c r="C94" s="222"/>
      <c r="D94" s="197"/>
      <c r="E94" s="198"/>
    </row>
    <row r="95" spans="2:501" ht="14.25" customHeight="1">
      <c r="C95" s="223" t="s">
        <v>1111</v>
      </c>
      <c r="D95" s="223" t="s">
        <v>93</v>
      </c>
      <c r="E95" s="223" t="s">
        <v>1727</v>
      </c>
      <c r="F95" s="223" t="s">
        <v>1728</v>
      </c>
      <c r="G95" s="223" t="s">
        <v>1729</v>
      </c>
      <c r="H95" s="223" t="s">
        <v>1730</v>
      </c>
      <c r="I95" s="223" t="s">
        <v>1731</v>
      </c>
      <c r="J95" s="223" t="s">
        <v>1732</v>
      </c>
      <c r="K95" s="223" t="s">
        <v>1733</v>
      </c>
      <c r="L95" s="223" t="s">
        <v>1734</v>
      </c>
      <c r="M95" s="223" t="s">
        <v>1735</v>
      </c>
      <c r="N95" s="228"/>
      <c r="O95" s="228"/>
      <c r="P95" s="228"/>
      <c r="Q95" s="228"/>
      <c r="R95" s="228"/>
      <c r="S95" s="228"/>
      <c r="T95" s="228"/>
      <c r="U95" s="228"/>
      <c r="V95" s="228"/>
      <c r="W95" s="228"/>
      <c r="X95" s="228"/>
      <c r="Y95" s="228"/>
      <c r="Z95" s="228"/>
      <c r="AA95" s="228"/>
      <c r="AB95" s="228"/>
      <c r="AC95" s="228"/>
      <c r="AD95" s="228"/>
      <c r="AE95" s="228"/>
      <c r="AF95" s="228"/>
      <c r="AG95" s="228"/>
      <c r="AH95" s="228"/>
      <c r="AI95" s="228"/>
      <c r="AJ95" s="228"/>
      <c r="AK95" s="228"/>
      <c r="AL95" s="228"/>
      <c r="AM95" s="228"/>
      <c r="AN95" s="228"/>
      <c r="AO95" s="228"/>
      <c r="AP95" s="228"/>
      <c r="AQ95" s="228"/>
      <c r="AR95" s="228"/>
      <c r="AS95" s="228"/>
      <c r="AT95" s="228"/>
      <c r="AU95" s="228"/>
      <c r="AV95" s="228"/>
      <c r="AW95" s="228"/>
      <c r="AX95" s="228"/>
      <c r="AY95" s="228"/>
      <c r="AZ95" s="228"/>
      <c r="BA95" s="228"/>
      <c r="BB95" s="228"/>
      <c r="BC95" s="228"/>
      <c r="BD95" s="228"/>
      <c r="BE95" s="228"/>
      <c r="BF95" s="228"/>
      <c r="BG95" s="228"/>
      <c r="BH95" s="228"/>
      <c r="BI95" s="228"/>
      <c r="BJ95" s="228"/>
      <c r="BK95" s="228"/>
      <c r="BL95" s="228"/>
      <c r="BM95" s="228"/>
      <c r="BN95" s="228"/>
      <c r="BO95" s="228"/>
      <c r="BP95" s="228"/>
      <c r="BQ95" s="228"/>
      <c r="BR95" s="228"/>
      <c r="BS95" s="228"/>
      <c r="BT95" s="228"/>
      <c r="BU95" s="228"/>
      <c r="BV95" s="228"/>
      <c r="BW95" s="228"/>
      <c r="BX95" s="228"/>
      <c r="BY95" s="228"/>
      <c r="BZ95" s="228"/>
      <c r="CA95" s="228"/>
      <c r="CB95" s="228"/>
      <c r="CC95" s="228"/>
      <c r="CD95" s="228"/>
      <c r="CE95" s="228"/>
      <c r="CF95" s="228"/>
      <c r="CG95" s="228"/>
      <c r="CH95" s="228"/>
      <c r="CI95" s="228"/>
      <c r="CJ95" s="228"/>
      <c r="CK95" s="228"/>
      <c r="CL95" s="228"/>
      <c r="CM95" s="228"/>
      <c r="CN95" s="228"/>
      <c r="CO95" s="228"/>
      <c r="CP95" s="228"/>
      <c r="CQ95" s="228"/>
      <c r="CR95" s="228"/>
      <c r="CS95" s="228"/>
      <c r="CT95" s="228"/>
      <c r="CU95" s="228"/>
      <c r="CV95" s="228"/>
      <c r="CW95" s="228"/>
      <c r="CX95" s="228"/>
      <c r="CY95" s="228"/>
      <c r="CZ95" s="228"/>
      <c r="DA95" s="228"/>
      <c r="DB95" s="228"/>
      <c r="DC95" s="228"/>
      <c r="DD95" s="228"/>
      <c r="DE95" s="228"/>
      <c r="DF95" s="228"/>
      <c r="DG95" s="228"/>
      <c r="DH95" s="228"/>
      <c r="DI95" s="228"/>
      <c r="DJ95" s="228"/>
      <c r="DK95" s="228"/>
      <c r="DL95" s="228"/>
      <c r="DM95" s="228"/>
      <c r="DN95" s="228"/>
      <c r="DO95" s="228"/>
      <c r="DP95" s="228"/>
      <c r="DQ95" s="228"/>
      <c r="DR95" s="228"/>
      <c r="DS95" s="228"/>
      <c r="DT95" s="228"/>
      <c r="DU95" s="228"/>
      <c r="DV95" s="228"/>
      <c r="DW95" s="228"/>
      <c r="DX95" s="228"/>
      <c r="DY95" s="228"/>
      <c r="DZ95" s="228"/>
      <c r="EA95" s="228"/>
      <c r="EB95" s="228"/>
      <c r="EC95" s="228"/>
      <c r="ED95" s="228"/>
      <c r="EE95" s="228"/>
      <c r="EF95" s="228"/>
      <c r="EG95" s="228"/>
      <c r="EH95" s="228"/>
      <c r="EI95" s="228"/>
      <c r="EJ95" s="228"/>
      <c r="EK95" s="228"/>
      <c r="EL95" s="228"/>
      <c r="EM95" s="228"/>
      <c r="EN95" s="228"/>
      <c r="EO95" s="228"/>
      <c r="EP95" s="228"/>
      <c r="EQ95" s="228"/>
      <c r="ER95" s="228"/>
      <c r="ES95" s="228"/>
      <c r="ET95" s="228"/>
      <c r="EU95" s="228"/>
      <c r="EV95" s="228"/>
      <c r="EW95" s="228"/>
      <c r="EX95" s="228"/>
      <c r="EY95" s="228"/>
      <c r="EZ95" s="228"/>
      <c r="FA95" s="228"/>
      <c r="FB95" s="228"/>
      <c r="FC95" s="228"/>
      <c r="FD95" s="228"/>
      <c r="FE95" s="228"/>
      <c r="FF95" s="228"/>
      <c r="FG95" s="228"/>
      <c r="FH95" s="228"/>
      <c r="FI95" s="228"/>
      <c r="FJ95" s="228"/>
      <c r="FK95" s="228"/>
      <c r="FL95" s="228"/>
      <c r="FM95" s="228"/>
      <c r="FN95" s="228"/>
      <c r="FO95" s="228"/>
      <c r="FP95" s="228"/>
      <c r="FQ95" s="228"/>
      <c r="FR95" s="228"/>
      <c r="FS95" s="228"/>
      <c r="FT95" s="228"/>
      <c r="FU95" s="228"/>
      <c r="FV95" s="228"/>
      <c r="FW95" s="228"/>
      <c r="FX95" s="228"/>
      <c r="FY95" s="228"/>
      <c r="FZ95" s="228"/>
      <c r="GA95" s="228"/>
      <c r="GB95" s="228"/>
      <c r="GC95" s="228"/>
      <c r="GD95" s="228"/>
      <c r="GE95" s="228"/>
      <c r="GF95" s="228"/>
      <c r="GG95" s="228"/>
      <c r="GH95" s="228"/>
      <c r="GI95" s="228"/>
      <c r="GJ95" s="228"/>
      <c r="GK95" s="228"/>
      <c r="GL95" s="228"/>
      <c r="GM95" s="228"/>
      <c r="GN95" s="228"/>
      <c r="GO95" s="228"/>
      <c r="GP95" s="228"/>
      <c r="GQ95" s="228"/>
      <c r="GR95" s="228"/>
      <c r="GS95" s="228"/>
      <c r="GT95" s="228"/>
      <c r="GU95" s="228"/>
      <c r="GV95" s="228"/>
      <c r="GW95" s="228"/>
      <c r="GX95" s="228"/>
      <c r="GY95" s="228"/>
      <c r="GZ95" s="228"/>
      <c r="HA95" s="228"/>
      <c r="HB95" s="228"/>
      <c r="HC95" s="228"/>
      <c r="HD95" s="228"/>
      <c r="HE95" s="228"/>
      <c r="HF95" s="228"/>
      <c r="HG95" s="228"/>
      <c r="HH95" s="228"/>
      <c r="HI95" s="228"/>
      <c r="HJ95" s="228"/>
      <c r="HK95" s="228"/>
      <c r="HL95" s="228"/>
      <c r="HM95" s="228"/>
      <c r="HN95" s="228"/>
      <c r="HO95" s="228"/>
      <c r="HP95" s="228"/>
      <c r="HQ95" s="228"/>
      <c r="HR95" s="228"/>
      <c r="HS95" s="228"/>
      <c r="HT95" s="228"/>
      <c r="HU95" s="228"/>
      <c r="HV95" s="228"/>
      <c r="HW95" s="228"/>
      <c r="HX95" s="228"/>
      <c r="HY95" s="228"/>
      <c r="HZ95" s="228"/>
      <c r="IA95" s="228"/>
      <c r="IB95" s="228"/>
      <c r="IC95" s="228"/>
      <c r="ID95" s="228"/>
      <c r="IE95" s="228"/>
      <c r="IF95" s="228"/>
      <c r="IG95" s="228"/>
      <c r="IH95" s="228"/>
      <c r="II95" s="228"/>
      <c r="IJ95" s="228"/>
      <c r="IK95" s="228"/>
      <c r="IL95" s="228"/>
      <c r="IM95" s="228"/>
      <c r="IN95" s="228"/>
      <c r="IO95" s="228"/>
      <c r="IP95" s="228"/>
      <c r="IQ95" s="228"/>
      <c r="IR95" s="228"/>
      <c r="IS95" s="228"/>
      <c r="IT95" s="228"/>
      <c r="IU95" s="228"/>
      <c r="IV95" s="228"/>
      <c r="IW95" s="228"/>
      <c r="IX95" s="228"/>
      <c r="IY95" s="228"/>
      <c r="IZ95" s="228"/>
      <c r="JA95" s="228"/>
      <c r="JB95" s="228"/>
      <c r="JC95" s="228"/>
      <c r="JD95" s="228"/>
      <c r="JE95" s="228"/>
      <c r="JF95" s="228"/>
      <c r="JG95" s="228"/>
      <c r="JH95" s="228"/>
      <c r="JI95" s="228"/>
      <c r="JJ95" s="228"/>
      <c r="JK95" s="228"/>
      <c r="JL95" s="228"/>
      <c r="JM95" s="228"/>
      <c r="JN95" s="228"/>
      <c r="JO95" s="228"/>
      <c r="JP95" s="228"/>
      <c r="JQ95" s="228"/>
      <c r="JR95" s="228"/>
      <c r="JS95" s="228"/>
      <c r="JT95" s="228"/>
      <c r="JU95" s="228"/>
      <c r="JV95" s="228"/>
      <c r="JW95" s="228"/>
      <c r="JX95" s="228"/>
      <c r="JY95" s="228"/>
      <c r="JZ95" s="228"/>
      <c r="KA95" s="228"/>
      <c r="KB95" s="228"/>
      <c r="KC95" s="228"/>
      <c r="KD95" s="228"/>
      <c r="KE95" s="228"/>
      <c r="KF95" s="228"/>
      <c r="KG95" s="228"/>
      <c r="KH95" s="228"/>
      <c r="KI95" s="228"/>
      <c r="KJ95" s="228"/>
      <c r="KK95" s="228"/>
      <c r="KL95" s="228"/>
      <c r="KM95" s="228"/>
      <c r="KN95" s="228"/>
      <c r="KO95" s="228"/>
      <c r="KP95" s="228"/>
      <c r="KQ95" s="228"/>
      <c r="KR95" s="228"/>
      <c r="KS95" s="228"/>
      <c r="KT95" s="228"/>
      <c r="KU95" s="228"/>
      <c r="KV95" s="228"/>
      <c r="KW95" s="228"/>
      <c r="KX95" s="228"/>
      <c r="KY95" s="228"/>
      <c r="KZ95" s="228"/>
      <c r="LA95" s="228"/>
      <c r="LB95" s="228"/>
      <c r="LC95" s="228"/>
      <c r="LD95" s="228"/>
      <c r="LE95" s="228"/>
      <c r="LF95" s="228"/>
      <c r="LG95" s="228"/>
      <c r="LH95" s="228"/>
      <c r="LI95" s="228"/>
      <c r="LJ95" s="228"/>
      <c r="LK95" s="228"/>
      <c r="LL95" s="228"/>
      <c r="LM95" s="228"/>
      <c r="LN95" s="228"/>
      <c r="LO95" s="228"/>
      <c r="LP95" s="228"/>
      <c r="LQ95" s="228"/>
      <c r="LR95" s="228"/>
      <c r="LS95" s="228"/>
      <c r="LT95" s="228"/>
      <c r="LU95" s="228"/>
      <c r="LV95" s="228"/>
      <c r="LW95" s="228"/>
      <c r="LX95" s="228"/>
      <c r="LY95" s="228"/>
      <c r="LZ95" s="228"/>
      <c r="MA95" s="228"/>
      <c r="MB95" s="228"/>
      <c r="MC95" s="228"/>
      <c r="MD95" s="228"/>
      <c r="ME95" s="228"/>
      <c r="MF95" s="228"/>
      <c r="MG95" s="228"/>
      <c r="MH95" s="228"/>
      <c r="MI95" s="228"/>
      <c r="MJ95" s="228"/>
      <c r="MK95" s="228"/>
      <c r="ML95" s="228"/>
      <c r="MM95" s="228"/>
      <c r="MN95" s="228"/>
      <c r="MO95" s="228"/>
      <c r="MP95" s="228"/>
      <c r="MQ95" s="228"/>
      <c r="MR95" s="228"/>
      <c r="MS95" s="228"/>
      <c r="MT95" s="228"/>
      <c r="MU95" s="228"/>
      <c r="MV95" s="228"/>
      <c r="MW95" s="228"/>
      <c r="MX95" s="228"/>
      <c r="MY95" s="228"/>
      <c r="MZ95" s="228"/>
      <c r="NA95" s="228"/>
      <c r="NB95" s="228"/>
      <c r="NC95" s="228"/>
      <c r="ND95" s="228"/>
      <c r="NE95" s="228"/>
      <c r="NF95" s="228"/>
      <c r="NG95" s="228"/>
      <c r="NH95" s="228"/>
      <c r="NI95" s="228"/>
      <c r="NJ95" s="228"/>
      <c r="NK95" s="228"/>
      <c r="NL95" s="228"/>
      <c r="NM95" s="228"/>
      <c r="NN95" s="228"/>
      <c r="NO95" s="228"/>
      <c r="NP95" s="228"/>
      <c r="NQ95" s="228"/>
      <c r="NR95" s="228"/>
      <c r="NS95" s="228"/>
      <c r="NT95" s="228"/>
      <c r="NU95" s="228"/>
      <c r="NV95" s="228"/>
      <c r="NW95" s="228"/>
      <c r="NX95" s="228"/>
      <c r="NY95" s="228"/>
      <c r="NZ95" s="228"/>
      <c r="OA95" s="228"/>
      <c r="OB95" s="228"/>
      <c r="OC95" s="228"/>
      <c r="OD95" s="228"/>
      <c r="OE95" s="228"/>
      <c r="OF95" s="228"/>
      <c r="OG95" s="228"/>
      <c r="OH95" s="228"/>
      <c r="OI95" s="228"/>
      <c r="OJ95" s="228"/>
      <c r="OK95" s="228"/>
      <c r="OL95" s="228"/>
      <c r="OM95" s="228"/>
      <c r="ON95" s="228"/>
      <c r="OO95" s="228"/>
      <c r="OP95" s="228"/>
      <c r="OQ95" s="228"/>
      <c r="OR95" s="228"/>
      <c r="OS95" s="228"/>
      <c r="OT95" s="228"/>
      <c r="OU95" s="228"/>
      <c r="OV95" s="228"/>
      <c r="OW95" s="228"/>
      <c r="OX95" s="228"/>
      <c r="OY95" s="228"/>
      <c r="OZ95" s="228"/>
      <c r="PA95" s="228"/>
      <c r="PB95" s="228"/>
      <c r="PC95" s="228"/>
      <c r="PD95" s="228"/>
      <c r="PE95" s="228"/>
      <c r="PF95" s="228"/>
      <c r="PG95" s="228"/>
      <c r="PH95" s="228"/>
      <c r="PI95" s="228"/>
      <c r="PJ95" s="228"/>
      <c r="PK95" s="228"/>
      <c r="PL95" s="228"/>
      <c r="PM95" s="228"/>
      <c r="PN95" s="228"/>
      <c r="PO95" s="228"/>
      <c r="PP95" s="228"/>
      <c r="PQ95" s="228"/>
      <c r="PR95" s="228"/>
      <c r="PS95" s="228"/>
      <c r="PT95" s="228"/>
      <c r="PU95" s="228"/>
      <c r="PV95" s="228"/>
      <c r="PW95" s="228"/>
      <c r="PX95" s="228"/>
      <c r="PY95" s="228"/>
      <c r="PZ95" s="228"/>
      <c r="QA95" s="228"/>
      <c r="QB95" s="228"/>
      <c r="QC95" s="228"/>
      <c r="QD95" s="228"/>
      <c r="QE95" s="228"/>
      <c r="QF95" s="228"/>
      <c r="QG95" s="228"/>
      <c r="QH95" s="228"/>
      <c r="QI95" s="228"/>
      <c r="QJ95" s="228"/>
      <c r="QK95" s="228"/>
      <c r="QL95" s="228"/>
      <c r="QM95" s="228"/>
      <c r="QN95" s="228"/>
      <c r="QO95" s="228"/>
      <c r="QP95" s="228"/>
      <c r="QQ95" s="228"/>
      <c r="QR95" s="228"/>
      <c r="QS95" s="228"/>
      <c r="QT95" s="228"/>
      <c r="QU95" s="228"/>
      <c r="QV95" s="228"/>
      <c r="QW95" s="228"/>
      <c r="QX95" s="228"/>
      <c r="QY95" s="228"/>
      <c r="QZ95" s="228"/>
      <c r="RA95" s="228"/>
      <c r="RB95" s="228"/>
      <c r="RC95" s="228"/>
      <c r="RD95" s="228"/>
      <c r="RE95" s="228"/>
      <c r="RF95" s="228"/>
      <c r="RG95" s="228"/>
      <c r="RH95" s="228"/>
      <c r="RI95" s="228"/>
      <c r="RJ95" s="228"/>
      <c r="RK95" s="228"/>
      <c r="RL95" s="228"/>
      <c r="RM95" s="228"/>
      <c r="RN95" s="228"/>
      <c r="RO95" s="228"/>
      <c r="RP95" s="228"/>
      <c r="RQ95" s="228"/>
      <c r="RR95" s="228"/>
      <c r="RS95" s="228"/>
      <c r="RT95" s="228"/>
      <c r="RU95" s="228"/>
      <c r="RV95" s="228"/>
      <c r="RW95" s="228"/>
      <c r="RX95" s="228"/>
      <c r="RY95" s="228"/>
      <c r="RZ95" s="228"/>
      <c r="SA95" s="228"/>
      <c r="SB95" s="228"/>
      <c r="SC95" s="228"/>
      <c r="SD95" s="228"/>
      <c r="SE95" s="228"/>
      <c r="SF95" s="228"/>
      <c r="SG95" s="228"/>
    </row>
    <row r="96" spans="2:501" ht="126" customHeight="1">
      <c r="C96" s="227" t="s">
        <v>2121</v>
      </c>
      <c r="D96" s="225" t="s">
        <v>2122</v>
      </c>
      <c r="E96" s="226" t="s">
        <v>2123</v>
      </c>
      <c r="F96" s="225" t="s">
        <v>2124</v>
      </c>
      <c r="G96" s="225" t="s">
        <v>1342</v>
      </c>
      <c r="H96" s="225" t="s">
        <v>1741</v>
      </c>
      <c r="I96" s="226" t="s">
        <v>2125</v>
      </c>
      <c r="J96" s="226" t="s">
        <v>2126</v>
      </c>
      <c r="K96" s="225" t="s">
        <v>1768</v>
      </c>
      <c r="L96" s="225" t="s">
        <v>1760</v>
      </c>
      <c r="M96" s="226" t="s">
        <v>2127</v>
      </c>
      <c r="N96" s="228"/>
      <c r="O96" s="228"/>
      <c r="P96" s="228"/>
      <c r="Q96" s="228"/>
      <c r="R96" s="228"/>
      <c r="S96" s="228"/>
      <c r="T96" s="228"/>
      <c r="U96" s="228"/>
      <c r="V96" s="228"/>
      <c r="W96" s="228"/>
      <c r="X96" s="228"/>
      <c r="Y96" s="228"/>
      <c r="Z96" s="228"/>
      <c r="AA96" s="228"/>
      <c r="AB96" s="228"/>
      <c r="AC96" s="228"/>
      <c r="AD96" s="228"/>
      <c r="AE96" s="228"/>
      <c r="AF96" s="228"/>
      <c r="AG96" s="228"/>
      <c r="AH96" s="228"/>
      <c r="AI96" s="228"/>
      <c r="AJ96" s="228"/>
      <c r="AK96" s="228"/>
      <c r="AL96" s="228"/>
      <c r="AM96" s="228"/>
      <c r="AN96" s="228"/>
      <c r="AO96" s="228"/>
      <c r="AP96" s="228"/>
      <c r="AQ96" s="228"/>
      <c r="AR96" s="228"/>
      <c r="AS96" s="228"/>
      <c r="AT96" s="228"/>
      <c r="AU96" s="228"/>
      <c r="AV96" s="228"/>
      <c r="AW96" s="228"/>
      <c r="AX96" s="228"/>
      <c r="AY96" s="228"/>
      <c r="AZ96" s="228"/>
      <c r="BA96" s="228"/>
      <c r="BB96" s="228"/>
      <c r="BC96" s="228"/>
      <c r="BD96" s="228"/>
      <c r="BE96" s="228"/>
      <c r="BF96" s="228"/>
      <c r="BG96" s="228"/>
      <c r="BH96" s="228"/>
      <c r="BI96" s="228"/>
      <c r="BJ96" s="228"/>
      <c r="BK96" s="228"/>
      <c r="BL96" s="228"/>
      <c r="BM96" s="228"/>
      <c r="BN96" s="228"/>
      <c r="BO96" s="228"/>
      <c r="BP96" s="228"/>
      <c r="BQ96" s="228"/>
      <c r="BR96" s="228"/>
      <c r="BS96" s="228"/>
      <c r="BT96" s="228"/>
      <c r="BU96" s="228"/>
      <c r="BV96" s="228"/>
      <c r="BW96" s="228"/>
      <c r="BX96" s="228"/>
      <c r="BY96" s="228"/>
      <c r="BZ96" s="228"/>
      <c r="CA96" s="228"/>
      <c r="CB96" s="228"/>
      <c r="CC96" s="228"/>
      <c r="CD96" s="228"/>
      <c r="CE96" s="228"/>
      <c r="CF96" s="228"/>
      <c r="CG96" s="228"/>
      <c r="CH96" s="228"/>
      <c r="CI96" s="228"/>
      <c r="CJ96" s="228"/>
      <c r="CK96" s="228"/>
      <c r="CL96" s="228"/>
      <c r="CM96" s="228"/>
      <c r="CN96" s="228"/>
      <c r="CO96" s="228"/>
      <c r="CP96" s="228"/>
      <c r="CQ96" s="228"/>
      <c r="CR96" s="228"/>
      <c r="CS96" s="228"/>
      <c r="CT96" s="228"/>
      <c r="CU96" s="228"/>
      <c r="CV96" s="228"/>
      <c r="CW96" s="228"/>
      <c r="CX96" s="228"/>
      <c r="CY96" s="228"/>
      <c r="CZ96" s="228"/>
      <c r="DA96" s="228"/>
      <c r="DB96" s="228"/>
      <c r="DC96" s="228"/>
      <c r="DD96" s="228"/>
      <c r="DE96" s="228"/>
      <c r="DF96" s="228"/>
      <c r="DG96" s="228"/>
      <c r="DH96" s="228"/>
      <c r="DI96" s="228"/>
      <c r="DJ96" s="228"/>
      <c r="DK96" s="228"/>
      <c r="DL96" s="228"/>
      <c r="DM96" s="228"/>
      <c r="DN96" s="228"/>
      <c r="DO96" s="228"/>
      <c r="DP96" s="228"/>
      <c r="DQ96" s="228"/>
      <c r="DR96" s="228"/>
      <c r="DS96" s="228"/>
      <c r="DT96" s="228"/>
      <c r="DU96" s="228"/>
      <c r="DV96" s="228"/>
      <c r="DW96" s="228"/>
      <c r="DX96" s="228"/>
      <c r="DY96" s="228"/>
      <c r="DZ96" s="228"/>
      <c r="EA96" s="228"/>
      <c r="EB96" s="228"/>
      <c r="EC96" s="228"/>
      <c r="ED96" s="228"/>
      <c r="EE96" s="228"/>
      <c r="EF96" s="228"/>
      <c r="EG96" s="228"/>
      <c r="EH96" s="228"/>
      <c r="EI96" s="228"/>
      <c r="EJ96" s="228"/>
      <c r="EK96" s="228"/>
      <c r="EL96" s="228"/>
      <c r="EM96" s="228"/>
      <c r="EN96" s="228"/>
      <c r="EO96" s="228"/>
      <c r="EP96" s="228"/>
      <c r="EQ96" s="228"/>
      <c r="ER96" s="228"/>
      <c r="ES96" s="228"/>
      <c r="ET96" s="228"/>
      <c r="EU96" s="228"/>
      <c r="EV96" s="228"/>
      <c r="EW96" s="228"/>
      <c r="EX96" s="228"/>
      <c r="EY96" s="228"/>
      <c r="EZ96" s="228"/>
      <c r="FA96" s="228"/>
      <c r="FB96" s="228"/>
      <c r="FC96" s="228"/>
      <c r="FD96" s="228"/>
      <c r="FE96" s="228"/>
      <c r="FF96" s="228"/>
      <c r="FG96" s="228"/>
      <c r="FH96" s="228"/>
      <c r="FI96" s="228"/>
      <c r="FJ96" s="228"/>
      <c r="FK96" s="228"/>
      <c r="FL96" s="228"/>
      <c r="FM96" s="228"/>
      <c r="FN96" s="228"/>
      <c r="FO96" s="228"/>
      <c r="FP96" s="228"/>
      <c r="FQ96" s="228"/>
      <c r="FR96" s="228"/>
      <c r="FS96" s="228"/>
      <c r="FT96" s="228"/>
      <c r="FU96" s="228"/>
      <c r="FV96" s="228"/>
      <c r="FW96" s="228"/>
      <c r="FX96" s="228"/>
      <c r="FY96" s="228"/>
      <c r="FZ96" s="228"/>
      <c r="GA96" s="228"/>
      <c r="GB96" s="228"/>
      <c r="GC96" s="228"/>
      <c r="GD96" s="228"/>
      <c r="GE96" s="228"/>
      <c r="GF96" s="228"/>
      <c r="GG96" s="228"/>
      <c r="GH96" s="228"/>
      <c r="GI96" s="228"/>
      <c r="GJ96" s="228"/>
      <c r="GK96" s="228"/>
      <c r="GL96" s="228"/>
      <c r="GM96" s="228"/>
      <c r="GN96" s="228"/>
      <c r="GO96" s="228"/>
      <c r="GP96" s="228"/>
      <c r="GQ96" s="228"/>
      <c r="GR96" s="228"/>
      <c r="GS96" s="228"/>
      <c r="GT96" s="228"/>
      <c r="GU96" s="228"/>
      <c r="GV96" s="228"/>
      <c r="GW96" s="228"/>
      <c r="GX96" s="228"/>
      <c r="GY96" s="228"/>
      <c r="GZ96" s="228"/>
      <c r="HA96" s="228"/>
      <c r="HB96" s="228"/>
      <c r="HC96" s="228"/>
      <c r="HD96" s="228"/>
      <c r="HE96" s="228"/>
      <c r="HF96" s="228"/>
      <c r="HG96" s="228"/>
      <c r="HH96" s="228"/>
      <c r="HI96" s="228"/>
      <c r="HJ96" s="228"/>
      <c r="HK96" s="228"/>
      <c r="HL96" s="228"/>
      <c r="HM96" s="228"/>
      <c r="HN96" s="228"/>
      <c r="HO96" s="228"/>
      <c r="HP96" s="228"/>
      <c r="HQ96" s="228"/>
      <c r="HR96" s="228"/>
      <c r="HS96" s="228"/>
      <c r="HT96" s="228"/>
      <c r="HU96" s="228"/>
      <c r="HV96" s="228"/>
      <c r="HW96" s="228"/>
      <c r="HX96" s="228"/>
      <c r="HY96" s="228"/>
      <c r="HZ96" s="228"/>
      <c r="IA96" s="228"/>
      <c r="IB96" s="228"/>
      <c r="IC96" s="228"/>
      <c r="ID96" s="228"/>
      <c r="IE96" s="228"/>
      <c r="IF96" s="228"/>
      <c r="IG96" s="228"/>
      <c r="IH96" s="228"/>
      <c r="II96" s="228"/>
      <c r="IJ96" s="228"/>
      <c r="IK96" s="228"/>
      <c r="IL96" s="228"/>
      <c r="IM96" s="228"/>
      <c r="IN96" s="228"/>
      <c r="IO96" s="228"/>
      <c r="IP96" s="228"/>
      <c r="IQ96" s="228"/>
      <c r="IR96" s="228"/>
      <c r="IS96" s="228"/>
      <c r="IT96" s="228"/>
      <c r="IU96" s="228"/>
      <c r="IV96" s="228"/>
      <c r="IW96" s="228"/>
      <c r="IX96" s="228"/>
      <c r="IY96" s="228"/>
      <c r="IZ96" s="228"/>
      <c r="JA96" s="228"/>
      <c r="JB96" s="228"/>
      <c r="JC96" s="228"/>
      <c r="JD96" s="228"/>
      <c r="JE96" s="228"/>
      <c r="JF96" s="228"/>
      <c r="JG96" s="228"/>
      <c r="JH96" s="228"/>
      <c r="JI96" s="228"/>
      <c r="JJ96" s="228"/>
      <c r="JK96" s="228"/>
      <c r="JL96" s="228"/>
      <c r="JM96" s="228"/>
      <c r="JN96" s="228"/>
      <c r="JO96" s="228"/>
      <c r="JP96" s="228"/>
      <c r="JQ96" s="228"/>
      <c r="JR96" s="228"/>
      <c r="JS96" s="228"/>
      <c r="JT96" s="228"/>
      <c r="JU96" s="228"/>
      <c r="JV96" s="228"/>
      <c r="JW96" s="228"/>
      <c r="JX96" s="228"/>
      <c r="JY96" s="228"/>
      <c r="JZ96" s="228"/>
      <c r="KA96" s="228"/>
      <c r="KB96" s="228"/>
      <c r="KC96" s="228"/>
      <c r="KD96" s="228"/>
      <c r="KE96" s="228"/>
      <c r="KF96" s="228"/>
      <c r="KG96" s="228"/>
      <c r="KH96" s="228"/>
      <c r="KI96" s="228"/>
      <c r="KJ96" s="228"/>
      <c r="KK96" s="228"/>
      <c r="KL96" s="228"/>
      <c r="KM96" s="228"/>
      <c r="KN96" s="228"/>
      <c r="KO96" s="228"/>
      <c r="KP96" s="228"/>
      <c r="KQ96" s="228"/>
      <c r="KR96" s="228"/>
      <c r="KS96" s="228"/>
      <c r="KT96" s="228"/>
      <c r="KU96" s="228"/>
      <c r="KV96" s="228"/>
      <c r="KW96" s="228"/>
      <c r="KX96" s="228"/>
      <c r="KY96" s="228"/>
      <c r="KZ96" s="228"/>
      <c r="LA96" s="228"/>
      <c r="LB96" s="228"/>
      <c r="LC96" s="228"/>
      <c r="LD96" s="228"/>
      <c r="LE96" s="228"/>
      <c r="LF96" s="228"/>
      <c r="LG96" s="228"/>
      <c r="LH96" s="228"/>
      <c r="LI96" s="228"/>
      <c r="LJ96" s="228"/>
      <c r="LK96" s="228"/>
      <c r="LL96" s="228"/>
      <c r="LM96" s="228"/>
      <c r="LN96" s="228"/>
      <c r="LO96" s="228"/>
      <c r="LP96" s="228"/>
      <c r="LQ96" s="228"/>
      <c r="LR96" s="228"/>
      <c r="LS96" s="228"/>
      <c r="LT96" s="228"/>
      <c r="LU96" s="228"/>
      <c r="LV96" s="228"/>
      <c r="LW96" s="228"/>
      <c r="LX96" s="228"/>
      <c r="LY96" s="228"/>
      <c r="LZ96" s="228"/>
      <c r="MA96" s="228"/>
      <c r="MB96" s="228"/>
      <c r="MC96" s="228"/>
      <c r="MD96" s="228"/>
      <c r="ME96" s="228"/>
      <c r="MF96" s="228"/>
      <c r="MG96" s="228"/>
      <c r="MH96" s="228"/>
      <c r="MI96" s="228"/>
      <c r="MJ96" s="228"/>
      <c r="MK96" s="228"/>
      <c r="ML96" s="228"/>
      <c r="MM96" s="228"/>
      <c r="MN96" s="228"/>
      <c r="MO96" s="228"/>
      <c r="MP96" s="228"/>
      <c r="MQ96" s="228"/>
      <c r="MR96" s="228"/>
      <c r="MS96" s="228"/>
      <c r="MT96" s="228"/>
      <c r="MU96" s="228"/>
      <c r="MV96" s="228"/>
      <c r="MW96" s="228"/>
      <c r="MX96" s="228"/>
      <c r="MY96" s="228"/>
      <c r="MZ96" s="228"/>
      <c r="NA96" s="228"/>
      <c r="NB96" s="228"/>
      <c r="NC96" s="228"/>
      <c r="ND96" s="228"/>
      <c r="NE96" s="228"/>
      <c r="NF96" s="228"/>
      <c r="NG96" s="228"/>
      <c r="NH96" s="228"/>
      <c r="NI96" s="228"/>
      <c r="NJ96" s="228"/>
      <c r="NK96" s="228"/>
      <c r="NL96" s="228"/>
      <c r="NM96" s="228"/>
      <c r="NN96" s="228"/>
      <c r="NO96" s="228"/>
      <c r="NP96" s="228"/>
      <c r="NQ96" s="228"/>
      <c r="NR96" s="228"/>
      <c r="NS96" s="228"/>
      <c r="NT96" s="228"/>
      <c r="NU96" s="228"/>
      <c r="NV96" s="228"/>
      <c r="NW96" s="228"/>
      <c r="NX96" s="228"/>
      <c r="NY96" s="228"/>
      <c r="NZ96" s="228"/>
      <c r="OA96" s="228"/>
      <c r="OB96" s="228"/>
      <c r="OC96" s="228"/>
      <c r="OD96" s="228"/>
      <c r="OE96" s="228"/>
      <c r="OF96" s="228"/>
      <c r="OG96" s="228"/>
      <c r="OH96" s="228"/>
      <c r="OI96" s="228"/>
      <c r="OJ96" s="228"/>
      <c r="OK96" s="228"/>
      <c r="OL96" s="228"/>
      <c r="OM96" s="228"/>
      <c r="ON96" s="228"/>
      <c r="OO96" s="228"/>
      <c r="OP96" s="228"/>
      <c r="OQ96" s="228"/>
      <c r="OR96" s="228"/>
      <c r="OS96" s="228"/>
      <c r="OT96" s="228"/>
      <c r="OU96" s="228"/>
      <c r="OV96" s="228"/>
      <c r="OW96" s="228"/>
      <c r="OX96" s="228"/>
      <c r="OY96" s="228"/>
      <c r="OZ96" s="228"/>
      <c r="PA96" s="228"/>
      <c r="PB96" s="228"/>
      <c r="PC96" s="228"/>
      <c r="PD96" s="228"/>
      <c r="PE96" s="228"/>
      <c r="PF96" s="228"/>
      <c r="PG96" s="228"/>
      <c r="PH96" s="228"/>
      <c r="PI96" s="228"/>
      <c r="PJ96" s="228"/>
      <c r="PK96" s="228"/>
      <c r="PL96" s="228"/>
      <c r="PM96" s="228"/>
      <c r="PN96" s="228"/>
      <c r="PO96" s="228"/>
      <c r="PP96" s="228"/>
      <c r="PQ96" s="228"/>
      <c r="PR96" s="228"/>
      <c r="PS96" s="228"/>
      <c r="PT96" s="228"/>
      <c r="PU96" s="228"/>
      <c r="PV96" s="228"/>
      <c r="PW96" s="228"/>
      <c r="PX96" s="228"/>
      <c r="PY96" s="228"/>
      <c r="PZ96" s="228"/>
      <c r="QA96" s="228"/>
      <c r="QB96" s="228"/>
      <c r="QC96" s="228"/>
      <c r="QD96" s="228"/>
      <c r="QE96" s="228"/>
      <c r="QF96" s="228"/>
      <c r="QG96" s="228"/>
      <c r="QH96" s="228"/>
      <c r="QI96" s="228"/>
      <c r="QJ96" s="228"/>
      <c r="QK96" s="228"/>
      <c r="QL96" s="228"/>
      <c r="QM96" s="228"/>
      <c r="QN96" s="228"/>
      <c r="QO96" s="228"/>
      <c r="QP96" s="228"/>
      <c r="QQ96" s="228"/>
      <c r="QR96" s="228"/>
      <c r="QS96" s="228"/>
      <c r="QT96" s="228"/>
      <c r="QU96" s="228"/>
      <c r="QV96" s="228"/>
      <c r="QW96" s="228"/>
      <c r="QX96" s="228"/>
      <c r="QY96" s="228"/>
      <c r="QZ96" s="228"/>
      <c r="RA96" s="228"/>
      <c r="RB96" s="228"/>
      <c r="RC96" s="228"/>
      <c r="RD96" s="228"/>
      <c r="RE96" s="228"/>
      <c r="RF96" s="228"/>
      <c r="RG96" s="228"/>
      <c r="RH96" s="228"/>
      <c r="RI96" s="228"/>
      <c r="RJ96" s="228"/>
      <c r="RK96" s="228"/>
      <c r="RL96" s="228"/>
      <c r="RM96" s="228"/>
      <c r="RN96" s="228"/>
      <c r="RO96" s="228"/>
      <c r="RP96" s="228"/>
      <c r="RQ96" s="228"/>
      <c r="RR96" s="228"/>
      <c r="RS96" s="228"/>
      <c r="RT96" s="228"/>
      <c r="RU96" s="228"/>
      <c r="RV96" s="228"/>
      <c r="RW96" s="228"/>
      <c r="RX96" s="228"/>
      <c r="RY96" s="228"/>
      <c r="RZ96" s="228"/>
      <c r="SA96" s="228"/>
      <c r="SB96" s="228"/>
      <c r="SC96" s="228"/>
      <c r="SD96" s="228"/>
      <c r="SE96" s="228"/>
      <c r="SF96" s="228"/>
      <c r="SG96" s="228"/>
    </row>
    <row r="97" spans="2:501" ht="28.5" customHeight="1">
      <c r="C97" s="227" t="s">
        <v>2128</v>
      </c>
      <c r="D97" s="225" t="s">
        <v>2129</v>
      </c>
      <c r="E97" s="226" t="s">
        <v>2130</v>
      </c>
      <c r="F97" s="225" t="s">
        <v>2131</v>
      </c>
      <c r="G97" s="225" t="s">
        <v>1342</v>
      </c>
      <c r="H97" s="225" t="s">
        <v>1741</v>
      </c>
      <c r="I97" s="226" t="s">
        <v>2132</v>
      </c>
      <c r="J97" s="226" t="s">
        <v>1342</v>
      </c>
      <c r="K97" s="225" t="s">
        <v>1784</v>
      </c>
      <c r="L97" s="225" t="s">
        <v>1792</v>
      </c>
      <c r="M97" s="226" t="s">
        <v>2133</v>
      </c>
      <c r="N97" s="228"/>
      <c r="O97" s="228"/>
      <c r="P97" s="228"/>
      <c r="Q97" s="228"/>
      <c r="R97" s="228"/>
      <c r="S97" s="228"/>
      <c r="T97" s="228"/>
      <c r="U97" s="228"/>
      <c r="V97" s="228"/>
      <c r="W97" s="228"/>
      <c r="X97" s="228"/>
      <c r="Y97" s="228"/>
      <c r="Z97" s="228"/>
      <c r="AA97" s="228"/>
      <c r="AB97" s="228"/>
      <c r="AC97" s="228"/>
      <c r="AD97" s="228"/>
      <c r="AE97" s="228"/>
      <c r="AF97" s="228"/>
      <c r="AG97" s="228"/>
      <c r="AH97" s="228"/>
      <c r="AI97" s="228"/>
      <c r="AJ97" s="228"/>
      <c r="AK97" s="228"/>
      <c r="AL97" s="228"/>
      <c r="AM97" s="228"/>
      <c r="AN97" s="228"/>
      <c r="AO97" s="228"/>
      <c r="AP97" s="228"/>
      <c r="AQ97" s="228"/>
      <c r="AR97" s="228"/>
      <c r="AS97" s="228"/>
      <c r="AT97" s="228"/>
      <c r="AU97" s="228"/>
      <c r="AV97" s="228"/>
      <c r="AW97" s="228"/>
      <c r="AX97" s="228"/>
      <c r="AY97" s="228"/>
      <c r="AZ97" s="228"/>
      <c r="BA97" s="228"/>
      <c r="BB97" s="228"/>
      <c r="BC97" s="228"/>
      <c r="BD97" s="228"/>
      <c r="BE97" s="228"/>
      <c r="BF97" s="228"/>
      <c r="BG97" s="228"/>
      <c r="BH97" s="228"/>
      <c r="BI97" s="228"/>
      <c r="BJ97" s="228"/>
      <c r="BK97" s="228"/>
      <c r="BL97" s="228"/>
      <c r="BM97" s="228"/>
      <c r="BN97" s="228"/>
      <c r="BO97" s="228"/>
      <c r="BP97" s="228"/>
      <c r="BQ97" s="228"/>
      <c r="BR97" s="228"/>
      <c r="BS97" s="228"/>
      <c r="BT97" s="228"/>
      <c r="BU97" s="228"/>
      <c r="BV97" s="228"/>
      <c r="BW97" s="228"/>
      <c r="BX97" s="228"/>
      <c r="BY97" s="228"/>
      <c r="BZ97" s="228"/>
      <c r="CA97" s="228"/>
      <c r="CB97" s="228"/>
      <c r="CC97" s="228"/>
      <c r="CD97" s="228"/>
      <c r="CE97" s="228"/>
      <c r="CF97" s="228"/>
      <c r="CG97" s="228"/>
      <c r="CH97" s="228"/>
      <c r="CI97" s="228"/>
      <c r="CJ97" s="228"/>
      <c r="CK97" s="228"/>
      <c r="CL97" s="228"/>
      <c r="CM97" s="228"/>
      <c r="CN97" s="228"/>
      <c r="CO97" s="228"/>
      <c r="CP97" s="228"/>
      <c r="CQ97" s="228"/>
      <c r="CR97" s="228"/>
      <c r="CS97" s="228"/>
      <c r="CT97" s="228"/>
      <c r="CU97" s="228"/>
      <c r="CV97" s="228"/>
      <c r="CW97" s="228"/>
      <c r="CX97" s="228"/>
      <c r="CY97" s="228"/>
      <c r="CZ97" s="228"/>
      <c r="DA97" s="228"/>
      <c r="DB97" s="228"/>
      <c r="DC97" s="228"/>
      <c r="DD97" s="228"/>
      <c r="DE97" s="228"/>
      <c r="DF97" s="228"/>
      <c r="DG97" s="228"/>
      <c r="DH97" s="228"/>
      <c r="DI97" s="228"/>
      <c r="DJ97" s="228"/>
      <c r="DK97" s="228"/>
      <c r="DL97" s="228"/>
      <c r="DM97" s="228"/>
      <c r="DN97" s="228"/>
      <c r="DO97" s="228"/>
      <c r="DP97" s="228"/>
      <c r="DQ97" s="228"/>
      <c r="DR97" s="228"/>
      <c r="DS97" s="228"/>
      <c r="DT97" s="228"/>
      <c r="DU97" s="228"/>
      <c r="DV97" s="228"/>
      <c r="DW97" s="228"/>
      <c r="DX97" s="228"/>
      <c r="DY97" s="228"/>
      <c r="DZ97" s="228"/>
      <c r="EA97" s="228"/>
      <c r="EB97" s="228"/>
      <c r="EC97" s="228"/>
      <c r="ED97" s="228"/>
      <c r="EE97" s="228"/>
      <c r="EF97" s="228"/>
      <c r="EG97" s="228"/>
      <c r="EH97" s="228"/>
      <c r="EI97" s="228"/>
      <c r="EJ97" s="228"/>
      <c r="EK97" s="228"/>
      <c r="EL97" s="228"/>
      <c r="EM97" s="228"/>
      <c r="EN97" s="228"/>
      <c r="EO97" s="228"/>
      <c r="EP97" s="228"/>
      <c r="EQ97" s="228"/>
      <c r="ER97" s="228"/>
      <c r="ES97" s="228"/>
      <c r="ET97" s="228"/>
      <c r="EU97" s="228"/>
      <c r="EV97" s="228"/>
      <c r="EW97" s="228"/>
      <c r="EX97" s="228"/>
      <c r="EY97" s="228"/>
      <c r="EZ97" s="228"/>
      <c r="FA97" s="228"/>
      <c r="FB97" s="228"/>
      <c r="FC97" s="228"/>
      <c r="FD97" s="228"/>
      <c r="FE97" s="228"/>
      <c r="FF97" s="228"/>
      <c r="FG97" s="228"/>
      <c r="FH97" s="228"/>
      <c r="FI97" s="228"/>
      <c r="FJ97" s="228"/>
      <c r="FK97" s="228"/>
      <c r="FL97" s="228"/>
      <c r="FM97" s="228"/>
      <c r="FN97" s="228"/>
      <c r="FO97" s="228"/>
      <c r="FP97" s="228"/>
      <c r="FQ97" s="228"/>
      <c r="FR97" s="228"/>
      <c r="FS97" s="228"/>
      <c r="FT97" s="228"/>
      <c r="FU97" s="228"/>
      <c r="FV97" s="228"/>
      <c r="FW97" s="228"/>
      <c r="FX97" s="228"/>
      <c r="FY97" s="228"/>
      <c r="FZ97" s="228"/>
      <c r="GA97" s="228"/>
      <c r="GB97" s="228"/>
      <c r="GC97" s="228"/>
      <c r="GD97" s="228"/>
      <c r="GE97" s="228"/>
      <c r="GF97" s="228"/>
      <c r="GG97" s="228"/>
      <c r="GH97" s="228"/>
      <c r="GI97" s="228"/>
      <c r="GJ97" s="228"/>
      <c r="GK97" s="228"/>
      <c r="GL97" s="228"/>
      <c r="GM97" s="228"/>
      <c r="GN97" s="228"/>
      <c r="GO97" s="228"/>
      <c r="GP97" s="228"/>
      <c r="GQ97" s="228"/>
      <c r="GR97" s="228"/>
      <c r="GS97" s="228"/>
      <c r="GT97" s="228"/>
      <c r="GU97" s="228"/>
      <c r="GV97" s="228"/>
      <c r="GW97" s="228"/>
      <c r="GX97" s="228"/>
      <c r="GY97" s="228"/>
      <c r="GZ97" s="228"/>
      <c r="HA97" s="228"/>
      <c r="HB97" s="228"/>
      <c r="HC97" s="228"/>
      <c r="HD97" s="228"/>
      <c r="HE97" s="228"/>
      <c r="HF97" s="228"/>
      <c r="HG97" s="228"/>
      <c r="HH97" s="228"/>
      <c r="HI97" s="228"/>
      <c r="HJ97" s="228"/>
      <c r="HK97" s="228"/>
      <c r="HL97" s="228"/>
      <c r="HM97" s="228"/>
      <c r="HN97" s="228"/>
      <c r="HO97" s="228"/>
      <c r="HP97" s="228"/>
      <c r="HQ97" s="228"/>
      <c r="HR97" s="228"/>
      <c r="HS97" s="228"/>
      <c r="HT97" s="228"/>
      <c r="HU97" s="228"/>
      <c r="HV97" s="228"/>
      <c r="HW97" s="228"/>
      <c r="HX97" s="228"/>
      <c r="HY97" s="228"/>
      <c r="HZ97" s="228"/>
      <c r="IA97" s="228"/>
      <c r="IB97" s="228"/>
      <c r="IC97" s="228"/>
      <c r="ID97" s="228"/>
      <c r="IE97" s="228"/>
      <c r="IF97" s="228"/>
      <c r="IG97" s="228"/>
      <c r="IH97" s="228"/>
      <c r="II97" s="228"/>
      <c r="IJ97" s="228"/>
      <c r="IK97" s="228"/>
      <c r="IL97" s="228"/>
      <c r="IM97" s="228"/>
      <c r="IN97" s="228"/>
      <c r="IO97" s="228"/>
      <c r="IP97" s="228"/>
      <c r="IQ97" s="228"/>
      <c r="IR97" s="228"/>
      <c r="IS97" s="228"/>
      <c r="IT97" s="228"/>
      <c r="IU97" s="228"/>
      <c r="IV97" s="228"/>
      <c r="IW97" s="228"/>
      <c r="IX97" s="228"/>
      <c r="IY97" s="228"/>
      <c r="IZ97" s="228"/>
      <c r="JA97" s="228"/>
      <c r="JB97" s="228"/>
      <c r="JC97" s="228"/>
      <c r="JD97" s="228"/>
      <c r="JE97" s="228"/>
      <c r="JF97" s="228"/>
      <c r="JG97" s="228"/>
      <c r="JH97" s="228"/>
      <c r="JI97" s="228"/>
      <c r="JJ97" s="228"/>
      <c r="JK97" s="228"/>
      <c r="JL97" s="228"/>
      <c r="JM97" s="228"/>
      <c r="JN97" s="228"/>
      <c r="JO97" s="228"/>
      <c r="JP97" s="228"/>
      <c r="JQ97" s="228"/>
      <c r="JR97" s="228"/>
      <c r="JS97" s="228"/>
      <c r="JT97" s="228"/>
      <c r="JU97" s="228"/>
      <c r="JV97" s="228"/>
      <c r="JW97" s="228"/>
      <c r="JX97" s="228"/>
      <c r="JY97" s="228"/>
      <c r="JZ97" s="228"/>
      <c r="KA97" s="228"/>
      <c r="KB97" s="228"/>
      <c r="KC97" s="228"/>
      <c r="KD97" s="228"/>
      <c r="KE97" s="228"/>
      <c r="KF97" s="228"/>
      <c r="KG97" s="228"/>
      <c r="KH97" s="228"/>
      <c r="KI97" s="228"/>
      <c r="KJ97" s="228"/>
      <c r="KK97" s="228"/>
      <c r="KL97" s="228"/>
      <c r="KM97" s="228"/>
      <c r="KN97" s="228"/>
      <c r="KO97" s="228"/>
      <c r="KP97" s="228"/>
      <c r="KQ97" s="228"/>
      <c r="KR97" s="228"/>
      <c r="KS97" s="228"/>
      <c r="KT97" s="228"/>
      <c r="KU97" s="228"/>
      <c r="KV97" s="228"/>
      <c r="KW97" s="228"/>
      <c r="KX97" s="228"/>
      <c r="KY97" s="228"/>
      <c r="KZ97" s="228"/>
      <c r="LA97" s="228"/>
      <c r="LB97" s="228"/>
      <c r="LC97" s="228"/>
      <c r="LD97" s="228"/>
      <c r="LE97" s="228"/>
      <c r="LF97" s="228"/>
      <c r="LG97" s="228"/>
      <c r="LH97" s="228"/>
      <c r="LI97" s="228"/>
      <c r="LJ97" s="228"/>
      <c r="LK97" s="228"/>
      <c r="LL97" s="228"/>
      <c r="LM97" s="228"/>
      <c r="LN97" s="228"/>
      <c r="LO97" s="228"/>
      <c r="LP97" s="228"/>
      <c r="LQ97" s="228"/>
      <c r="LR97" s="228"/>
      <c r="LS97" s="228"/>
      <c r="LT97" s="228"/>
      <c r="LU97" s="228"/>
      <c r="LV97" s="228"/>
      <c r="LW97" s="228"/>
      <c r="LX97" s="228"/>
      <c r="LY97" s="228"/>
      <c r="LZ97" s="228"/>
      <c r="MA97" s="228"/>
      <c r="MB97" s="228"/>
      <c r="MC97" s="228"/>
      <c r="MD97" s="228"/>
      <c r="ME97" s="228"/>
      <c r="MF97" s="228"/>
      <c r="MG97" s="228"/>
      <c r="MH97" s="228"/>
      <c r="MI97" s="228"/>
      <c r="MJ97" s="228"/>
      <c r="MK97" s="228"/>
      <c r="ML97" s="228"/>
      <c r="MM97" s="228"/>
      <c r="MN97" s="228"/>
      <c r="MO97" s="228"/>
      <c r="MP97" s="228"/>
      <c r="MQ97" s="228"/>
      <c r="MR97" s="228"/>
      <c r="MS97" s="228"/>
      <c r="MT97" s="228"/>
      <c r="MU97" s="228"/>
      <c r="MV97" s="228"/>
      <c r="MW97" s="228"/>
      <c r="MX97" s="228"/>
      <c r="MY97" s="228"/>
      <c r="MZ97" s="228"/>
      <c r="NA97" s="228"/>
      <c r="NB97" s="228"/>
      <c r="NC97" s="228"/>
      <c r="ND97" s="228"/>
      <c r="NE97" s="228"/>
      <c r="NF97" s="228"/>
      <c r="NG97" s="228"/>
      <c r="NH97" s="228"/>
      <c r="NI97" s="228"/>
      <c r="NJ97" s="228"/>
      <c r="NK97" s="228"/>
      <c r="NL97" s="228"/>
      <c r="NM97" s="228"/>
      <c r="NN97" s="228"/>
      <c r="NO97" s="228"/>
      <c r="NP97" s="228"/>
      <c r="NQ97" s="228"/>
      <c r="NR97" s="228"/>
      <c r="NS97" s="228"/>
      <c r="NT97" s="228"/>
      <c r="NU97" s="228"/>
      <c r="NV97" s="228"/>
      <c r="NW97" s="228"/>
      <c r="NX97" s="228"/>
      <c r="NY97" s="228"/>
      <c r="NZ97" s="228"/>
      <c r="OA97" s="228"/>
      <c r="OB97" s="228"/>
      <c r="OC97" s="228"/>
      <c r="OD97" s="228"/>
      <c r="OE97" s="228"/>
      <c r="OF97" s="228"/>
      <c r="OG97" s="228"/>
      <c r="OH97" s="228"/>
      <c r="OI97" s="228"/>
      <c r="OJ97" s="228"/>
      <c r="OK97" s="228"/>
      <c r="OL97" s="228"/>
      <c r="OM97" s="228"/>
      <c r="ON97" s="228"/>
      <c r="OO97" s="228"/>
      <c r="OP97" s="228"/>
      <c r="OQ97" s="228"/>
      <c r="OR97" s="228"/>
      <c r="OS97" s="228"/>
      <c r="OT97" s="228"/>
      <c r="OU97" s="228"/>
      <c r="OV97" s="228"/>
      <c r="OW97" s="228"/>
      <c r="OX97" s="228"/>
      <c r="OY97" s="228"/>
      <c r="OZ97" s="228"/>
      <c r="PA97" s="228"/>
      <c r="PB97" s="228"/>
      <c r="PC97" s="228"/>
      <c r="PD97" s="228"/>
      <c r="PE97" s="228"/>
      <c r="PF97" s="228"/>
      <c r="PG97" s="228"/>
      <c r="PH97" s="228"/>
      <c r="PI97" s="228"/>
      <c r="PJ97" s="228"/>
      <c r="PK97" s="228"/>
      <c r="PL97" s="228"/>
      <c r="PM97" s="228"/>
      <c r="PN97" s="228"/>
      <c r="PO97" s="228"/>
      <c r="PP97" s="228"/>
      <c r="PQ97" s="228"/>
      <c r="PR97" s="228"/>
      <c r="PS97" s="228"/>
      <c r="PT97" s="228"/>
      <c r="PU97" s="228"/>
      <c r="PV97" s="228"/>
      <c r="PW97" s="228"/>
      <c r="PX97" s="228"/>
      <c r="PY97" s="228"/>
      <c r="PZ97" s="228"/>
      <c r="QA97" s="228"/>
      <c r="QB97" s="228"/>
      <c r="QC97" s="228"/>
      <c r="QD97" s="228"/>
      <c r="QE97" s="228"/>
      <c r="QF97" s="228"/>
      <c r="QG97" s="228"/>
      <c r="QH97" s="228"/>
      <c r="QI97" s="228"/>
      <c r="QJ97" s="228"/>
      <c r="QK97" s="228"/>
      <c r="QL97" s="228"/>
      <c r="QM97" s="228"/>
      <c r="QN97" s="228"/>
      <c r="QO97" s="228"/>
      <c r="QP97" s="228"/>
      <c r="QQ97" s="228"/>
      <c r="QR97" s="228"/>
      <c r="QS97" s="228"/>
      <c r="QT97" s="228"/>
      <c r="QU97" s="228"/>
      <c r="QV97" s="228"/>
      <c r="QW97" s="228"/>
      <c r="QX97" s="228"/>
      <c r="QY97" s="228"/>
      <c r="QZ97" s="228"/>
      <c r="RA97" s="228"/>
      <c r="RB97" s="228"/>
      <c r="RC97" s="228"/>
      <c r="RD97" s="228"/>
      <c r="RE97" s="228"/>
      <c r="RF97" s="228"/>
      <c r="RG97" s="228"/>
      <c r="RH97" s="228"/>
      <c r="RI97" s="228"/>
      <c r="RJ97" s="228"/>
      <c r="RK97" s="228"/>
      <c r="RL97" s="228"/>
      <c r="RM97" s="228"/>
      <c r="RN97" s="228"/>
      <c r="RO97" s="228"/>
      <c r="RP97" s="228"/>
      <c r="RQ97" s="228"/>
      <c r="RR97" s="228"/>
      <c r="RS97" s="228"/>
      <c r="RT97" s="228"/>
      <c r="RU97" s="228"/>
      <c r="RV97" s="228"/>
      <c r="RW97" s="228"/>
      <c r="RX97" s="228"/>
      <c r="RY97" s="228"/>
      <c r="RZ97" s="228"/>
      <c r="SA97" s="228"/>
      <c r="SB97" s="228"/>
      <c r="SC97" s="228"/>
      <c r="SD97" s="228"/>
      <c r="SE97" s="228"/>
      <c r="SF97" s="228"/>
      <c r="SG97" s="228"/>
    </row>
    <row r="98" spans="2:501" ht="84" customHeight="1">
      <c r="C98" s="227" t="s">
        <v>2134</v>
      </c>
      <c r="D98" s="225" t="s">
        <v>2135</v>
      </c>
      <c r="E98" s="226" t="s">
        <v>2136</v>
      </c>
      <c r="F98" s="225" t="s">
        <v>2137</v>
      </c>
      <c r="G98" s="225" t="s">
        <v>1342</v>
      </c>
      <c r="H98" s="225" t="s">
        <v>1741</v>
      </c>
      <c r="I98" s="226" t="s">
        <v>2138</v>
      </c>
      <c r="J98" s="226" t="s">
        <v>2139</v>
      </c>
      <c r="K98" s="225" t="s">
        <v>1784</v>
      </c>
      <c r="L98" s="225" t="s">
        <v>1760</v>
      </c>
      <c r="M98" s="226" t="s">
        <v>2140</v>
      </c>
      <c r="N98" s="228"/>
      <c r="O98" s="228"/>
      <c r="P98" s="228"/>
      <c r="Q98" s="228"/>
      <c r="R98" s="228"/>
      <c r="S98" s="228"/>
      <c r="T98" s="228"/>
      <c r="U98" s="228"/>
      <c r="V98" s="228"/>
      <c r="W98" s="228"/>
      <c r="X98" s="228"/>
      <c r="Y98" s="228"/>
      <c r="Z98" s="228"/>
      <c r="AA98" s="228"/>
      <c r="AB98" s="228"/>
      <c r="AC98" s="228"/>
      <c r="AD98" s="228"/>
      <c r="AE98" s="228"/>
      <c r="AF98" s="228"/>
      <c r="AG98" s="228"/>
      <c r="AH98" s="228"/>
      <c r="AI98" s="228"/>
      <c r="AJ98" s="228"/>
      <c r="AK98" s="228"/>
      <c r="AL98" s="228"/>
      <c r="AM98" s="228"/>
      <c r="AN98" s="228"/>
      <c r="AO98" s="228"/>
      <c r="AP98" s="228"/>
      <c r="AQ98" s="228"/>
      <c r="AR98" s="228"/>
      <c r="AS98" s="228"/>
      <c r="AT98" s="228"/>
      <c r="AU98" s="228"/>
      <c r="AV98" s="228"/>
      <c r="AW98" s="228"/>
      <c r="AX98" s="228"/>
      <c r="AY98" s="228"/>
      <c r="AZ98" s="228"/>
      <c r="BA98" s="228"/>
      <c r="BB98" s="228"/>
      <c r="BC98" s="228"/>
      <c r="BD98" s="228"/>
      <c r="BE98" s="228"/>
      <c r="BF98" s="228"/>
      <c r="BG98" s="228"/>
      <c r="BH98" s="228"/>
      <c r="BI98" s="228"/>
      <c r="BJ98" s="228"/>
      <c r="BK98" s="228"/>
      <c r="BL98" s="228"/>
      <c r="BM98" s="228"/>
      <c r="BN98" s="228"/>
      <c r="BO98" s="228"/>
      <c r="BP98" s="228"/>
      <c r="BQ98" s="228"/>
      <c r="BR98" s="228"/>
      <c r="BS98" s="228"/>
      <c r="BT98" s="228"/>
      <c r="BU98" s="228"/>
      <c r="BV98" s="228"/>
      <c r="BW98" s="228"/>
      <c r="BX98" s="228"/>
      <c r="BY98" s="228"/>
      <c r="BZ98" s="228"/>
      <c r="CA98" s="228"/>
      <c r="CB98" s="228"/>
      <c r="CC98" s="228"/>
      <c r="CD98" s="228"/>
      <c r="CE98" s="228"/>
      <c r="CF98" s="228"/>
      <c r="CG98" s="228"/>
      <c r="CH98" s="228"/>
      <c r="CI98" s="228"/>
      <c r="CJ98" s="228"/>
      <c r="CK98" s="228"/>
      <c r="CL98" s="228"/>
      <c r="CM98" s="228"/>
      <c r="CN98" s="228"/>
      <c r="CO98" s="228"/>
      <c r="CP98" s="228"/>
      <c r="CQ98" s="228"/>
      <c r="CR98" s="228"/>
      <c r="CS98" s="228"/>
      <c r="CT98" s="228"/>
      <c r="CU98" s="228"/>
      <c r="CV98" s="228"/>
      <c r="CW98" s="228"/>
      <c r="CX98" s="228"/>
      <c r="CY98" s="228"/>
      <c r="CZ98" s="228"/>
      <c r="DA98" s="228"/>
      <c r="DB98" s="228"/>
      <c r="DC98" s="228"/>
      <c r="DD98" s="228"/>
      <c r="DE98" s="228"/>
      <c r="DF98" s="228"/>
      <c r="DG98" s="228"/>
      <c r="DH98" s="228"/>
      <c r="DI98" s="228"/>
      <c r="DJ98" s="228"/>
      <c r="DK98" s="228"/>
      <c r="DL98" s="228"/>
      <c r="DM98" s="228"/>
      <c r="DN98" s="228"/>
      <c r="DO98" s="228"/>
      <c r="DP98" s="228"/>
      <c r="DQ98" s="228"/>
      <c r="DR98" s="228"/>
      <c r="DS98" s="228"/>
      <c r="DT98" s="228"/>
      <c r="DU98" s="228"/>
      <c r="DV98" s="228"/>
      <c r="DW98" s="228"/>
      <c r="DX98" s="228"/>
      <c r="DY98" s="228"/>
      <c r="DZ98" s="228"/>
      <c r="EA98" s="228"/>
      <c r="EB98" s="228"/>
      <c r="EC98" s="228"/>
      <c r="ED98" s="228"/>
      <c r="EE98" s="228"/>
      <c r="EF98" s="228"/>
      <c r="EG98" s="228"/>
      <c r="EH98" s="228"/>
      <c r="EI98" s="228"/>
      <c r="EJ98" s="228"/>
      <c r="EK98" s="228"/>
      <c r="EL98" s="228"/>
      <c r="EM98" s="228"/>
      <c r="EN98" s="228"/>
      <c r="EO98" s="228"/>
      <c r="EP98" s="228"/>
      <c r="EQ98" s="228"/>
      <c r="ER98" s="228"/>
      <c r="ES98" s="228"/>
      <c r="ET98" s="228"/>
      <c r="EU98" s="228"/>
      <c r="EV98" s="228"/>
      <c r="EW98" s="228"/>
      <c r="EX98" s="228"/>
      <c r="EY98" s="228"/>
      <c r="EZ98" s="228"/>
      <c r="FA98" s="228"/>
      <c r="FB98" s="228"/>
      <c r="FC98" s="228"/>
      <c r="FD98" s="228"/>
      <c r="FE98" s="228"/>
      <c r="FF98" s="228"/>
      <c r="FG98" s="228"/>
      <c r="FH98" s="228"/>
      <c r="FI98" s="228"/>
      <c r="FJ98" s="228"/>
      <c r="FK98" s="228"/>
      <c r="FL98" s="228"/>
      <c r="FM98" s="228"/>
      <c r="FN98" s="228"/>
      <c r="FO98" s="228"/>
      <c r="FP98" s="228"/>
      <c r="FQ98" s="228"/>
      <c r="FR98" s="228"/>
      <c r="FS98" s="228"/>
      <c r="FT98" s="228"/>
      <c r="FU98" s="228"/>
      <c r="FV98" s="228"/>
      <c r="FW98" s="228"/>
      <c r="FX98" s="228"/>
      <c r="FY98" s="228"/>
      <c r="FZ98" s="228"/>
      <c r="GA98" s="228"/>
      <c r="GB98" s="228"/>
      <c r="GC98" s="228"/>
      <c r="GD98" s="228"/>
      <c r="GE98" s="228"/>
      <c r="GF98" s="228"/>
      <c r="GG98" s="228"/>
      <c r="GH98" s="228"/>
      <c r="GI98" s="228"/>
      <c r="GJ98" s="228"/>
      <c r="GK98" s="228"/>
      <c r="GL98" s="228"/>
      <c r="GM98" s="228"/>
      <c r="GN98" s="228"/>
      <c r="GO98" s="228"/>
      <c r="GP98" s="228"/>
      <c r="GQ98" s="228"/>
      <c r="GR98" s="228"/>
      <c r="GS98" s="228"/>
      <c r="GT98" s="228"/>
      <c r="GU98" s="228"/>
      <c r="GV98" s="228"/>
      <c r="GW98" s="228"/>
      <c r="GX98" s="228"/>
      <c r="GY98" s="228"/>
      <c r="GZ98" s="228"/>
      <c r="HA98" s="228"/>
      <c r="HB98" s="228"/>
      <c r="HC98" s="228"/>
      <c r="HD98" s="228"/>
      <c r="HE98" s="228"/>
      <c r="HF98" s="228"/>
      <c r="HG98" s="228"/>
      <c r="HH98" s="228"/>
      <c r="HI98" s="228"/>
      <c r="HJ98" s="228"/>
      <c r="HK98" s="228"/>
      <c r="HL98" s="228"/>
      <c r="HM98" s="228"/>
      <c r="HN98" s="228"/>
      <c r="HO98" s="228"/>
      <c r="HP98" s="228"/>
      <c r="HQ98" s="228"/>
      <c r="HR98" s="228"/>
      <c r="HS98" s="228"/>
      <c r="HT98" s="228"/>
      <c r="HU98" s="228"/>
      <c r="HV98" s="228"/>
      <c r="HW98" s="228"/>
      <c r="HX98" s="228"/>
      <c r="HY98" s="228"/>
      <c r="HZ98" s="228"/>
      <c r="IA98" s="228"/>
      <c r="IB98" s="228"/>
      <c r="IC98" s="228"/>
      <c r="ID98" s="228"/>
      <c r="IE98" s="228"/>
      <c r="IF98" s="228"/>
      <c r="IG98" s="228"/>
      <c r="IH98" s="228"/>
      <c r="II98" s="228"/>
      <c r="IJ98" s="228"/>
      <c r="IK98" s="228"/>
      <c r="IL98" s="228"/>
      <c r="IM98" s="228"/>
      <c r="IN98" s="228"/>
      <c r="IO98" s="228"/>
      <c r="IP98" s="228"/>
      <c r="IQ98" s="228"/>
      <c r="IR98" s="228"/>
      <c r="IS98" s="228"/>
      <c r="IT98" s="228"/>
      <c r="IU98" s="228"/>
      <c r="IV98" s="228"/>
      <c r="IW98" s="228"/>
      <c r="IX98" s="228"/>
      <c r="IY98" s="228"/>
      <c r="IZ98" s="228"/>
      <c r="JA98" s="228"/>
      <c r="JB98" s="228"/>
      <c r="JC98" s="228"/>
      <c r="JD98" s="228"/>
      <c r="JE98" s="228"/>
      <c r="JF98" s="228"/>
      <c r="JG98" s="228"/>
      <c r="JH98" s="228"/>
      <c r="JI98" s="228"/>
      <c r="JJ98" s="228"/>
      <c r="JK98" s="228"/>
      <c r="JL98" s="228"/>
      <c r="JM98" s="228"/>
      <c r="JN98" s="228"/>
      <c r="JO98" s="228"/>
      <c r="JP98" s="228"/>
      <c r="JQ98" s="228"/>
      <c r="JR98" s="228"/>
      <c r="JS98" s="228"/>
      <c r="JT98" s="228"/>
      <c r="JU98" s="228"/>
      <c r="JV98" s="228"/>
      <c r="JW98" s="228"/>
      <c r="JX98" s="228"/>
      <c r="JY98" s="228"/>
      <c r="JZ98" s="228"/>
      <c r="KA98" s="228"/>
      <c r="KB98" s="228"/>
      <c r="KC98" s="228"/>
      <c r="KD98" s="228"/>
      <c r="KE98" s="228"/>
      <c r="KF98" s="228"/>
      <c r="KG98" s="228"/>
      <c r="KH98" s="228"/>
      <c r="KI98" s="228"/>
      <c r="KJ98" s="228"/>
      <c r="KK98" s="228"/>
      <c r="KL98" s="228"/>
      <c r="KM98" s="228"/>
      <c r="KN98" s="228"/>
      <c r="KO98" s="228"/>
      <c r="KP98" s="228"/>
      <c r="KQ98" s="228"/>
      <c r="KR98" s="228"/>
      <c r="KS98" s="228"/>
      <c r="KT98" s="228"/>
      <c r="KU98" s="228"/>
      <c r="KV98" s="228"/>
      <c r="KW98" s="228"/>
      <c r="KX98" s="228"/>
      <c r="KY98" s="228"/>
      <c r="KZ98" s="228"/>
      <c r="LA98" s="228"/>
      <c r="LB98" s="228"/>
      <c r="LC98" s="228"/>
      <c r="LD98" s="228"/>
      <c r="LE98" s="228"/>
      <c r="LF98" s="228"/>
      <c r="LG98" s="228"/>
      <c r="LH98" s="228"/>
      <c r="LI98" s="228"/>
      <c r="LJ98" s="228"/>
      <c r="LK98" s="228"/>
      <c r="LL98" s="228"/>
      <c r="LM98" s="228"/>
      <c r="LN98" s="228"/>
      <c r="LO98" s="228"/>
      <c r="LP98" s="228"/>
      <c r="LQ98" s="228"/>
      <c r="LR98" s="228"/>
      <c r="LS98" s="228"/>
      <c r="LT98" s="228"/>
      <c r="LU98" s="228"/>
      <c r="LV98" s="228"/>
      <c r="LW98" s="228"/>
      <c r="LX98" s="228"/>
      <c r="LY98" s="228"/>
      <c r="LZ98" s="228"/>
      <c r="MA98" s="228"/>
      <c r="MB98" s="228"/>
      <c r="MC98" s="228"/>
      <c r="MD98" s="228"/>
      <c r="ME98" s="228"/>
      <c r="MF98" s="228"/>
      <c r="MG98" s="228"/>
      <c r="MH98" s="228"/>
      <c r="MI98" s="228"/>
      <c r="MJ98" s="228"/>
      <c r="MK98" s="228"/>
      <c r="ML98" s="228"/>
      <c r="MM98" s="228"/>
      <c r="MN98" s="228"/>
      <c r="MO98" s="228"/>
      <c r="MP98" s="228"/>
      <c r="MQ98" s="228"/>
      <c r="MR98" s="228"/>
      <c r="MS98" s="228"/>
      <c r="MT98" s="228"/>
      <c r="MU98" s="228"/>
      <c r="MV98" s="228"/>
      <c r="MW98" s="228"/>
      <c r="MX98" s="228"/>
      <c r="MY98" s="228"/>
      <c r="MZ98" s="228"/>
      <c r="NA98" s="228"/>
      <c r="NB98" s="228"/>
      <c r="NC98" s="228"/>
      <c r="ND98" s="228"/>
      <c r="NE98" s="228"/>
      <c r="NF98" s="228"/>
      <c r="NG98" s="228"/>
      <c r="NH98" s="228"/>
      <c r="NI98" s="228"/>
      <c r="NJ98" s="228"/>
      <c r="NK98" s="228"/>
      <c r="NL98" s="228"/>
      <c r="NM98" s="228"/>
      <c r="NN98" s="228"/>
      <c r="NO98" s="228"/>
      <c r="NP98" s="228"/>
      <c r="NQ98" s="228"/>
      <c r="NR98" s="228"/>
      <c r="NS98" s="228"/>
      <c r="NT98" s="228"/>
      <c r="NU98" s="228"/>
      <c r="NV98" s="228"/>
      <c r="NW98" s="228"/>
      <c r="NX98" s="228"/>
      <c r="NY98" s="228"/>
      <c r="NZ98" s="228"/>
      <c r="OA98" s="228"/>
      <c r="OB98" s="228"/>
      <c r="OC98" s="228"/>
      <c r="OD98" s="228"/>
      <c r="OE98" s="228"/>
      <c r="OF98" s="228"/>
      <c r="OG98" s="228"/>
      <c r="OH98" s="228"/>
      <c r="OI98" s="228"/>
      <c r="OJ98" s="228"/>
      <c r="OK98" s="228"/>
      <c r="OL98" s="228"/>
      <c r="OM98" s="228"/>
      <c r="ON98" s="228"/>
      <c r="OO98" s="228"/>
      <c r="OP98" s="228"/>
      <c r="OQ98" s="228"/>
      <c r="OR98" s="228"/>
      <c r="OS98" s="228"/>
      <c r="OT98" s="228"/>
      <c r="OU98" s="228"/>
      <c r="OV98" s="228"/>
      <c r="OW98" s="228"/>
      <c r="OX98" s="228"/>
      <c r="OY98" s="228"/>
      <c r="OZ98" s="228"/>
      <c r="PA98" s="228"/>
      <c r="PB98" s="228"/>
      <c r="PC98" s="228"/>
      <c r="PD98" s="228"/>
      <c r="PE98" s="228"/>
      <c r="PF98" s="228"/>
      <c r="PG98" s="228"/>
      <c r="PH98" s="228"/>
      <c r="PI98" s="228"/>
      <c r="PJ98" s="228"/>
      <c r="PK98" s="228"/>
      <c r="PL98" s="228"/>
      <c r="PM98" s="228"/>
      <c r="PN98" s="228"/>
      <c r="PO98" s="228"/>
      <c r="PP98" s="228"/>
      <c r="PQ98" s="228"/>
      <c r="PR98" s="228"/>
      <c r="PS98" s="228"/>
      <c r="PT98" s="228"/>
      <c r="PU98" s="228"/>
      <c r="PV98" s="228"/>
      <c r="PW98" s="228"/>
      <c r="PX98" s="228"/>
      <c r="PY98" s="228"/>
      <c r="PZ98" s="228"/>
      <c r="QA98" s="228"/>
      <c r="QB98" s="228"/>
      <c r="QC98" s="228"/>
      <c r="QD98" s="228"/>
      <c r="QE98" s="228"/>
      <c r="QF98" s="228"/>
      <c r="QG98" s="228"/>
      <c r="QH98" s="228"/>
      <c r="QI98" s="228"/>
      <c r="QJ98" s="228"/>
      <c r="QK98" s="228"/>
      <c r="QL98" s="228"/>
      <c r="QM98" s="228"/>
      <c r="QN98" s="228"/>
      <c r="QO98" s="228"/>
      <c r="QP98" s="228"/>
      <c r="QQ98" s="228"/>
      <c r="QR98" s="228"/>
      <c r="QS98" s="228"/>
      <c r="QT98" s="228"/>
      <c r="QU98" s="228"/>
      <c r="QV98" s="228"/>
      <c r="QW98" s="228"/>
      <c r="QX98" s="228"/>
      <c r="QY98" s="228"/>
      <c r="QZ98" s="228"/>
      <c r="RA98" s="228"/>
      <c r="RB98" s="228"/>
      <c r="RC98" s="228"/>
      <c r="RD98" s="228"/>
      <c r="RE98" s="228"/>
      <c r="RF98" s="228"/>
      <c r="RG98" s="228"/>
      <c r="RH98" s="228"/>
      <c r="RI98" s="228"/>
      <c r="RJ98" s="228"/>
      <c r="RK98" s="228"/>
      <c r="RL98" s="228"/>
      <c r="RM98" s="228"/>
      <c r="RN98" s="228"/>
      <c r="RO98" s="228"/>
      <c r="RP98" s="228"/>
      <c r="RQ98" s="228"/>
      <c r="RR98" s="228"/>
      <c r="RS98" s="228"/>
      <c r="RT98" s="228"/>
      <c r="RU98" s="228"/>
      <c r="RV98" s="228"/>
      <c r="RW98" s="228"/>
      <c r="RX98" s="228"/>
      <c r="RY98" s="228"/>
      <c r="RZ98" s="228"/>
      <c r="SA98" s="228"/>
      <c r="SB98" s="228"/>
      <c r="SC98" s="228"/>
      <c r="SD98" s="228"/>
      <c r="SE98" s="228"/>
      <c r="SF98" s="228"/>
      <c r="SG98" s="228"/>
    </row>
    <row r="99" spans="2:501" ht="28.5" customHeight="1">
      <c r="C99" s="227" t="s">
        <v>2141</v>
      </c>
      <c r="D99" s="225" t="s">
        <v>2142</v>
      </c>
      <c r="E99" s="226" t="s">
        <v>2143</v>
      </c>
      <c r="F99" s="225" t="s">
        <v>2144</v>
      </c>
      <c r="G99" s="225" t="s">
        <v>1740</v>
      </c>
      <c r="H99" s="225" t="s">
        <v>1741</v>
      </c>
      <c r="I99" s="226" t="s">
        <v>2145</v>
      </c>
      <c r="J99" s="226" t="s">
        <v>1934</v>
      </c>
      <c r="K99" s="225" t="s">
        <v>1768</v>
      </c>
      <c r="L99" s="225" t="s">
        <v>1760</v>
      </c>
      <c r="M99" s="226" t="s">
        <v>2146</v>
      </c>
      <c r="N99" s="228"/>
      <c r="O99" s="228"/>
      <c r="P99" s="228"/>
      <c r="Q99" s="228"/>
      <c r="R99" s="228"/>
      <c r="S99" s="228"/>
      <c r="T99" s="228"/>
      <c r="U99" s="228"/>
      <c r="V99" s="228"/>
      <c r="W99" s="228"/>
      <c r="X99" s="228"/>
      <c r="Y99" s="228"/>
      <c r="Z99" s="228"/>
      <c r="AA99" s="228"/>
      <c r="AB99" s="228"/>
      <c r="AC99" s="228"/>
      <c r="AD99" s="228"/>
      <c r="AE99" s="228"/>
      <c r="AF99" s="228"/>
      <c r="AG99" s="228"/>
      <c r="AH99" s="228"/>
      <c r="AI99" s="228"/>
      <c r="AJ99" s="228"/>
      <c r="AK99" s="228"/>
      <c r="AL99" s="228"/>
      <c r="AM99" s="228"/>
      <c r="AN99" s="228"/>
      <c r="AO99" s="228"/>
      <c r="AP99" s="228"/>
      <c r="AQ99" s="228"/>
      <c r="AR99" s="228"/>
      <c r="AS99" s="228"/>
      <c r="AT99" s="228"/>
      <c r="AU99" s="228"/>
      <c r="AV99" s="228"/>
      <c r="AW99" s="228"/>
      <c r="AX99" s="228"/>
      <c r="AY99" s="228"/>
      <c r="AZ99" s="228"/>
      <c r="BA99" s="228"/>
      <c r="BB99" s="228"/>
      <c r="BC99" s="228"/>
      <c r="BD99" s="228"/>
      <c r="BE99" s="228"/>
      <c r="BF99" s="228"/>
      <c r="BG99" s="228"/>
      <c r="BH99" s="228"/>
      <c r="BI99" s="228"/>
      <c r="BJ99" s="228"/>
      <c r="BK99" s="228"/>
      <c r="BL99" s="228"/>
      <c r="BM99" s="228"/>
      <c r="BN99" s="228"/>
      <c r="BO99" s="228"/>
      <c r="BP99" s="228"/>
      <c r="BQ99" s="228"/>
      <c r="BR99" s="228"/>
      <c r="BS99" s="228"/>
      <c r="BT99" s="228"/>
      <c r="BU99" s="228"/>
      <c r="BV99" s="228"/>
      <c r="BW99" s="228"/>
      <c r="BX99" s="228"/>
      <c r="BY99" s="228"/>
      <c r="BZ99" s="228"/>
      <c r="CA99" s="228"/>
      <c r="CB99" s="228"/>
      <c r="CC99" s="228"/>
      <c r="CD99" s="228"/>
      <c r="CE99" s="228"/>
      <c r="CF99" s="228"/>
      <c r="CG99" s="228"/>
      <c r="CH99" s="228"/>
      <c r="CI99" s="228"/>
      <c r="CJ99" s="228"/>
      <c r="CK99" s="228"/>
      <c r="CL99" s="228"/>
      <c r="CM99" s="228"/>
      <c r="CN99" s="228"/>
      <c r="CO99" s="228"/>
      <c r="CP99" s="228"/>
      <c r="CQ99" s="228"/>
      <c r="CR99" s="228"/>
      <c r="CS99" s="228"/>
      <c r="CT99" s="228"/>
      <c r="CU99" s="228"/>
      <c r="CV99" s="228"/>
      <c r="CW99" s="228"/>
      <c r="CX99" s="228"/>
      <c r="CY99" s="228"/>
      <c r="CZ99" s="228"/>
      <c r="DA99" s="228"/>
      <c r="DB99" s="228"/>
      <c r="DC99" s="228"/>
      <c r="DD99" s="228"/>
      <c r="DE99" s="228"/>
      <c r="DF99" s="228"/>
      <c r="DG99" s="228"/>
      <c r="DH99" s="228"/>
      <c r="DI99" s="228"/>
      <c r="DJ99" s="228"/>
      <c r="DK99" s="228"/>
      <c r="DL99" s="228"/>
      <c r="DM99" s="228"/>
      <c r="DN99" s="228"/>
      <c r="DO99" s="228"/>
      <c r="DP99" s="228"/>
      <c r="DQ99" s="228"/>
      <c r="DR99" s="228"/>
      <c r="DS99" s="228"/>
      <c r="DT99" s="228"/>
      <c r="DU99" s="228"/>
      <c r="DV99" s="228"/>
      <c r="DW99" s="228"/>
      <c r="DX99" s="228"/>
      <c r="DY99" s="228"/>
      <c r="DZ99" s="228"/>
      <c r="EA99" s="228"/>
      <c r="EB99" s="228"/>
      <c r="EC99" s="228"/>
      <c r="ED99" s="228"/>
      <c r="EE99" s="228"/>
      <c r="EF99" s="228"/>
      <c r="EG99" s="228"/>
      <c r="EH99" s="228"/>
      <c r="EI99" s="228"/>
      <c r="EJ99" s="228"/>
      <c r="EK99" s="228"/>
      <c r="EL99" s="228"/>
      <c r="EM99" s="228"/>
      <c r="EN99" s="228"/>
      <c r="EO99" s="228"/>
      <c r="EP99" s="228"/>
      <c r="EQ99" s="228"/>
      <c r="ER99" s="228"/>
      <c r="ES99" s="228"/>
      <c r="ET99" s="228"/>
      <c r="EU99" s="228"/>
      <c r="EV99" s="228"/>
      <c r="EW99" s="228"/>
      <c r="EX99" s="228"/>
      <c r="EY99" s="228"/>
      <c r="EZ99" s="228"/>
      <c r="FA99" s="228"/>
      <c r="FB99" s="228"/>
      <c r="FC99" s="228"/>
      <c r="FD99" s="228"/>
      <c r="FE99" s="228"/>
      <c r="FF99" s="228"/>
      <c r="FG99" s="228"/>
      <c r="FH99" s="228"/>
      <c r="FI99" s="228"/>
      <c r="FJ99" s="228"/>
      <c r="FK99" s="228"/>
      <c r="FL99" s="228"/>
      <c r="FM99" s="228"/>
      <c r="FN99" s="228"/>
      <c r="FO99" s="228"/>
      <c r="FP99" s="228"/>
      <c r="FQ99" s="228"/>
      <c r="FR99" s="228"/>
      <c r="FS99" s="228"/>
      <c r="FT99" s="228"/>
      <c r="FU99" s="228"/>
      <c r="FV99" s="228"/>
      <c r="FW99" s="228"/>
      <c r="FX99" s="228"/>
      <c r="FY99" s="228"/>
      <c r="FZ99" s="228"/>
      <c r="GA99" s="228"/>
      <c r="GB99" s="228"/>
      <c r="GC99" s="228"/>
      <c r="GD99" s="228"/>
      <c r="GE99" s="228"/>
      <c r="GF99" s="228"/>
      <c r="GG99" s="228"/>
      <c r="GH99" s="228"/>
      <c r="GI99" s="228"/>
      <c r="GJ99" s="228"/>
      <c r="GK99" s="228"/>
      <c r="GL99" s="228"/>
      <c r="GM99" s="228"/>
      <c r="GN99" s="228"/>
      <c r="GO99" s="228"/>
      <c r="GP99" s="228"/>
      <c r="GQ99" s="228"/>
      <c r="GR99" s="228"/>
      <c r="GS99" s="228"/>
      <c r="GT99" s="228"/>
      <c r="GU99" s="228"/>
      <c r="GV99" s="228"/>
      <c r="GW99" s="228"/>
      <c r="GX99" s="228"/>
      <c r="GY99" s="228"/>
      <c r="GZ99" s="228"/>
      <c r="HA99" s="228"/>
      <c r="HB99" s="228"/>
      <c r="HC99" s="228"/>
      <c r="HD99" s="228"/>
      <c r="HE99" s="228"/>
      <c r="HF99" s="228"/>
      <c r="HG99" s="228"/>
      <c r="HH99" s="228"/>
      <c r="HI99" s="228"/>
      <c r="HJ99" s="228"/>
      <c r="HK99" s="228"/>
      <c r="HL99" s="228"/>
      <c r="HM99" s="228"/>
      <c r="HN99" s="228"/>
      <c r="HO99" s="228"/>
      <c r="HP99" s="228"/>
      <c r="HQ99" s="228"/>
      <c r="HR99" s="228"/>
      <c r="HS99" s="228"/>
      <c r="HT99" s="228"/>
      <c r="HU99" s="228"/>
      <c r="HV99" s="228"/>
      <c r="HW99" s="228"/>
      <c r="HX99" s="228"/>
      <c r="HY99" s="228"/>
      <c r="HZ99" s="228"/>
      <c r="IA99" s="228"/>
      <c r="IB99" s="228"/>
      <c r="IC99" s="228"/>
      <c r="ID99" s="228"/>
      <c r="IE99" s="228"/>
      <c r="IF99" s="228"/>
      <c r="IG99" s="228"/>
      <c r="IH99" s="228"/>
      <c r="II99" s="228"/>
      <c r="IJ99" s="228"/>
      <c r="IK99" s="228"/>
      <c r="IL99" s="228"/>
      <c r="IM99" s="228"/>
      <c r="IN99" s="228"/>
      <c r="IO99" s="228"/>
      <c r="IP99" s="228"/>
      <c r="IQ99" s="228"/>
      <c r="IR99" s="228"/>
      <c r="IS99" s="228"/>
      <c r="IT99" s="228"/>
      <c r="IU99" s="228"/>
      <c r="IV99" s="228"/>
      <c r="IW99" s="228"/>
      <c r="IX99" s="228"/>
      <c r="IY99" s="228"/>
      <c r="IZ99" s="228"/>
      <c r="JA99" s="228"/>
      <c r="JB99" s="228"/>
      <c r="JC99" s="228"/>
      <c r="JD99" s="228"/>
      <c r="JE99" s="228"/>
      <c r="JF99" s="228"/>
      <c r="JG99" s="228"/>
      <c r="JH99" s="228"/>
      <c r="JI99" s="228"/>
      <c r="JJ99" s="228"/>
      <c r="JK99" s="228"/>
      <c r="JL99" s="228"/>
      <c r="JM99" s="228"/>
      <c r="JN99" s="228"/>
      <c r="JO99" s="228"/>
      <c r="JP99" s="228"/>
      <c r="JQ99" s="228"/>
      <c r="JR99" s="228"/>
      <c r="JS99" s="228"/>
      <c r="JT99" s="228"/>
      <c r="JU99" s="228"/>
      <c r="JV99" s="228"/>
      <c r="JW99" s="228"/>
      <c r="JX99" s="228"/>
      <c r="JY99" s="228"/>
      <c r="JZ99" s="228"/>
      <c r="KA99" s="228"/>
      <c r="KB99" s="228"/>
      <c r="KC99" s="228"/>
      <c r="KD99" s="228"/>
      <c r="KE99" s="228"/>
      <c r="KF99" s="228"/>
      <c r="KG99" s="228"/>
      <c r="KH99" s="228"/>
      <c r="KI99" s="228"/>
      <c r="KJ99" s="228"/>
      <c r="KK99" s="228"/>
      <c r="KL99" s="228"/>
      <c r="KM99" s="228"/>
      <c r="KN99" s="228"/>
      <c r="KO99" s="228"/>
      <c r="KP99" s="228"/>
      <c r="KQ99" s="228"/>
      <c r="KR99" s="228"/>
      <c r="KS99" s="228"/>
      <c r="KT99" s="228"/>
      <c r="KU99" s="228"/>
      <c r="KV99" s="228"/>
      <c r="KW99" s="228"/>
      <c r="KX99" s="228"/>
      <c r="KY99" s="228"/>
      <c r="KZ99" s="228"/>
      <c r="LA99" s="228"/>
      <c r="LB99" s="228"/>
      <c r="LC99" s="228"/>
      <c r="LD99" s="228"/>
      <c r="LE99" s="228"/>
      <c r="LF99" s="228"/>
      <c r="LG99" s="228"/>
      <c r="LH99" s="228"/>
      <c r="LI99" s="228"/>
      <c r="LJ99" s="228"/>
      <c r="LK99" s="228"/>
      <c r="LL99" s="228"/>
      <c r="LM99" s="228"/>
      <c r="LN99" s="228"/>
      <c r="LO99" s="228"/>
      <c r="LP99" s="228"/>
      <c r="LQ99" s="228"/>
      <c r="LR99" s="228"/>
      <c r="LS99" s="228"/>
      <c r="LT99" s="228"/>
      <c r="LU99" s="228"/>
      <c r="LV99" s="228"/>
      <c r="LW99" s="228"/>
      <c r="LX99" s="228"/>
      <c r="LY99" s="228"/>
      <c r="LZ99" s="228"/>
      <c r="MA99" s="228"/>
      <c r="MB99" s="228"/>
      <c r="MC99" s="228"/>
      <c r="MD99" s="228"/>
      <c r="ME99" s="228"/>
      <c r="MF99" s="228"/>
      <c r="MG99" s="228"/>
      <c r="MH99" s="228"/>
      <c r="MI99" s="228"/>
      <c r="MJ99" s="228"/>
      <c r="MK99" s="228"/>
      <c r="ML99" s="228"/>
      <c r="MM99" s="228"/>
      <c r="MN99" s="228"/>
      <c r="MO99" s="228"/>
      <c r="MP99" s="228"/>
      <c r="MQ99" s="228"/>
      <c r="MR99" s="228"/>
      <c r="MS99" s="228"/>
      <c r="MT99" s="228"/>
      <c r="MU99" s="228"/>
      <c r="MV99" s="228"/>
      <c r="MW99" s="228"/>
      <c r="MX99" s="228"/>
      <c r="MY99" s="228"/>
      <c r="MZ99" s="228"/>
      <c r="NA99" s="228"/>
      <c r="NB99" s="228"/>
      <c r="NC99" s="228"/>
      <c r="ND99" s="228"/>
      <c r="NE99" s="228"/>
      <c r="NF99" s="228"/>
      <c r="NG99" s="228"/>
      <c r="NH99" s="228"/>
      <c r="NI99" s="228"/>
      <c r="NJ99" s="228"/>
      <c r="NK99" s="228"/>
      <c r="NL99" s="228"/>
      <c r="NM99" s="228"/>
      <c r="NN99" s="228"/>
      <c r="NO99" s="228"/>
      <c r="NP99" s="228"/>
      <c r="NQ99" s="228"/>
      <c r="NR99" s="228"/>
      <c r="NS99" s="228"/>
      <c r="NT99" s="228"/>
      <c r="NU99" s="228"/>
      <c r="NV99" s="228"/>
      <c r="NW99" s="228"/>
      <c r="NX99" s="228"/>
      <c r="NY99" s="228"/>
      <c r="NZ99" s="228"/>
      <c r="OA99" s="228"/>
      <c r="OB99" s="228"/>
      <c r="OC99" s="228"/>
      <c r="OD99" s="228"/>
      <c r="OE99" s="228"/>
      <c r="OF99" s="228"/>
      <c r="OG99" s="228"/>
      <c r="OH99" s="228"/>
      <c r="OI99" s="228"/>
      <c r="OJ99" s="228"/>
      <c r="OK99" s="228"/>
      <c r="OL99" s="228"/>
      <c r="OM99" s="228"/>
      <c r="ON99" s="228"/>
      <c r="OO99" s="228"/>
      <c r="OP99" s="228"/>
      <c r="OQ99" s="228"/>
      <c r="OR99" s="228"/>
      <c r="OS99" s="228"/>
      <c r="OT99" s="228"/>
      <c r="OU99" s="228"/>
      <c r="OV99" s="228"/>
      <c r="OW99" s="228"/>
      <c r="OX99" s="228"/>
      <c r="OY99" s="228"/>
      <c r="OZ99" s="228"/>
      <c r="PA99" s="228"/>
      <c r="PB99" s="228"/>
      <c r="PC99" s="228"/>
      <c r="PD99" s="228"/>
      <c r="PE99" s="228"/>
      <c r="PF99" s="228"/>
      <c r="PG99" s="228"/>
      <c r="PH99" s="228"/>
      <c r="PI99" s="228"/>
      <c r="PJ99" s="228"/>
      <c r="PK99" s="228"/>
      <c r="PL99" s="228"/>
      <c r="PM99" s="228"/>
      <c r="PN99" s="228"/>
      <c r="PO99" s="228"/>
      <c r="PP99" s="228"/>
      <c r="PQ99" s="228"/>
      <c r="PR99" s="228"/>
      <c r="PS99" s="228"/>
      <c r="PT99" s="228"/>
      <c r="PU99" s="228"/>
      <c r="PV99" s="228"/>
      <c r="PW99" s="228"/>
      <c r="PX99" s="228"/>
      <c r="PY99" s="228"/>
      <c r="PZ99" s="228"/>
      <c r="QA99" s="228"/>
      <c r="QB99" s="228"/>
      <c r="QC99" s="228"/>
      <c r="QD99" s="228"/>
      <c r="QE99" s="228"/>
      <c r="QF99" s="228"/>
      <c r="QG99" s="228"/>
      <c r="QH99" s="228"/>
      <c r="QI99" s="228"/>
      <c r="QJ99" s="228"/>
      <c r="QK99" s="228"/>
      <c r="QL99" s="228"/>
      <c r="QM99" s="228"/>
      <c r="QN99" s="228"/>
      <c r="QO99" s="228"/>
      <c r="QP99" s="228"/>
      <c r="QQ99" s="228"/>
      <c r="QR99" s="228"/>
      <c r="QS99" s="228"/>
      <c r="QT99" s="228"/>
      <c r="QU99" s="228"/>
      <c r="QV99" s="228"/>
      <c r="QW99" s="228"/>
      <c r="QX99" s="228"/>
      <c r="QY99" s="228"/>
      <c r="QZ99" s="228"/>
      <c r="RA99" s="228"/>
      <c r="RB99" s="228"/>
      <c r="RC99" s="228"/>
      <c r="RD99" s="228"/>
      <c r="RE99" s="228"/>
      <c r="RF99" s="228"/>
      <c r="RG99" s="228"/>
      <c r="RH99" s="228"/>
      <c r="RI99" s="228"/>
      <c r="RJ99" s="228"/>
      <c r="RK99" s="228"/>
      <c r="RL99" s="228"/>
      <c r="RM99" s="228"/>
      <c r="RN99" s="228"/>
      <c r="RO99" s="228"/>
      <c r="RP99" s="228"/>
      <c r="RQ99" s="228"/>
      <c r="RR99" s="228"/>
      <c r="RS99" s="228"/>
      <c r="RT99" s="228"/>
      <c r="RU99" s="228"/>
      <c r="RV99" s="228"/>
      <c r="RW99" s="228"/>
      <c r="RX99" s="228"/>
      <c r="RY99" s="228"/>
      <c r="RZ99" s="228"/>
      <c r="SA99" s="228"/>
      <c r="SB99" s="228"/>
      <c r="SC99" s="228"/>
      <c r="SD99" s="228"/>
      <c r="SE99" s="228"/>
      <c r="SF99" s="228"/>
      <c r="SG99" s="228"/>
    </row>
    <row r="100" spans="2:501" ht="28.5" customHeight="1">
      <c r="C100" s="227" t="s">
        <v>2147</v>
      </c>
      <c r="D100" s="225" t="s">
        <v>2148</v>
      </c>
      <c r="E100" s="226" t="s">
        <v>2149</v>
      </c>
      <c r="F100" s="225" t="s">
        <v>2150</v>
      </c>
      <c r="G100" s="225" t="s">
        <v>1740</v>
      </c>
      <c r="H100" s="225" t="s">
        <v>1741</v>
      </c>
      <c r="I100" s="226" t="s">
        <v>2151</v>
      </c>
      <c r="J100" s="226" t="s">
        <v>1740</v>
      </c>
      <c r="K100" s="225" t="s">
        <v>1744</v>
      </c>
      <c r="L100" s="225" t="s">
        <v>1760</v>
      </c>
      <c r="M100" s="226" t="s">
        <v>2152</v>
      </c>
      <c r="N100" s="228"/>
      <c r="O100" s="228"/>
      <c r="P100" s="228"/>
      <c r="Q100" s="228"/>
      <c r="R100" s="228"/>
      <c r="S100" s="228"/>
      <c r="T100" s="228"/>
      <c r="U100" s="228"/>
      <c r="V100" s="228"/>
      <c r="W100" s="228"/>
      <c r="X100" s="228"/>
      <c r="Y100" s="228"/>
      <c r="Z100" s="228"/>
      <c r="AA100" s="228"/>
      <c r="AB100" s="228"/>
      <c r="AC100" s="228"/>
      <c r="AD100" s="228"/>
      <c r="AE100" s="228"/>
      <c r="AF100" s="228"/>
      <c r="AG100" s="228"/>
      <c r="AH100" s="228"/>
      <c r="AI100" s="228"/>
      <c r="AJ100" s="228"/>
      <c r="AK100" s="228"/>
      <c r="AL100" s="228"/>
      <c r="AM100" s="228"/>
      <c r="AN100" s="228"/>
      <c r="AO100" s="228"/>
      <c r="AP100" s="228"/>
      <c r="AQ100" s="228"/>
      <c r="AR100" s="228"/>
      <c r="AS100" s="228"/>
      <c r="AT100" s="228"/>
      <c r="AU100" s="228"/>
      <c r="AV100" s="228"/>
      <c r="AW100" s="228"/>
      <c r="AX100" s="228"/>
      <c r="AY100" s="228"/>
      <c r="AZ100" s="228"/>
      <c r="BA100" s="228"/>
      <c r="BB100" s="228"/>
      <c r="BC100" s="228"/>
      <c r="BD100" s="228"/>
      <c r="BE100" s="228"/>
      <c r="BF100" s="228"/>
      <c r="BG100" s="228"/>
      <c r="BH100" s="228"/>
      <c r="BI100" s="228"/>
      <c r="BJ100" s="228"/>
      <c r="BK100" s="228"/>
      <c r="BL100" s="228"/>
      <c r="BM100" s="228"/>
      <c r="BN100" s="228"/>
      <c r="BO100" s="228"/>
      <c r="BP100" s="228"/>
      <c r="BQ100" s="228"/>
      <c r="BR100" s="228"/>
      <c r="BS100" s="228"/>
      <c r="BT100" s="228"/>
      <c r="BU100" s="228"/>
      <c r="BV100" s="228"/>
      <c r="BW100" s="228"/>
      <c r="BX100" s="228"/>
      <c r="BY100" s="228"/>
      <c r="BZ100" s="228"/>
      <c r="CA100" s="228"/>
      <c r="CB100" s="228"/>
      <c r="CC100" s="228"/>
      <c r="CD100" s="228"/>
      <c r="CE100" s="228"/>
      <c r="CF100" s="228"/>
      <c r="CG100" s="228"/>
      <c r="CH100" s="228"/>
      <c r="CI100" s="228"/>
      <c r="CJ100" s="228"/>
      <c r="CK100" s="228"/>
      <c r="CL100" s="228"/>
      <c r="CM100" s="228"/>
      <c r="CN100" s="228"/>
      <c r="CO100" s="228"/>
      <c r="CP100" s="228"/>
      <c r="CQ100" s="228"/>
      <c r="CR100" s="228"/>
      <c r="CS100" s="228"/>
      <c r="CT100" s="228"/>
      <c r="CU100" s="228"/>
      <c r="CV100" s="228"/>
      <c r="CW100" s="228"/>
      <c r="CX100" s="228"/>
      <c r="CY100" s="228"/>
      <c r="CZ100" s="228"/>
      <c r="DA100" s="228"/>
      <c r="DB100" s="228"/>
      <c r="DC100" s="228"/>
      <c r="DD100" s="228"/>
      <c r="DE100" s="228"/>
      <c r="DF100" s="228"/>
      <c r="DG100" s="228"/>
      <c r="DH100" s="228"/>
      <c r="DI100" s="228"/>
      <c r="DJ100" s="228"/>
      <c r="DK100" s="228"/>
      <c r="DL100" s="228"/>
      <c r="DM100" s="228"/>
      <c r="DN100" s="228"/>
      <c r="DO100" s="228"/>
      <c r="DP100" s="228"/>
      <c r="DQ100" s="228"/>
      <c r="DR100" s="228"/>
      <c r="DS100" s="228"/>
      <c r="DT100" s="228"/>
      <c r="DU100" s="228"/>
      <c r="DV100" s="228"/>
      <c r="DW100" s="228"/>
      <c r="DX100" s="228"/>
      <c r="DY100" s="228"/>
      <c r="DZ100" s="228"/>
      <c r="EA100" s="228"/>
      <c r="EB100" s="228"/>
      <c r="EC100" s="228"/>
      <c r="ED100" s="228"/>
      <c r="EE100" s="228"/>
      <c r="EF100" s="228"/>
      <c r="EG100" s="228"/>
      <c r="EH100" s="228"/>
      <c r="EI100" s="228"/>
      <c r="EJ100" s="228"/>
      <c r="EK100" s="228"/>
      <c r="EL100" s="228"/>
      <c r="EM100" s="228"/>
      <c r="EN100" s="228"/>
      <c r="EO100" s="228"/>
      <c r="EP100" s="228"/>
      <c r="EQ100" s="228"/>
      <c r="ER100" s="228"/>
      <c r="ES100" s="228"/>
      <c r="ET100" s="228"/>
      <c r="EU100" s="228"/>
      <c r="EV100" s="228"/>
      <c r="EW100" s="228"/>
      <c r="EX100" s="228"/>
      <c r="EY100" s="228"/>
      <c r="EZ100" s="228"/>
      <c r="FA100" s="228"/>
      <c r="FB100" s="228"/>
      <c r="FC100" s="228"/>
      <c r="FD100" s="228"/>
      <c r="FE100" s="228"/>
      <c r="FF100" s="228"/>
      <c r="FG100" s="228"/>
      <c r="FH100" s="228"/>
      <c r="FI100" s="228"/>
      <c r="FJ100" s="228"/>
      <c r="FK100" s="228"/>
      <c r="FL100" s="228"/>
      <c r="FM100" s="228"/>
      <c r="FN100" s="228"/>
      <c r="FO100" s="228"/>
      <c r="FP100" s="228"/>
      <c r="FQ100" s="228"/>
      <c r="FR100" s="228"/>
      <c r="FS100" s="228"/>
      <c r="FT100" s="228"/>
      <c r="FU100" s="228"/>
      <c r="FV100" s="228"/>
      <c r="FW100" s="228"/>
      <c r="FX100" s="228"/>
      <c r="FY100" s="228"/>
      <c r="FZ100" s="228"/>
      <c r="GA100" s="228"/>
      <c r="GB100" s="228"/>
      <c r="GC100" s="228"/>
      <c r="GD100" s="228"/>
      <c r="GE100" s="228"/>
      <c r="GF100" s="228"/>
      <c r="GG100" s="228"/>
      <c r="GH100" s="228"/>
      <c r="GI100" s="228"/>
      <c r="GJ100" s="228"/>
      <c r="GK100" s="228"/>
      <c r="GL100" s="228"/>
      <c r="GM100" s="228"/>
      <c r="GN100" s="228"/>
      <c r="GO100" s="228"/>
      <c r="GP100" s="228"/>
      <c r="GQ100" s="228"/>
      <c r="GR100" s="228"/>
      <c r="GS100" s="228"/>
      <c r="GT100" s="228"/>
      <c r="GU100" s="228"/>
      <c r="GV100" s="228"/>
      <c r="GW100" s="228"/>
      <c r="GX100" s="228"/>
      <c r="GY100" s="228"/>
      <c r="GZ100" s="228"/>
      <c r="HA100" s="228"/>
      <c r="HB100" s="228"/>
      <c r="HC100" s="228"/>
      <c r="HD100" s="228"/>
      <c r="HE100" s="228"/>
      <c r="HF100" s="228"/>
      <c r="HG100" s="228"/>
      <c r="HH100" s="228"/>
      <c r="HI100" s="228"/>
      <c r="HJ100" s="228"/>
      <c r="HK100" s="228"/>
      <c r="HL100" s="228"/>
      <c r="HM100" s="228"/>
      <c r="HN100" s="228"/>
      <c r="HO100" s="228"/>
      <c r="HP100" s="228"/>
      <c r="HQ100" s="228"/>
      <c r="HR100" s="228"/>
      <c r="HS100" s="228"/>
      <c r="HT100" s="228"/>
      <c r="HU100" s="228"/>
      <c r="HV100" s="228"/>
      <c r="HW100" s="228"/>
      <c r="HX100" s="228"/>
      <c r="HY100" s="228"/>
      <c r="HZ100" s="228"/>
      <c r="IA100" s="228"/>
      <c r="IB100" s="228"/>
      <c r="IC100" s="228"/>
      <c r="ID100" s="228"/>
      <c r="IE100" s="228"/>
      <c r="IF100" s="228"/>
      <c r="IG100" s="228"/>
      <c r="IH100" s="228"/>
      <c r="II100" s="228"/>
      <c r="IJ100" s="228"/>
      <c r="IK100" s="228"/>
      <c r="IL100" s="228"/>
      <c r="IM100" s="228"/>
      <c r="IN100" s="228"/>
      <c r="IO100" s="228"/>
      <c r="IP100" s="228"/>
      <c r="IQ100" s="228"/>
      <c r="IR100" s="228"/>
      <c r="IS100" s="228"/>
      <c r="IT100" s="228"/>
      <c r="IU100" s="228"/>
      <c r="IV100" s="228"/>
      <c r="IW100" s="228"/>
      <c r="IX100" s="228"/>
      <c r="IY100" s="228"/>
      <c r="IZ100" s="228"/>
      <c r="JA100" s="228"/>
      <c r="JB100" s="228"/>
      <c r="JC100" s="228"/>
      <c r="JD100" s="228"/>
      <c r="JE100" s="228"/>
      <c r="JF100" s="228"/>
      <c r="JG100" s="228"/>
      <c r="JH100" s="228"/>
      <c r="JI100" s="228"/>
      <c r="JJ100" s="228"/>
      <c r="JK100" s="228"/>
      <c r="JL100" s="228"/>
      <c r="JM100" s="228"/>
      <c r="JN100" s="228"/>
      <c r="JO100" s="228"/>
      <c r="JP100" s="228"/>
      <c r="JQ100" s="228"/>
      <c r="JR100" s="228"/>
      <c r="JS100" s="228"/>
      <c r="JT100" s="228"/>
      <c r="JU100" s="228"/>
      <c r="JV100" s="228"/>
      <c r="JW100" s="228"/>
      <c r="JX100" s="228"/>
      <c r="JY100" s="228"/>
      <c r="JZ100" s="228"/>
      <c r="KA100" s="228"/>
      <c r="KB100" s="228"/>
      <c r="KC100" s="228"/>
      <c r="KD100" s="228"/>
      <c r="KE100" s="228"/>
      <c r="KF100" s="228"/>
      <c r="KG100" s="228"/>
      <c r="KH100" s="228"/>
      <c r="KI100" s="228"/>
      <c r="KJ100" s="228"/>
      <c r="KK100" s="228"/>
      <c r="KL100" s="228"/>
      <c r="KM100" s="228"/>
      <c r="KN100" s="228"/>
      <c r="KO100" s="228"/>
      <c r="KP100" s="228"/>
      <c r="KQ100" s="228"/>
      <c r="KR100" s="228"/>
      <c r="KS100" s="228"/>
      <c r="KT100" s="228"/>
      <c r="KU100" s="228"/>
      <c r="KV100" s="228"/>
      <c r="KW100" s="228"/>
      <c r="KX100" s="228"/>
      <c r="KY100" s="228"/>
      <c r="KZ100" s="228"/>
      <c r="LA100" s="228"/>
      <c r="LB100" s="228"/>
      <c r="LC100" s="228"/>
      <c r="LD100" s="228"/>
      <c r="LE100" s="228"/>
      <c r="LF100" s="228"/>
      <c r="LG100" s="228"/>
      <c r="LH100" s="228"/>
      <c r="LI100" s="228"/>
      <c r="LJ100" s="228"/>
      <c r="LK100" s="228"/>
      <c r="LL100" s="228"/>
      <c r="LM100" s="228"/>
      <c r="LN100" s="228"/>
      <c r="LO100" s="228"/>
      <c r="LP100" s="228"/>
      <c r="LQ100" s="228"/>
      <c r="LR100" s="228"/>
      <c r="LS100" s="228"/>
      <c r="LT100" s="228"/>
      <c r="LU100" s="228"/>
      <c r="LV100" s="228"/>
      <c r="LW100" s="228"/>
      <c r="LX100" s="228"/>
      <c r="LY100" s="228"/>
      <c r="LZ100" s="228"/>
      <c r="MA100" s="228"/>
      <c r="MB100" s="228"/>
      <c r="MC100" s="228"/>
      <c r="MD100" s="228"/>
      <c r="ME100" s="228"/>
      <c r="MF100" s="228"/>
      <c r="MG100" s="228"/>
      <c r="MH100" s="228"/>
      <c r="MI100" s="228"/>
      <c r="MJ100" s="228"/>
      <c r="MK100" s="228"/>
      <c r="ML100" s="228"/>
      <c r="MM100" s="228"/>
      <c r="MN100" s="228"/>
      <c r="MO100" s="228"/>
      <c r="MP100" s="228"/>
      <c r="MQ100" s="228"/>
      <c r="MR100" s="228"/>
      <c r="MS100" s="228"/>
      <c r="MT100" s="228"/>
      <c r="MU100" s="228"/>
      <c r="MV100" s="228"/>
      <c r="MW100" s="228"/>
      <c r="MX100" s="228"/>
      <c r="MY100" s="228"/>
      <c r="MZ100" s="228"/>
      <c r="NA100" s="228"/>
      <c r="NB100" s="228"/>
      <c r="NC100" s="228"/>
      <c r="ND100" s="228"/>
      <c r="NE100" s="228"/>
      <c r="NF100" s="228"/>
      <c r="NG100" s="228"/>
      <c r="NH100" s="228"/>
      <c r="NI100" s="228"/>
      <c r="NJ100" s="228"/>
      <c r="NK100" s="228"/>
      <c r="NL100" s="228"/>
      <c r="NM100" s="228"/>
      <c r="NN100" s="228"/>
      <c r="NO100" s="228"/>
      <c r="NP100" s="228"/>
      <c r="NQ100" s="228"/>
      <c r="NR100" s="228"/>
      <c r="NS100" s="228"/>
      <c r="NT100" s="228"/>
      <c r="NU100" s="228"/>
      <c r="NV100" s="228"/>
      <c r="NW100" s="228"/>
      <c r="NX100" s="228"/>
      <c r="NY100" s="228"/>
      <c r="NZ100" s="228"/>
      <c r="OA100" s="228"/>
      <c r="OB100" s="228"/>
      <c r="OC100" s="228"/>
      <c r="OD100" s="228"/>
      <c r="OE100" s="228"/>
      <c r="OF100" s="228"/>
      <c r="OG100" s="228"/>
      <c r="OH100" s="228"/>
      <c r="OI100" s="228"/>
      <c r="OJ100" s="228"/>
      <c r="OK100" s="228"/>
      <c r="OL100" s="228"/>
      <c r="OM100" s="228"/>
      <c r="ON100" s="228"/>
      <c r="OO100" s="228"/>
      <c r="OP100" s="228"/>
      <c r="OQ100" s="228"/>
      <c r="OR100" s="228"/>
      <c r="OS100" s="228"/>
      <c r="OT100" s="228"/>
      <c r="OU100" s="228"/>
      <c r="OV100" s="228"/>
      <c r="OW100" s="228"/>
      <c r="OX100" s="228"/>
      <c r="OY100" s="228"/>
      <c r="OZ100" s="228"/>
      <c r="PA100" s="228"/>
      <c r="PB100" s="228"/>
      <c r="PC100" s="228"/>
      <c r="PD100" s="228"/>
      <c r="PE100" s="228"/>
      <c r="PF100" s="228"/>
      <c r="PG100" s="228"/>
      <c r="PH100" s="228"/>
      <c r="PI100" s="228"/>
      <c r="PJ100" s="228"/>
      <c r="PK100" s="228"/>
      <c r="PL100" s="228"/>
      <c r="PM100" s="228"/>
      <c r="PN100" s="228"/>
      <c r="PO100" s="228"/>
      <c r="PP100" s="228"/>
      <c r="PQ100" s="228"/>
      <c r="PR100" s="228"/>
      <c r="PS100" s="228"/>
      <c r="PT100" s="228"/>
      <c r="PU100" s="228"/>
      <c r="PV100" s="228"/>
      <c r="PW100" s="228"/>
      <c r="PX100" s="228"/>
      <c r="PY100" s="228"/>
      <c r="PZ100" s="228"/>
      <c r="QA100" s="228"/>
      <c r="QB100" s="228"/>
      <c r="QC100" s="228"/>
      <c r="QD100" s="228"/>
      <c r="QE100" s="228"/>
      <c r="QF100" s="228"/>
      <c r="QG100" s="228"/>
      <c r="QH100" s="228"/>
      <c r="QI100" s="228"/>
      <c r="QJ100" s="228"/>
      <c r="QK100" s="228"/>
      <c r="QL100" s="228"/>
      <c r="QM100" s="228"/>
      <c r="QN100" s="228"/>
      <c r="QO100" s="228"/>
      <c r="QP100" s="228"/>
      <c r="QQ100" s="228"/>
      <c r="QR100" s="228"/>
      <c r="QS100" s="228"/>
      <c r="QT100" s="228"/>
      <c r="QU100" s="228"/>
      <c r="QV100" s="228"/>
      <c r="QW100" s="228"/>
      <c r="QX100" s="228"/>
      <c r="QY100" s="228"/>
      <c r="QZ100" s="228"/>
      <c r="RA100" s="228"/>
      <c r="RB100" s="228"/>
      <c r="RC100" s="228"/>
      <c r="RD100" s="228"/>
      <c r="RE100" s="228"/>
      <c r="RF100" s="228"/>
      <c r="RG100" s="228"/>
      <c r="RH100" s="228"/>
      <c r="RI100" s="228"/>
      <c r="RJ100" s="228"/>
      <c r="RK100" s="228"/>
      <c r="RL100" s="228"/>
      <c r="RM100" s="228"/>
      <c r="RN100" s="228"/>
      <c r="RO100" s="228"/>
      <c r="RP100" s="228"/>
      <c r="RQ100" s="228"/>
      <c r="RR100" s="228"/>
      <c r="RS100" s="228"/>
      <c r="RT100" s="228"/>
      <c r="RU100" s="228"/>
      <c r="RV100" s="228"/>
      <c r="RW100" s="228"/>
      <c r="RX100" s="228"/>
      <c r="RY100" s="228"/>
      <c r="RZ100" s="228"/>
      <c r="SA100" s="228"/>
      <c r="SB100" s="228"/>
      <c r="SC100" s="228"/>
      <c r="SD100" s="228"/>
      <c r="SE100" s="228"/>
      <c r="SF100" s="228"/>
      <c r="SG100" s="228"/>
    </row>
    <row r="101" spans="2:501" ht="14.25" customHeight="1"/>
    <row r="102" spans="2:501" ht="14.25" customHeight="1">
      <c r="B102" s="222" t="s">
        <v>2153</v>
      </c>
    </row>
    <row r="103" spans="2:501" ht="14.25" customHeight="1">
      <c r="C103" s="223" t="s">
        <v>1111</v>
      </c>
      <c r="D103" s="223" t="s">
        <v>93</v>
      </c>
      <c r="E103" s="223" t="s">
        <v>1727</v>
      </c>
      <c r="F103" s="223" t="s">
        <v>1728</v>
      </c>
      <c r="G103" s="223" t="s">
        <v>1729</v>
      </c>
      <c r="H103" s="223" t="s">
        <v>1730</v>
      </c>
      <c r="I103" s="223" t="s">
        <v>1731</v>
      </c>
      <c r="J103" s="223" t="s">
        <v>1732</v>
      </c>
      <c r="K103" s="223" t="s">
        <v>1733</v>
      </c>
      <c r="L103" s="223" t="s">
        <v>1734</v>
      </c>
      <c r="M103" s="223" t="s">
        <v>1735</v>
      </c>
    </row>
    <row r="104" spans="2:501" ht="126" customHeight="1">
      <c r="C104" s="227" t="s">
        <v>2154</v>
      </c>
      <c r="D104" s="225" t="s">
        <v>2155</v>
      </c>
      <c r="E104" s="226" t="s">
        <v>2156</v>
      </c>
      <c r="F104" s="225" t="s">
        <v>2157</v>
      </c>
      <c r="G104" s="225" t="s">
        <v>1740</v>
      </c>
      <c r="H104" s="225" t="s">
        <v>1741</v>
      </c>
      <c r="I104" s="226" t="s">
        <v>2158</v>
      </c>
      <c r="J104" s="226" t="s">
        <v>2159</v>
      </c>
      <c r="K104" s="225" t="s">
        <v>1768</v>
      </c>
      <c r="L104" s="225" t="s">
        <v>1745</v>
      </c>
      <c r="M104" s="226" t="s">
        <v>2160</v>
      </c>
    </row>
    <row r="105" spans="2:501" ht="111.75" customHeight="1">
      <c r="C105" s="227" t="s">
        <v>2161</v>
      </c>
      <c r="D105" s="225" t="s">
        <v>2162</v>
      </c>
      <c r="E105" s="226" t="s">
        <v>2163</v>
      </c>
      <c r="F105" s="225" t="s">
        <v>2164</v>
      </c>
      <c r="G105" s="225" t="s">
        <v>1740</v>
      </c>
      <c r="H105" s="225" t="s">
        <v>1741</v>
      </c>
      <c r="I105" s="226" t="s">
        <v>2165</v>
      </c>
      <c r="J105" s="226" t="s">
        <v>2166</v>
      </c>
      <c r="K105" s="225" t="s">
        <v>1977</v>
      </c>
      <c r="L105" s="225" t="s">
        <v>1760</v>
      </c>
      <c r="M105" s="226" t="s">
        <v>2167</v>
      </c>
    </row>
    <row r="106" spans="2:501" ht="84" customHeight="1">
      <c r="C106" s="227" t="s">
        <v>2168</v>
      </c>
      <c r="D106" s="225" t="s">
        <v>2169</v>
      </c>
      <c r="E106" s="226" t="s">
        <v>2170</v>
      </c>
      <c r="F106" s="225" t="s">
        <v>2171</v>
      </c>
      <c r="G106" s="225" t="s">
        <v>1740</v>
      </c>
      <c r="H106" s="225" t="s">
        <v>1741</v>
      </c>
      <c r="I106" s="226" t="s">
        <v>2172</v>
      </c>
      <c r="J106" s="226" t="s">
        <v>2173</v>
      </c>
      <c r="K106" s="225" t="s">
        <v>1977</v>
      </c>
      <c r="L106" s="225" t="s">
        <v>1792</v>
      </c>
      <c r="M106" s="226" t="s">
        <v>2174</v>
      </c>
    </row>
    <row r="107" spans="2:501" ht="153.75" customHeight="1">
      <c r="C107" s="227" t="s">
        <v>2175</v>
      </c>
      <c r="D107" s="225" t="s">
        <v>2176</v>
      </c>
      <c r="E107" s="226" t="s">
        <v>2177</v>
      </c>
      <c r="F107" s="225" t="s">
        <v>2178</v>
      </c>
      <c r="G107" s="225" t="s">
        <v>1342</v>
      </c>
      <c r="H107" s="225" t="s">
        <v>1741</v>
      </c>
      <c r="I107" s="226" t="s">
        <v>2179</v>
      </c>
      <c r="J107" s="226" t="s">
        <v>2180</v>
      </c>
      <c r="K107" s="225" t="s">
        <v>2006</v>
      </c>
      <c r="L107" s="225" t="s">
        <v>1760</v>
      </c>
      <c r="M107" s="226" t="s">
        <v>2181</v>
      </c>
    </row>
  </sheetData>
  <autoFilter ref="B17:M100" xr:uid="{00000000-0009-0000-0000-00000D000000}"/>
  <mergeCells count="1">
    <mergeCell ref="A1:B1"/>
  </mergeCells>
  <hyperlinks>
    <hyperlink ref="A1" location="'Table of contents'!A1" display="` Table of Contents" xr:uid="{00000000-0004-0000-0D00-000000000000}"/>
  </hyperlink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32"/>
  <sheetViews>
    <sheetView zoomScaleNormal="100" workbookViewId="0">
      <selection sqref="A1:B1"/>
    </sheetView>
  </sheetViews>
  <sheetFormatPr defaultColWidth="8.7109375" defaultRowHeight="15"/>
  <cols>
    <col min="1" max="1" width="97.42578125" customWidth="1"/>
    <col min="2" max="2" width="50.5703125" customWidth="1"/>
  </cols>
  <sheetData>
    <row r="1" spans="1:2" ht="14.25" customHeight="1">
      <c r="A1" s="4" t="s">
        <v>56</v>
      </c>
      <c r="B1" s="4"/>
    </row>
    <row r="3" spans="1:2" ht="31.5" customHeight="1">
      <c r="A3" s="18" t="s">
        <v>2182</v>
      </c>
    </row>
    <row r="4" spans="1:2" ht="14.25" customHeight="1">
      <c r="A4" t="s">
        <v>504</v>
      </c>
    </row>
    <row r="5" spans="1:2" ht="14.25" customHeight="1">
      <c r="A5" s="229" t="s">
        <v>2183</v>
      </c>
    </row>
    <row r="8" spans="1:2" ht="14.25" customHeight="1">
      <c r="A8" s="230" t="s">
        <v>2184</v>
      </c>
      <c r="B8" s="230"/>
    </row>
    <row r="9" spans="1:2" ht="45" customHeight="1">
      <c r="A9" s="92" t="s">
        <v>2185</v>
      </c>
      <c r="B9" s="211" t="s">
        <v>2186</v>
      </c>
    </row>
    <row r="10" spans="1:2" ht="72" customHeight="1">
      <c r="A10" s="231" t="s">
        <v>2187</v>
      </c>
      <c r="B10" s="211" t="s">
        <v>2188</v>
      </c>
    </row>
    <row r="11" spans="1:2" ht="43.5" customHeight="1">
      <c r="A11" s="231" t="s">
        <v>2189</v>
      </c>
      <c r="B11" s="211" t="s">
        <v>2190</v>
      </c>
    </row>
    <row r="12" spans="1:2" ht="28.5" customHeight="1">
      <c r="A12" s="231" t="s">
        <v>2191</v>
      </c>
      <c r="B12" s="211" t="s">
        <v>2192</v>
      </c>
    </row>
    <row r="13" spans="1:2" ht="43.5" customHeight="1">
      <c r="A13" s="26" t="s">
        <v>2193</v>
      </c>
      <c r="B13" s="211" t="s">
        <v>2194</v>
      </c>
    </row>
    <row r="14" spans="1:2" ht="57.75" customHeight="1">
      <c r="A14" s="231" t="s">
        <v>2195</v>
      </c>
      <c r="B14" s="211" t="s">
        <v>2196</v>
      </c>
    </row>
    <row r="15" spans="1:2" ht="43.5" customHeight="1">
      <c r="A15" s="231" t="s">
        <v>2197</v>
      </c>
      <c r="B15" s="211" t="s">
        <v>2198</v>
      </c>
    </row>
    <row r="16" spans="1:2" ht="43.5" customHeight="1">
      <c r="A16" s="231" t="s">
        <v>2199</v>
      </c>
      <c r="B16" s="211" t="s">
        <v>2200</v>
      </c>
    </row>
    <row r="17" spans="1:2" ht="43.5" customHeight="1">
      <c r="A17" s="26" t="s">
        <v>2201</v>
      </c>
      <c r="B17" s="211" t="s">
        <v>2202</v>
      </c>
    </row>
    <row r="18" spans="1:2" ht="14.25" customHeight="1">
      <c r="A18" s="232"/>
    </row>
    <row r="19" spans="1:2" ht="14.25" customHeight="1">
      <c r="A19" s="230" t="s">
        <v>2203</v>
      </c>
      <c r="B19" s="230"/>
    </row>
    <row r="20" spans="1:2" ht="45" customHeight="1">
      <c r="A20" s="92" t="s">
        <v>2204</v>
      </c>
      <c r="B20" s="211" t="s">
        <v>2205</v>
      </c>
    </row>
    <row r="21" spans="1:2" ht="72" customHeight="1">
      <c r="A21" s="50" t="s">
        <v>2206</v>
      </c>
      <c r="B21" s="211" t="s">
        <v>2207</v>
      </c>
    </row>
    <row r="22" spans="1:2" ht="57.75" customHeight="1">
      <c r="A22" s="50" t="s">
        <v>2208</v>
      </c>
      <c r="B22" s="211" t="s">
        <v>2209</v>
      </c>
    </row>
    <row r="23" spans="1:2" ht="43.5" customHeight="1">
      <c r="A23" s="26" t="s">
        <v>2210</v>
      </c>
      <c r="B23" s="211" t="s">
        <v>2211</v>
      </c>
    </row>
    <row r="24" spans="1:2" ht="14.25" customHeight="1">
      <c r="B24" s="26"/>
    </row>
    <row r="26" spans="1:2" ht="14.25" customHeight="1">
      <c r="A26" s="230" t="s">
        <v>2212</v>
      </c>
      <c r="B26" s="230"/>
    </row>
    <row r="27" spans="1:2" ht="57.75" customHeight="1">
      <c r="A27" s="26" t="s">
        <v>2213</v>
      </c>
      <c r="B27" s="211" t="s">
        <v>2214</v>
      </c>
    </row>
    <row r="28" spans="1:2" ht="28.5" customHeight="1">
      <c r="A28" s="26" t="s">
        <v>2215</v>
      </c>
      <c r="B28" s="211" t="s">
        <v>2216</v>
      </c>
    </row>
    <row r="29" spans="1:2" ht="30" customHeight="1">
      <c r="A29" s="92" t="s">
        <v>2217</v>
      </c>
      <c r="B29" s="211" t="s">
        <v>2218</v>
      </c>
    </row>
    <row r="30" spans="1:2" ht="57.75" customHeight="1">
      <c r="A30" s="26" t="s">
        <v>2219</v>
      </c>
      <c r="B30" s="211" t="s">
        <v>2220</v>
      </c>
    </row>
    <row r="31" spans="1:2" ht="43.5" customHeight="1">
      <c r="A31" s="26" t="s">
        <v>2221</v>
      </c>
      <c r="B31" s="211" t="s">
        <v>2222</v>
      </c>
    </row>
    <row r="32" spans="1:2" ht="14.25" customHeight="1">
      <c r="A32" s="26"/>
      <c r="B32" s="26"/>
    </row>
  </sheetData>
  <mergeCells count="1">
    <mergeCell ref="A1:B1"/>
  </mergeCells>
  <hyperlinks>
    <hyperlink ref="A1" location="'Table of contents'!A1" display="` Table of Contents" xr:uid="{00000000-0004-0000-0E00-000000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42"/>
  <sheetViews>
    <sheetView zoomScale="89" zoomScaleNormal="89" workbookViewId="0">
      <selection activeCell="G43" sqref="G43"/>
    </sheetView>
  </sheetViews>
  <sheetFormatPr defaultColWidth="8.7109375" defaultRowHeight="15"/>
  <cols>
    <col min="2" max="2" width="22.140625" customWidth="1"/>
    <col min="3" max="3" width="12.42578125" customWidth="1"/>
    <col min="4" max="6" width="14.85546875" customWidth="1"/>
    <col min="7" max="7" width="47.28515625" customWidth="1"/>
    <col min="8" max="8" width="14.140625" customWidth="1"/>
    <col min="9" max="9" width="11.42578125" customWidth="1"/>
    <col min="10" max="10" width="22" customWidth="1"/>
  </cols>
  <sheetData>
    <row r="1" spans="1:10" ht="14.25" customHeight="1">
      <c r="A1" s="4" t="s">
        <v>56</v>
      </c>
      <c r="B1" s="4"/>
    </row>
    <row r="3" spans="1:10" ht="31.5" customHeight="1">
      <c r="A3" s="18" t="s">
        <v>2223</v>
      </c>
      <c r="B3" s="20"/>
    </row>
    <row r="4" spans="1:10" ht="14.25" customHeight="1">
      <c r="A4" t="s">
        <v>504</v>
      </c>
    </row>
    <row r="5" spans="1:10" ht="14.25" customHeight="1">
      <c r="B5" t="s">
        <v>1724</v>
      </c>
    </row>
    <row r="8" spans="1:10" ht="15.75" customHeight="1">
      <c r="B8" s="233"/>
    </row>
    <row r="9" spans="1:10" ht="15.75" customHeight="1">
      <c r="B9" s="233"/>
    </row>
    <row r="10" spans="1:10" ht="15.75" customHeight="1">
      <c r="B10" s="233" t="s">
        <v>2224</v>
      </c>
    </row>
    <row r="12" spans="1:10" ht="14.25" customHeight="1">
      <c r="B12" s="59" t="s">
        <v>531</v>
      </c>
      <c r="C12" s="59" t="s">
        <v>99</v>
      </c>
      <c r="D12" s="59" t="s">
        <v>953</v>
      </c>
      <c r="E12" s="59" t="s">
        <v>2225</v>
      </c>
      <c r="F12" s="59" t="s">
        <v>2226</v>
      </c>
      <c r="G12" s="59" t="s">
        <v>2227</v>
      </c>
      <c r="H12" s="59" t="s">
        <v>2228</v>
      </c>
      <c r="I12" s="59" t="s">
        <v>2229</v>
      </c>
      <c r="J12" s="59" t="s">
        <v>2230</v>
      </c>
    </row>
    <row r="13" spans="1:10" ht="14.25" customHeight="1">
      <c r="B13" s="26" t="s">
        <v>549</v>
      </c>
      <c r="C13" s="26" t="s">
        <v>2231</v>
      </c>
      <c r="D13" s="26" t="s">
        <v>1124</v>
      </c>
      <c r="E13" s="26" t="s">
        <v>980</v>
      </c>
      <c r="F13" s="26" t="s">
        <v>2232</v>
      </c>
      <c r="G13" s="26" t="s">
        <v>2233</v>
      </c>
      <c r="H13" s="26"/>
      <c r="I13" s="26" t="s">
        <v>2234</v>
      </c>
      <c r="J13" s="26" t="s">
        <v>2235</v>
      </c>
    </row>
    <row r="14" spans="1:10" ht="14.25" customHeight="1">
      <c r="B14" s="26" t="s">
        <v>549</v>
      </c>
      <c r="C14" s="26" t="s">
        <v>2231</v>
      </c>
      <c r="D14" s="26" t="s">
        <v>1124</v>
      </c>
      <c r="E14" s="26" t="s">
        <v>2236</v>
      </c>
      <c r="F14" s="26" t="s">
        <v>2237</v>
      </c>
      <c r="G14" s="26" t="s">
        <v>2238</v>
      </c>
      <c r="H14" s="26"/>
      <c r="I14" s="26" t="s">
        <v>2239</v>
      </c>
      <c r="J14" s="26" t="s">
        <v>2240</v>
      </c>
    </row>
    <row r="15" spans="1:10" ht="14.25" customHeight="1">
      <c r="B15" s="26" t="s">
        <v>549</v>
      </c>
      <c r="C15" s="26" t="s">
        <v>2241</v>
      </c>
      <c r="D15" s="26" t="s">
        <v>1124</v>
      </c>
      <c r="E15" s="26" t="s">
        <v>976</v>
      </c>
      <c r="F15" s="26" t="s">
        <v>2242</v>
      </c>
      <c r="G15" s="26" t="s">
        <v>2243</v>
      </c>
      <c r="H15" s="26"/>
      <c r="I15" s="26" t="s">
        <v>2244</v>
      </c>
      <c r="J15" s="26" t="s">
        <v>2235</v>
      </c>
    </row>
    <row r="16" spans="1:10" ht="14.25" customHeight="1">
      <c r="B16" s="26" t="s">
        <v>549</v>
      </c>
      <c r="C16" s="26" t="s">
        <v>2241</v>
      </c>
      <c r="D16" s="26" t="s">
        <v>1124</v>
      </c>
      <c r="E16" s="26" t="s">
        <v>980</v>
      </c>
      <c r="F16" s="26" t="s">
        <v>2245</v>
      </c>
      <c r="G16" s="26" t="s">
        <v>2246</v>
      </c>
      <c r="H16" s="26"/>
      <c r="I16" s="26" t="s">
        <v>2234</v>
      </c>
      <c r="J16" s="26" t="s">
        <v>2240</v>
      </c>
    </row>
    <row r="17" spans="2:10" ht="14.25" customHeight="1">
      <c r="B17" s="26" t="s">
        <v>2247</v>
      </c>
      <c r="C17" s="26" t="s">
        <v>1056</v>
      </c>
      <c r="D17" s="26" t="s">
        <v>1124</v>
      </c>
      <c r="E17" s="26" t="s">
        <v>2236</v>
      </c>
      <c r="F17" s="26" t="s">
        <v>2248</v>
      </c>
      <c r="G17" s="26" t="s">
        <v>2249</v>
      </c>
      <c r="H17" s="26"/>
      <c r="I17" s="26" t="s">
        <v>2250</v>
      </c>
      <c r="J17" s="26" t="s">
        <v>2251</v>
      </c>
    </row>
    <row r="18" spans="2:10" ht="14.25" customHeight="1">
      <c r="B18" s="26" t="s">
        <v>2247</v>
      </c>
      <c r="C18" s="26" t="s">
        <v>1056</v>
      </c>
      <c r="D18" s="26" t="s">
        <v>1124</v>
      </c>
      <c r="E18" s="26" t="s">
        <v>976</v>
      </c>
      <c r="F18" s="26" t="s">
        <v>2252</v>
      </c>
      <c r="G18" s="26" t="s">
        <v>2253</v>
      </c>
      <c r="H18" s="26"/>
      <c r="I18" s="26" t="s">
        <v>2250</v>
      </c>
      <c r="J18" s="26" t="s">
        <v>2251</v>
      </c>
    </row>
    <row r="19" spans="2:10" ht="14.25" customHeight="1">
      <c r="B19" s="26" t="s">
        <v>2247</v>
      </c>
      <c r="C19" s="26" t="s">
        <v>429</v>
      </c>
      <c r="D19" s="26" t="s">
        <v>1124</v>
      </c>
      <c r="E19" s="26" t="s">
        <v>2236</v>
      </c>
      <c r="F19" s="26" t="s">
        <v>2254</v>
      </c>
      <c r="G19" s="26" t="s">
        <v>2255</v>
      </c>
      <c r="H19" s="26"/>
      <c r="I19" s="26" t="s">
        <v>2250</v>
      </c>
      <c r="J19" s="26" t="s">
        <v>2256</v>
      </c>
    </row>
    <row r="20" spans="2:10" ht="14.25" customHeight="1">
      <c r="B20" s="26" t="s">
        <v>549</v>
      </c>
      <c r="C20" s="26" t="s">
        <v>2257</v>
      </c>
      <c r="D20" s="26" t="s">
        <v>1124</v>
      </c>
      <c r="E20" s="26" t="s">
        <v>2236</v>
      </c>
      <c r="F20" s="26" t="s">
        <v>2258</v>
      </c>
      <c r="G20" s="26" t="s">
        <v>2259</v>
      </c>
      <c r="H20" s="26" t="s">
        <v>2260</v>
      </c>
      <c r="I20" s="26" t="s">
        <v>2261</v>
      </c>
      <c r="J20" s="89" t="s">
        <v>2262</v>
      </c>
    </row>
    <row r="21" spans="2:10" ht="14.25" customHeight="1">
      <c r="B21" s="26" t="s">
        <v>478</v>
      </c>
      <c r="C21" s="26" t="s">
        <v>2257</v>
      </c>
      <c r="D21" s="26" t="s">
        <v>1124</v>
      </c>
      <c r="E21" s="26" t="s">
        <v>1000</v>
      </c>
      <c r="F21" s="26" t="s">
        <v>2263</v>
      </c>
      <c r="G21" s="26" t="s">
        <v>2264</v>
      </c>
      <c r="H21" s="26" t="s">
        <v>989</v>
      </c>
      <c r="I21" s="26" t="s">
        <v>2265</v>
      </c>
      <c r="J21" t="s">
        <v>2262</v>
      </c>
    </row>
    <row r="22" spans="2:10" ht="14.25" customHeight="1">
      <c r="B22" s="26" t="s">
        <v>2266</v>
      </c>
      <c r="C22" s="26" t="s">
        <v>2257</v>
      </c>
      <c r="D22" s="26" t="s">
        <v>2267</v>
      </c>
      <c r="E22" s="26" t="s">
        <v>1023</v>
      </c>
      <c r="F22" s="26"/>
      <c r="G22" s="26" t="s">
        <v>2268</v>
      </c>
      <c r="H22" s="26"/>
      <c r="I22" s="26"/>
      <c r="J22" t="s">
        <v>2262</v>
      </c>
    </row>
    <row r="23" spans="2:10" ht="14.25" customHeight="1">
      <c r="B23" s="26" t="s">
        <v>559</v>
      </c>
      <c r="C23" s="26" t="s">
        <v>1056</v>
      </c>
      <c r="D23" s="26" t="s">
        <v>1124</v>
      </c>
      <c r="E23" s="26" t="s">
        <v>1005</v>
      </c>
      <c r="F23" s="26" t="s">
        <v>2269</v>
      </c>
      <c r="G23" s="26" t="s">
        <v>2270</v>
      </c>
      <c r="H23" s="26"/>
      <c r="I23" s="26" t="s">
        <v>2271</v>
      </c>
      <c r="J23" s="26" t="s">
        <v>2251</v>
      </c>
    </row>
    <row r="24" spans="2:10" ht="14.25" customHeight="1">
      <c r="B24" s="26" t="s">
        <v>559</v>
      </c>
      <c r="C24" s="26" t="s">
        <v>429</v>
      </c>
      <c r="D24" s="26" t="s">
        <v>1124</v>
      </c>
      <c r="E24" s="26" t="s">
        <v>1010</v>
      </c>
      <c r="F24" s="26" t="s">
        <v>2272</v>
      </c>
      <c r="G24" s="26" t="s">
        <v>2273</v>
      </c>
      <c r="H24" s="26"/>
      <c r="I24" s="26" t="s">
        <v>2271</v>
      </c>
      <c r="J24" s="26" t="s">
        <v>2262</v>
      </c>
    </row>
    <row r="25" spans="2:10" ht="14.25" customHeight="1">
      <c r="B25" s="26" t="s">
        <v>559</v>
      </c>
      <c r="C25" s="26" t="s">
        <v>2257</v>
      </c>
      <c r="D25" s="26" t="s">
        <v>1124</v>
      </c>
      <c r="E25" s="26" t="s">
        <v>1014</v>
      </c>
      <c r="F25" s="26" t="s">
        <v>2274</v>
      </c>
      <c r="G25" s="26" t="s">
        <v>2275</v>
      </c>
      <c r="H25" s="26"/>
      <c r="I25" s="26" t="s">
        <v>2271</v>
      </c>
      <c r="J25" s="26" t="s">
        <v>2262</v>
      </c>
    </row>
    <row r="26" spans="2:10" ht="14.25" customHeight="1">
      <c r="B26" s="26" t="s">
        <v>559</v>
      </c>
      <c r="C26" s="26" t="s">
        <v>1074</v>
      </c>
      <c r="D26" s="26" t="s">
        <v>2276</v>
      </c>
      <c r="E26" s="26" t="s">
        <v>1005</v>
      </c>
      <c r="F26" s="26" t="s">
        <v>2277</v>
      </c>
      <c r="G26" s="26" t="s">
        <v>2278</v>
      </c>
      <c r="H26" s="26"/>
      <c r="I26" s="26" t="s">
        <v>2271</v>
      </c>
      <c r="J26" s="26" t="s">
        <v>2279</v>
      </c>
    </row>
    <row r="27" spans="2:10" ht="14.25" customHeight="1">
      <c r="B27" s="26" t="s">
        <v>2266</v>
      </c>
      <c r="C27" s="26" t="s">
        <v>1056</v>
      </c>
      <c r="D27" s="26" t="s">
        <v>2267</v>
      </c>
      <c r="E27" s="26" t="s">
        <v>2280</v>
      </c>
      <c r="F27" s="26"/>
      <c r="G27" s="26" t="s">
        <v>2281</v>
      </c>
      <c r="H27" s="26"/>
      <c r="I27" s="26"/>
      <c r="J27" s="26"/>
    </row>
    <row r="28" spans="2:10" ht="14.25" customHeight="1">
      <c r="B28" s="26" t="s">
        <v>2266</v>
      </c>
      <c r="C28" s="26" t="s">
        <v>429</v>
      </c>
      <c r="D28" s="26" t="s">
        <v>2267</v>
      </c>
      <c r="E28" s="26" t="s">
        <v>2280</v>
      </c>
      <c r="F28" s="26"/>
      <c r="G28" s="26" t="s">
        <v>2282</v>
      </c>
      <c r="H28" s="26"/>
      <c r="I28" s="26"/>
      <c r="J28" s="26"/>
    </row>
    <row r="29" spans="2:10" ht="14.25" customHeight="1">
      <c r="B29" s="26" t="s">
        <v>2266</v>
      </c>
      <c r="C29" s="26" t="s">
        <v>2257</v>
      </c>
      <c r="D29" s="26" t="s">
        <v>2267</v>
      </c>
      <c r="E29" s="26" t="s">
        <v>2283</v>
      </c>
      <c r="F29" s="26"/>
      <c r="G29" s="26" t="s">
        <v>2284</v>
      </c>
      <c r="H29" s="26"/>
      <c r="I29" s="26"/>
      <c r="J29" s="26"/>
    </row>
    <row r="30" spans="2:10" ht="14.25" customHeight="1">
      <c r="B30" s="26" t="s">
        <v>2266</v>
      </c>
      <c r="C30" s="26" t="s">
        <v>1074</v>
      </c>
      <c r="D30" s="26" t="s">
        <v>2267</v>
      </c>
      <c r="E30" s="26" t="s">
        <v>2280</v>
      </c>
      <c r="F30" s="26"/>
      <c r="G30" s="26" t="s">
        <v>2282</v>
      </c>
      <c r="H30" s="26"/>
      <c r="I30" s="26"/>
      <c r="J30" s="26"/>
    </row>
    <row r="31" spans="2:10" ht="14.25" customHeight="1">
      <c r="B31" s="26" t="s">
        <v>2266</v>
      </c>
      <c r="C31" s="26" t="s">
        <v>1056</v>
      </c>
      <c r="D31" s="26" t="s">
        <v>2267</v>
      </c>
      <c r="E31" s="26" t="s">
        <v>2285</v>
      </c>
      <c r="F31" s="26"/>
      <c r="G31" s="26" t="s">
        <v>2286</v>
      </c>
      <c r="H31" s="26"/>
      <c r="I31" s="26"/>
      <c r="J31" s="26"/>
    </row>
    <row r="32" spans="2:10" ht="14.25" customHeight="1">
      <c r="B32" s="26" t="s">
        <v>2266</v>
      </c>
      <c r="C32" s="26" t="s">
        <v>2257</v>
      </c>
      <c r="D32" s="26" t="s">
        <v>2267</v>
      </c>
      <c r="E32" s="26" t="s">
        <v>2285</v>
      </c>
      <c r="F32" s="26"/>
      <c r="G32" s="26" t="s">
        <v>2287</v>
      </c>
      <c r="H32" s="26"/>
      <c r="I32" s="26"/>
      <c r="J32" s="26"/>
    </row>
    <row r="33" spans="2:10" ht="14.25" customHeight="1">
      <c r="B33" s="26" t="s">
        <v>2266</v>
      </c>
      <c r="C33" s="26" t="s">
        <v>2257</v>
      </c>
      <c r="D33" s="26" t="s">
        <v>2267</v>
      </c>
      <c r="E33" s="26" t="s">
        <v>1018</v>
      </c>
      <c r="F33" s="26"/>
      <c r="G33" s="26" t="s">
        <v>2288</v>
      </c>
      <c r="H33" s="26"/>
      <c r="I33" s="26"/>
      <c r="J33" s="26"/>
    </row>
    <row r="34" spans="2:10" ht="14.25" customHeight="1">
      <c r="B34" s="26" t="s">
        <v>2266</v>
      </c>
      <c r="C34" s="26" t="s">
        <v>2257</v>
      </c>
      <c r="D34" s="26" t="s">
        <v>2267</v>
      </c>
      <c r="E34" s="26" t="s">
        <v>1023</v>
      </c>
      <c r="F34" s="26"/>
      <c r="G34" s="26" t="s">
        <v>2289</v>
      </c>
      <c r="H34" s="26"/>
      <c r="I34" s="26"/>
      <c r="J34" s="26"/>
    </row>
    <row r="35" spans="2:10" ht="14.25" customHeight="1">
      <c r="B35" s="26" t="s">
        <v>2266</v>
      </c>
      <c r="C35" s="26" t="s">
        <v>1056</v>
      </c>
      <c r="D35" s="26" t="s">
        <v>1141</v>
      </c>
      <c r="E35" s="26" t="s">
        <v>112</v>
      </c>
      <c r="F35" s="26"/>
      <c r="G35" s="26" t="s">
        <v>1141</v>
      </c>
      <c r="H35" s="26"/>
      <c r="I35" s="26"/>
      <c r="J35" s="26" t="s">
        <v>2290</v>
      </c>
    </row>
    <row r="36" spans="2:10" ht="14.25" customHeight="1">
      <c r="B36" s="26" t="s">
        <v>2266</v>
      </c>
      <c r="C36" s="26" t="s">
        <v>429</v>
      </c>
      <c r="D36" s="26" t="s">
        <v>1141</v>
      </c>
      <c r="E36" s="26" t="s">
        <v>112</v>
      </c>
      <c r="F36" s="26"/>
      <c r="G36" s="26" t="s">
        <v>1141</v>
      </c>
      <c r="H36" s="26"/>
      <c r="I36" s="26"/>
      <c r="J36" s="26" t="s">
        <v>2291</v>
      </c>
    </row>
    <row r="37" spans="2:10" ht="14.25" customHeight="1">
      <c r="B37" s="26" t="s">
        <v>2266</v>
      </c>
      <c r="C37" s="26" t="s">
        <v>2257</v>
      </c>
      <c r="D37" s="26" t="s">
        <v>1141</v>
      </c>
      <c r="E37" s="26" t="s">
        <v>112</v>
      </c>
      <c r="F37" s="26"/>
      <c r="G37" s="26" t="s">
        <v>1141</v>
      </c>
      <c r="H37" s="26"/>
      <c r="I37" s="26"/>
      <c r="J37" s="26" t="s">
        <v>2291</v>
      </c>
    </row>
    <row r="38" spans="2:10" ht="14.25" customHeight="1">
      <c r="B38" s="26" t="s">
        <v>2266</v>
      </c>
      <c r="C38" s="26" t="s">
        <v>1074</v>
      </c>
      <c r="D38" s="26" t="s">
        <v>1141</v>
      </c>
      <c r="E38" s="26" t="s">
        <v>112</v>
      </c>
      <c r="F38" s="26"/>
      <c r="G38" s="26" t="s">
        <v>1141</v>
      </c>
      <c r="H38" s="26"/>
      <c r="I38" s="26"/>
      <c r="J38" s="26" t="s">
        <v>2290</v>
      </c>
    </row>
    <row r="41" spans="2:10" ht="14.25" customHeight="1">
      <c r="B41" t="s">
        <v>2292</v>
      </c>
    </row>
    <row r="42" spans="2:10" ht="14.25" customHeight="1">
      <c r="B42" t="s">
        <v>2293</v>
      </c>
    </row>
  </sheetData>
  <mergeCells count="1">
    <mergeCell ref="A1:B1"/>
  </mergeCells>
  <hyperlinks>
    <hyperlink ref="A1" location="'Table of contents'!A1" display="` Table of Contents" xr:uid="{00000000-0004-0000-0F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5"/>
  <sheetViews>
    <sheetView zoomScaleNormal="100" workbookViewId="0">
      <selection sqref="A1:B1"/>
    </sheetView>
  </sheetViews>
  <sheetFormatPr defaultColWidth="8.7109375" defaultRowHeight="15"/>
  <cols>
    <col min="2" max="2" width="38.85546875" customWidth="1"/>
    <col min="3" max="3" width="47.28515625" customWidth="1"/>
    <col min="4" max="5" width="10" customWidth="1"/>
    <col min="6" max="6" width="11.5703125" customWidth="1"/>
  </cols>
  <sheetData>
    <row r="1" spans="1:6" ht="14.25" customHeight="1">
      <c r="A1" s="4" t="s">
        <v>56</v>
      </c>
      <c r="B1" s="4"/>
    </row>
    <row r="3" spans="1:6" ht="30.75" customHeight="1">
      <c r="A3" s="18" t="s">
        <v>2294</v>
      </c>
      <c r="B3" s="20"/>
    </row>
    <row r="4" spans="1:6" ht="14.25" customHeight="1">
      <c r="A4" t="s">
        <v>504</v>
      </c>
    </row>
    <row r="8" spans="1:6" ht="14.25" customHeight="1">
      <c r="A8" s="26"/>
      <c r="B8" s="26"/>
      <c r="C8" s="26"/>
      <c r="D8" s="26" t="s">
        <v>2295</v>
      </c>
      <c r="E8" s="26" t="s">
        <v>2296</v>
      </c>
      <c r="F8" s="26" t="s">
        <v>2297</v>
      </c>
    </row>
    <row r="9" spans="1:6" ht="14.25" customHeight="1">
      <c r="A9" s="26"/>
      <c r="B9" s="26" t="s">
        <v>600</v>
      </c>
      <c r="C9" s="26" t="s">
        <v>2298</v>
      </c>
      <c r="D9" s="26" t="s">
        <v>2299</v>
      </c>
      <c r="E9" s="26" t="s">
        <v>2299</v>
      </c>
      <c r="F9" s="234">
        <v>0.01</v>
      </c>
    </row>
    <row r="10" spans="1:6" ht="14.25" customHeight="1">
      <c r="A10" s="26"/>
      <c r="B10" s="26" t="s">
        <v>602</v>
      </c>
      <c r="C10" s="26" t="s">
        <v>2300</v>
      </c>
      <c r="D10" s="26"/>
      <c r="E10" s="26"/>
      <c r="F10" s="59"/>
    </row>
    <row r="11" spans="1:6" ht="14.25" customHeight="1">
      <c r="A11" s="26"/>
      <c r="B11" s="235" t="s">
        <v>627</v>
      </c>
      <c r="C11" s="26" t="s">
        <v>2301</v>
      </c>
      <c r="D11" s="26" t="s">
        <v>2302</v>
      </c>
      <c r="E11" s="26"/>
      <c r="F11" s="236">
        <v>10000</v>
      </c>
    </row>
    <row r="12" spans="1:6" ht="14.25" customHeight="1">
      <c r="A12" s="26"/>
      <c r="B12" s="235"/>
      <c r="C12" s="26" t="s">
        <v>2303</v>
      </c>
      <c r="D12" s="26" t="s">
        <v>2302</v>
      </c>
      <c r="E12" s="26"/>
      <c r="F12" s="236">
        <v>2000</v>
      </c>
    </row>
    <row r="13" spans="1:6" ht="14.25" customHeight="1">
      <c r="A13" s="26"/>
      <c r="B13" s="235"/>
      <c r="C13" s="26" t="s">
        <v>2304</v>
      </c>
      <c r="D13" s="26" t="s">
        <v>2302</v>
      </c>
      <c r="E13" s="26"/>
      <c r="F13" s="236">
        <v>1000</v>
      </c>
    </row>
    <row r="14" spans="1:6" ht="14.25" customHeight="1">
      <c r="A14" s="26"/>
      <c r="B14" s="235"/>
      <c r="C14" s="26" t="s">
        <v>2305</v>
      </c>
      <c r="D14" s="26" t="s">
        <v>2302</v>
      </c>
      <c r="E14" s="26"/>
      <c r="F14" s="236">
        <v>1000</v>
      </c>
    </row>
    <row r="15" spans="1:6" ht="14.25" customHeight="1">
      <c r="A15" s="26"/>
      <c r="B15" s="235"/>
      <c r="C15" s="26" t="s">
        <v>2306</v>
      </c>
      <c r="D15" s="26" t="s">
        <v>2302</v>
      </c>
      <c r="E15" s="26"/>
      <c r="F15" s="236">
        <v>1000</v>
      </c>
    </row>
    <row r="16" spans="1:6" ht="14.25" customHeight="1">
      <c r="A16" s="26"/>
      <c r="B16" s="235" t="s">
        <v>629</v>
      </c>
      <c r="C16" s="26" t="s">
        <v>1005</v>
      </c>
      <c r="D16" s="26" t="s">
        <v>2302</v>
      </c>
      <c r="E16" s="26"/>
      <c r="F16" s="236">
        <v>50000</v>
      </c>
    </row>
    <row r="17" spans="1:7" ht="14.25" customHeight="1">
      <c r="A17" s="26"/>
      <c r="B17" s="235" t="s">
        <v>631</v>
      </c>
      <c r="C17" s="26" t="s">
        <v>2307</v>
      </c>
      <c r="D17" s="26"/>
      <c r="E17" s="26"/>
      <c r="F17" s="236">
        <v>0</v>
      </c>
    </row>
    <row r="18" spans="1:7" ht="14.25" customHeight="1">
      <c r="A18" s="26"/>
      <c r="B18" s="26" t="s">
        <v>604</v>
      </c>
      <c r="C18" s="26" t="s">
        <v>2307</v>
      </c>
      <c r="D18" s="26"/>
      <c r="E18" s="26"/>
      <c r="F18" s="236">
        <v>0</v>
      </c>
    </row>
    <row r="19" spans="1:7" ht="14.25" customHeight="1">
      <c r="A19" s="26"/>
      <c r="B19" s="26" t="s">
        <v>606</v>
      </c>
      <c r="C19" s="26" t="s">
        <v>2308</v>
      </c>
      <c r="D19" s="26"/>
      <c r="E19" s="26"/>
      <c r="F19" s="236">
        <v>16000</v>
      </c>
    </row>
    <row r="20" spans="1:7" ht="14.25" customHeight="1">
      <c r="A20" s="26"/>
      <c r="B20" s="26"/>
      <c r="C20" s="26" t="s">
        <v>2309</v>
      </c>
      <c r="D20" s="26"/>
      <c r="E20" s="26"/>
      <c r="F20" s="236">
        <v>16000</v>
      </c>
    </row>
    <row r="21" spans="1:7" ht="14.25" customHeight="1">
      <c r="A21" s="26"/>
      <c r="B21" s="26"/>
      <c r="C21" s="26" t="s">
        <v>2310</v>
      </c>
      <c r="D21" s="26"/>
      <c r="E21" s="26"/>
      <c r="F21" s="236">
        <v>16000</v>
      </c>
    </row>
    <row r="22" spans="1:7" ht="14.25" customHeight="1">
      <c r="A22" s="26"/>
      <c r="B22" s="26"/>
      <c r="C22" s="26" t="s">
        <v>2311</v>
      </c>
      <c r="D22" s="26"/>
      <c r="E22" s="26"/>
      <c r="F22" s="236">
        <v>16000</v>
      </c>
    </row>
    <row r="23" spans="1:7" ht="14.25" customHeight="1">
      <c r="A23" s="26"/>
      <c r="B23" s="26" t="s">
        <v>609</v>
      </c>
      <c r="C23" s="26" t="s">
        <v>2312</v>
      </c>
      <c r="D23" s="26"/>
      <c r="E23" s="26"/>
      <c r="F23" s="236">
        <v>25000</v>
      </c>
      <c r="G23" t="s">
        <v>2313</v>
      </c>
    </row>
    <row r="24" spans="1:7" ht="14.25" customHeight="1">
      <c r="A24" s="26"/>
      <c r="B24" s="26"/>
      <c r="C24" s="26" t="s">
        <v>2314</v>
      </c>
      <c r="D24" s="26"/>
      <c r="E24" s="26"/>
      <c r="F24" s="236">
        <v>25000</v>
      </c>
    </row>
    <row r="25" spans="1:7" ht="14.25" customHeight="1">
      <c r="A25" s="26"/>
      <c r="B25" s="26"/>
      <c r="C25" s="26" t="s">
        <v>2315</v>
      </c>
      <c r="D25" s="26"/>
      <c r="E25" s="26"/>
      <c r="F25" s="236">
        <v>25000</v>
      </c>
    </row>
    <row r="26" spans="1:7" ht="14.25" customHeight="1">
      <c r="A26" s="26"/>
      <c r="B26" s="26"/>
      <c r="C26" s="26" t="s">
        <v>2316</v>
      </c>
      <c r="D26" s="26"/>
      <c r="E26" s="26"/>
      <c r="F26" s="236">
        <v>25000</v>
      </c>
    </row>
    <row r="27" spans="1:7" ht="14.25" customHeight="1">
      <c r="A27" s="26"/>
      <c r="B27" s="26"/>
      <c r="C27" s="26" t="s">
        <v>2317</v>
      </c>
      <c r="D27" s="26"/>
      <c r="E27" s="26"/>
      <c r="F27" s="236">
        <v>25000</v>
      </c>
    </row>
    <row r="28" spans="1:7" ht="14.25" customHeight="1">
      <c r="A28" s="26"/>
      <c r="B28" s="26"/>
      <c r="C28" s="26" t="s">
        <v>2318</v>
      </c>
      <c r="D28" s="26"/>
      <c r="E28" s="26"/>
      <c r="F28" s="236">
        <v>25000</v>
      </c>
    </row>
    <row r="29" spans="1:7" ht="14.25" customHeight="1">
      <c r="A29" s="26"/>
      <c r="B29" s="26" t="s">
        <v>612</v>
      </c>
      <c r="C29" s="26" t="s">
        <v>2319</v>
      </c>
      <c r="D29" s="26"/>
      <c r="E29" s="26"/>
      <c r="F29" s="236">
        <v>2000</v>
      </c>
    </row>
    <row r="30" spans="1:7" ht="14.25" customHeight="1">
      <c r="A30" s="26"/>
      <c r="B30" s="26"/>
      <c r="C30" s="26" t="s">
        <v>2320</v>
      </c>
      <c r="D30" s="26"/>
      <c r="E30" s="26"/>
      <c r="F30" s="236">
        <v>5000</v>
      </c>
    </row>
    <row r="31" spans="1:7" ht="14.25" customHeight="1">
      <c r="A31" s="26"/>
      <c r="B31" s="26"/>
      <c r="C31" s="26" t="s">
        <v>2321</v>
      </c>
      <c r="D31" s="26"/>
      <c r="E31" s="26"/>
      <c r="F31" s="236">
        <v>5000</v>
      </c>
    </row>
    <row r="32" spans="1:7" ht="14.25" customHeight="1">
      <c r="A32" s="26"/>
      <c r="B32" s="26" t="s">
        <v>615</v>
      </c>
      <c r="C32" s="26"/>
      <c r="D32" s="26"/>
      <c r="E32" s="26"/>
      <c r="F32" s="236">
        <v>0</v>
      </c>
    </row>
    <row r="33" spans="1:6" ht="14.25" customHeight="1">
      <c r="A33" s="26"/>
      <c r="B33" s="26" t="s">
        <v>618</v>
      </c>
      <c r="C33" s="26" t="s">
        <v>2322</v>
      </c>
      <c r="D33" s="26"/>
      <c r="E33" s="26"/>
      <c r="F33" s="236">
        <v>50000</v>
      </c>
    </row>
    <row r="34" spans="1:6" ht="14.25" customHeight="1">
      <c r="A34" s="26"/>
      <c r="B34" s="26" t="s">
        <v>621</v>
      </c>
      <c r="C34" s="26"/>
      <c r="D34" s="26"/>
      <c r="E34" s="26"/>
      <c r="F34" s="236">
        <v>20000</v>
      </c>
    </row>
    <row r="35" spans="1:6" ht="14.25" customHeight="1">
      <c r="A35" s="26"/>
      <c r="B35" s="26" t="s">
        <v>624</v>
      </c>
      <c r="C35" s="26"/>
      <c r="D35" s="26"/>
      <c r="E35" s="26"/>
      <c r="F35" s="236"/>
    </row>
  </sheetData>
  <mergeCells count="1">
    <mergeCell ref="A1:B1"/>
  </mergeCells>
  <conditionalFormatting sqref="C9 B9:B10 B18:C35">
    <cfRule type="expression" dxfId="25" priority="8">
      <formula>IF(#REF!="Subsystem", 1, 0)</formula>
    </cfRule>
    <cfRule type="expression" dxfId="24" priority="9">
      <formula>IF(#REF!="Assembly", 1, 0)</formula>
    </cfRule>
    <cfRule type="expression" dxfId="23" priority="10">
      <formula>IF(#REF!="System", 1, 0)</formula>
    </cfRule>
    <cfRule type="expression" dxfId="22" priority="11">
      <formula>IF(#REF!="SoS", 1, 0)</formula>
    </cfRule>
    <cfRule type="expression" dxfId="21" priority="12">
      <formula>IF(#REF!="Segment", 1, 0)</formula>
    </cfRule>
    <cfRule type="expression" dxfId="20" priority="13">
      <formula>IF(#REF!="SEITPM", 1, 0)</formula>
    </cfRule>
  </conditionalFormatting>
  <conditionalFormatting sqref="C10:C17 B11:B17">
    <cfRule type="expression" dxfId="19" priority="2">
      <formula>IF($B10="Subsystem", 1, 0)</formula>
    </cfRule>
    <cfRule type="expression" dxfId="18" priority="3">
      <formula>IF($B10="Assembly", 1, 0)</formula>
    </cfRule>
    <cfRule type="expression" dxfId="17" priority="4">
      <formula>IF($B10="System", 1, 0)</formula>
    </cfRule>
    <cfRule type="expression" dxfId="16" priority="5">
      <formula>IF($B10="SoS", 1, 0)</formula>
    </cfRule>
    <cfRule type="expression" dxfId="15" priority="6">
      <formula>IF($B10="Segment", 1, 0)</formula>
    </cfRule>
    <cfRule type="expression" dxfId="14" priority="7">
      <formula>IF($B10="SEITPM", 1, 0)</formula>
    </cfRule>
  </conditionalFormatting>
  <hyperlinks>
    <hyperlink ref="A1" location="'Table of contents'!A1" display="` Table of Contents" xr:uid="{00000000-0004-0000-1000-000000000000}"/>
  </hyperlink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7"/>
  <sheetViews>
    <sheetView zoomScaleNormal="100" workbookViewId="0">
      <selection activeCell="B28" sqref="B28"/>
    </sheetView>
  </sheetViews>
  <sheetFormatPr defaultColWidth="8.7109375" defaultRowHeight="15"/>
  <cols>
    <col min="1" max="1" width="45.7109375" customWidth="1"/>
    <col min="2" max="2" width="17" customWidth="1"/>
    <col min="3" max="3" width="193.140625" customWidth="1"/>
  </cols>
  <sheetData>
    <row r="1" spans="1:12" ht="14.25" customHeight="1">
      <c r="A1" s="4" t="s">
        <v>56</v>
      </c>
      <c r="B1" s="4"/>
    </row>
    <row r="3" spans="1:12" ht="31.5" customHeight="1">
      <c r="A3" s="18" t="s">
        <v>2323</v>
      </c>
      <c r="B3" s="20"/>
      <c r="C3" s="20"/>
      <c r="D3" s="20"/>
      <c r="E3" s="20"/>
      <c r="F3" s="20"/>
      <c r="G3" s="20"/>
      <c r="H3" s="20"/>
      <c r="I3" s="20"/>
      <c r="J3" s="20"/>
      <c r="K3" s="20"/>
      <c r="L3" s="20"/>
    </row>
    <row r="4" spans="1:12" ht="14.25" customHeight="1">
      <c r="A4" t="s">
        <v>2324</v>
      </c>
    </row>
    <row r="8" spans="1:12" ht="14.25" customHeight="1">
      <c r="A8" s="230" t="s">
        <v>2325</v>
      </c>
      <c r="B8" s="230" t="s">
        <v>2326</v>
      </c>
      <c r="C8" s="230" t="s">
        <v>956</v>
      </c>
    </row>
    <row r="9" spans="1:12" ht="14.25" customHeight="1">
      <c r="A9" s="26" t="s">
        <v>2327</v>
      </c>
      <c r="B9" s="237">
        <v>0.27</v>
      </c>
      <c r="C9" s="26" t="s">
        <v>2328</v>
      </c>
    </row>
    <row r="10" spans="1:12" ht="14.25" customHeight="1">
      <c r="A10" s="26" t="s">
        <v>2329</v>
      </c>
      <c r="B10" s="237">
        <v>0.04</v>
      </c>
      <c r="C10" s="26" t="s">
        <v>2330</v>
      </c>
    </row>
    <row r="11" spans="1:12" ht="14.25" customHeight="1">
      <c r="A11" s="26" t="s">
        <v>2331</v>
      </c>
      <c r="B11" s="237">
        <v>0.13</v>
      </c>
      <c r="C11" s="26" t="s">
        <v>2332</v>
      </c>
    </row>
    <row r="12" spans="1:12" ht="14.25" customHeight="1">
      <c r="A12" s="26" t="s">
        <v>2333</v>
      </c>
      <c r="B12" s="238">
        <v>300000</v>
      </c>
      <c r="C12" s="26" t="s">
        <v>2334</v>
      </c>
    </row>
    <row r="13" spans="1:12" ht="14.25" customHeight="1">
      <c r="A13" s="26" t="s">
        <v>2335</v>
      </c>
      <c r="B13" s="239" t="s">
        <v>2336</v>
      </c>
      <c r="C13" s="26" t="s">
        <v>2337</v>
      </c>
    </row>
    <row r="14" spans="1:12" ht="14.25" customHeight="1">
      <c r="A14" s="26" t="s">
        <v>2338</v>
      </c>
      <c r="B14" s="237">
        <v>0.11</v>
      </c>
      <c r="C14" s="26" t="s">
        <v>2339</v>
      </c>
    </row>
    <row r="15" spans="1:12" ht="14.25" customHeight="1">
      <c r="A15" s="26" t="s">
        <v>2340</v>
      </c>
      <c r="B15" s="240" t="s">
        <v>1760</v>
      </c>
      <c r="C15" s="26" t="s">
        <v>2341</v>
      </c>
    </row>
    <row r="16" spans="1:12" ht="30" customHeight="1">
      <c r="A16" s="26" t="s">
        <v>1483</v>
      </c>
      <c r="B16" s="240" t="s">
        <v>2342</v>
      </c>
      <c r="C16" s="92" t="s">
        <v>2343</v>
      </c>
    </row>
    <row r="17" spans="1:3" ht="14.25" customHeight="1">
      <c r="A17" s="26" t="s">
        <v>1484</v>
      </c>
      <c r="B17" s="240" t="s">
        <v>2344</v>
      </c>
      <c r="C17" s="26" t="s">
        <v>2345</v>
      </c>
    </row>
    <row r="18" spans="1:3" ht="14.25" customHeight="1">
      <c r="A18" s="26" t="s">
        <v>1603</v>
      </c>
      <c r="B18" s="240" t="s">
        <v>2346</v>
      </c>
      <c r="C18" s="26" t="s">
        <v>2347</v>
      </c>
    </row>
    <row r="19" spans="1:3" ht="14.25" customHeight="1">
      <c r="A19" s="26" t="s">
        <v>2348</v>
      </c>
      <c r="B19" s="240" t="s">
        <v>374</v>
      </c>
      <c r="C19" s="26" t="s">
        <v>2349</v>
      </c>
    </row>
    <row r="20" spans="1:3" ht="14.25" customHeight="1">
      <c r="A20" s="26" t="s">
        <v>2350</v>
      </c>
      <c r="B20" s="240" t="s">
        <v>2351</v>
      </c>
      <c r="C20" s="26" t="s">
        <v>2352</v>
      </c>
    </row>
    <row r="21" spans="1:3" ht="14.25" customHeight="1">
      <c r="A21" s="26" t="s">
        <v>2353</v>
      </c>
      <c r="B21" s="240" t="s">
        <v>2354</v>
      </c>
      <c r="C21" s="210" t="s">
        <v>2355</v>
      </c>
    </row>
    <row r="22" spans="1:3" ht="14.25" customHeight="1">
      <c r="A22" s="26" t="s">
        <v>2356</v>
      </c>
      <c r="B22" s="240" t="s">
        <v>419</v>
      </c>
      <c r="C22" s="26"/>
    </row>
    <row r="23" spans="1:3" ht="14.25" customHeight="1">
      <c r="A23" s="26" t="s">
        <v>2357</v>
      </c>
      <c r="B23" s="240" t="s">
        <v>2358</v>
      </c>
      <c r="C23" s="26"/>
    </row>
    <row r="24" spans="1:3" ht="14.25" customHeight="1">
      <c r="A24" s="26" t="s">
        <v>2359</v>
      </c>
      <c r="B24" s="240" t="s">
        <v>1283</v>
      </c>
      <c r="C24" s="26" t="s">
        <v>2360</v>
      </c>
    </row>
    <row r="25" spans="1:3" ht="14.25" customHeight="1">
      <c r="A25" s="215" t="s">
        <v>2361</v>
      </c>
      <c r="B25" s="240">
        <v>2026</v>
      </c>
      <c r="C25" s="26" t="s">
        <v>2362</v>
      </c>
    </row>
    <row r="26" spans="1:3" ht="14.25" customHeight="1">
      <c r="A26" s="26" t="s">
        <v>2363</v>
      </c>
      <c r="B26" s="240">
        <v>1.36</v>
      </c>
      <c r="C26" s="26" t="s">
        <v>2364</v>
      </c>
    </row>
    <row r="27" spans="1:3" ht="14.25" customHeight="1">
      <c r="A27" s="26" t="s">
        <v>2365</v>
      </c>
      <c r="B27" s="240">
        <v>1.49</v>
      </c>
      <c r="C27" s="26" t="s">
        <v>2366</v>
      </c>
    </row>
    <row r="28" spans="1:3" ht="14.25" customHeight="1">
      <c r="A28" s="26" t="s">
        <v>2367</v>
      </c>
      <c r="B28" s="237">
        <v>0.1</v>
      </c>
      <c r="C28" s="26"/>
    </row>
    <row r="29" spans="1:3" ht="14.25" customHeight="1">
      <c r="A29" s="210" t="s">
        <v>2368</v>
      </c>
      <c r="B29" s="241">
        <v>0.14974999999999999</v>
      </c>
      <c r="C29" s="26" t="s">
        <v>2369</v>
      </c>
    </row>
    <row r="30" spans="1:3" ht="14.25" customHeight="1">
      <c r="A30" s="210"/>
      <c r="B30" s="242"/>
      <c r="C30" s="26"/>
    </row>
    <row r="31" spans="1:3" ht="14.25" customHeight="1">
      <c r="A31" s="210"/>
      <c r="B31" s="50"/>
      <c r="C31" s="26"/>
    </row>
    <row r="32" spans="1:3" ht="14.25" customHeight="1">
      <c r="A32" s="210"/>
      <c r="B32" s="210"/>
      <c r="C32" s="26"/>
    </row>
    <row r="33" spans="1:3" ht="14.25" customHeight="1">
      <c r="A33" s="210"/>
      <c r="B33" s="210"/>
      <c r="C33" s="26"/>
    </row>
    <row r="34" spans="1:3" ht="14.25" customHeight="1">
      <c r="A34" s="210"/>
      <c r="B34" s="210"/>
      <c r="C34" s="26"/>
    </row>
    <row r="35" spans="1:3" ht="14.25" customHeight="1">
      <c r="A35" s="210"/>
      <c r="B35" s="210"/>
      <c r="C35" s="26"/>
    </row>
    <row r="36" spans="1:3" ht="14.25" customHeight="1">
      <c r="A36" s="210"/>
      <c r="B36" s="210"/>
      <c r="C36" s="26"/>
    </row>
    <row r="37" spans="1:3" ht="14.25" customHeight="1">
      <c r="A37" s="210"/>
      <c r="B37" s="50"/>
      <c r="C37" s="26"/>
    </row>
  </sheetData>
  <mergeCells count="1">
    <mergeCell ref="A1:B1"/>
  </mergeCells>
  <hyperlinks>
    <hyperlink ref="A1" location="'Table of contents'!A1" display="` Table of Contents" xr:uid="{00000000-0004-0000-1100-000000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sheetPr>
  <dimension ref="A1:BP244"/>
  <sheetViews>
    <sheetView zoomScale="118" zoomScaleNormal="118" workbookViewId="0">
      <selection activeCell="M26" sqref="M26"/>
    </sheetView>
  </sheetViews>
  <sheetFormatPr defaultColWidth="11.5703125" defaultRowHeight="12.75" outlineLevelRow="1" outlineLevelCol="1"/>
  <cols>
    <col min="1" max="1" width="18" style="243" customWidth="1"/>
    <col min="2" max="2" width="6.42578125" style="243" hidden="1" customWidth="1"/>
    <col min="3" max="3" width="7.28515625" style="243" hidden="1" customWidth="1"/>
    <col min="4" max="4" width="6.28515625" style="243" hidden="1" customWidth="1"/>
    <col min="5" max="25" width="6.28515625" style="243" customWidth="1"/>
    <col min="26" max="26" width="80.5703125" style="243" customWidth="1"/>
    <col min="27" max="27" width="11.5703125" style="243"/>
    <col min="28" max="28" width="11.42578125" style="243" customWidth="1" outlineLevel="1"/>
    <col min="29" max="29" width="49.42578125" style="243" customWidth="1" outlineLevel="1"/>
    <col min="30" max="30" width="11.42578125" style="243" customWidth="1" outlineLevel="1"/>
    <col min="31" max="31" width="34.28515625" style="243" customWidth="1" outlineLevel="1"/>
    <col min="32" max="32" width="13.42578125" style="243" customWidth="1" outlineLevel="1"/>
    <col min="33" max="38" width="11.42578125" style="243" customWidth="1" outlineLevel="1"/>
    <col min="39" max="39" width="14.28515625" style="243" customWidth="1" outlineLevel="1"/>
    <col min="40" max="52" width="11.42578125" style="243" customWidth="1" outlineLevel="1"/>
    <col min="53" max="56" width="11.42578125" style="243" hidden="1" customWidth="1" outlineLevel="1"/>
    <col min="57" max="57" width="11.42578125" style="243" customWidth="1" outlineLevel="1"/>
    <col min="58" max="58" width="13.7109375" style="244" hidden="1" customWidth="1"/>
    <col min="59" max="59" width="14" style="244" hidden="1" customWidth="1"/>
    <col min="60" max="63" width="13" style="243" hidden="1" customWidth="1"/>
    <col min="64" max="65" width="14.28515625" style="243" customWidth="1"/>
    <col min="66" max="16384" width="11.5703125" style="243"/>
  </cols>
  <sheetData>
    <row r="1" spans="1:68" ht="14.25" customHeight="1">
      <c r="A1" s="4" t="s">
        <v>56</v>
      </c>
      <c r="B1" s="4"/>
    </row>
    <row r="2" spans="1:68" ht="14.25" customHeight="1"/>
    <row r="3" spans="1:68" ht="30.75" customHeight="1">
      <c r="A3" s="18" t="s">
        <v>2370</v>
      </c>
      <c r="B3" s="20"/>
    </row>
    <row r="4" spans="1:68" ht="14.25" customHeight="1"/>
    <row r="8" spans="1:68" ht="12.75" customHeight="1"/>
    <row r="9" spans="1:68" ht="12.75" customHeight="1">
      <c r="A9" s="245" t="s">
        <v>2371</v>
      </c>
      <c r="B9" s="246" t="s">
        <v>2372</v>
      </c>
      <c r="C9" s="246" t="s">
        <v>2373</v>
      </c>
      <c r="D9" s="247" t="s">
        <v>2374</v>
      </c>
      <c r="E9" s="246" t="s">
        <v>2375</v>
      </c>
      <c r="F9" s="246" t="s">
        <v>2376</v>
      </c>
      <c r="G9" s="246" t="s">
        <v>2377</v>
      </c>
      <c r="H9" s="246" t="s">
        <v>2378</v>
      </c>
      <c r="I9" s="246" t="s">
        <v>2379</v>
      </c>
      <c r="J9" s="246" t="s">
        <v>2380</v>
      </c>
      <c r="K9" s="246" t="s">
        <v>2381</v>
      </c>
      <c r="L9" s="246" t="s">
        <v>2382</v>
      </c>
      <c r="M9" s="246" t="s">
        <v>2383</v>
      </c>
      <c r="N9" s="246" t="s">
        <v>2384</v>
      </c>
      <c r="O9" s="246" t="s">
        <v>2385</v>
      </c>
      <c r="P9" s="246" t="s">
        <v>2386</v>
      </c>
      <c r="Q9" s="246" t="s">
        <v>2387</v>
      </c>
      <c r="R9" s="246" t="s">
        <v>2388</v>
      </c>
      <c r="S9" s="246" t="s">
        <v>2389</v>
      </c>
      <c r="T9" s="246" t="s">
        <v>2390</v>
      </c>
      <c r="U9" s="246" t="s">
        <v>2391</v>
      </c>
      <c r="V9" s="246" t="s">
        <v>2392</v>
      </c>
      <c r="W9" s="246" t="s">
        <v>2393</v>
      </c>
      <c r="X9" s="246" t="s">
        <v>2394</v>
      </c>
      <c r="Y9" s="248" t="s">
        <v>2395</v>
      </c>
      <c r="Z9" s="249" t="s">
        <v>2396</v>
      </c>
    </row>
    <row r="10" spans="1:68" ht="39" customHeight="1">
      <c r="A10" s="250" t="s">
        <v>2397</v>
      </c>
      <c r="B10" s="251"/>
      <c r="C10" s="251">
        <v>4.7500000000000001E-2</v>
      </c>
      <c r="D10" s="251">
        <v>3.5000000000000003E-2</v>
      </c>
      <c r="E10" s="251">
        <v>2.5000000000000001E-2</v>
      </c>
      <c r="F10" s="251">
        <v>2.3E-2</v>
      </c>
      <c r="G10" s="251">
        <v>2.3E-2</v>
      </c>
      <c r="H10" s="251">
        <v>2.3E-2</v>
      </c>
      <c r="I10" s="251">
        <v>2.3E-2</v>
      </c>
      <c r="J10" s="251">
        <v>0.02</v>
      </c>
      <c r="K10" s="251">
        <v>0.02</v>
      </c>
      <c r="L10" s="251">
        <v>0.02</v>
      </c>
      <c r="M10" s="251">
        <v>0.02</v>
      </c>
      <c r="N10" s="251">
        <v>0.02</v>
      </c>
      <c r="O10" s="251">
        <v>0.02</v>
      </c>
      <c r="P10" s="251">
        <v>0.02</v>
      </c>
      <c r="Q10" s="251">
        <v>0.02</v>
      </c>
      <c r="R10" s="251">
        <v>0.02</v>
      </c>
      <c r="S10" s="251">
        <v>0.02</v>
      </c>
      <c r="T10" s="251">
        <v>0.02</v>
      </c>
      <c r="U10" s="251">
        <v>0.02</v>
      </c>
      <c r="V10" s="251">
        <v>0.02</v>
      </c>
      <c r="W10" s="251">
        <v>0.02</v>
      </c>
      <c r="X10" s="251">
        <v>0.02</v>
      </c>
      <c r="Y10" s="252">
        <v>0.02</v>
      </c>
      <c r="Z10" s="253" t="s">
        <v>2398</v>
      </c>
      <c r="AC10" s="243" t="s">
        <v>2399</v>
      </c>
    </row>
    <row r="11" spans="1:68" ht="14.25" customHeight="1">
      <c r="A11" s="250" t="s">
        <v>2400</v>
      </c>
      <c r="B11" s="251"/>
      <c r="C11" s="251">
        <v>6.3200000000000006E-2</v>
      </c>
      <c r="D11" s="251">
        <v>3.6999999999999998E-2</v>
      </c>
      <c r="E11" s="251">
        <v>2.4E-2</v>
      </c>
      <c r="F11" s="251">
        <v>2.1999999999999999E-2</v>
      </c>
      <c r="G11" s="251">
        <v>0.02</v>
      </c>
      <c r="H11" s="251">
        <v>0.02</v>
      </c>
      <c r="I11" s="251">
        <v>0.02</v>
      </c>
      <c r="J11" s="251">
        <v>0.02</v>
      </c>
      <c r="K11" s="251">
        <v>0.02</v>
      </c>
      <c r="L11" s="251">
        <v>0.02</v>
      </c>
      <c r="M11" s="251">
        <v>0.02</v>
      </c>
      <c r="N11" s="251">
        <v>0.02</v>
      </c>
      <c r="O11" s="251">
        <v>0.02</v>
      </c>
      <c r="P11" s="251">
        <v>0.02</v>
      </c>
      <c r="Q11" s="251">
        <v>0.02</v>
      </c>
      <c r="R11" s="251">
        <v>0.02</v>
      </c>
      <c r="S11" s="251">
        <v>0.02</v>
      </c>
      <c r="T11" s="251">
        <v>0.02</v>
      </c>
      <c r="U11" s="251">
        <v>0.02</v>
      </c>
      <c r="V11" s="251">
        <v>0.02</v>
      </c>
      <c r="W11" s="251">
        <v>0.02</v>
      </c>
      <c r="X11" s="251">
        <v>0.02</v>
      </c>
      <c r="Y11" s="252">
        <v>0.02</v>
      </c>
      <c r="Z11" s="254" t="s">
        <v>2401</v>
      </c>
    </row>
    <row r="12" spans="1:68" ht="14.25" customHeight="1">
      <c r="A12" s="250" t="s">
        <v>2402</v>
      </c>
      <c r="B12" s="251">
        <v>2.5000000000000001E-2</v>
      </c>
      <c r="C12" s="251">
        <v>0.03</v>
      </c>
      <c r="D12" s="251">
        <v>0.03</v>
      </c>
      <c r="E12" s="251">
        <v>0.03</v>
      </c>
      <c r="F12" s="251">
        <v>0.03</v>
      </c>
      <c r="G12" s="251">
        <v>0.03</v>
      </c>
      <c r="H12" s="251">
        <v>0.03</v>
      </c>
      <c r="I12" s="251">
        <v>0.03</v>
      </c>
      <c r="J12" s="251">
        <v>0.03</v>
      </c>
      <c r="K12" s="251">
        <v>0.03</v>
      </c>
      <c r="L12" s="251">
        <v>0.03</v>
      </c>
      <c r="M12" s="251">
        <v>0.03</v>
      </c>
      <c r="N12" s="251">
        <v>0.03</v>
      </c>
      <c r="O12" s="251">
        <v>0.03</v>
      </c>
      <c r="P12" s="251">
        <v>0.03</v>
      </c>
      <c r="Q12" s="251">
        <v>0.03</v>
      </c>
      <c r="R12" s="251">
        <v>0.03</v>
      </c>
      <c r="S12" s="251">
        <v>0.03</v>
      </c>
      <c r="T12" s="251">
        <v>0.03</v>
      </c>
      <c r="U12" s="251">
        <v>0.03</v>
      </c>
      <c r="V12" s="251">
        <v>0.03</v>
      </c>
      <c r="W12" s="251">
        <v>0.03</v>
      </c>
      <c r="X12" s="251">
        <v>0.03</v>
      </c>
      <c r="Y12" s="252">
        <v>0.03</v>
      </c>
      <c r="Z12" s="254" t="s">
        <v>2403</v>
      </c>
      <c r="AM12" s="255"/>
    </row>
    <row r="13" spans="1:68" ht="15" customHeight="1">
      <c r="A13" s="250" t="s">
        <v>2404</v>
      </c>
      <c r="B13" s="251"/>
      <c r="C13" s="251">
        <v>3.7886999999999997E-2</v>
      </c>
      <c r="D13" s="251">
        <v>4.0460999999999997E-2</v>
      </c>
      <c r="E13" s="251">
        <v>2.5000000000000001E-2</v>
      </c>
      <c r="F13" s="251">
        <v>2.4E-2</v>
      </c>
      <c r="G13" s="251">
        <v>2.1999999999999999E-2</v>
      </c>
      <c r="H13" s="251">
        <v>2.1999999999999999E-2</v>
      </c>
      <c r="I13" s="251">
        <v>2.1999999999999999E-2</v>
      </c>
      <c r="J13" s="251">
        <v>2.1999999999999999E-2</v>
      </c>
      <c r="K13" s="251">
        <v>2.1999999999999999E-2</v>
      </c>
      <c r="L13" s="251">
        <v>2.1999999999999999E-2</v>
      </c>
      <c r="M13" s="251">
        <v>2.1999999999999999E-2</v>
      </c>
      <c r="N13" s="251">
        <v>2.2586999999999999E-2</v>
      </c>
      <c r="O13" s="251">
        <v>2.2586999999999999E-2</v>
      </c>
      <c r="P13" s="251">
        <v>2.2586999999999999E-2</v>
      </c>
      <c r="Q13" s="251">
        <v>2.2586999999999999E-2</v>
      </c>
      <c r="R13" s="251">
        <v>2.2586999999999999E-2</v>
      </c>
      <c r="S13" s="251">
        <v>2.2586999999999999E-2</v>
      </c>
      <c r="T13" s="251">
        <v>2.2586999999999999E-2</v>
      </c>
      <c r="U13" s="251">
        <v>2.2586999999999999E-2</v>
      </c>
      <c r="V13" s="251">
        <v>2.2586999999999999E-2</v>
      </c>
      <c r="W13" s="251">
        <v>2.2586999999999999E-2</v>
      </c>
      <c r="X13" s="251">
        <v>2.2586999999999999E-2</v>
      </c>
      <c r="Y13" s="252">
        <v>2.2586999999999999E-2</v>
      </c>
      <c r="Z13" s="254" t="s">
        <v>2405</v>
      </c>
    </row>
    <row r="14" spans="1:68" ht="15" hidden="1" customHeight="1">
      <c r="A14" s="250" t="s">
        <v>2406</v>
      </c>
      <c r="B14" s="251"/>
      <c r="C14" s="251">
        <v>0.03</v>
      </c>
      <c r="D14" s="251">
        <v>0.03</v>
      </c>
      <c r="E14" s="251">
        <v>0.03</v>
      </c>
      <c r="F14" s="251">
        <v>0.03</v>
      </c>
      <c r="G14" s="251">
        <v>0.03</v>
      </c>
      <c r="H14" s="251">
        <v>0.03</v>
      </c>
      <c r="I14" s="251">
        <v>0.03</v>
      </c>
      <c r="J14" s="251">
        <v>0.03</v>
      </c>
      <c r="K14" s="251">
        <v>0.03</v>
      </c>
      <c r="L14" s="251">
        <v>0.03</v>
      </c>
      <c r="M14" s="251">
        <v>0.03</v>
      </c>
      <c r="N14" s="251">
        <v>0.03</v>
      </c>
      <c r="O14" s="251">
        <v>0.03</v>
      </c>
      <c r="P14" s="251">
        <v>0.03</v>
      </c>
      <c r="Q14" s="251">
        <v>0.03</v>
      </c>
      <c r="R14" s="251">
        <v>0.03</v>
      </c>
      <c r="S14" s="251">
        <v>0.03</v>
      </c>
      <c r="T14" s="251">
        <v>0.03</v>
      </c>
      <c r="U14" s="251">
        <v>0.03</v>
      </c>
      <c r="V14" s="251">
        <v>0.03</v>
      </c>
      <c r="W14" s="251">
        <v>0.03</v>
      </c>
      <c r="X14" s="251">
        <v>0.03</v>
      </c>
      <c r="Y14" s="252">
        <v>0.03</v>
      </c>
      <c r="Z14" s="254" t="s">
        <v>2403</v>
      </c>
    </row>
    <row r="15" spans="1:68" ht="18.75" hidden="1" customHeight="1">
      <c r="A15" s="256" t="s">
        <v>2407</v>
      </c>
      <c r="B15" s="251"/>
      <c r="C15" s="251">
        <v>0</v>
      </c>
      <c r="D15" s="251">
        <v>0</v>
      </c>
      <c r="E15" s="251">
        <v>0</v>
      </c>
      <c r="F15" s="251">
        <v>0</v>
      </c>
      <c r="G15" s="251">
        <v>0</v>
      </c>
      <c r="H15" s="251">
        <v>0</v>
      </c>
      <c r="I15" s="251">
        <v>0</v>
      </c>
      <c r="J15" s="251">
        <v>0</v>
      </c>
      <c r="K15" s="251">
        <v>0</v>
      </c>
      <c r="L15" s="251">
        <v>0</v>
      </c>
      <c r="M15" s="251">
        <v>0</v>
      </c>
      <c r="N15" s="251">
        <v>0</v>
      </c>
      <c r="O15" s="251">
        <v>0</v>
      </c>
      <c r="P15" s="251">
        <v>0</v>
      </c>
      <c r="Q15" s="251">
        <v>0</v>
      </c>
      <c r="R15" s="251">
        <v>0</v>
      </c>
      <c r="S15" s="251">
        <v>0</v>
      </c>
      <c r="T15" s="251">
        <v>0</v>
      </c>
      <c r="U15" s="251">
        <v>0</v>
      </c>
      <c r="V15" s="251">
        <v>0</v>
      </c>
      <c r="W15" s="251">
        <v>0</v>
      </c>
      <c r="X15" s="251">
        <v>0</v>
      </c>
      <c r="Y15" s="252">
        <v>0</v>
      </c>
      <c r="Z15" s="257" t="s">
        <v>2408</v>
      </c>
      <c r="AB15" s="258">
        <v>1</v>
      </c>
      <c r="AC15" s="243" t="s">
        <v>2409</v>
      </c>
      <c r="AD15" s="243" t="s">
        <v>2410</v>
      </c>
      <c r="AE15" s="243" t="s">
        <v>2411</v>
      </c>
      <c r="AF15" s="243" t="s">
        <v>2372</v>
      </c>
      <c r="AG15" s="243" t="s">
        <v>2373</v>
      </c>
      <c r="AH15" s="243" t="s">
        <v>2374</v>
      </c>
      <c r="AI15" s="243" t="s">
        <v>2375</v>
      </c>
      <c r="AJ15" s="243" t="s">
        <v>2376</v>
      </c>
      <c r="AK15" s="243" t="s">
        <v>2377</v>
      </c>
      <c r="AL15" s="243" t="s">
        <v>2378</v>
      </c>
      <c r="AM15" s="243" t="s">
        <v>2379</v>
      </c>
      <c r="AN15" s="243" t="s">
        <v>2380</v>
      </c>
      <c r="AO15" s="243" t="s">
        <v>2381</v>
      </c>
      <c r="AP15" s="243" t="s">
        <v>2382</v>
      </c>
      <c r="AQ15" s="243" t="s">
        <v>2383</v>
      </c>
      <c r="AR15" s="243" t="s">
        <v>2384</v>
      </c>
      <c r="AS15" s="243" t="s">
        <v>2385</v>
      </c>
      <c r="AT15" s="243" t="s">
        <v>2386</v>
      </c>
      <c r="AU15" s="243" t="s">
        <v>2387</v>
      </c>
      <c r="AV15" s="243" t="s">
        <v>2388</v>
      </c>
      <c r="AW15" s="243" t="s">
        <v>2389</v>
      </c>
      <c r="AX15" s="243" t="s">
        <v>2390</v>
      </c>
      <c r="AY15" s="243" t="s">
        <v>2391</v>
      </c>
      <c r="AZ15" s="243" t="s">
        <v>2392</v>
      </c>
      <c r="BA15" s="243" t="s">
        <v>2393</v>
      </c>
      <c r="BB15" s="243" t="s">
        <v>2394</v>
      </c>
      <c r="BC15" s="243" t="s">
        <v>2395</v>
      </c>
      <c r="BD15" s="243" t="s">
        <v>2412</v>
      </c>
      <c r="BG15" s="369" t="s">
        <v>2413</v>
      </c>
      <c r="BH15" s="369"/>
      <c r="BI15" s="369"/>
      <c r="BJ15" s="369"/>
    </row>
    <row r="16" spans="1:68" ht="29.25" hidden="1" customHeight="1">
      <c r="A16" s="256" t="s">
        <v>2414</v>
      </c>
      <c r="B16" s="251"/>
      <c r="C16" s="251">
        <v>4.7500000000000001E-2</v>
      </c>
      <c r="D16" s="251">
        <v>3.5000000000000003E-2</v>
      </c>
      <c r="E16" s="251">
        <v>2.2499999999999999E-2</v>
      </c>
      <c r="F16" s="251">
        <v>2.2499999999999999E-2</v>
      </c>
      <c r="G16" s="251">
        <v>0</v>
      </c>
      <c r="H16" s="251">
        <v>0</v>
      </c>
      <c r="I16" s="251">
        <v>0</v>
      </c>
      <c r="J16" s="251">
        <v>0</v>
      </c>
      <c r="K16" s="251">
        <v>0</v>
      </c>
      <c r="L16" s="251">
        <v>0</v>
      </c>
      <c r="M16" s="251">
        <v>0</v>
      </c>
      <c r="N16" s="251">
        <v>0</v>
      </c>
      <c r="O16" s="251">
        <v>0</v>
      </c>
      <c r="P16" s="251">
        <v>0</v>
      </c>
      <c r="Q16" s="251">
        <v>0</v>
      </c>
      <c r="R16" s="251">
        <v>0</v>
      </c>
      <c r="S16" s="251">
        <v>0</v>
      </c>
      <c r="T16" s="251">
        <v>0</v>
      </c>
      <c r="U16" s="251">
        <v>0</v>
      </c>
      <c r="V16" s="251">
        <v>0</v>
      </c>
      <c r="W16" s="251">
        <v>0</v>
      </c>
      <c r="X16" s="251">
        <v>0</v>
      </c>
      <c r="Y16" s="252">
        <v>0</v>
      </c>
      <c r="Z16" s="257" t="s">
        <v>2415</v>
      </c>
      <c r="AB16" s="258">
        <v>2</v>
      </c>
      <c r="AC16" s="243" t="s">
        <v>2397</v>
      </c>
      <c r="AD16" s="259" t="s">
        <v>2373</v>
      </c>
      <c r="AE16" s="243" t="s">
        <v>2416</v>
      </c>
      <c r="AG16" s="260">
        <v>1</v>
      </c>
      <c r="AH16" s="261">
        <f t="shared" ref="AH16:BC16" si="0">AG16*(1+D$10)</f>
        <v>1.0349999999999999</v>
      </c>
      <c r="AI16" s="261">
        <f t="shared" si="0"/>
        <v>1.0608749999999998</v>
      </c>
      <c r="AJ16" s="261">
        <f t="shared" si="0"/>
        <v>1.0852751249999997</v>
      </c>
      <c r="AK16" s="261">
        <f t="shared" si="0"/>
        <v>1.1102364528749995</v>
      </c>
      <c r="AL16" s="261">
        <f t="shared" si="0"/>
        <v>1.1357718912911243</v>
      </c>
      <c r="AM16" s="261">
        <f t="shared" si="0"/>
        <v>1.1618946447908201</v>
      </c>
      <c r="AN16" s="261">
        <f t="shared" si="0"/>
        <v>1.1851325376866364</v>
      </c>
      <c r="AO16" s="261">
        <f t="shared" si="0"/>
        <v>1.2088351884403692</v>
      </c>
      <c r="AP16" s="261">
        <f t="shared" si="0"/>
        <v>1.2330118922091766</v>
      </c>
      <c r="AQ16" s="261">
        <f t="shared" si="0"/>
        <v>1.2576721300533602</v>
      </c>
      <c r="AR16" s="261">
        <f t="shared" si="0"/>
        <v>1.2828255726544275</v>
      </c>
      <c r="AS16" s="261">
        <f t="shared" si="0"/>
        <v>1.3084820841075162</v>
      </c>
      <c r="AT16" s="261">
        <f t="shared" si="0"/>
        <v>1.3346517257896666</v>
      </c>
      <c r="AU16" s="261">
        <f t="shared" si="0"/>
        <v>1.36134476030546</v>
      </c>
      <c r="AV16" s="261">
        <f t="shared" si="0"/>
        <v>1.3885716555115692</v>
      </c>
      <c r="AW16" s="261">
        <f t="shared" si="0"/>
        <v>1.4163430886218007</v>
      </c>
      <c r="AX16" s="261">
        <f t="shared" si="0"/>
        <v>1.4446699503942366</v>
      </c>
      <c r="AY16" s="261">
        <f t="shared" si="0"/>
        <v>1.4735633494021214</v>
      </c>
      <c r="AZ16" s="261">
        <f t="shared" si="0"/>
        <v>1.5030346163901638</v>
      </c>
      <c r="BA16" s="261">
        <f t="shared" si="0"/>
        <v>1.5330953087179671</v>
      </c>
      <c r="BB16" s="261">
        <f t="shared" si="0"/>
        <v>1.5637572148923264</v>
      </c>
      <c r="BC16" s="261">
        <f t="shared" si="0"/>
        <v>1.5950323591901729</v>
      </c>
      <c r="BD16" s="261"/>
      <c r="BE16" s="262"/>
      <c r="BG16" s="263" t="s">
        <v>2417</v>
      </c>
      <c r="BH16" s="264" t="s">
        <v>2418</v>
      </c>
      <c r="BI16" s="264" t="s">
        <v>2419</v>
      </c>
      <c r="BJ16" s="265" t="s">
        <v>2420</v>
      </c>
      <c r="BL16" s="266" t="s">
        <v>2421</v>
      </c>
      <c r="BM16" s="263" t="s">
        <v>2417</v>
      </c>
      <c r="BN16" s="264" t="s">
        <v>2418</v>
      </c>
      <c r="BO16" s="264" t="s">
        <v>2419</v>
      </c>
      <c r="BP16" s="265" t="s">
        <v>2420</v>
      </c>
    </row>
    <row r="17" spans="1:68" ht="14.25" customHeight="1" outlineLevel="1">
      <c r="A17" s="256" t="s">
        <v>2422</v>
      </c>
      <c r="B17" s="251">
        <v>0.05</v>
      </c>
      <c r="C17" s="251">
        <v>0.05</v>
      </c>
      <c r="D17" s="251">
        <v>0.05</v>
      </c>
      <c r="E17" s="251">
        <v>0.05</v>
      </c>
      <c r="F17" s="251">
        <v>0.05</v>
      </c>
      <c r="G17" s="251">
        <v>0.05</v>
      </c>
      <c r="H17" s="251">
        <v>0.05</v>
      </c>
      <c r="I17" s="251">
        <v>0.05</v>
      </c>
      <c r="J17" s="251">
        <v>0.05</v>
      </c>
      <c r="K17" s="251">
        <v>0.05</v>
      </c>
      <c r="L17" s="251">
        <v>0.05</v>
      </c>
      <c r="M17" s="251">
        <v>0.05</v>
      </c>
      <c r="N17" s="251">
        <v>0.05</v>
      </c>
      <c r="O17" s="251">
        <v>0.05</v>
      </c>
      <c r="P17" s="251">
        <v>0.05</v>
      </c>
      <c r="Q17" s="251">
        <v>0.05</v>
      </c>
      <c r="R17" s="251">
        <v>0.05</v>
      </c>
      <c r="S17" s="251">
        <v>0.05</v>
      </c>
      <c r="T17" s="251">
        <v>0.05</v>
      </c>
      <c r="U17" s="251">
        <v>0.05</v>
      </c>
      <c r="V17" s="251">
        <v>0.05</v>
      </c>
      <c r="W17" s="251">
        <v>0.05</v>
      </c>
      <c r="X17" s="251">
        <v>0.05</v>
      </c>
      <c r="Y17" s="252">
        <v>0.05</v>
      </c>
      <c r="Z17" s="257" t="s">
        <v>2423</v>
      </c>
      <c r="AB17" s="258">
        <v>3</v>
      </c>
      <c r="AC17" s="243" t="s">
        <v>2397</v>
      </c>
      <c r="AD17" s="267" t="s">
        <v>2374</v>
      </c>
      <c r="AE17" s="243" t="s">
        <v>2424</v>
      </c>
      <c r="AG17" s="268">
        <f t="shared" ref="AG17:AG35" si="1">AH17/(1+C$10)</f>
        <v>0.95465393794749398</v>
      </c>
      <c r="AH17" s="260">
        <v>1</v>
      </c>
      <c r="AI17" s="261">
        <f t="shared" ref="AI17:BC17" si="2">AH17*(1+E$10)</f>
        <v>1.0249999999999999</v>
      </c>
      <c r="AJ17" s="269">
        <f t="shared" si="2"/>
        <v>1.0485749999999998</v>
      </c>
      <c r="AK17" s="269">
        <f t="shared" si="2"/>
        <v>1.0726922249999997</v>
      </c>
      <c r="AL17" s="269">
        <f t="shared" si="2"/>
        <v>1.0973641461749997</v>
      </c>
      <c r="AM17" s="269">
        <f t="shared" si="2"/>
        <v>1.1226035215370245</v>
      </c>
      <c r="AN17" s="269">
        <f t="shared" si="2"/>
        <v>1.145055591967765</v>
      </c>
      <c r="AO17" s="269">
        <f t="shared" si="2"/>
        <v>1.1679567038071204</v>
      </c>
      <c r="AP17" s="269">
        <f t="shared" si="2"/>
        <v>1.1913158378832627</v>
      </c>
      <c r="AQ17" s="269">
        <f t="shared" si="2"/>
        <v>1.215142154640928</v>
      </c>
      <c r="AR17" s="269">
        <f t="shared" si="2"/>
        <v>1.2394449977337465</v>
      </c>
      <c r="AS17" s="269">
        <f t="shared" si="2"/>
        <v>1.2642338976884215</v>
      </c>
      <c r="AT17" s="269">
        <f t="shared" si="2"/>
        <v>1.2895185756421901</v>
      </c>
      <c r="AU17" s="269">
        <f t="shared" si="2"/>
        <v>1.3153089471550339</v>
      </c>
      <c r="AV17" s="269">
        <f t="shared" si="2"/>
        <v>1.3416151260981346</v>
      </c>
      <c r="AW17" s="269">
        <f t="shared" si="2"/>
        <v>1.3684474286200974</v>
      </c>
      <c r="AX17" s="269">
        <f t="shared" si="2"/>
        <v>1.3958163771924994</v>
      </c>
      <c r="AY17" s="269">
        <f t="shared" si="2"/>
        <v>1.4237327047363495</v>
      </c>
      <c r="AZ17" s="269">
        <f t="shared" si="2"/>
        <v>1.4522073588310764</v>
      </c>
      <c r="BA17" s="269">
        <f t="shared" si="2"/>
        <v>1.4812515060076981</v>
      </c>
      <c r="BB17" s="269">
        <f t="shared" si="2"/>
        <v>1.510876536127852</v>
      </c>
      <c r="BC17" s="269">
        <f t="shared" si="2"/>
        <v>1.5410940668504092</v>
      </c>
      <c r="BD17" s="269"/>
      <c r="BE17" s="262"/>
      <c r="BF17" s="244">
        <v>1</v>
      </c>
      <c r="BG17" s="270">
        <v>1990</v>
      </c>
      <c r="BH17" s="271">
        <v>5.2999999999999999E-2</v>
      </c>
      <c r="BI17" s="272">
        <v>0.60277383019812203</v>
      </c>
      <c r="BJ17" s="273">
        <v>0.62028783979225699</v>
      </c>
      <c r="BL17" s="274" t="s">
        <v>2372</v>
      </c>
      <c r="BM17" s="275">
        <v>2021</v>
      </c>
      <c r="BN17" s="276">
        <v>7.0000000000000001E-3</v>
      </c>
      <c r="BO17" s="277">
        <v>1</v>
      </c>
      <c r="BP17" s="278">
        <v>1.0197913619966901</v>
      </c>
    </row>
    <row r="18" spans="1:68" ht="15" customHeight="1" outlineLevel="1">
      <c r="A18" s="279" t="s">
        <v>2425</v>
      </c>
      <c r="B18" s="280">
        <f>BH48</f>
        <v>7.0000000000000001E-3</v>
      </c>
      <c r="C18" s="281">
        <f>BH49</f>
        <v>3.4000000000000002E-2</v>
      </c>
      <c r="D18" s="281">
        <f>BH50</f>
        <v>6.9000000000000006E-2</v>
      </c>
      <c r="E18" s="281">
        <f>BH51</f>
        <v>4.2000000000000003E-2</v>
      </c>
      <c r="F18" s="281">
        <f>BH52</f>
        <v>2.4E-2</v>
      </c>
      <c r="G18" s="281">
        <f>$BH53</f>
        <v>2.1089E-2</v>
      </c>
      <c r="H18" s="281">
        <f>$BH54</f>
        <v>2.1089E-2</v>
      </c>
      <c r="I18" s="281">
        <f>$BH55</f>
        <v>2.1089E-2</v>
      </c>
      <c r="J18" s="281">
        <f>$BH56</f>
        <v>2.1089E-2</v>
      </c>
      <c r="K18" s="281">
        <f>$BH57</f>
        <v>2.1089E-2</v>
      </c>
      <c r="L18" s="281">
        <f>$BH58</f>
        <v>2.0773E-2</v>
      </c>
      <c r="M18" s="281">
        <f>$BH59</f>
        <v>2.0773E-2</v>
      </c>
      <c r="N18" s="281">
        <f>$BH60</f>
        <v>2.0773E-2</v>
      </c>
      <c r="O18" s="281">
        <f>$BH61</f>
        <v>2.0773E-2</v>
      </c>
      <c r="P18" s="281">
        <f>$BH62</f>
        <v>2.0773E-2</v>
      </c>
      <c r="Q18" s="281">
        <f>$BH63</f>
        <v>2.0773E-2</v>
      </c>
      <c r="R18" s="281">
        <f>$BH64</f>
        <v>2.0773E-2</v>
      </c>
      <c r="S18" s="281">
        <f>$BH65</f>
        <v>2.0773E-2</v>
      </c>
      <c r="T18" s="281">
        <f>$BH66</f>
        <v>2.0773E-2</v>
      </c>
      <c r="U18" s="281">
        <f>$BH67</f>
        <v>2.0773E-2</v>
      </c>
      <c r="V18" s="281">
        <f>$BH68</f>
        <v>2.0773E-2</v>
      </c>
      <c r="W18" s="281">
        <f>$BH69</f>
        <v>2.0773E-2</v>
      </c>
      <c r="X18" s="281">
        <f>$BH70</f>
        <v>2.0773E-2</v>
      </c>
      <c r="Y18" s="282">
        <f>$BH71</f>
        <v>2.0773E-2</v>
      </c>
      <c r="Z18" s="257" t="s">
        <v>2426</v>
      </c>
      <c r="AB18" s="258">
        <v>4</v>
      </c>
      <c r="AC18" s="243" t="s">
        <v>2397</v>
      </c>
      <c r="AD18" s="267" t="s">
        <v>2375</v>
      </c>
      <c r="AE18" s="243" t="s">
        <v>2427</v>
      </c>
      <c r="AG18" s="268">
        <f t="shared" si="1"/>
        <v>0.9223709545386416</v>
      </c>
      <c r="AH18" s="268">
        <f t="shared" ref="AH18:AH35" si="3">AI18/(1+D$10)</f>
        <v>0.96618357487922713</v>
      </c>
      <c r="AI18" s="260">
        <v>1</v>
      </c>
      <c r="AJ18" s="269">
        <f t="shared" ref="AJ18:BC18" si="4">AI18*(1+F$10)</f>
        <v>1.0229999999999999</v>
      </c>
      <c r="AK18" s="269">
        <f t="shared" si="4"/>
        <v>1.0465289999999998</v>
      </c>
      <c r="AL18" s="269">
        <f t="shared" si="4"/>
        <v>1.0705991669999997</v>
      </c>
      <c r="AM18" s="269">
        <f t="shared" si="4"/>
        <v>1.0952229478409996</v>
      </c>
      <c r="AN18" s="269">
        <f t="shared" si="4"/>
        <v>1.1171274067978196</v>
      </c>
      <c r="AO18" s="269">
        <f t="shared" si="4"/>
        <v>1.1394699549337761</v>
      </c>
      <c r="AP18" s="269">
        <f t="shared" si="4"/>
        <v>1.1622593540324517</v>
      </c>
      <c r="AQ18" s="269">
        <f t="shared" si="4"/>
        <v>1.1855045411131009</v>
      </c>
      <c r="AR18" s="269">
        <f t="shared" si="4"/>
        <v>1.2092146319353629</v>
      </c>
      <c r="AS18" s="269">
        <f t="shared" si="4"/>
        <v>1.2333989245740702</v>
      </c>
      <c r="AT18" s="269">
        <f t="shared" si="4"/>
        <v>1.2580669030655516</v>
      </c>
      <c r="AU18" s="269">
        <f t="shared" si="4"/>
        <v>1.2832282411268627</v>
      </c>
      <c r="AV18" s="269">
        <f t="shared" si="4"/>
        <v>1.3088928059494001</v>
      </c>
      <c r="AW18" s="269">
        <f t="shared" si="4"/>
        <v>1.3350706620683881</v>
      </c>
      <c r="AX18" s="269">
        <f t="shared" si="4"/>
        <v>1.361772075309756</v>
      </c>
      <c r="AY18" s="269">
        <f t="shared" si="4"/>
        <v>1.389007516815951</v>
      </c>
      <c r="AZ18" s="269">
        <f t="shared" si="4"/>
        <v>1.4167876671522701</v>
      </c>
      <c r="BA18" s="269">
        <f t="shared" si="4"/>
        <v>1.4451234204953156</v>
      </c>
      <c r="BB18" s="269">
        <f t="shared" si="4"/>
        <v>1.474025888905222</v>
      </c>
      <c r="BC18" s="269">
        <f t="shared" si="4"/>
        <v>1.5035064066833266</v>
      </c>
      <c r="BD18" s="269"/>
      <c r="BE18" s="262"/>
      <c r="BF18" s="244">
        <v>2</v>
      </c>
      <c r="BG18" s="275">
        <v>1991</v>
      </c>
      <c r="BH18" s="276">
        <v>4.8000000000000001E-2</v>
      </c>
      <c r="BI18" s="277">
        <v>0.63170697404763199</v>
      </c>
      <c r="BJ18" s="278">
        <v>0.644783516168564</v>
      </c>
      <c r="BL18" s="274" t="s">
        <v>2373</v>
      </c>
      <c r="BM18" s="275">
        <v>2022</v>
      </c>
      <c r="BN18" s="276">
        <v>3.4000000000000002E-2</v>
      </c>
      <c r="BO18" s="277">
        <v>1.034</v>
      </c>
      <c r="BP18" s="278">
        <v>1.0544169356369899</v>
      </c>
    </row>
    <row r="19" spans="1:68" ht="14.25" customHeight="1" outlineLevel="1">
      <c r="A19" s="283" t="s">
        <v>2428</v>
      </c>
      <c r="B19" s="284">
        <v>1.4999999999999999E-2</v>
      </c>
      <c r="C19" s="284">
        <v>1.4999999999999999E-2</v>
      </c>
      <c r="D19" s="284">
        <v>1.4999999999999999E-2</v>
      </c>
      <c r="E19" s="284">
        <v>1.4999999999999999E-2</v>
      </c>
      <c r="F19" s="284">
        <v>1.4999999999999999E-2</v>
      </c>
      <c r="G19" s="284">
        <v>1.4999999999999999E-2</v>
      </c>
      <c r="H19" s="284">
        <v>1.4999999999999999E-2</v>
      </c>
      <c r="I19" s="284">
        <v>1.4999999999999999E-2</v>
      </c>
      <c r="J19" s="284">
        <v>1.4999999999999999E-2</v>
      </c>
      <c r="K19" s="284">
        <v>1.4999999999999999E-2</v>
      </c>
      <c r="L19" s="284">
        <v>1.4999999999999999E-2</v>
      </c>
      <c r="M19" s="284">
        <v>1.4999999999999999E-2</v>
      </c>
      <c r="N19" s="284">
        <v>1.4999999999999999E-2</v>
      </c>
      <c r="O19" s="284">
        <v>1.4999999999999999E-2</v>
      </c>
      <c r="P19" s="284">
        <v>1.4999999999999999E-2</v>
      </c>
      <c r="Q19" s="284">
        <v>1.4999999999999999E-2</v>
      </c>
      <c r="R19" s="284">
        <v>1.4999999999999999E-2</v>
      </c>
      <c r="S19" s="284">
        <v>1.4999999999999999E-2</v>
      </c>
      <c r="T19" s="284">
        <v>1.4999999999999999E-2</v>
      </c>
      <c r="U19" s="284">
        <v>1.4999999999999999E-2</v>
      </c>
      <c r="V19" s="284">
        <v>1.4999999999999999E-2</v>
      </c>
      <c r="W19" s="284">
        <v>1.4999999999999999E-2</v>
      </c>
      <c r="X19" s="284">
        <v>1.4999999999999999E-2</v>
      </c>
      <c r="Y19" s="284">
        <v>1.4999999999999999E-2</v>
      </c>
      <c r="AB19" s="258">
        <v>5</v>
      </c>
      <c r="AC19" s="243" t="s">
        <v>2397</v>
      </c>
      <c r="AD19" s="267" t="s">
        <v>2376</v>
      </c>
      <c r="AE19" s="243" t="s">
        <v>2429</v>
      </c>
      <c r="AG19" s="268">
        <f t="shared" si="1"/>
        <v>0.89987410198891871</v>
      </c>
      <c r="AH19" s="268">
        <f t="shared" si="3"/>
        <v>0.94261812183339244</v>
      </c>
      <c r="AI19" s="268">
        <f t="shared" ref="AI19:AI35" si="5">AJ19/(1+E$10)</f>
        <v>0.97560975609756106</v>
      </c>
      <c r="AJ19" s="260">
        <v>1</v>
      </c>
      <c r="AK19" s="269">
        <f t="shared" ref="AK19:BC19" si="6">AJ19*(1+G$10)</f>
        <v>1.0229999999999999</v>
      </c>
      <c r="AL19" s="269">
        <f t="shared" si="6"/>
        <v>1.0465289999999998</v>
      </c>
      <c r="AM19" s="269">
        <f t="shared" si="6"/>
        <v>1.0705991669999997</v>
      </c>
      <c r="AN19" s="269">
        <f t="shared" si="6"/>
        <v>1.0920111503399996</v>
      </c>
      <c r="AO19" s="269">
        <f t="shared" si="6"/>
        <v>1.1138513733467996</v>
      </c>
      <c r="AP19" s="269">
        <f t="shared" si="6"/>
        <v>1.1361284008137356</v>
      </c>
      <c r="AQ19" s="269">
        <f t="shared" si="6"/>
        <v>1.1588509688300104</v>
      </c>
      <c r="AR19" s="269">
        <f t="shared" si="6"/>
        <v>1.1820279882066107</v>
      </c>
      <c r="AS19" s="269">
        <f t="shared" si="6"/>
        <v>1.205668547970743</v>
      </c>
      <c r="AT19" s="269">
        <f t="shared" si="6"/>
        <v>1.2297819189301578</v>
      </c>
      <c r="AU19" s="269">
        <f t="shared" si="6"/>
        <v>1.254377557308761</v>
      </c>
      <c r="AV19" s="269">
        <f t="shared" si="6"/>
        <v>1.2794651084549362</v>
      </c>
      <c r="AW19" s="269">
        <f t="shared" si="6"/>
        <v>1.3050544106240349</v>
      </c>
      <c r="AX19" s="269">
        <f t="shared" si="6"/>
        <v>1.3311554988365157</v>
      </c>
      <c r="AY19" s="269">
        <f t="shared" si="6"/>
        <v>1.357778608813246</v>
      </c>
      <c r="AZ19" s="269">
        <f t="shared" si="6"/>
        <v>1.3849341809895108</v>
      </c>
      <c r="BA19" s="269">
        <f t="shared" si="6"/>
        <v>1.4126328646093012</v>
      </c>
      <c r="BB19" s="269">
        <f t="shared" si="6"/>
        <v>1.4408855219014871</v>
      </c>
      <c r="BC19" s="269">
        <f t="shared" si="6"/>
        <v>1.4697032323395169</v>
      </c>
      <c r="BD19" s="269"/>
      <c r="BE19" s="262"/>
      <c r="BF19" s="244">
        <v>3</v>
      </c>
      <c r="BG19" s="275">
        <v>1992</v>
      </c>
      <c r="BH19" s="276">
        <v>1.7999999999999999E-2</v>
      </c>
      <c r="BI19" s="277">
        <v>0.64307769958048899</v>
      </c>
      <c r="BJ19" s="278">
        <v>0.65554232190958095</v>
      </c>
      <c r="BL19" s="274" t="s">
        <v>2374</v>
      </c>
      <c r="BM19" s="275">
        <v>2023</v>
      </c>
      <c r="BN19" s="276">
        <v>6.9000000000000006E-2</v>
      </c>
      <c r="BO19" s="277">
        <v>1.1053459999999999</v>
      </c>
      <c r="BP19" s="278">
        <v>1.12710759515667</v>
      </c>
    </row>
    <row r="20" spans="1:68" ht="14.25" customHeight="1" outlineLevel="1">
      <c r="A20" s="285" t="s">
        <v>2430</v>
      </c>
      <c r="B20" s="251">
        <v>0.08</v>
      </c>
      <c r="C20" s="251">
        <v>0.08</v>
      </c>
      <c r="D20" s="251">
        <v>0.08</v>
      </c>
      <c r="E20" s="251">
        <v>0.06</v>
      </c>
      <c r="F20" s="251">
        <f t="shared" ref="F20:Y20" si="7">E20</f>
        <v>0.06</v>
      </c>
      <c r="G20" s="251">
        <f t="shared" si="7"/>
        <v>0.06</v>
      </c>
      <c r="H20" s="251">
        <f t="shared" si="7"/>
        <v>0.06</v>
      </c>
      <c r="I20" s="251">
        <f t="shared" si="7"/>
        <v>0.06</v>
      </c>
      <c r="J20" s="251">
        <f t="shared" si="7"/>
        <v>0.06</v>
      </c>
      <c r="K20" s="251">
        <f t="shared" si="7"/>
        <v>0.06</v>
      </c>
      <c r="L20" s="251">
        <f t="shared" si="7"/>
        <v>0.06</v>
      </c>
      <c r="M20" s="251">
        <f t="shared" si="7"/>
        <v>0.06</v>
      </c>
      <c r="N20" s="251">
        <f t="shared" si="7"/>
        <v>0.06</v>
      </c>
      <c r="O20" s="251">
        <f t="shared" si="7"/>
        <v>0.06</v>
      </c>
      <c r="P20" s="251">
        <f t="shared" si="7"/>
        <v>0.06</v>
      </c>
      <c r="Q20" s="251">
        <f t="shared" si="7"/>
        <v>0.06</v>
      </c>
      <c r="R20" s="251">
        <f t="shared" si="7"/>
        <v>0.06</v>
      </c>
      <c r="S20" s="251">
        <f t="shared" si="7"/>
        <v>0.06</v>
      </c>
      <c r="T20" s="251">
        <f t="shared" si="7"/>
        <v>0.06</v>
      </c>
      <c r="U20" s="251">
        <f t="shared" si="7"/>
        <v>0.06</v>
      </c>
      <c r="V20" s="251">
        <f t="shared" si="7"/>
        <v>0.06</v>
      </c>
      <c r="W20" s="251">
        <f t="shared" si="7"/>
        <v>0.06</v>
      </c>
      <c r="X20" s="251">
        <f t="shared" si="7"/>
        <v>0.06</v>
      </c>
      <c r="Y20" s="251">
        <f t="shared" si="7"/>
        <v>0.06</v>
      </c>
      <c r="AB20" s="258">
        <v>6</v>
      </c>
      <c r="AC20" s="243" t="s">
        <v>2397</v>
      </c>
      <c r="AD20" s="267" t="s">
        <v>2377</v>
      </c>
      <c r="AE20" s="243" t="s">
        <v>2431</v>
      </c>
      <c r="AG20" s="268">
        <f t="shared" si="1"/>
        <v>0.87964232843491563</v>
      </c>
      <c r="AH20" s="268">
        <f t="shared" si="3"/>
        <v>0.92142533903557422</v>
      </c>
      <c r="AI20" s="268">
        <f t="shared" si="5"/>
        <v>0.9536752259018193</v>
      </c>
      <c r="AJ20" s="268">
        <f t="shared" ref="AJ20:AJ35" si="8">AK20/(1+F$10)</f>
        <v>0.97751710654936474</v>
      </c>
      <c r="AK20" s="260">
        <v>1</v>
      </c>
      <c r="AL20" s="269">
        <f t="shared" ref="AL20:BC20" si="9">AK20*(1+H$10)</f>
        <v>1.0229999999999999</v>
      </c>
      <c r="AM20" s="269">
        <f t="shared" si="9"/>
        <v>1.0465289999999998</v>
      </c>
      <c r="AN20" s="269">
        <f t="shared" si="9"/>
        <v>1.0674595799999997</v>
      </c>
      <c r="AO20" s="269">
        <f t="shared" si="9"/>
        <v>1.0888087715999997</v>
      </c>
      <c r="AP20" s="269">
        <f t="shared" si="9"/>
        <v>1.1105849470319997</v>
      </c>
      <c r="AQ20" s="269">
        <f t="shared" si="9"/>
        <v>1.1327966459726397</v>
      </c>
      <c r="AR20" s="269">
        <f t="shared" si="9"/>
        <v>1.1554525788920926</v>
      </c>
      <c r="AS20" s="269">
        <f t="shared" si="9"/>
        <v>1.1785616304699345</v>
      </c>
      <c r="AT20" s="269">
        <f t="shared" si="9"/>
        <v>1.2021328630793331</v>
      </c>
      <c r="AU20" s="269">
        <f t="shared" si="9"/>
        <v>1.2261755203409197</v>
      </c>
      <c r="AV20" s="269">
        <f t="shared" si="9"/>
        <v>1.2506990307477381</v>
      </c>
      <c r="AW20" s="269">
        <f t="shared" si="9"/>
        <v>1.2757130113626929</v>
      </c>
      <c r="AX20" s="269">
        <f t="shared" si="9"/>
        <v>1.3012272715899467</v>
      </c>
      <c r="AY20" s="269">
        <f t="shared" si="9"/>
        <v>1.3272518170217456</v>
      </c>
      <c r="AZ20" s="269">
        <f t="shared" si="9"/>
        <v>1.3537968533621805</v>
      </c>
      <c r="BA20" s="269">
        <f t="shared" si="9"/>
        <v>1.380872790429424</v>
      </c>
      <c r="BB20" s="269">
        <f t="shared" si="9"/>
        <v>1.4084902462380124</v>
      </c>
      <c r="BC20" s="269">
        <f t="shared" si="9"/>
        <v>1.4366600511627727</v>
      </c>
      <c r="BD20" s="269"/>
      <c r="BE20" s="262"/>
      <c r="BF20" s="244">
        <v>4</v>
      </c>
      <c r="BG20" s="275">
        <v>1993</v>
      </c>
      <c r="BH20" s="276">
        <v>2.9000000000000001E-2</v>
      </c>
      <c r="BI20" s="277">
        <v>0.66172695286832395</v>
      </c>
      <c r="BJ20" s="278">
        <v>0.67264053647802702</v>
      </c>
      <c r="BL20" s="274" t="s">
        <v>2375</v>
      </c>
      <c r="BM20" s="275">
        <v>2024</v>
      </c>
      <c r="BN20" s="276">
        <v>4.2000000000000003E-2</v>
      </c>
      <c r="BO20" s="277">
        <v>1.151770532</v>
      </c>
      <c r="BP20" s="278">
        <v>1.1744741995524799</v>
      </c>
    </row>
    <row r="21" spans="1:68" ht="14.25" customHeight="1" outlineLevel="1">
      <c r="AB21" s="258">
        <v>7</v>
      </c>
      <c r="AC21" s="243" t="s">
        <v>2397</v>
      </c>
      <c r="AD21" s="267" t="s">
        <v>2378</v>
      </c>
      <c r="AE21" s="243" t="s">
        <v>2432</v>
      </c>
      <c r="AG21" s="268">
        <f t="shared" si="1"/>
        <v>0.85986542369004482</v>
      </c>
      <c r="AH21" s="268">
        <f t="shared" si="3"/>
        <v>0.90070903131532198</v>
      </c>
      <c r="AI21" s="268">
        <f t="shared" si="5"/>
        <v>0.93223384741135817</v>
      </c>
      <c r="AJ21" s="268">
        <f t="shared" si="8"/>
        <v>0.95553969359664204</v>
      </c>
      <c r="AK21" s="268">
        <f t="shared" ref="AK21:AK35" si="10">AL21/(1+G$10)</f>
        <v>0.97751710654936474</v>
      </c>
      <c r="AL21" s="260">
        <v>1</v>
      </c>
      <c r="AM21" s="269">
        <f t="shared" ref="AM21:BC21" si="11">AL21*(1+I$10)</f>
        <v>1.0229999999999999</v>
      </c>
      <c r="AN21" s="269">
        <f t="shared" si="11"/>
        <v>1.0434599999999998</v>
      </c>
      <c r="AO21" s="269">
        <f t="shared" si="11"/>
        <v>1.0643291999999998</v>
      </c>
      <c r="AP21" s="269">
        <f t="shared" si="11"/>
        <v>1.0856157839999998</v>
      </c>
      <c r="AQ21" s="269">
        <f t="shared" si="11"/>
        <v>1.1073280996799999</v>
      </c>
      <c r="AR21" s="269">
        <f t="shared" si="11"/>
        <v>1.1294746616736</v>
      </c>
      <c r="AS21" s="269">
        <f t="shared" si="11"/>
        <v>1.152064154907072</v>
      </c>
      <c r="AT21" s="269">
        <f t="shared" si="11"/>
        <v>1.1751054380052135</v>
      </c>
      <c r="AU21" s="269">
        <f t="shared" si="11"/>
        <v>1.1986075467653179</v>
      </c>
      <c r="AV21" s="269">
        <f t="shared" si="11"/>
        <v>1.2225796977006242</v>
      </c>
      <c r="AW21" s="269">
        <f t="shared" si="11"/>
        <v>1.2470312916546367</v>
      </c>
      <c r="AX21" s="269">
        <f t="shared" si="11"/>
        <v>1.2719719174877295</v>
      </c>
      <c r="AY21" s="269">
        <f t="shared" si="11"/>
        <v>1.2974113558374842</v>
      </c>
      <c r="AZ21" s="269">
        <f t="shared" si="11"/>
        <v>1.3233595829542339</v>
      </c>
      <c r="BA21" s="269">
        <f t="shared" si="11"/>
        <v>1.3498267746133186</v>
      </c>
      <c r="BB21" s="269">
        <f t="shared" si="11"/>
        <v>1.3768233101055849</v>
      </c>
      <c r="BC21" s="269">
        <f t="shared" si="11"/>
        <v>1.4043597763076967</v>
      </c>
      <c r="BD21" s="269"/>
      <c r="BE21" s="262"/>
      <c r="BF21" s="244">
        <v>5</v>
      </c>
      <c r="BG21" s="275">
        <v>1994</v>
      </c>
      <c r="BH21" s="276">
        <v>-1.4E-2</v>
      </c>
      <c r="BI21" s="277">
        <v>0.652462775528167</v>
      </c>
      <c r="BJ21" s="278">
        <v>0.66500562802215102</v>
      </c>
      <c r="BL21" s="274" t="s">
        <v>2376</v>
      </c>
      <c r="BM21" s="275">
        <v>2025</v>
      </c>
      <c r="BN21" s="276">
        <v>2.4E-2</v>
      </c>
      <c r="BO21" s="277">
        <v>1.1794130247679999</v>
      </c>
      <c r="BP21" s="278">
        <v>1.2023563906546499</v>
      </c>
    </row>
    <row r="22" spans="1:68" ht="14.25" customHeight="1" outlineLevel="1">
      <c r="AB22" s="258">
        <v>8</v>
      </c>
      <c r="AC22" s="243" t="s">
        <v>2397</v>
      </c>
      <c r="AD22" s="267" t="s">
        <v>2379</v>
      </c>
      <c r="AE22" s="243" t="s">
        <v>2433</v>
      </c>
      <c r="AG22" s="268">
        <f t="shared" si="1"/>
        <v>0.84053316098733621</v>
      </c>
      <c r="AH22" s="268">
        <f t="shared" si="3"/>
        <v>0.88045848613423472</v>
      </c>
      <c r="AI22" s="268">
        <f t="shared" si="5"/>
        <v>0.91127453314893281</v>
      </c>
      <c r="AJ22" s="268">
        <f t="shared" si="8"/>
        <v>0.93405639647765604</v>
      </c>
      <c r="AK22" s="268">
        <f t="shared" si="10"/>
        <v>0.95553969359664204</v>
      </c>
      <c r="AL22" s="268">
        <f t="shared" ref="AL22:AL35" si="12">AM22/(1+H$10)</f>
        <v>0.97751710654936474</v>
      </c>
      <c r="AM22" s="260">
        <v>1</v>
      </c>
      <c r="AN22" s="269">
        <f t="shared" ref="AN22:BC22" si="13">AM22*(1+J$10)</f>
        <v>1.02</v>
      </c>
      <c r="AO22" s="269">
        <f t="shared" si="13"/>
        <v>1.0404</v>
      </c>
      <c r="AP22" s="269">
        <f t="shared" si="13"/>
        <v>1.0612079999999999</v>
      </c>
      <c r="AQ22" s="269">
        <f t="shared" si="13"/>
        <v>1.08243216</v>
      </c>
      <c r="AR22" s="269">
        <f t="shared" si="13"/>
        <v>1.1040808032</v>
      </c>
      <c r="AS22" s="269">
        <f t="shared" si="13"/>
        <v>1.1261624192640001</v>
      </c>
      <c r="AT22" s="269">
        <f t="shared" si="13"/>
        <v>1.14868566764928</v>
      </c>
      <c r="AU22" s="269">
        <f t="shared" si="13"/>
        <v>1.1716593810022657</v>
      </c>
      <c r="AV22" s="269">
        <f t="shared" si="13"/>
        <v>1.1950925686223111</v>
      </c>
      <c r="AW22" s="269">
        <f t="shared" si="13"/>
        <v>1.2189944199947573</v>
      </c>
      <c r="AX22" s="269">
        <f t="shared" si="13"/>
        <v>1.2433743083946525</v>
      </c>
      <c r="AY22" s="269">
        <f t="shared" si="13"/>
        <v>1.2682417945625455</v>
      </c>
      <c r="AZ22" s="269">
        <f t="shared" si="13"/>
        <v>1.2936066304537963</v>
      </c>
      <c r="BA22" s="269">
        <f t="shared" si="13"/>
        <v>1.3194787630628724</v>
      </c>
      <c r="BB22" s="269">
        <f t="shared" si="13"/>
        <v>1.3458683383241299</v>
      </c>
      <c r="BC22" s="269">
        <f t="shared" si="13"/>
        <v>1.3727857050906125</v>
      </c>
      <c r="BD22" s="269"/>
      <c r="BE22" s="262"/>
      <c r="BF22" s="244">
        <v>6</v>
      </c>
      <c r="BG22" s="275">
        <v>1995</v>
      </c>
      <c r="BH22" s="276">
        <v>0</v>
      </c>
      <c r="BI22" s="277">
        <v>0.652462775528167</v>
      </c>
      <c r="BJ22" s="278">
        <v>0.66527410632395201</v>
      </c>
      <c r="BL22" s="274" t="s">
        <v>2377</v>
      </c>
      <c r="BM22" s="275">
        <v>2026</v>
      </c>
      <c r="BN22" s="276">
        <v>2.1089E-2</v>
      </c>
      <c r="BO22" s="277">
        <v>1.20428566604733</v>
      </c>
      <c r="BP22" s="278">
        <v>1.2271999752221201</v>
      </c>
    </row>
    <row r="23" spans="1:68" ht="14.25" customHeight="1" outlineLevel="1">
      <c r="A23" s="243" t="s">
        <v>2434</v>
      </c>
      <c r="B23" s="243" t="s">
        <v>2435</v>
      </c>
      <c r="AB23" s="258">
        <v>9</v>
      </c>
      <c r="AC23" s="243" t="s">
        <v>2397</v>
      </c>
      <c r="AD23" s="267" t="s">
        <v>2380</v>
      </c>
      <c r="AE23" s="243" t="s">
        <v>2436</v>
      </c>
      <c r="AG23" s="268">
        <f t="shared" si="1"/>
        <v>0.82163554348713208</v>
      </c>
      <c r="AH23" s="268">
        <f t="shared" si="3"/>
        <v>0.86066323180277093</v>
      </c>
      <c r="AI23" s="268">
        <f t="shared" si="5"/>
        <v>0.89078644491586789</v>
      </c>
      <c r="AJ23" s="268">
        <f t="shared" si="8"/>
        <v>0.91305610603876453</v>
      </c>
      <c r="AK23" s="268">
        <f t="shared" si="10"/>
        <v>0.93405639647765604</v>
      </c>
      <c r="AL23" s="268">
        <f t="shared" si="12"/>
        <v>0.95553969359664204</v>
      </c>
      <c r="AM23" s="268">
        <f t="shared" ref="AM23:AM35" si="14">AN23/(1+I$10)</f>
        <v>0.97751710654936474</v>
      </c>
      <c r="AN23" s="260">
        <v>1</v>
      </c>
      <c r="AO23" s="269">
        <f t="shared" ref="AO23:BC23" si="15">AN23*(1+K$10)</f>
        <v>1.02</v>
      </c>
      <c r="AP23" s="269">
        <f t="shared" si="15"/>
        <v>1.0404</v>
      </c>
      <c r="AQ23" s="269">
        <f t="shared" si="15"/>
        <v>1.0612079999999999</v>
      </c>
      <c r="AR23" s="269">
        <f t="shared" si="15"/>
        <v>1.08243216</v>
      </c>
      <c r="AS23" s="269">
        <f t="shared" si="15"/>
        <v>1.1040808032</v>
      </c>
      <c r="AT23" s="269">
        <f t="shared" si="15"/>
        <v>1.1261624192640001</v>
      </c>
      <c r="AU23" s="269">
        <f t="shared" si="15"/>
        <v>1.14868566764928</v>
      </c>
      <c r="AV23" s="269">
        <f t="shared" si="15"/>
        <v>1.1716593810022657</v>
      </c>
      <c r="AW23" s="269">
        <f t="shared" si="15"/>
        <v>1.1950925686223111</v>
      </c>
      <c r="AX23" s="269">
        <f t="shared" si="15"/>
        <v>1.2189944199947573</v>
      </c>
      <c r="AY23" s="269">
        <f t="shared" si="15"/>
        <v>1.2433743083946525</v>
      </c>
      <c r="AZ23" s="269">
        <f t="shared" si="15"/>
        <v>1.2682417945625455</v>
      </c>
      <c r="BA23" s="269">
        <f t="shared" si="15"/>
        <v>1.2936066304537963</v>
      </c>
      <c r="BB23" s="269">
        <f t="shared" si="15"/>
        <v>1.3194787630628724</v>
      </c>
      <c r="BC23" s="269">
        <f t="shared" si="15"/>
        <v>1.3458683383241299</v>
      </c>
      <c r="BD23" s="269"/>
      <c r="BE23" s="262"/>
      <c r="BF23" s="244">
        <v>7</v>
      </c>
      <c r="BG23" s="275">
        <v>1996</v>
      </c>
      <c r="BH23" s="276">
        <v>1.1093E-2</v>
      </c>
      <c r="BI23" s="277">
        <v>0.65970054509710097</v>
      </c>
      <c r="BJ23" s="278">
        <v>0.67278178667509503</v>
      </c>
      <c r="BL23" s="274" t="s">
        <v>2378</v>
      </c>
      <c r="BM23" s="275">
        <v>2027</v>
      </c>
      <c r="BN23" s="276">
        <v>2.1089E-2</v>
      </c>
      <c r="BO23" s="277">
        <v>1.2296828464586</v>
      </c>
      <c r="BP23" s="278">
        <v>1.2527841202158501</v>
      </c>
    </row>
    <row r="24" spans="1:68" ht="14.25" customHeight="1" outlineLevel="1">
      <c r="AB24" s="258">
        <v>10</v>
      </c>
      <c r="AC24" s="243" t="s">
        <v>2397</v>
      </c>
      <c r="AD24" s="267" t="s">
        <v>2381</v>
      </c>
      <c r="AE24" s="243" t="s">
        <v>2437</v>
      </c>
      <c r="AG24" s="268">
        <f t="shared" si="1"/>
        <v>0.80552504263444324</v>
      </c>
      <c r="AH24" s="268">
        <f t="shared" si="3"/>
        <v>0.84378748215957933</v>
      </c>
      <c r="AI24" s="268">
        <f t="shared" si="5"/>
        <v>0.8733200440351645</v>
      </c>
      <c r="AJ24" s="268">
        <f t="shared" si="8"/>
        <v>0.89515304513604355</v>
      </c>
      <c r="AK24" s="268">
        <f t="shared" si="10"/>
        <v>0.91574156517417249</v>
      </c>
      <c r="AL24" s="268">
        <f t="shared" si="12"/>
        <v>0.93680362117317839</v>
      </c>
      <c r="AM24" s="268">
        <f t="shared" si="14"/>
        <v>0.95835010446016144</v>
      </c>
      <c r="AN24" s="268">
        <f t="shared" ref="AN24:AN35" si="16">AO24/(1+J$10)</f>
        <v>0.98039215686274506</v>
      </c>
      <c r="AO24" s="260">
        <v>1</v>
      </c>
      <c r="AP24" s="269">
        <f t="shared" ref="AP24:BC24" si="17">AO24*(1+L$10)</f>
        <v>1.02</v>
      </c>
      <c r="AQ24" s="269">
        <f t="shared" si="17"/>
        <v>1.0404</v>
      </c>
      <c r="AR24" s="269">
        <f t="shared" si="17"/>
        <v>1.0612079999999999</v>
      </c>
      <c r="AS24" s="269">
        <f t="shared" si="17"/>
        <v>1.08243216</v>
      </c>
      <c r="AT24" s="269">
        <f t="shared" si="17"/>
        <v>1.1040808032</v>
      </c>
      <c r="AU24" s="269">
        <f t="shared" si="17"/>
        <v>1.1261624192640001</v>
      </c>
      <c r="AV24" s="269">
        <f t="shared" si="17"/>
        <v>1.14868566764928</v>
      </c>
      <c r="AW24" s="269">
        <f t="shared" si="17"/>
        <v>1.1716593810022657</v>
      </c>
      <c r="AX24" s="269">
        <f t="shared" si="17"/>
        <v>1.1950925686223111</v>
      </c>
      <c r="AY24" s="269">
        <f t="shared" si="17"/>
        <v>1.2189944199947573</v>
      </c>
      <c r="AZ24" s="269">
        <f t="shared" si="17"/>
        <v>1.2433743083946525</v>
      </c>
      <c r="BA24" s="269">
        <f t="shared" si="17"/>
        <v>1.2682417945625455</v>
      </c>
      <c r="BB24" s="269">
        <f t="shared" si="17"/>
        <v>1.2936066304537963</v>
      </c>
      <c r="BC24" s="269">
        <f t="shared" si="17"/>
        <v>1.3194787630628724</v>
      </c>
      <c r="BD24" s="269"/>
      <c r="BE24" s="262"/>
      <c r="BF24" s="244">
        <v>8</v>
      </c>
      <c r="BG24" s="275">
        <v>1997</v>
      </c>
      <c r="BH24" s="276">
        <v>1.0999999999999999E-2</v>
      </c>
      <c r="BI24" s="277">
        <v>0.66695725109316895</v>
      </c>
      <c r="BJ24" s="278">
        <v>0.67984316733680805</v>
      </c>
      <c r="BL24" s="274" t="s">
        <v>2379</v>
      </c>
      <c r="BM24" s="275">
        <v>2028</v>
      </c>
      <c r="BN24" s="276">
        <v>2.1089E-2</v>
      </c>
      <c r="BO24" s="277">
        <v>1.2556156280075701</v>
      </c>
      <c r="BP24" s="278">
        <v>1.27819169259149</v>
      </c>
    </row>
    <row r="25" spans="1:68" ht="14.25" customHeight="1" outlineLevel="1">
      <c r="AB25" s="258">
        <v>11</v>
      </c>
      <c r="AC25" s="243" t="s">
        <v>2397</v>
      </c>
      <c r="AD25" s="267" t="s">
        <v>2382</v>
      </c>
      <c r="AE25" s="243" t="s">
        <v>2438</v>
      </c>
      <c r="AG25" s="268">
        <f t="shared" si="1"/>
        <v>0.78973043395533649</v>
      </c>
      <c r="AH25" s="268">
        <f t="shared" si="3"/>
        <v>0.82724262956821504</v>
      </c>
      <c r="AI25" s="268">
        <f t="shared" si="5"/>
        <v>0.85619612160310254</v>
      </c>
      <c r="AJ25" s="268">
        <f t="shared" si="8"/>
        <v>0.87760102464318002</v>
      </c>
      <c r="AK25" s="268">
        <f t="shared" si="10"/>
        <v>0.89778584820997309</v>
      </c>
      <c r="AL25" s="268">
        <f t="shared" si="12"/>
        <v>0.91843492271880234</v>
      </c>
      <c r="AM25" s="268">
        <f t="shared" si="14"/>
        <v>0.93955892594133472</v>
      </c>
      <c r="AN25" s="268">
        <f t="shared" si="16"/>
        <v>0.96116878123798533</v>
      </c>
      <c r="AO25" s="268">
        <f t="shared" ref="AO25:AO35" si="18">AP25/(1+K$10)</f>
        <v>0.98039215686274506</v>
      </c>
      <c r="AP25" s="260">
        <v>1</v>
      </c>
      <c r="AQ25" s="269">
        <f t="shared" ref="AQ25:BC25" si="19">AP25*(1+M$10)</f>
        <v>1.02</v>
      </c>
      <c r="AR25" s="269">
        <f t="shared" si="19"/>
        <v>1.0404</v>
      </c>
      <c r="AS25" s="269">
        <f t="shared" si="19"/>
        <v>1.0612079999999999</v>
      </c>
      <c r="AT25" s="269">
        <f t="shared" si="19"/>
        <v>1.08243216</v>
      </c>
      <c r="AU25" s="269">
        <f t="shared" si="19"/>
        <v>1.1040808032</v>
      </c>
      <c r="AV25" s="269">
        <f t="shared" si="19"/>
        <v>1.1261624192640001</v>
      </c>
      <c r="AW25" s="269">
        <f t="shared" si="19"/>
        <v>1.14868566764928</v>
      </c>
      <c r="AX25" s="269">
        <f t="shared" si="19"/>
        <v>1.1716593810022657</v>
      </c>
      <c r="AY25" s="269">
        <f t="shared" si="19"/>
        <v>1.1950925686223111</v>
      </c>
      <c r="AZ25" s="269">
        <f t="shared" si="19"/>
        <v>1.2189944199947573</v>
      </c>
      <c r="BA25" s="269">
        <f t="shared" si="19"/>
        <v>1.2433743083946525</v>
      </c>
      <c r="BB25" s="269">
        <f t="shared" si="19"/>
        <v>1.2682417945625455</v>
      </c>
      <c r="BC25" s="269">
        <f t="shared" si="19"/>
        <v>1.2936066304537963</v>
      </c>
      <c r="BD25" s="269"/>
      <c r="BE25" s="262"/>
      <c r="BF25" s="244">
        <v>9</v>
      </c>
      <c r="BG25" s="275">
        <v>1998</v>
      </c>
      <c r="BH25" s="276">
        <v>1.7999999999999999E-2</v>
      </c>
      <c r="BI25" s="277">
        <v>0.678962481612846</v>
      </c>
      <c r="BJ25" s="278">
        <v>0.69264768117721398</v>
      </c>
      <c r="BL25" s="274" t="s">
        <v>2380</v>
      </c>
      <c r="BM25" s="275">
        <v>2029</v>
      </c>
      <c r="BN25" s="276">
        <v>2.1089E-2</v>
      </c>
      <c r="BO25" s="277">
        <v>1.28209530598662</v>
      </c>
      <c r="BP25" s="278">
        <v>1.30223716798167</v>
      </c>
    </row>
    <row r="26" spans="1:68" ht="14.25" customHeight="1" outlineLevel="1">
      <c r="AB26" s="258">
        <v>12</v>
      </c>
      <c r="AC26" s="243" t="s">
        <v>2397</v>
      </c>
      <c r="AD26" s="267" t="s">
        <v>2383</v>
      </c>
      <c r="AE26" s="243" t="s">
        <v>2439</v>
      </c>
      <c r="AG26" s="268">
        <f t="shared" si="1"/>
        <v>0.77424552348562403</v>
      </c>
      <c r="AH26" s="268">
        <f t="shared" si="3"/>
        <v>0.81102218585119124</v>
      </c>
      <c r="AI26" s="268">
        <f t="shared" si="5"/>
        <v>0.83940796235598281</v>
      </c>
      <c r="AJ26" s="268">
        <f t="shared" si="8"/>
        <v>0.86039316141488231</v>
      </c>
      <c r="AK26" s="268">
        <f t="shared" si="10"/>
        <v>0.88018220412742454</v>
      </c>
      <c r="AL26" s="268">
        <f t="shared" si="12"/>
        <v>0.9004263948223552</v>
      </c>
      <c r="AM26" s="268">
        <f t="shared" si="14"/>
        <v>0.92113620190326928</v>
      </c>
      <c r="AN26" s="268">
        <f t="shared" si="16"/>
        <v>0.94232233454704439</v>
      </c>
      <c r="AO26" s="268">
        <f t="shared" si="18"/>
        <v>0.96116878123798533</v>
      </c>
      <c r="AP26" s="268">
        <f t="shared" ref="AP26:AP35" si="20">AQ26/(1+L$10)</f>
        <v>0.98039215686274506</v>
      </c>
      <c r="AQ26" s="260">
        <v>1</v>
      </c>
      <c r="AR26" s="269">
        <f t="shared" ref="AR26:BC26" si="21">AQ26*(1+N$10)</f>
        <v>1.02</v>
      </c>
      <c r="AS26" s="269">
        <f t="shared" si="21"/>
        <v>1.0404</v>
      </c>
      <c r="AT26" s="269">
        <f t="shared" si="21"/>
        <v>1.0612079999999999</v>
      </c>
      <c r="AU26" s="269">
        <f t="shared" si="21"/>
        <v>1.08243216</v>
      </c>
      <c r="AV26" s="269">
        <f t="shared" si="21"/>
        <v>1.1040808032</v>
      </c>
      <c r="AW26" s="269">
        <f t="shared" si="21"/>
        <v>1.1261624192640001</v>
      </c>
      <c r="AX26" s="269">
        <f t="shared" si="21"/>
        <v>1.14868566764928</v>
      </c>
      <c r="AY26" s="269">
        <f t="shared" si="21"/>
        <v>1.1716593810022657</v>
      </c>
      <c r="AZ26" s="269">
        <f t="shared" si="21"/>
        <v>1.1950925686223111</v>
      </c>
      <c r="BA26" s="269">
        <f t="shared" si="21"/>
        <v>1.2189944199947573</v>
      </c>
      <c r="BB26" s="269">
        <f t="shared" si="21"/>
        <v>1.2433743083946525</v>
      </c>
      <c r="BC26" s="269">
        <f t="shared" si="21"/>
        <v>1.2682417945625455</v>
      </c>
      <c r="BD26" s="269"/>
      <c r="BE26" s="262"/>
      <c r="BF26" s="244">
        <v>10</v>
      </c>
      <c r="BG26" s="275">
        <v>1999</v>
      </c>
      <c r="BH26" s="276">
        <v>-3.3240000000000001E-3</v>
      </c>
      <c r="BI26" s="277">
        <v>0.67670561032396503</v>
      </c>
      <c r="BJ26" s="278">
        <v>0.69153103884035005</v>
      </c>
      <c r="BL26" s="274" t="s">
        <v>2381</v>
      </c>
      <c r="BM26" s="275">
        <v>2030</v>
      </c>
      <c r="BN26" s="276">
        <v>2.1089E-2</v>
      </c>
      <c r="BO26" s="277">
        <v>1.3091334138945701</v>
      </c>
      <c r="BP26" s="278">
        <v>1.3296739984532799</v>
      </c>
    </row>
    <row r="27" spans="1:68" ht="14.25" customHeight="1" outlineLevel="1">
      <c r="AB27" s="258">
        <v>13</v>
      </c>
      <c r="AC27" s="243" t="s">
        <v>2397</v>
      </c>
      <c r="AD27" s="267" t="s">
        <v>2384</v>
      </c>
      <c r="AE27" s="243" t="s">
        <v>2440</v>
      </c>
      <c r="AG27" s="268">
        <f t="shared" si="1"/>
        <v>0.75906423871139606</v>
      </c>
      <c r="AH27" s="268">
        <f t="shared" si="3"/>
        <v>0.7951197900501874</v>
      </c>
      <c r="AI27" s="268">
        <f t="shared" si="5"/>
        <v>0.82294898270194394</v>
      </c>
      <c r="AJ27" s="268">
        <f t="shared" si="8"/>
        <v>0.84352270726949252</v>
      </c>
      <c r="AK27" s="268">
        <f t="shared" si="10"/>
        <v>0.86292372953669072</v>
      </c>
      <c r="AL27" s="268">
        <f t="shared" si="12"/>
        <v>0.88277097531603455</v>
      </c>
      <c r="AM27" s="268">
        <f t="shared" si="14"/>
        <v>0.90307470774830323</v>
      </c>
      <c r="AN27" s="268">
        <f t="shared" si="16"/>
        <v>0.92384542602651409</v>
      </c>
      <c r="AO27" s="268">
        <f t="shared" si="18"/>
        <v>0.94232233454704439</v>
      </c>
      <c r="AP27" s="268">
        <f t="shared" si="20"/>
        <v>0.96116878123798533</v>
      </c>
      <c r="AQ27" s="268">
        <f t="shared" ref="AQ27:AQ35" si="22">AR27/(1+M$10)</f>
        <v>0.98039215686274506</v>
      </c>
      <c r="AR27" s="260">
        <v>1</v>
      </c>
      <c r="AS27" s="269">
        <f t="shared" ref="AS27:BC27" si="23">AR27*(1+O$10)</f>
        <v>1.02</v>
      </c>
      <c r="AT27" s="269">
        <f t="shared" si="23"/>
        <v>1.0404</v>
      </c>
      <c r="AU27" s="269">
        <f t="shared" si="23"/>
        <v>1.0612079999999999</v>
      </c>
      <c r="AV27" s="269">
        <f t="shared" si="23"/>
        <v>1.08243216</v>
      </c>
      <c r="AW27" s="269">
        <f t="shared" si="23"/>
        <v>1.1040808032</v>
      </c>
      <c r="AX27" s="269">
        <f t="shared" si="23"/>
        <v>1.1261624192640001</v>
      </c>
      <c r="AY27" s="269">
        <f t="shared" si="23"/>
        <v>1.14868566764928</v>
      </c>
      <c r="AZ27" s="269">
        <f t="shared" si="23"/>
        <v>1.1716593810022657</v>
      </c>
      <c r="BA27" s="269">
        <f t="shared" si="23"/>
        <v>1.1950925686223111</v>
      </c>
      <c r="BB27" s="269">
        <f t="shared" si="23"/>
        <v>1.2189944199947573</v>
      </c>
      <c r="BC27" s="269">
        <f t="shared" si="23"/>
        <v>1.2433743083946525</v>
      </c>
      <c r="BD27" s="269"/>
      <c r="BE27" s="262"/>
      <c r="BF27" s="244">
        <v>11</v>
      </c>
      <c r="BG27" s="275">
        <v>2000</v>
      </c>
      <c r="BH27" s="276">
        <v>2.7E-2</v>
      </c>
      <c r="BI27" s="277">
        <v>0.694976661802712</v>
      </c>
      <c r="BJ27" s="278">
        <v>0.70759122050025403</v>
      </c>
      <c r="BL27" s="274" t="s">
        <v>2382</v>
      </c>
      <c r="BM27" s="275">
        <v>2031</v>
      </c>
      <c r="BN27" s="276">
        <v>2.0773E-2</v>
      </c>
      <c r="BO27" s="277">
        <v>1.3363280423014099</v>
      </c>
      <c r="BP27" s="278">
        <v>1.3573630228371001</v>
      </c>
    </row>
    <row r="28" spans="1:68" ht="14.25" customHeight="1" outlineLevel="1">
      <c r="AB28" s="258">
        <v>14</v>
      </c>
      <c r="AC28" s="243" t="s">
        <v>2397</v>
      </c>
      <c r="AD28" s="267" t="s">
        <v>2385</v>
      </c>
      <c r="AE28" s="243" t="s">
        <v>2441</v>
      </c>
      <c r="AG28" s="268">
        <f t="shared" si="1"/>
        <v>0.74418062618764302</v>
      </c>
      <c r="AH28" s="268">
        <f t="shared" si="3"/>
        <v>0.77952920593155617</v>
      </c>
      <c r="AI28" s="268">
        <f t="shared" si="5"/>
        <v>0.80681272813916061</v>
      </c>
      <c r="AJ28" s="268">
        <f t="shared" si="8"/>
        <v>0.82698304634263953</v>
      </c>
      <c r="AK28" s="268">
        <f t="shared" si="10"/>
        <v>0.84600365640852015</v>
      </c>
      <c r="AL28" s="268">
        <f t="shared" si="12"/>
        <v>0.86546174050591607</v>
      </c>
      <c r="AM28" s="268">
        <f t="shared" si="14"/>
        <v>0.88536736053755205</v>
      </c>
      <c r="AN28" s="268">
        <f t="shared" si="16"/>
        <v>0.90573080982991572</v>
      </c>
      <c r="AO28" s="268">
        <f t="shared" si="18"/>
        <v>0.92384542602651409</v>
      </c>
      <c r="AP28" s="268">
        <f t="shared" si="20"/>
        <v>0.94232233454704439</v>
      </c>
      <c r="AQ28" s="268">
        <f t="shared" si="22"/>
        <v>0.96116878123798533</v>
      </c>
      <c r="AR28" s="268">
        <f t="shared" ref="AR28:AR35" si="24">AS28/(1+N$10)</f>
        <v>0.98039215686274506</v>
      </c>
      <c r="AS28" s="260">
        <v>1</v>
      </c>
      <c r="AT28" s="269">
        <f t="shared" ref="AT28:BC28" si="25">AS28*(1+P$10)</f>
        <v>1.02</v>
      </c>
      <c r="AU28" s="269">
        <f t="shared" si="25"/>
        <v>1.0404</v>
      </c>
      <c r="AV28" s="269">
        <f t="shared" si="25"/>
        <v>1.0612079999999999</v>
      </c>
      <c r="AW28" s="269">
        <f t="shared" si="25"/>
        <v>1.08243216</v>
      </c>
      <c r="AX28" s="269">
        <f t="shared" si="25"/>
        <v>1.1040808032</v>
      </c>
      <c r="AY28" s="269">
        <f t="shared" si="25"/>
        <v>1.1261624192640001</v>
      </c>
      <c r="AZ28" s="269">
        <f t="shared" si="25"/>
        <v>1.14868566764928</v>
      </c>
      <c r="BA28" s="269">
        <f t="shared" si="25"/>
        <v>1.1716593810022657</v>
      </c>
      <c r="BB28" s="269">
        <f t="shared" si="25"/>
        <v>1.1950925686223111</v>
      </c>
      <c r="BC28" s="269">
        <f t="shared" si="25"/>
        <v>1.2189944199947573</v>
      </c>
      <c r="BD28" s="269"/>
      <c r="BE28" s="262"/>
      <c r="BF28" s="244">
        <v>12</v>
      </c>
      <c r="BG28" s="275">
        <v>2001</v>
      </c>
      <c r="BH28" s="276">
        <v>4.83961830016554E-2</v>
      </c>
      <c r="BI28" s="277">
        <v>0.72861087950919601</v>
      </c>
      <c r="BJ28" s="278">
        <v>0.73703787366721996</v>
      </c>
      <c r="BL28" s="274" t="s">
        <v>2383</v>
      </c>
      <c r="BM28" s="275">
        <v>2032</v>
      </c>
      <c r="BN28" s="276">
        <v>2.0773E-2</v>
      </c>
      <c r="BO28" s="277">
        <v>1.3640875847241301</v>
      </c>
      <c r="BP28" s="278">
        <v>1.38551357331134</v>
      </c>
    </row>
    <row r="29" spans="1:68" ht="14.25" customHeight="1" outlineLevel="1">
      <c r="AB29" s="258">
        <v>15</v>
      </c>
      <c r="AC29" s="243" t="s">
        <v>2397</v>
      </c>
      <c r="AD29" s="267" t="s">
        <v>2386</v>
      </c>
      <c r="AE29" s="243" t="s">
        <v>2442</v>
      </c>
      <c r="AG29" s="268">
        <f t="shared" si="1"/>
        <v>0.72958884920357159</v>
      </c>
      <c r="AH29" s="268">
        <f t="shared" si="3"/>
        <v>0.76424431954074135</v>
      </c>
      <c r="AI29" s="268">
        <f t="shared" si="5"/>
        <v>0.79099287072466729</v>
      </c>
      <c r="AJ29" s="268">
        <f t="shared" si="8"/>
        <v>0.81076769249278391</v>
      </c>
      <c r="AK29" s="268">
        <f t="shared" si="10"/>
        <v>0.82941534942011785</v>
      </c>
      <c r="AL29" s="268">
        <f t="shared" si="12"/>
        <v>0.84849190245678052</v>
      </c>
      <c r="AM29" s="268">
        <f t="shared" si="14"/>
        <v>0.86800721621328636</v>
      </c>
      <c r="AN29" s="268">
        <f t="shared" si="16"/>
        <v>0.88797138218619187</v>
      </c>
      <c r="AO29" s="268">
        <f t="shared" si="18"/>
        <v>0.90573080982991572</v>
      </c>
      <c r="AP29" s="268">
        <f t="shared" si="20"/>
        <v>0.92384542602651409</v>
      </c>
      <c r="AQ29" s="268">
        <f t="shared" si="22"/>
        <v>0.94232233454704439</v>
      </c>
      <c r="AR29" s="268">
        <f t="shared" si="24"/>
        <v>0.96116878123798533</v>
      </c>
      <c r="AS29" s="268">
        <f t="shared" ref="AS29:AS35" si="26">AT29/(1+O$10)</f>
        <v>0.98039215686274506</v>
      </c>
      <c r="AT29" s="260">
        <v>1</v>
      </c>
      <c r="AU29" s="269">
        <f t="shared" ref="AU29:BC29" si="27">AT29*(1+Q$10)</f>
        <v>1.02</v>
      </c>
      <c r="AV29" s="269">
        <f t="shared" si="27"/>
        <v>1.0404</v>
      </c>
      <c r="AW29" s="269">
        <f t="shared" si="27"/>
        <v>1.0612079999999999</v>
      </c>
      <c r="AX29" s="269">
        <f t="shared" si="27"/>
        <v>1.08243216</v>
      </c>
      <c r="AY29" s="269">
        <f t="shared" si="27"/>
        <v>1.1040808032</v>
      </c>
      <c r="AZ29" s="269">
        <f t="shared" si="27"/>
        <v>1.1261624192640001</v>
      </c>
      <c r="BA29" s="269">
        <f t="shared" si="27"/>
        <v>1.14868566764928</v>
      </c>
      <c r="BB29" s="269">
        <f t="shared" si="27"/>
        <v>1.1716593810022657</v>
      </c>
      <c r="BC29" s="269">
        <f t="shared" si="27"/>
        <v>1.1950925686223111</v>
      </c>
      <c r="BD29" s="269"/>
      <c r="BE29" s="262"/>
      <c r="BF29" s="244">
        <v>13</v>
      </c>
      <c r="BG29" s="275">
        <v>2002</v>
      </c>
      <c r="BH29" s="276">
        <v>2.1557496383357001E-2</v>
      </c>
      <c r="BI29" s="277">
        <v>0.74431790590908997</v>
      </c>
      <c r="BJ29" s="278">
        <v>0.75155478004867904</v>
      </c>
      <c r="BL29" s="274" t="s">
        <v>2384</v>
      </c>
      <c r="BM29" s="275">
        <v>2033</v>
      </c>
      <c r="BN29" s="276">
        <v>2.0773E-2</v>
      </c>
      <c r="BO29" s="277">
        <v>1.3924237761216101</v>
      </c>
      <c r="BP29" s="278">
        <v>1.41424036800049</v>
      </c>
    </row>
    <row r="30" spans="1:68" ht="14.25" customHeight="1" outlineLevel="1">
      <c r="AB30" s="258">
        <v>16</v>
      </c>
      <c r="AC30" s="243" t="s">
        <v>2397</v>
      </c>
      <c r="AD30" s="267" t="s">
        <v>2387</v>
      </c>
      <c r="AE30" s="243" t="s">
        <v>2443</v>
      </c>
      <c r="AG30" s="268">
        <f t="shared" si="1"/>
        <v>0.71528318549369763</v>
      </c>
      <c r="AH30" s="268">
        <f t="shared" si="3"/>
        <v>0.74925913680464828</v>
      </c>
      <c r="AI30" s="268">
        <f t="shared" si="5"/>
        <v>0.77548320659281089</v>
      </c>
      <c r="AJ30" s="268">
        <f t="shared" si="8"/>
        <v>0.79487028675763105</v>
      </c>
      <c r="AK30" s="268">
        <f t="shared" si="10"/>
        <v>0.81315230335305655</v>
      </c>
      <c r="AL30" s="268">
        <f t="shared" si="12"/>
        <v>0.83185480633017683</v>
      </c>
      <c r="AM30" s="268">
        <f t="shared" si="14"/>
        <v>0.85098746687577087</v>
      </c>
      <c r="AN30" s="268">
        <f t="shared" si="16"/>
        <v>0.87056017861391355</v>
      </c>
      <c r="AO30" s="268">
        <f t="shared" si="18"/>
        <v>0.88797138218619187</v>
      </c>
      <c r="AP30" s="268">
        <f t="shared" si="20"/>
        <v>0.90573080982991572</v>
      </c>
      <c r="AQ30" s="268">
        <f t="shared" si="22"/>
        <v>0.92384542602651409</v>
      </c>
      <c r="AR30" s="268">
        <f t="shared" si="24"/>
        <v>0.94232233454704439</v>
      </c>
      <c r="AS30" s="268">
        <f t="shared" si="26"/>
        <v>0.96116878123798533</v>
      </c>
      <c r="AT30" s="268">
        <f t="shared" ref="AT30:AT35" si="28">AU30/(1+P$10)</f>
        <v>0.98039215686274506</v>
      </c>
      <c r="AU30" s="260">
        <v>1</v>
      </c>
      <c r="AV30" s="269">
        <f t="shared" ref="AV30:BC30" si="29">AU30*(1+R$10)</f>
        <v>1.02</v>
      </c>
      <c r="AW30" s="269">
        <f t="shared" si="29"/>
        <v>1.0404</v>
      </c>
      <c r="AX30" s="269">
        <f t="shared" si="29"/>
        <v>1.0612079999999999</v>
      </c>
      <c r="AY30" s="269">
        <f t="shared" si="29"/>
        <v>1.08243216</v>
      </c>
      <c r="AZ30" s="269">
        <f t="shared" si="29"/>
        <v>1.1040808032</v>
      </c>
      <c r="BA30" s="269">
        <f t="shared" si="29"/>
        <v>1.1261624192640001</v>
      </c>
      <c r="BB30" s="269">
        <f t="shared" si="29"/>
        <v>1.14868566764928</v>
      </c>
      <c r="BC30" s="269">
        <f t="shared" si="29"/>
        <v>1.1716593810022657</v>
      </c>
      <c r="BD30" s="269"/>
      <c r="BE30" s="262"/>
      <c r="BF30" s="244">
        <v>14</v>
      </c>
      <c r="BG30" s="275">
        <v>2003</v>
      </c>
      <c r="BH30" s="276">
        <v>-1.3340213344254699E-2</v>
      </c>
      <c r="BI30" s="277">
        <v>0.73438854624831396</v>
      </c>
      <c r="BJ30" s="278">
        <v>0.74498472384418202</v>
      </c>
      <c r="BL30" s="274" t="s">
        <v>2385</v>
      </c>
      <c r="BM30" s="275">
        <v>2034</v>
      </c>
      <c r="BN30" s="276">
        <v>2.0773E-2</v>
      </c>
      <c r="BO30" s="277">
        <v>1.4213485952229801</v>
      </c>
      <c r="BP30" s="278">
        <v>1.4437590631306201</v>
      </c>
    </row>
    <row r="31" spans="1:68" ht="14.25" customHeight="1" outlineLevel="1">
      <c r="AB31" s="258">
        <v>17</v>
      </c>
      <c r="AC31" s="243" t="s">
        <v>2397</v>
      </c>
      <c r="AD31" s="267" t="s">
        <v>2388</v>
      </c>
      <c r="AE31" s="243" t="s">
        <v>2444</v>
      </c>
      <c r="AG31" s="268">
        <f t="shared" si="1"/>
        <v>0.70125802499382117</v>
      </c>
      <c r="AH31" s="268">
        <f t="shared" si="3"/>
        <v>0.73456778118102772</v>
      </c>
      <c r="AI31" s="268">
        <f t="shared" si="5"/>
        <v>0.76027765352236365</v>
      </c>
      <c r="AJ31" s="268">
        <f t="shared" si="8"/>
        <v>0.77928459486042267</v>
      </c>
      <c r="AK31" s="268">
        <f t="shared" si="10"/>
        <v>0.79720814054221234</v>
      </c>
      <c r="AL31" s="268">
        <f t="shared" si="12"/>
        <v>0.81554392777468321</v>
      </c>
      <c r="AM31" s="268">
        <f t="shared" si="14"/>
        <v>0.83430143811350088</v>
      </c>
      <c r="AN31" s="268">
        <f t="shared" si="16"/>
        <v>0.85349037119011129</v>
      </c>
      <c r="AO31" s="268">
        <f t="shared" si="18"/>
        <v>0.87056017861391355</v>
      </c>
      <c r="AP31" s="268">
        <f t="shared" si="20"/>
        <v>0.88797138218619187</v>
      </c>
      <c r="AQ31" s="268">
        <f t="shared" si="22"/>
        <v>0.90573080982991572</v>
      </c>
      <c r="AR31" s="268">
        <f t="shared" si="24"/>
        <v>0.92384542602651409</v>
      </c>
      <c r="AS31" s="268">
        <f t="shared" si="26"/>
        <v>0.94232233454704439</v>
      </c>
      <c r="AT31" s="268">
        <f t="shared" si="28"/>
        <v>0.96116878123798533</v>
      </c>
      <c r="AU31" s="268">
        <f>AV31/(1+Q$10)</f>
        <v>0.98039215686274506</v>
      </c>
      <c r="AV31" s="260">
        <v>1</v>
      </c>
      <c r="AW31" s="269">
        <f t="shared" ref="AW31:BC31" si="30">AV31*(1+S$10)</f>
        <v>1.02</v>
      </c>
      <c r="AX31" s="269">
        <f t="shared" si="30"/>
        <v>1.0404</v>
      </c>
      <c r="AY31" s="269">
        <f t="shared" si="30"/>
        <v>1.0612079999999999</v>
      </c>
      <c r="AZ31" s="269">
        <f t="shared" si="30"/>
        <v>1.08243216</v>
      </c>
      <c r="BA31" s="269">
        <f t="shared" si="30"/>
        <v>1.1040808032</v>
      </c>
      <c r="BB31" s="269">
        <f t="shared" si="30"/>
        <v>1.1261624192640001</v>
      </c>
      <c r="BC31" s="269">
        <f t="shared" si="30"/>
        <v>1.14868566764928</v>
      </c>
      <c r="BD31" s="269"/>
      <c r="BE31" s="262"/>
      <c r="BF31" s="244">
        <v>15</v>
      </c>
      <c r="BG31" s="275">
        <v>2004</v>
      </c>
      <c r="BH31" s="276">
        <v>-1.5800000000000002E-2</v>
      </c>
      <c r="BI31" s="277">
        <v>0.72278520721758999</v>
      </c>
      <c r="BJ31" s="278">
        <v>0.73393124194962001</v>
      </c>
      <c r="BL31" s="274" t="s">
        <v>2386</v>
      </c>
      <c r="BM31" s="275">
        <v>2035</v>
      </c>
      <c r="BN31" s="276">
        <v>2.0773E-2</v>
      </c>
      <c r="BO31" s="277">
        <v>1.45087426959155</v>
      </c>
      <c r="BP31" s="278">
        <v>1.4736734341672499</v>
      </c>
    </row>
    <row r="32" spans="1:68" ht="14.25" customHeight="1" outlineLevel="1">
      <c r="AB32" s="258">
        <v>18</v>
      </c>
      <c r="AC32" s="243" t="s">
        <v>2397</v>
      </c>
      <c r="AD32" s="267" t="s">
        <v>2389</v>
      </c>
      <c r="AE32" s="243" t="s">
        <v>2445</v>
      </c>
      <c r="AG32" s="268">
        <f t="shared" si="1"/>
        <v>0.68750786764100125</v>
      </c>
      <c r="AH32" s="268">
        <f t="shared" si="3"/>
        <v>0.72016449135394889</v>
      </c>
      <c r="AI32" s="268">
        <f t="shared" si="5"/>
        <v>0.74537024855133704</v>
      </c>
      <c r="AJ32" s="268">
        <f t="shared" si="8"/>
        <v>0.76400450476512038</v>
      </c>
      <c r="AK32" s="268">
        <f t="shared" si="10"/>
        <v>0.7815766083747181</v>
      </c>
      <c r="AL32" s="268">
        <f t="shared" si="12"/>
        <v>0.79955287036733658</v>
      </c>
      <c r="AM32" s="268">
        <f t="shared" si="14"/>
        <v>0.81794258638578521</v>
      </c>
      <c r="AN32" s="268">
        <f t="shared" si="16"/>
        <v>0.83675526587265814</v>
      </c>
      <c r="AO32" s="268">
        <f t="shared" si="18"/>
        <v>0.85349037119011129</v>
      </c>
      <c r="AP32" s="268">
        <f t="shared" si="20"/>
        <v>0.87056017861391355</v>
      </c>
      <c r="AQ32" s="268">
        <f t="shared" si="22"/>
        <v>0.88797138218619187</v>
      </c>
      <c r="AR32" s="268">
        <f t="shared" si="24"/>
        <v>0.90573080982991572</v>
      </c>
      <c r="AS32" s="268">
        <f t="shared" si="26"/>
        <v>0.92384542602651409</v>
      </c>
      <c r="AT32" s="268">
        <f t="shared" si="28"/>
        <v>0.94232233454704439</v>
      </c>
      <c r="AU32" s="268">
        <f>AV32/(1+Q$10)</f>
        <v>0.96116878123798533</v>
      </c>
      <c r="AV32" s="268">
        <f>AW32/(1+R$10)</f>
        <v>0.98039215686274506</v>
      </c>
      <c r="AW32" s="260">
        <v>1</v>
      </c>
      <c r="AX32" s="269">
        <f t="shared" ref="AX32:BC32" si="31">AW32*(1+T$10)</f>
        <v>1.02</v>
      </c>
      <c r="AY32" s="269">
        <f t="shared" si="31"/>
        <v>1.0404</v>
      </c>
      <c r="AZ32" s="269">
        <f t="shared" si="31"/>
        <v>1.0612079999999999</v>
      </c>
      <c r="BA32" s="269">
        <f t="shared" si="31"/>
        <v>1.08243216</v>
      </c>
      <c r="BB32" s="269">
        <f t="shared" si="31"/>
        <v>1.1040808032</v>
      </c>
      <c r="BC32" s="269">
        <f t="shared" si="31"/>
        <v>1.1261624192640001</v>
      </c>
      <c r="BD32" s="269"/>
      <c r="BE32" s="262"/>
      <c r="BF32" s="244">
        <v>16</v>
      </c>
      <c r="BG32" s="275">
        <v>2005</v>
      </c>
      <c r="BH32" s="276">
        <v>5.0010088712582697E-4</v>
      </c>
      <c r="BI32" s="277">
        <v>0.72314667274092104</v>
      </c>
      <c r="BJ32" s="278">
        <v>0.73420276447677901</v>
      </c>
      <c r="BL32" s="274" t="s">
        <v>2387</v>
      </c>
      <c r="BM32" s="275">
        <v>2036</v>
      </c>
      <c r="BN32" s="276">
        <v>2.0773E-2</v>
      </c>
      <c r="BO32" s="277">
        <v>1.4810132807937699</v>
      </c>
      <c r="BP32" s="278">
        <v>1.50430377489571</v>
      </c>
    </row>
    <row r="33" spans="28:68" ht="14.25" customHeight="1" outlineLevel="1">
      <c r="AB33" s="258">
        <v>19</v>
      </c>
      <c r="AC33" s="243" t="s">
        <v>2397</v>
      </c>
      <c r="AD33" s="267" t="s">
        <v>2390</v>
      </c>
      <c r="AE33" s="243" t="s">
        <v>2446</v>
      </c>
      <c r="AG33" s="268">
        <f t="shared" si="1"/>
        <v>0.67402732121666775</v>
      </c>
      <c r="AH33" s="268">
        <f t="shared" si="3"/>
        <v>0.70604361897445955</v>
      </c>
      <c r="AI33" s="268">
        <f t="shared" si="5"/>
        <v>0.73075514563856558</v>
      </c>
      <c r="AJ33" s="268">
        <f t="shared" si="8"/>
        <v>0.74902402427952963</v>
      </c>
      <c r="AK33" s="268">
        <f t="shared" si="10"/>
        <v>0.76625157683795875</v>
      </c>
      <c r="AL33" s="268">
        <f t="shared" si="12"/>
        <v>0.78387536310523176</v>
      </c>
      <c r="AM33" s="268">
        <f t="shared" si="14"/>
        <v>0.80190449645665207</v>
      </c>
      <c r="AN33" s="268">
        <f t="shared" si="16"/>
        <v>0.82034829987515501</v>
      </c>
      <c r="AO33" s="268">
        <f t="shared" si="18"/>
        <v>0.83675526587265814</v>
      </c>
      <c r="AP33" s="268">
        <f t="shared" si="20"/>
        <v>0.85349037119011129</v>
      </c>
      <c r="AQ33" s="268">
        <f t="shared" si="22"/>
        <v>0.87056017861391355</v>
      </c>
      <c r="AR33" s="268">
        <f t="shared" si="24"/>
        <v>0.88797138218619187</v>
      </c>
      <c r="AS33" s="268">
        <f t="shared" si="26"/>
        <v>0.90573080982991572</v>
      </c>
      <c r="AT33" s="268">
        <f t="shared" si="28"/>
        <v>0.92384542602651409</v>
      </c>
      <c r="AU33" s="268">
        <f>AV33/(1+Q$10)</f>
        <v>0.94232233454704439</v>
      </c>
      <c r="AV33" s="268">
        <f>AW33/(1+R$10)</f>
        <v>0.96116878123798533</v>
      </c>
      <c r="AW33" s="268">
        <f>AX33/(1+S$10)</f>
        <v>0.98039215686274506</v>
      </c>
      <c r="AX33" s="260">
        <v>1</v>
      </c>
      <c r="AY33" s="269">
        <f>AX33*(1+U$10)</f>
        <v>1.02</v>
      </c>
      <c r="AZ33" s="269">
        <f>AY33*(1+V$10)</f>
        <v>1.0404</v>
      </c>
      <c r="BA33" s="269">
        <f>AZ33*(1+W$10)</f>
        <v>1.0612079999999999</v>
      </c>
      <c r="BB33" s="269">
        <f>BA33*(1+X$10)</f>
        <v>1.08243216</v>
      </c>
      <c r="BC33" s="269">
        <f>BB33*(1+Y$10)</f>
        <v>1.1040808032</v>
      </c>
      <c r="BD33" s="269"/>
      <c r="BE33" s="262"/>
      <c r="BF33" s="244">
        <v>17</v>
      </c>
      <c r="BG33" s="275">
        <v>2006</v>
      </c>
      <c r="BH33" s="276">
        <v>7.3646937757278199E-3</v>
      </c>
      <c r="BI33" s="277">
        <v>0.72847242654059496</v>
      </c>
      <c r="BJ33" s="278">
        <v>0.74264914174480401</v>
      </c>
      <c r="BL33" s="274" t="s">
        <v>2388</v>
      </c>
      <c r="BM33" s="275">
        <v>2037</v>
      </c>
      <c r="BN33" s="276">
        <v>2.0773E-2</v>
      </c>
      <c r="BO33" s="277">
        <v>1.5117783696756999</v>
      </c>
      <c r="BP33" s="278">
        <v>1.53555892658055</v>
      </c>
    </row>
    <row r="34" spans="28:68" ht="14.25" customHeight="1" outlineLevel="1">
      <c r="AB34" s="258">
        <v>20</v>
      </c>
      <c r="AC34" s="243" t="s">
        <v>2397</v>
      </c>
      <c r="AD34" s="267" t="s">
        <v>2391</v>
      </c>
      <c r="AE34" s="243" t="s">
        <v>2447</v>
      </c>
      <c r="AG34" s="268">
        <f t="shared" si="1"/>
        <v>0.6608110992320273</v>
      </c>
      <c r="AH34" s="286">
        <f t="shared" si="3"/>
        <v>0.69219962644554867</v>
      </c>
      <c r="AI34" s="286">
        <f t="shared" si="5"/>
        <v>0.71642661337114277</v>
      </c>
      <c r="AJ34" s="286">
        <f t="shared" si="8"/>
        <v>0.73433727870542131</v>
      </c>
      <c r="AK34" s="286">
        <f t="shared" si="10"/>
        <v>0.7512270361156459</v>
      </c>
      <c r="AL34" s="286">
        <f t="shared" si="12"/>
        <v>0.76850525794630564</v>
      </c>
      <c r="AM34" s="286">
        <f t="shared" si="14"/>
        <v>0.78618087887907062</v>
      </c>
      <c r="AN34" s="286">
        <f t="shared" si="16"/>
        <v>0.80426303909328922</v>
      </c>
      <c r="AO34" s="286">
        <f t="shared" si="18"/>
        <v>0.82034829987515501</v>
      </c>
      <c r="AP34" s="286">
        <f t="shared" si="20"/>
        <v>0.83675526587265814</v>
      </c>
      <c r="AQ34" s="286">
        <f t="shared" si="22"/>
        <v>0.85349037119011129</v>
      </c>
      <c r="AR34" s="286">
        <f t="shared" si="24"/>
        <v>0.87056017861391355</v>
      </c>
      <c r="AS34" s="286">
        <f t="shared" si="26"/>
        <v>0.88797138218619187</v>
      </c>
      <c r="AT34" s="286">
        <f t="shared" si="28"/>
        <v>0.90573080982991572</v>
      </c>
      <c r="AU34" s="286">
        <f>AV34/(1+Q$10)</f>
        <v>0.92384542602651409</v>
      </c>
      <c r="AV34" s="286">
        <f>AW34/(1+R$10)</f>
        <v>0.94232233454704439</v>
      </c>
      <c r="AW34" s="286">
        <f>AX34/(1+S$10)</f>
        <v>0.96116878123798533</v>
      </c>
      <c r="AX34" s="286">
        <f>AY34/(1+T$10)</f>
        <v>0.98039215686274506</v>
      </c>
      <c r="AY34" s="287">
        <v>1</v>
      </c>
      <c r="AZ34" s="288">
        <f>AY34*(1+V$10)</f>
        <v>1.02</v>
      </c>
      <c r="BA34" s="269">
        <f>AZ34*(1+W$10)</f>
        <v>1.0404</v>
      </c>
      <c r="BB34" s="269">
        <f>BA34*(1+X$10)</f>
        <v>1.0612079999999999</v>
      </c>
      <c r="BC34" s="269">
        <f>BB34*(1+Y$10)</f>
        <v>1.08243216</v>
      </c>
      <c r="BD34" s="269"/>
      <c r="BE34" s="262"/>
      <c r="BF34" s="244">
        <v>18</v>
      </c>
      <c r="BG34" s="275">
        <v>2007</v>
      </c>
      <c r="BH34" s="276">
        <v>2.4658943346640299E-2</v>
      </c>
      <c r="BI34" s="277">
        <v>0.746435786836249</v>
      </c>
      <c r="BJ34" s="278">
        <v>0.75695430560466603</v>
      </c>
      <c r="BL34" s="274" t="s">
        <v>2389</v>
      </c>
      <c r="BM34" s="275">
        <v>2038</v>
      </c>
      <c r="BN34" s="276">
        <v>2.0773E-2</v>
      </c>
      <c r="BO34" s="277">
        <v>1.54318254174897</v>
      </c>
      <c r="BP34" s="278">
        <v>1.5674521183974699</v>
      </c>
    </row>
    <row r="35" spans="28:68" ht="15" customHeight="1" outlineLevel="1">
      <c r="AB35" s="289">
        <v>21</v>
      </c>
      <c r="AC35" s="290" t="s">
        <v>2397</v>
      </c>
      <c r="AD35" s="291" t="s">
        <v>2392</v>
      </c>
      <c r="AE35" s="290" t="s">
        <v>2448</v>
      </c>
      <c r="AF35" s="290"/>
      <c r="AG35" s="292">
        <f t="shared" si="1"/>
        <v>0.64785401885492888</v>
      </c>
      <c r="AH35" s="292">
        <f t="shared" si="3"/>
        <v>0.67862708475053801</v>
      </c>
      <c r="AI35" s="292">
        <f t="shared" si="5"/>
        <v>0.70237903271680679</v>
      </c>
      <c r="AJ35" s="292">
        <f t="shared" si="8"/>
        <v>0.71993850853472685</v>
      </c>
      <c r="AK35" s="292">
        <f t="shared" si="10"/>
        <v>0.7364970942310255</v>
      </c>
      <c r="AL35" s="292">
        <f t="shared" si="12"/>
        <v>0.753436527398339</v>
      </c>
      <c r="AM35" s="292">
        <f t="shared" si="14"/>
        <v>0.77076556752850067</v>
      </c>
      <c r="AN35" s="292">
        <f t="shared" si="16"/>
        <v>0.7884931755816561</v>
      </c>
      <c r="AO35" s="292">
        <f t="shared" si="18"/>
        <v>0.80426303909328922</v>
      </c>
      <c r="AP35" s="292">
        <f t="shared" si="20"/>
        <v>0.82034829987515501</v>
      </c>
      <c r="AQ35" s="292">
        <f t="shared" si="22"/>
        <v>0.83675526587265814</v>
      </c>
      <c r="AR35" s="292">
        <f t="shared" si="24"/>
        <v>0.85349037119011129</v>
      </c>
      <c r="AS35" s="292">
        <f t="shared" si="26"/>
        <v>0.87056017861391355</v>
      </c>
      <c r="AT35" s="292">
        <f t="shared" si="28"/>
        <v>0.88797138218619187</v>
      </c>
      <c r="AU35" s="292">
        <f>AV35/(1+Q$10)</f>
        <v>0.90573080982991572</v>
      </c>
      <c r="AV35" s="292">
        <f>AW35/(1+R$10)</f>
        <v>0.92384542602651409</v>
      </c>
      <c r="AW35" s="292">
        <f>AX35/(1+S$10)</f>
        <v>0.94232233454704439</v>
      </c>
      <c r="AX35" s="292">
        <f>AY35/(1+T$10)</f>
        <v>0.96116878123798533</v>
      </c>
      <c r="AY35" s="292">
        <f>AZ35/(1+U$10)</f>
        <v>0.98039215686274506</v>
      </c>
      <c r="AZ35" s="293">
        <v>1</v>
      </c>
      <c r="BA35" s="294">
        <f>AZ35*(1+W$10)</f>
        <v>1.02</v>
      </c>
      <c r="BB35" s="294">
        <f>BA35*(1+X$10)</f>
        <v>1.0404</v>
      </c>
      <c r="BC35" s="294">
        <f>BB35*(1+Y$10)</f>
        <v>1.0612079999999999</v>
      </c>
      <c r="BD35" s="294"/>
      <c r="BE35" s="262"/>
      <c r="BF35" s="244">
        <v>19</v>
      </c>
      <c r="BG35" s="275">
        <v>2008</v>
      </c>
      <c r="BH35" s="276">
        <v>4.7893963893486803E-2</v>
      </c>
      <c r="BI35" s="277">
        <v>0.78218555545978996</v>
      </c>
      <c r="BJ35" s="278">
        <v>0.79016213748499797</v>
      </c>
      <c r="BL35" s="274" t="s">
        <v>2390</v>
      </c>
      <c r="BM35" s="275">
        <v>2039</v>
      </c>
      <c r="BN35" s="276">
        <v>2.0773E-2</v>
      </c>
      <c r="BO35" s="277">
        <v>1.57523907268873</v>
      </c>
      <c r="BP35" s="278">
        <v>1.59999685520096</v>
      </c>
    </row>
    <row r="36" spans="28:68" ht="14.25" customHeight="1" outlineLevel="1">
      <c r="AB36" s="258">
        <v>22</v>
      </c>
      <c r="AC36" s="243" t="s">
        <v>2400</v>
      </c>
      <c r="AD36" s="259" t="s">
        <v>2373</v>
      </c>
      <c r="AE36" s="243" t="s">
        <v>2449</v>
      </c>
      <c r="AG36" s="295">
        <v>1</v>
      </c>
      <c r="AH36" s="296">
        <f t="shared" ref="AH36:AZ36" si="32">AG36*(1+D$11)</f>
        <v>1.0369999999999999</v>
      </c>
      <c r="AI36" s="296">
        <f t="shared" si="32"/>
        <v>1.0618879999999999</v>
      </c>
      <c r="AJ36" s="296">
        <f t="shared" si="32"/>
        <v>1.0852495360000001</v>
      </c>
      <c r="AK36" s="296">
        <f t="shared" si="32"/>
        <v>1.1069545267200001</v>
      </c>
      <c r="AL36" s="296">
        <f t="shared" si="32"/>
        <v>1.1290936172544002</v>
      </c>
      <c r="AM36" s="296">
        <f t="shared" si="32"/>
        <v>1.1516754895994883</v>
      </c>
      <c r="AN36" s="296">
        <f t="shared" si="32"/>
        <v>1.1747089993914781</v>
      </c>
      <c r="AO36" s="296">
        <f t="shared" si="32"/>
        <v>1.1982031793793078</v>
      </c>
      <c r="AP36" s="296">
        <f t="shared" si="32"/>
        <v>1.2221672429668939</v>
      </c>
      <c r="AQ36" s="296">
        <f t="shared" si="32"/>
        <v>1.2466105878262319</v>
      </c>
      <c r="AR36" s="296">
        <f t="shared" si="32"/>
        <v>1.2715427995827566</v>
      </c>
      <c r="AS36" s="296">
        <f t="shared" si="32"/>
        <v>1.2969736555744118</v>
      </c>
      <c r="AT36" s="296">
        <f t="shared" si="32"/>
        <v>1.3229131286859002</v>
      </c>
      <c r="AU36" s="296">
        <f t="shared" si="32"/>
        <v>1.3493713912596181</v>
      </c>
      <c r="AV36" s="296">
        <f t="shared" si="32"/>
        <v>1.3763588190848106</v>
      </c>
      <c r="AW36" s="296">
        <f t="shared" si="32"/>
        <v>1.4038859954665068</v>
      </c>
      <c r="AX36" s="296">
        <f t="shared" si="32"/>
        <v>1.4319637153758369</v>
      </c>
      <c r="AY36" s="296">
        <f t="shared" si="32"/>
        <v>1.4606029896833537</v>
      </c>
      <c r="AZ36" s="296">
        <f t="shared" si="32"/>
        <v>1.4898150494770208</v>
      </c>
      <c r="BA36" s="269"/>
      <c r="BB36" s="269"/>
      <c r="BC36" s="269"/>
      <c r="BD36" s="269"/>
      <c r="BE36" s="262"/>
      <c r="BF36" s="244">
        <v>20</v>
      </c>
      <c r="BG36" s="275">
        <v>2009</v>
      </c>
      <c r="BH36" s="276">
        <v>4.0711829482139597E-2</v>
      </c>
      <c r="BI36" s="277">
        <v>0.81402976041706199</v>
      </c>
      <c r="BJ36" s="278">
        <v>0.82098225807008895</v>
      </c>
      <c r="BL36" s="274" t="s">
        <v>2391</v>
      </c>
      <c r="BM36" s="275">
        <v>2040</v>
      </c>
      <c r="BN36" s="276">
        <v>2.0773E-2</v>
      </c>
      <c r="BO36" s="277">
        <v>1.60796151394569</v>
      </c>
      <c r="BP36" s="278">
        <v>1.63320692208983</v>
      </c>
    </row>
    <row r="37" spans="28:68" ht="14.25" customHeight="1" outlineLevel="1">
      <c r="AB37" s="258">
        <v>23</v>
      </c>
      <c r="AC37" s="243" t="s">
        <v>2400</v>
      </c>
      <c r="AD37" s="267" t="s">
        <v>2374</v>
      </c>
      <c r="AE37" s="243" t="s">
        <v>2450</v>
      </c>
      <c r="AG37" s="268">
        <f t="shared" ref="AG37:AG55" si="33">AH37/(1+C$11)</f>
        <v>0.94055680963130184</v>
      </c>
      <c r="AH37" s="260">
        <v>1</v>
      </c>
      <c r="AI37" s="261">
        <f t="shared" ref="AI37:BC37" si="34">AH37*(1+E$11)</f>
        <v>1.024</v>
      </c>
      <c r="AJ37" s="261">
        <f t="shared" si="34"/>
        <v>1.0465280000000001</v>
      </c>
      <c r="AK37" s="261">
        <f t="shared" si="34"/>
        <v>1.0674585600000002</v>
      </c>
      <c r="AL37" s="261">
        <f t="shared" si="34"/>
        <v>1.0888077312000002</v>
      </c>
      <c r="AM37" s="261">
        <f t="shared" si="34"/>
        <v>1.1105838858240002</v>
      </c>
      <c r="AN37" s="261">
        <f t="shared" si="34"/>
        <v>1.1327955635404803</v>
      </c>
      <c r="AO37" s="261">
        <f t="shared" si="34"/>
        <v>1.1554514748112898</v>
      </c>
      <c r="AP37" s="261">
        <f t="shared" si="34"/>
        <v>1.1785605043075156</v>
      </c>
      <c r="AQ37" s="261">
        <f t="shared" si="34"/>
        <v>1.2021317143936658</v>
      </c>
      <c r="AR37" s="261">
        <f t="shared" si="34"/>
        <v>1.2261743486815391</v>
      </c>
      <c r="AS37" s="261">
        <f t="shared" si="34"/>
        <v>1.2506978356551699</v>
      </c>
      <c r="AT37" s="261">
        <f t="shared" si="34"/>
        <v>1.2757117923682733</v>
      </c>
      <c r="AU37" s="261">
        <f t="shared" si="34"/>
        <v>1.3012260282156387</v>
      </c>
      <c r="AV37" s="261">
        <f t="shared" si="34"/>
        <v>1.3272505487799515</v>
      </c>
      <c r="AW37" s="261">
        <f t="shared" si="34"/>
        <v>1.3537955597555507</v>
      </c>
      <c r="AX37" s="261">
        <f t="shared" si="34"/>
        <v>1.3808714709506618</v>
      </c>
      <c r="AY37" s="261">
        <f t="shared" si="34"/>
        <v>1.408488900369675</v>
      </c>
      <c r="AZ37" s="261">
        <f t="shared" si="34"/>
        <v>1.4366586783770685</v>
      </c>
      <c r="BA37" s="261">
        <f t="shared" si="34"/>
        <v>1.4653918519446099</v>
      </c>
      <c r="BB37" s="261">
        <f t="shared" si="34"/>
        <v>1.494699688983502</v>
      </c>
      <c r="BC37" s="261">
        <f t="shared" si="34"/>
        <v>1.5245936827631721</v>
      </c>
      <c r="BD37" s="261">
        <f>IFERROR(BC37*(1+Z$11),BC37)</f>
        <v>1.5245936827631721</v>
      </c>
      <c r="BE37" s="262"/>
      <c r="BF37" s="244">
        <v>21</v>
      </c>
      <c r="BG37" s="275">
        <v>2010</v>
      </c>
      <c r="BH37" s="276">
        <v>-1.9E-2</v>
      </c>
      <c r="BI37" s="277">
        <v>0.79856319496913797</v>
      </c>
      <c r="BJ37" s="278">
        <v>0.80576087082512104</v>
      </c>
      <c r="BL37" s="274" t="s">
        <v>2392</v>
      </c>
      <c r="BM37" s="275">
        <v>2041</v>
      </c>
      <c r="BN37" s="276">
        <v>2.0773E-2</v>
      </c>
      <c r="BO37" s="277">
        <v>1.6413636984748801</v>
      </c>
      <c r="BP37" s="278">
        <v>1.6670963891974999</v>
      </c>
    </row>
    <row r="38" spans="28:68" ht="14.25" customHeight="1" outlineLevel="1">
      <c r="AB38" s="258">
        <v>24</v>
      </c>
      <c r="AC38" s="243" t="s">
        <v>2400</v>
      </c>
      <c r="AD38" s="267" t="s">
        <v>2375</v>
      </c>
      <c r="AE38" s="243" t="s">
        <v>2451</v>
      </c>
      <c r="AG38" s="268">
        <f t="shared" si="33"/>
        <v>0.90699788778331902</v>
      </c>
      <c r="AH38" s="268">
        <f t="shared" ref="AH38:AH55" si="35">AI38/(1+D$11)</f>
        <v>0.96432015429122475</v>
      </c>
      <c r="AI38" s="260">
        <v>1</v>
      </c>
      <c r="AJ38" s="261">
        <f t="shared" ref="AJ38:AZ38" si="36">AI38*(1+F$11)</f>
        <v>1.022</v>
      </c>
      <c r="AK38" s="261">
        <f t="shared" si="36"/>
        <v>1.04244</v>
      </c>
      <c r="AL38" s="261">
        <f t="shared" si="36"/>
        <v>1.0632888</v>
      </c>
      <c r="AM38" s="261">
        <f t="shared" si="36"/>
        <v>1.0845545760000002</v>
      </c>
      <c r="AN38" s="261">
        <f t="shared" si="36"/>
        <v>1.1062456675200001</v>
      </c>
      <c r="AO38" s="261">
        <f t="shared" si="36"/>
        <v>1.1283705808704001</v>
      </c>
      <c r="AP38" s="261">
        <f t="shared" si="36"/>
        <v>1.150937992487808</v>
      </c>
      <c r="AQ38" s="261">
        <f t="shared" si="36"/>
        <v>1.1739567523375642</v>
      </c>
      <c r="AR38" s="261">
        <f t="shared" si="36"/>
        <v>1.1974358873843156</v>
      </c>
      <c r="AS38" s="261">
        <f t="shared" si="36"/>
        <v>1.2213846051320019</v>
      </c>
      <c r="AT38" s="261">
        <f t="shared" si="36"/>
        <v>1.2458122972346419</v>
      </c>
      <c r="AU38" s="261">
        <f t="shared" si="36"/>
        <v>1.2707285431793347</v>
      </c>
      <c r="AV38" s="261">
        <f t="shared" si="36"/>
        <v>1.2961431140429214</v>
      </c>
      <c r="AW38" s="261">
        <f t="shared" si="36"/>
        <v>1.3220659763237799</v>
      </c>
      <c r="AX38" s="261">
        <f t="shared" si="36"/>
        <v>1.3485072958502555</v>
      </c>
      <c r="AY38" s="261">
        <f t="shared" si="36"/>
        <v>1.3754774417672606</v>
      </c>
      <c r="AZ38" s="261">
        <f t="shared" si="36"/>
        <v>1.4029869906026058</v>
      </c>
      <c r="BA38" s="269"/>
      <c r="BB38" s="269"/>
      <c r="BC38" s="269"/>
      <c r="BD38" s="269"/>
      <c r="BE38" s="262"/>
      <c r="BF38" s="244">
        <v>22</v>
      </c>
      <c r="BG38" s="275">
        <v>2011</v>
      </c>
      <c r="BH38" s="276">
        <v>4.4999999999999998E-2</v>
      </c>
      <c r="BI38" s="277">
        <v>0.83449853874274904</v>
      </c>
      <c r="BJ38" s="278">
        <v>0.84053575104170497</v>
      </c>
      <c r="BL38" s="274" t="s">
        <v>2393</v>
      </c>
      <c r="BM38" s="275">
        <v>2042</v>
      </c>
      <c r="BN38" s="276">
        <v>2.0773E-2</v>
      </c>
      <c r="BO38" s="277">
        <v>1.6754597465833001</v>
      </c>
      <c r="BP38" s="278">
        <v>1.7017800759756001</v>
      </c>
    </row>
    <row r="39" spans="28:68" ht="14.25" customHeight="1" outlineLevel="1">
      <c r="AB39" s="258">
        <v>25</v>
      </c>
      <c r="AC39" s="243" t="s">
        <v>2400</v>
      </c>
      <c r="AD39" s="267" t="s">
        <v>2376</v>
      </c>
      <c r="AE39" s="243" t="s">
        <v>2452</v>
      </c>
      <c r="AG39" s="268">
        <f t="shared" si="33"/>
        <v>0.88574012478839748</v>
      </c>
      <c r="AH39" s="268">
        <f t="shared" si="35"/>
        <v>0.94171890067502417</v>
      </c>
      <c r="AI39" s="268">
        <f t="shared" ref="AI39:AI55" si="37">AJ39/(1+E$11)</f>
        <v>0.9765625</v>
      </c>
      <c r="AJ39" s="260">
        <v>1</v>
      </c>
      <c r="AK39" s="261">
        <f t="shared" ref="AK39:AZ39" si="38">AJ39*(1+G$11)</f>
        <v>1.02</v>
      </c>
      <c r="AL39" s="261">
        <f t="shared" si="38"/>
        <v>1.0404</v>
      </c>
      <c r="AM39" s="261">
        <f t="shared" si="38"/>
        <v>1.0612079999999999</v>
      </c>
      <c r="AN39" s="261">
        <f t="shared" si="38"/>
        <v>1.08243216</v>
      </c>
      <c r="AO39" s="261">
        <f t="shared" si="38"/>
        <v>1.1040808032</v>
      </c>
      <c r="AP39" s="261">
        <f t="shared" si="38"/>
        <v>1.1261624192640001</v>
      </c>
      <c r="AQ39" s="261">
        <f t="shared" si="38"/>
        <v>1.14868566764928</v>
      </c>
      <c r="AR39" s="261">
        <f t="shared" si="38"/>
        <v>1.1716593810022657</v>
      </c>
      <c r="AS39" s="261">
        <f t="shared" si="38"/>
        <v>1.1950925686223111</v>
      </c>
      <c r="AT39" s="261">
        <f t="shared" si="38"/>
        <v>1.2189944199947573</v>
      </c>
      <c r="AU39" s="261">
        <f t="shared" si="38"/>
        <v>1.2433743083946525</v>
      </c>
      <c r="AV39" s="261">
        <f t="shared" si="38"/>
        <v>1.2682417945625455</v>
      </c>
      <c r="AW39" s="261">
        <f t="shared" si="38"/>
        <v>1.2936066304537963</v>
      </c>
      <c r="AX39" s="261">
        <f t="shared" si="38"/>
        <v>1.3194787630628724</v>
      </c>
      <c r="AY39" s="261">
        <f t="shared" si="38"/>
        <v>1.3458683383241299</v>
      </c>
      <c r="AZ39" s="261">
        <f t="shared" si="38"/>
        <v>1.3727857050906125</v>
      </c>
      <c r="BA39" s="269"/>
      <c r="BB39" s="269"/>
      <c r="BC39" s="269"/>
      <c r="BD39" s="269"/>
      <c r="BE39" s="262"/>
      <c r="BF39" s="244">
        <v>23</v>
      </c>
      <c r="BG39" s="275">
        <v>2012</v>
      </c>
      <c r="BH39" s="276">
        <v>1.6629000000000001E-2</v>
      </c>
      <c r="BI39" s="277">
        <v>0.84837541494350199</v>
      </c>
      <c r="BJ39" s="278">
        <v>0.85542399905104105</v>
      </c>
      <c r="BL39" s="274" t="s">
        <v>2394</v>
      </c>
      <c r="BM39" s="275">
        <v>2043</v>
      </c>
      <c r="BN39" s="276">
        <v>2.0773E-2</v>
      </c>
      <c r="BO39" s="277">
        <v>1.71026407189908</v>
      </c>
      <c r="BP39" s="278">
        <v>1.7372724689485599</v>
      </c>
    </row>
    <row r="40" spans="28:68" ht="14.25" customHeight="1" outlineLevel="1">
      <c r="AB40" s="258">
        <v>26</v>
      </c>
      <c r="AC40" s="243" t="s">
        <v>2400</v>
      </c>
      <c r="AD40" s="267" t="s">
        <v>2377</v>
      </c>
      <c r="AE40" s="243" t="s">
        <v>2453</v>
      </c>
      <c r="AG40" s="268">
        <f t="shared" si="33"/>
        <v>0.86667331192602493</v>
      </c>
      <c r="AH40" s="268">
        <f t="shared" si="35"/>
        <v>0.92144706523974962</v>
      </c>
      <c r="AI40" s="268">
        <f t="shared" si="37"/>
        <v>0.95554060665362028</v>
      </c>
      <c r="AJ40" s="268">
        <f t="shared" ref="AJ40:AJ55" si="39">AK40/(1+F$11)</f>
        <v>0.97847358121330719</v>
      </c>
      <c r="AK40" s="260">
        <v>1</v>
      </c>
      <c r="AL40" s="261">
        <f t="shared" ref="AL40:AZ40" si="40">AK40*(1+H$11)</f>
        <v>1.02</v>
      </c>
      <c r="AM40" s="261">
        <f t="shared" si="40"/>
        <v>1.0404</v>
      </c>
      <c r="AN40" s="261">
        <f t="shared" si="40"/>
        <v>1.0612079999999999</v>
      </c>
      <c r="AO40" s="261">
        <f t="shared" si="40"/>
        <v>1.08243216</v>
      </c>
      <c r="AP40" s="261">
        <f t="shared" si="40"/>
        <v>1.1040808032</v>
      </c>
      <c r="AQ40" s="261">
        <f t="shared" si="40"/>
        <v>1.1261624192640001</v>
      </c>
      <c r="AR40" s="261">
        <f t="shared" si="40"/>
        <v>1.14868566764928</v>
      </c>
      <c r="AS40" s="261">
        <f t="shared" si="40"/>
        <v>1.1716593810022657</v>
      </c>
      <c r="AT40" s="261">
        <f t="shared" si="40"/>
        <v>1.1950925686223111</v>
      </c>
      <c r="AU40" s="261">
        <f t="shared" si="40"/>
        <v>1.2189944199947573</v>
      </c>
      <c r="AV40" s="261">
        <f t="shared" si="40"/>
        <v>1.2433743083946525</v>
      </c>
      <c r="AW40" s="261">
        <f t="shared" si="40"/>
        <v>1.2682417945625455</v>
      </c>
      <c r="AX40" s="261">
        <f t="shared" si="40"/>
        <v>1.2936066304537963</v>
      </c>
      <c r="AY40" s="261">
        <f t="shared" si="40"/>
        <v>1.3194787630628724</v>
      </c>
      <c r="AZ40" s="261">
        <f t="shared" si="40"/>
        <v>1.3458683383241299</v>
      </c>
      <c r="BA40" s="269"/>
      <c r="BB40" s="269"/>
      <c r="BC40" s="269"/>
      <c r="BD40" s="269"/>
      <c r="BE40" s="262"/>
      <c r="BF40" s="244">
        <v>24</v>
      </c>
      <c r="BG40" s="275">
        <v>2013</v>
      </c>
      <c r="BH40" s="276">
        <v>9.0749999999999997E-2</v>
      </c>
      <c r="BI40" s="277">
        <v>0.92536548384962503</v>
      </c>
      <c r="BJ40" s="278">
        <v>0.93537912104813403</v>
      </c>
      <c r="BL40" s="274" t="s">
        <v>2395</v>
      </c>
      <c r="BM40" s="275">
        <v>2044</v>
      </c>
      <c r="BN40" s="276">
        <v>2.0773E-2</v>
      </c>
      <c r="BO40" s="277">
        <v>1.74579138746464</v>
      </c>
      <c r="BP40" s="278">
        <v>1.77328416521998</v>
      </c>
    </row>
    <row r="41" spans="28:68" ht="14.25" customHeight="1" outlineLevel="1">
      <c r="AB41" s="258">
        <v>27</v>
      </c>
      <c r="AC41" s="243" t="s">
        <v>2400</v>
      </c>
      <c r="AD41" s="267" t="s">
        <v>2378</v>
      </c>
      <c r="AE41" s="243" t="s">
        <v>2454</v>
      </c>
      <c r="AG41" s="268">
        <f t="shared" si="33"/>
        <v>0.84967971757453431</v>
      </c>
      <c r="AH41" s="268">
        <f t="shared" si="35"/>
        <v>0.9033794757252448</v>
      </c>
      <c r="AI41" s="268">
        <f t="shared" si="37"/>
        <v>0.93680451632707873</v>
      </c>
      <c r="AJ41" s="268">
        <f t="shared" si="39"/>
        <v>0.95928782471892859</v>
      </c>
      <c r="AK41" s="268">
        <f t="shared" ref="AK41:AK55" si="41">AL41/(1+G$11)</f>
        <v>0.98039215686274506</v>
      </c>
      <c r="AL41" s="260">
        <v>1</v>
      </c>
      <c r="AM41" s="261">
        <f t="shared" ref="AM41:AZ41" si="42">AL41*(1+I$11)</f>
        <v>1.02</v>
      </c>
      <c r="AN41" s="261">
        <f t="shared" si="42"/>
        <v>1.0404</v>
      </c>
      <c r="AO41" s="261">
        <f t="shared" si="42"/>
        <v>1.0612079999999999</v>
      </c>
      <c r="AP41" s="261">
        <f t="shared" si="42"/>
        <v>1.08243216</v>
      </c>
      <c r="AQ41" s="261">
        <f t="shared" si="42"/>
        <v>1.1040808032</v>
      </c>
      <c r="AR41" s="261">
        <f t="shared" si="42"/>
        <v>1.1261624192640001</v>
      </c>
      <c r="AS41" s="261">
        <f t="shared" si="42"/>
        <v>1.14868566764928</v>
      </c>
      <c r="AT41" s="261">
        <f t="shared" si="42"/>
        <v>1.1716593810022657</v>
      </c>
      <c r="AU41" s="261">
        <f t="shared" si="42"/>
        <v>1.1950925686223111</v>
      </c>
      <c r="AV41" s="261">
        <f t="shared" si="42"/>
        <v>1.2189944199947573</v>
      </c>
      <c r="AW41" s="261">
        <f t="shared" si="42"/>
        <v>1.2433743083946525</v>
      </c>
      <c r="AX41" s="261">
        <f t="shared" si="42"/>
        <v>1.2682417945625455</v>
      </c>
      <c r="AY41" s="261">
        <f t="shared" si="42"/>
        <v>1.2936066304537963</v>
      </c>
      <c r="AZ41" s="261">
        <f t="shared" si="42"/>
        <v>1.3194787630628724</v>
      </c>
      <c r="BA41" s="269"/>
      <c r="BB41" s="269"/>
      <c r="BC41" s="269"/>
      <c r="BD41" s="269"/>
      <c r="BE41" s="262"/>
      <c r="BF41" s="244">
        <v>25</v>
      </c>
      <c r="BG41" s="275">
        <v>2014</v>
      </c>
      <c r="BH41" s="276">
        <v>-3.1297999999999999E-2</v>
      </c>
      <c r="BI41" s="277">
        <v>0.896403394936099</v>
      </c>
      <c r="BJ41" s="278">
        <v>0.90805021323947999</v>
      </c>
      <c r="BL41" s="297"/>
    </row>
    <row r="42" spans="28:68" ht="14.25" customHeight="1" outlineLevel="1">
      <c r="AB42" s="258">
        <v>28</v>
      </c>
      <c r="AC42" s="243" t="s">
        <v>2400</v>
      </c>
      <c r="AD42" s="267" t="s">
        <v>2379</v>
      </c>
      <c r="AE42" s="243" t="s">
        <v>2455</v>
      </c>
      <c r="AG42" s="268">
        <f t="shared" si="33"/>
        <v>0.8330193309554258</v>
      </c>
      <c r="AH42" s="268">
        <f t="shared" si="35"/>
        <v>0.88566615267180859</v>
      </c>
      <c r="AI42" s="268">
        <f t="shared" si="37"/>
        <v>0.91843580032066541</v>
      </c>
      <c r="AJ42" s="268">
        <f t="shared" si="39"/>
        <v>0.94047825952836139</v>
      </c>
      <c r="AK42" s="268">
        <f t="shared" si="41"/>
        <v>0.96116878123798533</v>
      </c>
      <c r="AL42" s="268">
        <f t="shared" ref="AL42:AL55" si="43">AM42/(1+H$11)</f>
        <v>0.98039215686274506</v>
      </c>
      <c r="AM42" s="260">
        <v>1</v>
      </c>
      <c r="AN42" s="261">
        <f t="shared" ref="AN42:AZ42" si="44">AM42*(1+J$11)</f>
        <v>1.02</v>
      </c>
      <c r="AO42" s="261">
        <f t="shared" si="44"/>
        <v>1.0404</v>
      </c>
      <c r="AP42" s="261">
        <f t="shared" si="44"/>
        <v>1.0612079999999999</v>
      </c>
      <c r="AQ42" s="261">
        <f t="shared" si="44"/>
        <v>1.08243216</v>
      </c>
      <c r="AR42" s="261">
        <f t="shared" si="44"/>
        <v>1.1040808032</v>
      </c>
      <c r="AS42" s="261">
        <f t="shared" si="44"/>
        <v>1.1261624192640001</v>
      </c>
      <c r="AT42" s="261">
        <f t="shared" si="44"/>
        <v>1.14868566764928</v>
      </c>
      <c r="AU42" s="261">
        <f t="shared" si="44"/>
        <v>1.1716593810022657</v>
      </c>
      <c r="AV42" s="261">
        <f t="shared" si="44"/>
        <v>1.1950925686223111</v>
      </c>
      <c r="AW42" s="261">
        <f t="shared" si="44"/>
        <v>1.2189944199947573</v>
      </c>
      <c r="AX42" s="261">
        <f t="shared" si="44"/>
        <v>1.2433743083946525</v>
      </c>
      <c r="AY42" s="261">
        <f t="shared" si="44"/>
        <v>1.2682417945625455</v>
      </c>
      <c r="AZ42" s="261">
        <f t="shared" si="44"/>
        <v>1.2936066304537963</v>
      </c>
      <c r="BA42" s="269"/>
      <c r="BB42" s="269"/>
      <c r="BC42" s="269"/>
      <c r="BD42" s="269"/>
      <c r="BE42" s="262"/>
      <c r="BF42" s="244">
        <v>26</v>
      </c>
      <c r="BG42" s="275">
        <v>2015</v>
      </c>
      <c r="BH42" s="276">
        <v>3.6388999999999998E-2</v>
      </c>
      <c r="BI42" s="277">
        <v>0.92902261807442899</v>
      </c>
      <c r="BJ42" s="278">
        <v>0.94017743911101304</v>
      </c>
      <c r="BL42" s="297"/>
    </row>
    <row r="43" spans="28:68" ht="14.25" customHeight="1" outlineLevel="1">
      <c r="AB43" s="258">
        <v>29</v>
      </c>
      <c r="AC43" s="243" t="s">
        <v>2400</v>
      </c>
      <c r="AD43" s="267" t="s">
        <v>2380</v>
      </c>
      <c r="AE43" s="243" t="s">
        <v>2456</v>
      </c>
      <c r="AG43" s="268">
        <f t="shared" si="33"/>
        <v>0.81668561858375066</v>
      </c>
      <c r="AH43" s="268">
        <f t="shared" si="35"/>
        <v>0.86830014967824365</v>
      </c>
      <c r="AI43" s="268">
        <f t="shared" si="37"/>
        <v>0.9004272552163386</v>
      </c>
      <c r="AJ43" s="268">
        <f t="shared" si="39"/>
        <v>0.92203750934153073</v>
      </c>
      <c r="AK43" s="268">
        <f t="shared" si="41"/>
        <v>0.94232233454704439</v>
      </c>
      <c r="AL43" s="268">
        <f t="shared" si="43"/>
        <v>0.96116878123798533</v>
      </c>
      <c r="AM43" s="268">
        <f t="shared" ref="AM43:AM55" si="45">AN43/(1+I$11)</f>
        <v>0.98039215686274506</v>
      </c>
      <c r="AN43" s="260">
        <v>1</v>
      </c>
      <c r="AO43" s="261">
        <f t="shared" ref="AO43:AZ43" si="46">AN43*(1+K$11)</f>
        <v>1.02</v>
      </c>
      <c r="AP43" s="261">
        <f t="shared" si="46"/>
        <v>1.0404</v>
      </c>
      <c r="AQ43" s="261">
        <f t="shared" si="46"/>
        <v>1.0612079999999999</v>
      </c>
      <c r="AR43" s="261">
        <f t="shared" si="46"/>
        <v>1.08243216</v>
      </c>
      <c r="AS43" s="261">
        <f t="shared" si="46"/>
        <v>1.1040808032</v>
      </c>
      <c r="AT43" s="261">
        <f t="shared" si="46"/>
        <v>1.1261624192640001</v>
      </c>
      <c r="AU43" s="261">
        <f t="shared" si="46"/>
        <v>1.14868566764928</v>
      </c>
      <c r="AV43" s="261">
        <f t="shared" si="46"/>
        <v>1.1716593810022657</v>
      </c>
      <c r="AW43" s="261">
        <f t="shared" si="46"/>
        <v>1.1950925686223111</v>
      </c>
      <c r="AX43" s="261">
        <f t="shared" si="46"/>
        <v>1.2189944199947573</v>
      </c>
      <c r="AY43" s="261">
        <f t="shared" si="46"/>
        <v>1.2433743083946525</v>
      </c>
      <c r="AZ43" s="261">
        <f t="shared" si="46"/>
        <v>1.2682417945625455</v>
      </c>
      <c r="BA43" s="269"/>
      <c r="BB43" s="269"/>
      <c r="BC43" s="269"/>
      <c r="BD43" s="269"/>
      <c r="BE43" s="262"/>
      <c r="BF43" s="244">
        <v>27</v>
      </c>
      <c r="BG43" s="275">
        <v>2016</v>
      </c>
      <c r="BH43" s="276">
        <v>4.8390000000000004E-3</v>
      </c>
      <c r="BI43" s="277">
        <v>0.93351815852329101</v>
      </c>
      <c r="BJ43" s="278">
        <v>0.94592979925344001</v>
      </c>
      <c r="BL43" s="297"/>
    </row>
    <row r="44" spans="28:68" ht="14.25" customHeight="1" outlineLevel="1">
      <c r="AB44" s="258">
        <v>30</v>
      </c>
      <c r="AC44" s="243" t="s">
        <v>2400</v>
      </c>
      <c r="AD44" s="267" t="s">
        <v>2381</v>
      </c>
      <c r="AE44" s="243" t="s">
        <v>2457</v>
      </c>
      <c r="AG44" s="268">
        <f t="shared" si="33"/>
        <v>0.80067217508210842</v>
      </c>
      <c r="AH44" s="268">
        <f t="shared" si="35"/>
        <v>0.85127465654729761</v>
      </c>
      <c r="AI44" s="268">
        <f t="shared" si="37"/>
        <v>0.88277181883954758</v>
      </c>
      <c r="AJ44" s="268">
        <f t="shared" si="39"/>
        <v>0.90395834249169671</v>
      </c>
      <c r="AK44" s="268">
        <f t="shared" si="41"/>
        <v>0.92384542602651409</v>
      </c>
      <c r="AL44" s="268">
        <f t="shared" si="43"/>
        <v>0.94232233454704439</v>
      </c>
      <c r="AM44" s="268">
        <f t="shared" si="45"/>
        <v>0.96116878123798533</v>
      </c>
      <c r="AN44" s="268">
        <f t="shared" ref="AN44:AN55" si="47">AO44/(1+J$11)</f>
        <v>0.98039215686274506</v>
      </c>
      <c r="AO44" s="260">
        <v>1</v>
      </c>
      <c r="AP44" s="261">
        <f t="shared" ref="AP44:AZ44" si="48">AO44*(1+L$11)</f>
        <v>1.02</v>
      </c>
      <c r="AQ44" s="261">
        <f t="shared" si="48"/>
        <v>1.0404</v>
      </c>
      <c r="AR44" s="261">
        <f t="shared" si="48"/>
        <v>1.0612079999999999</v>
      </c>
      <c r="AS44" s="261">
        <f t="shared" si="48"/>
        <v>1.08243216</v>
      </c>
      <c r="AT44" s="261">
        <f t="shared" si="48"/>
        <v>1.1040808032</v>
      </c>
      <c r="AU44" s="261">
        <f t="shared" si="48"/>
        <v>1.1261624192640001</v>
      </c>
      <c r="AV44" s="261">
        <f t="shared" si="48"/>
        <v>1.14868566764928</v>
      </c>
      <c r="AW44" s="261">
        <f t="shared" si="48"/>
        <v>1.1716593810022657</v>
      </c>
      <c r="AX44" s="261">
        <f t="shared" si="48"/>
        <v>1.1950925686223111</v>
      </c>
      <c r="AY44" s="261">
        <f t="shared" si="48"/>
        <v>1.2189944199947573</v>
      </c>
      <c r="AZ44" s="261">
        <f t="shared" si="48"/>
        <v>1.2433743083946525</v>
      </c>
      <c r="BA44" s="269"/>
      <c r="BB44" s="269"/>
      <c r="BC44" s="269"/>
      <c r="BD44" s="269"/>
      <c r="BE44" s="262"/>
      <c r="BF44" s="244">
        <v>28</v>
      </c>
      <c r="BG44" s="275">
        <v>2017</v>
      </c>
      <c r="BH44" s="276">
        <v>3.8869999999999998E-3</v>
      </c>
      <c r="BI44" s="277">
        <v>0.93714674360547101</v>
      </c>
      <c r="BJ44" s="278">
        <v>0.95380623808378695</v>
      </c>
      <c r="BL44" s="297"/>
    </row>
    <row r="45" spans="28:68" ht="14.25" customHeight="1" outlineLevel="1">
      <c r="AB45" s="258">
        <v>31</v>
      </c>
      <c r="AC45" s="243" t="s">
        <v>2400</v>
      </c>
      <c r="AD45" s="267" t="s">
        <v>2382</v>
      </c>
      <c r="AE45" s="243" t="s">
        <v>2458</v>
      </c>
      <c r="AG45" s="268">
        <f t="shared" si="33"/>
        <v>0.78497272066873369</v>
      </c>
      <c r="AH45" s="268">
        <f t="shared" si="35"/>
        <v>0.83458299661499757</v>
      </c>
      <c r="AI45" s="268">
        <f t="shared" si="37"/>
        <v>0.86546256748975248</v>
      </c>
      <c r="AJ45" s="268">
        <f t="shared" si="39"/>
        <v>0.88623366910950652</v>
      </c>
      <c r="AK45" s="268">
        <f t="shared" si="41"/>
        <v>0.90573080982991572</v>
      </c>
      <c r="AL45" s="268">
        <f t="shared" si="43"/>
        <v>0.92384542602651409</v>
      </c>
      <c r="AM45" s="268">
        <f t="shared" si="45"/>
        <v>0.94232233454704439</v>
      </c>
      <c r="AN45" s="268">
        <f t="shared" si="47"/>
        <v>0.96116878123798533</v>
      </c>
      <c r="AO45" s="268">
        <f t="shared" ref="AO45:AO55" si="49">AP45/(1+K$11)</f>
        <v>0.98039215686274506</v>
      </c>
      <c r="AP45" s="260">
        <v>1</v>
      </c>
      <c r="AQ45" s="261">
        <f t="shared" ref="AQ45:AZ45" si="50">AP45*(1+M$11)</f>
        <v>1.02</v>
      </c>
      <c r="AR45" s="261">
        <f t="shared" si="50"/>
        <v>1.0404</v>
      </c>
      <c r="AS45" s="261">
        <f t="shared" si="50"/>
        <v>1.0612079999999999</v>
      </c>
      <c r="AT45" s="261">
        <f t="shared" si="50"/>
        <v>1.08243216</v>
      </c>
      <c r="AU45" s="261">
        <f t="shared" si="50"/>
        <v>1.1040808032</v>
      </c>
      <c r="AV45" s="261">
        <f t="shared" si="50"/>
        <v>1.1261624192640001</v>
      </c>
      <c r="AW45" s="261">
        <f t="shared" si="50"/>
        <v>1.14868566764928</v>
      </c>
      <c r="AX45" s="261">
        <f t="shared" si="50"/>
        <v>1.1716593810022657</v>
      </c>
      <c r="AY45" s="261">
        <f t="shared" si="50"/>
        <v>1.1950925686223111</v>
      </c>
      <c r="AZ45" s="261">
        <f t="shared" si="50"/>
        <v>1.2189944199947573</v>
      </c>
      <c r="BA45" s="269"/>
      <c r="BB45" s="269"/>
      <c r="BC45" s="269"/>
      <c r="BD45" s="269"/>
      <c r="BE45" s="262"/>
      <c r="BF45" s="244">
        <v>29</v>
      </c>
      <c r="BG45" s="275">
        <v>2018</v>
      </c>
      <c r="BH45" s="276">
        <v>1.3805E-2</v>
      </c>
      <c r="BI45" s="277">
        <v>0.95008405440094501</v>
      </c>
      <c r="BJ45" s="278">
        <v>0.96492602567361097</v>
      </c>
      <c r="BL45" s="297"/>
      <c r="BM45" s="244"/>
    </row>
    <row r="46" spans="28:68" ht="14.25" customHeight="1" outlineLevel="1">
      <c r="AB46" s="258">
        <v>32</v>
      </c>
      <c r="AC46" s="243" t="s">
        <v>2400</v>
      </c>
      <c r="AD46" s="267" t="s">
        <v>2383</v>
      </c>
      <c r="AE46" s="243" t="s">
        <v>2459</v>
      </c>
      <c r="AG46" s="268">
        <f t="shared" si="33"/>
        <v>0.76958109869483704</v>
      </c>
      <c r="AH46" s="268">
        <f t="shared" si="35"/>
        <v>0.81821862413235069</v>
      </c>
      <c r="AI46" s="268">
        <f t="shared" si="37"/>
        <v>0.84849271322524755</v>
      </c>
      <c r="AJ46" s="268">
        <f t="shared" si="39"/>
        <v>0.86885653834265353</v>
      </c>
      <c r="AK46" s="268">
        <f t="shared" si="41"/>
        <v>0.88797138218619187</v>
      </c>
      <c r="AL46" s="268">
        <f t="shared" si="43"/>
        <v>0.90573080982991572</v>
      </c>
      <c r="AM46" s="268">
        <f t="shared" si="45"/>
        <v>0.92384542602651409</v>
      </c>
      <c r="AN46" s="268">
        <f t="shared" si="47"/>
        <v>0.94232233454704439</v>
      </c>
      <c r="AO46" s="268">
        <f t="shared" si="49"/>
        <v>0.96116878123798533</v>
      </c>
      <c r="AP46" s="268">
        <f t="shared" ref="AP46:AP55" si="51">AQ46/(1+L$11)</f>
        <v>0.98039215686274506</v>
      </c>
      <c r="AQ46" s="260">
        <v>1</v>
      </c>
      <c r="AR46" s="261">
        <f t="shared" ref="AR46:AZ46" si="52">AQ46*(1+N$11)</f>
        <v>1.02</v>
      </c>
      <c r="AS46" s="261">
        <f t="shared" si="52"/>
        <v>1.0404</v>
      </c>
      <c r="AT46" s="261">
        <f t="shared" si="52"/>
        <v>1.0612079999999999</v>
      </c>
      <c r="AU46" s="261">
        <f t="shared" si="52"/>
        <v>1.08243216</v>
      </c>
      <c r="AV46" s="261">
        <f t="shared" si="52"/>
        <v>1.1040808032</v>
      </c>
      <c r="AW46" s="261">
        <f t="shared" si="52"/>
        <v>1.1261624192640001</v>
      </c>
      <c r="AX46" s="261">
        <f t="shared" si="52"/>
        <v>1.14868566764928</v>
      </c>
      <c r="AY46" s="261">
        <f t="shared" si="52"/>
        <v>1.1716593810022657</v>
      </c>
      <c r="AZ46" s="261">
        <f t="shared" si="52"/>
        <v>1.1950925686223111</v>
      </c>
      <c r="BA46" s="269"/>
      <c r="BB46" s="269"/>
      <c r="BC46" s="269"/>
      <c r="BD46" s="269"/>
      <c r="BE46" s="262"/>
      <c r="BF46" s="244">
        <v>30</v>
      </c>
      <c r="BG46" s="275">
        <v>2019</v>
      </c>
      <c r="BH46" s="276">
        <v>2.5245E-2</v>
      </c>
      <c r="BI46" s="277">
        <v>0.97406892635429698</v>
      </c>
      <c r="BJ46" s="278">
        <v>0.99017416885984799</v>
      </c>
      <c r="BL46" s="297"/>
    </row>
    <row r="47" spans="28:68" ht="14.25" customHeight="1" outlineLevel="1">
      <c r="AB47" s="258">
        <v>33</v>
      </c>
      <c r="AC47" s="243" t="s">
        <v>2400</v>
      </c>
      <c r="AD47" s="267" t="s">
        <v>2384</v>
      </c>
      <c r="AE47" s="243" t="s">
        <v>2460</v>
      </c>
      <c r="AG47" s="268">
        <f t="shared" si="33"/>
        <v>0.75449127323023224</v>
      </c>
      <c r="AH47" s="268">
        <f t="shared" si="35"/>
        <v>0.8021751216983829</v>
      </c>
      <c r="AI47" s="268">
        <f t="shared" si="37"/>
        <v>0.83185560120122304</v>
      </c>
      <c r="AJ47" s="268">
        <f t="shared" si="39"/>
        <v>0.85182013563005243</v>
      </c>
      <c r="AK47" s="268">
        <f t="shared" si="41"/>
        <v>0.87056017861391355</v>
      </c>
      <c r="AL47" s="268">
        <f t="shared" si="43"/>
        <v>0.88797138218619187</v>
      </c>
      <c r="AM47" s="268">
        <f t="shared" si="45"/>
        <v>0.90573080982991572</v>
      </c>
      <c r="AN47" s="268">
        <f t="shared" si="47"/>
        <v>0.92384542602651409</v>
      </c>
      <c r="AO47" s="268">
        <f t="shared" si="49"/>
        <v>0.94232233454704439</v>
      </c>
      <c r="AP47" s="268">
        <f t="shared" si="51"/>
        <v>0.96116878123798533</v>
      </c>
      <c r="AQ47" s="268">
        <f t="shared" ref="AQ47:AQ55" si="53">AR47/(1+M$11)</f>
        <v>0.98039215686274506</v>
      </c>
      <c r="AR47" s="260">
        <v>1</v>
      </c>
      <c r="AS47" s="261">
        <f t="shared" ref="AS47:AZ47" si="54">AR47*(1+O$11)</f>
        <v>1.02</v>
      </c>
      <c r="AT47" s="261">
        <f t="shared" si="54"/>
        <v>1.0404</v>
      </c>
      <c r="AU47" s="261">
        <f t="shared" si="54"/>
        <v>1.0612079999999999</v>
      </c>
      <c r="AV47" s="261">
        <f t="shared" si="54"/>
        <v>1.08243216</v>
      </c>
      <c r="AW47" s="261">
        <f t="shared" si="54"/>
        <v>1.1040808032</v>
      </c>
      <c r="AX47" s="261">
        <f t="shared" si="54"/>
        <v>1.1261624192640001</v>
      </c>
      <c r="AY47" s="261">
        <f t="shared" si="54"/>
        <v>1.14868566764928</v>
      </c>
      <c r="AZ47" s="261">
        <f t="shared" si="54"/>
        <v>1.1716593810022657</v>
      </c>
      <c r="BA47" s="269"/>
      <c r="BB47" s="269"/>
      <c r="BC47" s="269"/>
      <c r="BD47" s="269"/>
      <c r="BE47" s="262"/>
      <c r="BF47" s="244">
        <v>31</v>
      </c>
      <c r="BG47" s="275">
        <v>2020</v>
      </c>
      <c r="BH47" s="276">
        <v>1.9484999999999999E-2</v>
      </c>
      <c r="BI47" s="277">
        <v>0.99304865938430997</v>
      </c>
      <c r="BJ47" s="278">
        <v>1.01201588877855</v>
      </c>
      <c r="BL47" s="297"/>
    </row>
    <row r="48" spans="28:68" ht="14.25" customHeight="1" outlineLevel="1">
      <c r="AB48" s="258">
        <v>34</v>
      </c>
      <c r="AC48" s="243" t="s">
        <v>2400</v>
      </c>
      <c r="AD48" s="267" t="s">
        <v>2385</v>
      </c>
      <c r="AE48" s="243" t="s">
        <v>2461</v>
      </c>
      <c r="AG48" s="268">
        <f t="shared" si="33"/>
        <v>0.73969732669630617</v>
      </c>
      <c r="AH48" s="268">
        <f t="shared" si="35"/>
        <v>0.78644619774351265</v>
      </c>
      <c r="AI48" s="268">
        <f t="shared" si="37"/>
        <v>0.81554470706002258</v>
      </c>
      <c r="AJ48" s="268">
        <f t="shared" si="39"/>
        <v>0.83511778002946313</v>
      </c>
      <c r="AK48" s="268">
        <f t="shared" si="41"/>
        <v>0.85349037119011129</v>
      </c>
      <c r="AL48" s="268">
        <f t="shared" si="43"/>
        <v>0.87056017861391355</v>
      </c>
      <c r="AM48" s="268">
        <f t="shared" si="45"/>
        <v>0.88797138218619187</v>
      </c>
      <c r="AN48" s="268">
        <f t="shared" si="47"/>
        <v>0.90573080982991572</v>
      </c>
      <c r="AO48" s="268">
        <f t="shared" si="49"/>
        <v>0.92384542602651409</v>
      </c>
      <c r="AP48" s="268">
        <f t="shared" si="51"/>
        <v>0.94232233454704439</v>
      </c>
      <c r="AQ48" s="268">
        <f t="shared" si="53"/>
        <v>0.96116878123798533</v>
      </c>
      <c r="AR48" s="268">
        <f t="shared" ref="AR48:AR55" si="55">AS48/(1+N$11)</f>
        <v>0.98039215686274506</v>
      </c>
      <c r="AS48" s="260">
        <v>1</v>
      </c>
      <c r="AT48" s="261">
        <f t="shared" ref="AT48:AZ48" si="56">AS48*(1+P$11)</f>
        <v>1.02</v>
      </c>
      <c r="AU48" s="261">
        <f t="shared" si="56"/>
        <v>1.0404</v>
      </c>
      <c r="AV48" s="261">
        <f t="shared" si="56"/>
        <v>1.0612079999999999</v>
      </c>
      <c r="AW48" s="261">
        <f t="shared" si="56"/>
        <v>1.08243216</v>
      </c>
      <c r="AX48" s="261">
        <f t="shared" si="56"/>
        <v>1.1040808032</v>
      </c>
      <c r="AY48" s="261">
        <f t="shared" si="56"/>
        <v>1.1261624192640001</v>
      </c>
      <c r="AZ48" s="261">
        <f t="shared" si="56"/>
        <v>1.14868566764928</v>
      </c>
      <c r="BA48" s="269"/>
      <c r="BB48" s="269"/>
      <c r="BC48" s="269"/>
      <c r="BD48" s="269"/>
      <c r="BE48" s="262"/>
      <c r="BF48" s="244">
        <v>32</v>
      </c>
      <c r="BG48" s="275">
        <v>2021</v>
      </c>
      <c r="BH48" s="276">
        <v>7.0000000000000001E-3</v>
      </c>
      <c r="BI48" s="277">
        <v>1</v>
      </c>
      <c r="BJ48" s="278">
        <v>1.0197913619966901</v>
      </c>
      <c r="BK48" s="298" t="s">
        <v>2372</v>
      </c>
      <c r="BL48" s="297"/>
      <c r="BM48" s="244"/>
    </row>
    <row r="49" spans="28:64" ht="14.25" customHeight="1" outlineLevel="1">
      <c r="AB49" s="258">
        <v>35</v>
      </c>
      <c r="AC49" s="243" t="s">
        <v>2400</v>
      </c>
      <c r="AD49" s="267" t="s">
        <v>2386</v>
      </c>
      <c r="AE49" s="243" t="s">
        <v>2462</v>
      </c>
      <c r="AG49" s="268">
        <f t="shared" si="33"/>
        <v>0.7251934575453981</v>
      </c>
      <c r="AH49" s="268">
        <f t="shared" si="35"/>
        <v>0.77102568406226724</v>
      </c>
      <c r="AI49" s="268">
        <f t="shared" si="37"/>
        <v>0.7995536343725711</v>
      </c>
      <c r="AJ49" s="268">
        <f t="shared" si="39"/>
        <v>0.81874292159751283</v>
      </c>
      <c r="AK49" s="268">
        <f t="shared" si="41"/>
        <v>0.83675526587265814</v>
      </c>
      <c r="AL49" s="268">
        <f t="shared" si="43"/>
        <v>0.85349037119011129</v>
      </c>
      <c r="AM49" s="268">
        <f t="shared" si="45"/>
        <v>0.87056017861391355</v>
      </c>
      <c r="AN49" s="268">
        <f t="shared" si="47"/>
        <v>0.88797138218619187</v>
      </c>
      <c r="AO49" s="268">
        <f t="shared" si="49"/>
        <v>0.90573080982991572</v>
      </c>
      <c r="AP49" s="268">
        <f t="shared" si="51"/>
        <v>0.92384542602651409</v>
      </c>
      <c r="AQ49" s="268">
        <f t="shared" si="53"/>
        <v>0.94232233454704439</v>
      </c>
      <c r="AR49" s="268">
        <f t="shared" si="55"/>
        <v>0.96116878123798533</v>
      </c>
      <c r="AS49" s="268">
        <f t="shared" ref="AS49:AS55" si="57">AT49/(1+O$11)</f>
        <v>0.98039215686274506</v>
      </c>
      <c r="AT49" s="260">
        <v>1</v>
      </c>
      <c r="AU49" s="261">
        <f t="shared" ref="AU49:AZ49" si="58">AT49*(1+Q$11)</f>
        <v>1.02</v>
      </c>
      <c r="AV49" s="261">
        <f t="shared" si="58"/>
        <v>1.0404</v>
      </c>
      <c r="AW49" s="261">
        <f t="shared" si="58"/>
        <v>1.0612079999999999</v>
      </c>
      <c r="AX49" s="261">
        <f t="shared" si="58"/>
        <v>1.08243216</v>
      </c>
      <c r="AY49" s="261">
        <f t="shared" si="58"/>
        <v>1.1040808032</v>
      </c>
      <c r="AZ49" s="261">
        <f t="shared" si="58"/>
        <v>1.1261624192640001</v>
      </c>
      <c r="BA49" s="269"/>
      <c r="BB49" s="269"/>
      <c r="BC49" s="269"/>
      <c r="BD49" s="269"/>
      <c r="BE49" s="262"/>
      <c r="BF49" s="244">
        <v>33</v>
      </c>
      <c r="BG49" s="275">
        <v>2022</v>
      </c>
      <c r="BH49" s="276">
        <v>3.4000000000000002E-2</v>
      </c>
      <c r="BI49" s="277">
        <v>1.034</v>
      </c>
      <c r="BJ49" s="278">
        <v>1.0544169356369899</v>
      </c>
      <c r="BK49" s="298" t="s">
        <v>2373</v>
      </c>
      <c r="BL49" s="297"/>
    </row>
    <row r="50" spans="28:64" ht="14.25" customHeight="1" outlineLevel="1">
      <c r="AB50" s="258">
        <v>36</v>
      </c>
      <c r="AC50" s="243" t="s">
        <v>2400</v>
      </c>
      <c r="AD50" s="267" t="s">
        <v>2387</v>
      </c>
      <c r="AE50" s="243" t="s">
        <v>2463</v>
      </c>
      <c r="AG50" s="268">
        <f t="shared" si="33"/>
        <v>0.7109739779856844</v>
      </c>
      <c r="AH50" s="268">
        <f t="shared" si="35"/>
        <v>0.75590753339437966</v>
      </c>
      <c r="AI50" s="268">
        <f t="shared" si="37"/>
        <v>0.78387611212997166</v>
      </c>
      <c r="AJ50" s="268">
        <f t="shared" si="39"/>
        <v>0.80268913882109094</v>
      </c>
      <c r="AK50" s="268">
        <f t="shared" si="41"/>
        <v>0.82034829987515501</v>
      </c>
      <c r="AL50" s="268">
        <f t="shared" si="43"/>
        <v>0.83675526587265814</v>
      </c>
      <c r="AM50" s="268">
        <f t="shared" si="45"/>
        <v>0.85349037119011129</v>
      </c>
      <c r="AN50" s="268">
        <f t="shared" si="47"/>
        <v>0.87056017861391355</v>
      </c>
      <c r="AO50" s="268">
        <f t="shared" si="49"/>
        <v>0.88797138218619187</v>
      </c>
      <c r="AP50" s="268">
        <f t="shared" si="51"/>
        <v>0.90573080982991572</v>
      </c>
      <c r="AQ50" s="268">
        <f t="shared" si="53"/>
        <v>0.92384542602651409</v>
      </c>
      <c r="AR50" s="268">
        <f t="shared" si="55"/>
        <v>0.94232233454704439</v>
      </c>
      <c r="AS50" s="268">
        <f t="shared" si="57"/>
        <v>0.96116878123798533</v>
      </c>
      <c r="AT50" s="268">
        <f t="shared" ref="AT50:AT55" si="59">AU50/(1+P$11)</f>
        <v>0.98039215686274506</v>
      </c>
      <c r="AU50" s="260">
        <v>1</v>
      </c>
      <c r="AV50" s="261">
        <f>AU50*(1+R$11)</f>
        <v>1.02</v>
      </c>
      <c r="AW50" s="261">
        <f>AV50*(1+S$11)</f>
        <v>1.0404</v>
      </c>
      <c r="AX50" s="261">
        <f>AW50*(1+T$11)</f>
        <v>1.0612079999999999</v>
      </c>
      <c r="AY50" s="261">
        <f>AX50*(1+U$11)</f>
        <v>1.08243216</v>
      </c>
      <c r="AZ50" s="261">
        <f>AY50*(1+V$11)</f>
        <v>1.1040808032</v>
      </c>
      <c r="BA50" s="269"/>
      <c r="BB50" s="269"/>
      <c r="BC50" s="269"/>
      <c r="BD50" s="269"/>
      <c r="BE50" s="262"/>
      <c r="BF50" s="244">
        <v>34</v>
      </c>
      <c r="BG50" s="275">
        <v>2023</v>
      </c>
      <c r="BH50" s="276">
        <v>6.9000000000000006E-2</v>
      </c>
      <c r="BI50" s="277">
        <v>1.1053459999999999</v>
      </c>
      <c r="BJ50" s="278">
        <v>1.12710759515667</v>
      </c>
      <c r="BK50" s="299" t="s">
        <v>2374</v>
      </c>
      <c r="BL50" s="297"/>
    </row>
    <row r="51" spans="28:64" ht="14.25" customHeight="1" outlineLevel="1">
      <c r="AB51" s="258">
        <v>37</v>
      </c>
      <c r="AC51" s="243" t="s">
        <v>2400</v>
      </c>
      <c r="AD51" s="267" t="s">
        <v>2388</v>
      </c>
      <c r="AE51" s="243" t="s">
        <v>2464</v>
      </c>
      <c r="AG51" s="268">
        <f t="shared" si="33"/>
        <v>0.69703331175067107</v>
      </c>
      <c r="AH51" s="268">
        <f t="shared" si="35"/>
        <v>0.74108581705331344</v>
      </c>
      <c r="AI51" s="268">
        <f t="shared" si="37"/>
        <v>0.76850599228428595</v>
      </c>
      <c r="AJ51" s="268">
        <f t="shared" si="39"/>
        <v>0.7869501360991088</v>
      </c>
      <c r="AK51" s="268">
        <f t="shared" si="41"/>
        <v>0.80426303909328922</v>
      </c>
      <c r="AL51" s="268">
        <f t="shared" si="43"/>
        <v>0.82034829987515501</v>
      </c>
      <c r="AM51" s="268">
        <f t="shared" si="45"/>
        <v>0.83675526587265814</v>
      </c>
      <c r="AN51" s="268">
        <f t="shared" si="47"/>
        <v>0.85349037119011129</v>
      </c>
      <c r="AO51" s="268">
        <f t="shared" si="49"/>
        <v>0.87056017861391355</v>
      </c>
      <c r="AP51" s="268">
        <f t="shared" si="51"/>
        <v>0.88797138218619187</v>
      </c>
      <c r="AQ51" s="268">
        <f t="shared" si="53"/>
        <v>0.90573080982991572</v>
      </c>
      <c r="AR51" s="268">
        <f t="shared" si="55"/>
        <v>0.92384542602651409</v>
      </c>
      <c r="AS51" s="268">
        <f t="shared" si="57"/>
        <v>0.94232233454704439</v>
      </c>
      <c r="AT51" s="268">
        <f t="shared" si="59"/>
        <v>0.96116878123798533</v>
      </c>
      <c r="AU51" s="268">
        <f>AV51/(1+Q$11)</f>
        <v>0.98039215686274506</v>
      </c>
      <c r="AV51" s="260">
        <v>1</v>
      </c>
      <c r="AW51" s="261">
        <f>AV51*(1+S$11)</f>
        <v>1.02</v>
      </c>
      <c r="AX51" s="261">
        <f>AW51*(1+T$11)</f>
        <v>1.0404</v>
      </c>
      <c r="AY51" s="261">
        <f>AX51*(1+U$11)</f>
        <v>1.0612079999999999</v>
      </c>
      <c r="AZ51" s="261">
        <f>AY51*(1+V$11)</f>
        <v>1.08243216</v>
      </c>
      <c r="BA51" s="269"/>
      <c r="BB51" s="269"/>
      <c r="BC51" s="269"/>
      <c r="BD51" s="269"/>
      <c r="BE51" s="262"/>
      <c r="BF51" s="244">
        <v>35</v>
      </c>
      <c r="BG51" s="275">
        <v>2024</v>
      </c>
      <c r="BH51" s="276">
        <v>4.2000000000000003E-2</v>
      </c>
      <c r="BI51" s="277">
        <v>1.151770532</v>
      </c>
      <c r="BJ51" s="278">
        <v>1.1744741995524799</v>
      </c>
      <c r="BK51" s="298" t="s">
        <v>2375</v>
      </c>
      <c r="BL51" s="297"/>
    </row>
    <row r="52" spans="28:64" ht="14.25" customHeight="1" outlineLevel="1">
      <c r="AB52" s="258">
        <v>38</v>
      </c>
      <c r="AC52" s="243" t="s">
        <v>2400</v>
      </c>
      <c r="AD52" s="267" t="s">
        <v>2389</v>
      </c>
      <c r="AE52" s="243" t="s">
        <v>2465</v>
      </c>
      <c r="AG52" s="268">
        <f t="shared" si="33"/>
        <v>0.68336599191242253</v>
      </c>
      <c r="AH52" s="268">
        <f t="shared" si="35"/>
        <v>0.72655472260128762</v>
      </c>
      <c r="AI52" s="268">
        <f t="shared" si="37"/>
        <v>0.75343724733753525</v>
      </c>
      <c r="AJ52" s="268">
        <f t="shared" si="39"/>
        <v>0.77151974127363609</v>
      </c>
      <c r="AK52" s="268">
        <f t="shared" si="41"/>
        <v>0.7884931755816561</v>
      </c>
      <c r="AL52" s="268">
        <f t="shared" si="43"/>
        <v>0.80426303909328922</v>
      </c>
      <c r="AM52" s="268">
        <f t="shared" si="45"/>
        <v>0.82034829987515501</v>
      </c>
      <c r="AN52" s="268">
        <f t="shared" si="47"/>
        <v>0.83675526587265814</v>
      </c>
      <c r="AO52" s="268">
        <f t="shared" si="49"/>
        <v>0.85349037119011129</v>
      </c>
      <c r="AP52" s="268">
        <f t="shared" si="51"/>
        <v>0.87056017861391355</v>
      </c>
      <c r="AQ52" s="268">
        <f t="shared" si="53"/>
        <v>0.88797138218619187</v>
      </c>
      <c r="AR52" s="268">
        <f t="shared" si="55"/>
        <v>0.90573080982991572</v>
      </c>
      <c r="AS52" s="268">
        <f t="shared" si="57"/>
        <v>0.92384542602651409</v>
      </c>
      <c r="AT52" s="268">
        <f t="shared" si="59"/>
        <v>0.94232233454704439</v>
      </c>
      <c r="AU52" s="268">
        <f>AV52/(1+Q$11)</f>
        <v>0.96116878123798533</v>
      </c>
      <c r="AV52" s="268">
        <f>AW52/(1+R$11)</f>
        <v>0.98039215686274506</v>
      </c>
      <c r="AW52" s="260">
        <v>1</v>
      </c>
      <c r="AX52" s="261">
        <f>AW52*(1+T$11)</f>
        <v>1.02</v>
      </c>
      <c r="AY52" s="261">
        <f>AX52*(1+U$11)</f>
        <v>1.0404</v>
      </c>
      <c r="AZ52" s="261">
        <f>AY52*(1+V$11)</f>
        <v>1.0612079999999999</v>
      </c>
      <c r="BA52" s="269"/>
      <c r="BB52" s="269"/>
      <c r="BC52" s="269"/>
      <c r="BD52" s="269"/>
      <c r="BE52" s="262"/>
      <c r="BF52" s="244">
        <v>36</v>
      </c>
      <c r="BG52" s="275">
        <v>2025</v>
      </c>
      <c r="BH52" s="276">
        <v>2.4E-2</v>
      </c>
      <c r="BI52" s="277">
        <v>1.1794130247679999</v>
      </c>
      <c r="BJ52" s="278">
        <v>1.2023563906546499</v>
      </c>
      <c r="BK52" s="298" t="s">
        <v>2376</v>
      </c>
      <c r="BL52" s="297"/>
    </row>
    <row r="53" spans="28:64" ht="14.25" customHeight="1" outlineLevel="1">
      <c r="AB53" s="258">
        <v>39</v>
      </c>
      <c r="AC53" s="243" t="s">
        <v>2400</v>
      </c>
      <c r="AD53" s="267" t="s">
        <v>2390</v>
      </c>
      <c r="AE53" s="243" t="s">
        <v>2466</v>
      </c>
      <c r="AG53" s="268">
        <f t="shared" si="33"/>
        <v>0.66996665873766914</v>
      </c>
      <c r="AH53" s="268">
        <f t="shared" si="35"/>
        <v>0.71230855156988981</v>
      </c>
      <c r="AI53" s="268">
        <f t="shared" si="37"/>
        <v>0.73866396797797573</v>
      </c>
      <c r="AJ53" s="268">
        <f t="shared" si="39"/>
        <v>0.75639190320944716</v>
      </c>
      <c r="AK53" s="268">
        <f t="shared" si="41"/>
        <v>0.77303252508005504</v>
      </c>
      <c r="AL53" s="268">
        <f t="shared" si="43"/>
        <v>0.7884931755816561</v>
      </c>
      <c r="AM53" s="268">
        <f t="shared" si="45"/>
        <v>0.80426303909328922</v>
      </c>
      <c r="AN53" s="268">
        <f t="shared" si="47"/>
        <v>0.82034829987515501</v>
      </c>
      <c r="AO53" s="268">
        <f t="shared" si="49"/>
        <v>0.83675526587265814</v>
      </c>
      <c r="AP53" s="268">
        <f t="shared" si="51"/>
        <v>0.85349037119011129</v>
      </c>
      <c r="AQ53" s="268">
        <f t="shared" si="53"/>
        <v>0.87056017861391355</v>
      </c>
      <c r="AR53" s="268">
        <f t="shared" si="55"/>
        <v>0.88797138218619187</v>
      </c>
      <c r="AS53" s="268">
        <f t="shared" si="57"/>
        <v>0.90573080982991572</v>
      </c>
      <c r="AT53" s="268">
        <f t="shared" si="59"/>
        <v>0.92384542602651409</v>
      </c>
      <c r="AU53" s="268">
        <f>AV53/(1+Q$11)</f>
        <v>0.94232233454704439</v>
      </c>
      <c r="AV53" s="268">
        <f>AW53/(1+R$11)</f>
        <v>0.96116878123798533</v>
      </c>
      <c r="AW53" s="268">
        <f>AX53/(1+S$11)</f>
        <v>0.98039215686274506</v>
      </c>
      <c r="AX53" s="260">
        <v>1</v>
      </c>
      <c r="AY53" s="261">
        <f>AX53*(1+U$11)</f>
        <v>1.02</v>
      </c>
      <c r="AZ53" s="261">
        <f>AY53*(1+V$11)</f>
        <v>1.0404</v>
      </c>
      <c r="BA53" s="269"/>
      <c r="BB53" s="269"/>
      <c r="BC53" s="269"/>
      <c r="BD53" s="269"/>
      <c r="BE53" s="262"/>
      <c r="BF53" s="244">
        <v>37</v>
      </c>
      <c r="BG53" s="275">
        <v>2026</v>
      </c>
      <c r="BH53" s="276">
        <v>2.1089E-2</v>
      </c>
      <c r="BI53" s="277">
        <v>1.20428566604733</v>
      </c>
      <c r="BJ53" s="278">
        <v>1.2271999752221201</v>
      </c>
      <c r="BK53" s="298" t="s">
        <v>2377</v>
      </c>
    </row>
    <row r="54" spans="28:64" ht="14.25" customHeight="1" outlineLevel="1">
      <c r="AB54" s="258">
        <v>40</v>
      </c>
      <c r="AC54" s="243" t="s">
        <v>2400</v>
      </c>
      <c r="AD54" s="267" t="s">
        <v>2391</v>
      </c>
      <c r="AE54" s="243" t="s">
        <v>2467</v>
      </c>
      <c r="AG54" s="286">
        <f t="shared" si="33"/>
        <v>0.65683005758595026</v>
      </c>
      <c r="AH54" s="286">
        <f t="shared" si="35"/>
        <v>0.6983417172253823</v>
      </c>
      <c r="AI54" s="286">
        <f t="shared" si="37"/>
        <v>0.72418036076272141</v>
      </c>
      <c r="AJ54" s="286">
        <f t="shared" si="39"/>
        <v>0.74156068942102671</v>
      </c>
      <c r="AK54" s="286">
        <f t="shared" si="41"/>
        <v>0.75787502458828926</v>
      </c>
      <c r="AL54" s="286">
        <f t="shared" si="43"/>
        <v>0.77303252508005504</v>
      </c>
      <c r="AM54" s="286">
        <f t="shared" si="45"/>
        <v>0.7884931755816561</v>
      </c>
      <c r="AN54" s="286">
        <f t="shared" si="47"/>
        <v>0.80426303909328922</v>
      </c>
      <c r="AO54" s="286">
        <f t="shared" si="49"/>
        <v>0.82034829987515501</v>
      </c>
      <c r="AP54" s="286">
        <f t="shared" si="51"/>
        <v>0.83675526587265814</v>
      </c>
      <c r="AQ54" s="286">
        <f t="shared" si="53"/>
        <v>0.85349037119011129</v>
      </c>
      <c r="AR54" s="286">
        <f t="shared" si="55"/>
        <v>0.87056017861391355</v>
      </c>
      <c r="AS54" s="286">
        <f t="shared" si="57"/>
        <v>0.88797138218619187</v>
      </c>
      <c r="AT54" s="286">
        <f t="shared" si="59"/>
        <v>0.90573080982991572</v>
      </c>
      <c r="AU54" s="286">
        <f>AV54/(1+Q$11)</f>
        <v>0.92384542602651409</v>
      </c>
      <c r="AV54" s="286">
        <f>AW54/(1+R$11)</f>
        <v>0.94232233454704439</v>
      </c>
      <c r="AW54" s="286">
        <f>AX54/(1+S$11)</f>
        <v>0.96116878123798533</v>
      </c>
      <c r="AX54" s="286">
        <f>AY54/(1+T$11)</f>
        <v>0.98039215686274506</v>
      </c>
      <c r="AY54" s="287">
        <v>1</v>
      </c>
      <c r="AZ54" s="300">
        <f>AY54*(1+V$11)</f>
        <v>1.02</v>
      </c>
      <c r="BA54" s="269"/>
      <c r="BB54" s="269"/>
      <c r="BC54" s="269"/>
      <c r="BD54" s="269"/>
      <c r="BE54" s="262"/>
      <c r="BF54" s="244">
        <v>38</v>
      </c>
      <c r="BG54" s="275">
        <v>2027</v>
      </c>
      <c r="BH54" s="276">
        <v>2.1089E-2</v>
      </c>
      <c r="BI54" s="277">
        <v>1.2296828464586</v>
      </c>
      <c r="BJ54" s="278">
        <v>1.2527841202158501</v>
      </c>
      <c r="BK54" s="298" t="s">
        <v>2378</v>
      </c>
    </row>
    <row r="55" spans="28:64" ht="15" customHeight="1" outlineLevel="1">
      <c r="AB55" s="289">
        <v>41</v>
      </c>
      <c r="AC55" s="290" t="s">
        <v>2400</v>
      </c>
      <c r="AD55" s="291" t="s">
        <v>2392</v>
      </c>
      <c r="AE55" s="290" t="s">
        <v>2468</v>
      </c>
      <c r="AF55" s="292"/>
      <c r="AG55" s="292">
        <f t="shared" si="33"/>
        <v>0</v>
      </c>
      <c r="AH55" s="292">
        <f t="shared" si="35"/>
        <v>0</v>
      </c>
      <c r="AI55" s="292">
        <f t="shared" si="37"/>
        <v>0</v>
      </c>
      <c r="AJ55" s="292">
        <f t="shared" si="39"/>
        <v>0</v>
      </c>
      <c r="AK55" s="292">
        <f t="shared" si="41"/>
        <v>0</v>
      </c>
      <c r="AL55" s="292">
        <f t="shared" si="43"/>
        <v>0</v>
      </c>
      <c r="AM55" s="292">
        <f t="shared" si="45"/>
        <v>0</v>
      </c>
      <c r="AN55" s="292">
        <f t="shared" si="47"/>
        <v>0</v>
      </c>
      <c r="AO55" s="292">
        <f t="shared" si="49"/>
        <v>0</v>
      </c>
      <c r="AP55" s="292">
        <f t="shared" si="51"/>
        <v>0</v>
      </c>
      <c r="AQ55" s="292">
        <f t="shared" si="53"/>
        <v>0</v>
      </c>
      <c r="AR55" s="292">
        <f t="shared" si="55"/>
        <v>0</v>
      </c>
      <c r="AS55" s="292">
        <f t="shared" si="57"/>
        <v>0</v>
      </c>
      <c r="AT55" s="292">
        <f t="shared" si="59"/>
        <v>0</v>
      </c>
      <c r="AU55" s="292">
        <f>AV55/(1+Q$11)</f>
        <v>0</v>
      </c>
      <c r="AV55" s="292">
        <f>AW55/(1+R$11)</f>
        <v>0</v>
      </c>
      <c r="AW55" s="292">
        <f>AX55/(1+S$11)</f>
        <v>0</v>
      </c>
      <c r="AX55" s="292">
        <f>AY55/(1+T$11)</f>
        <v>0</v>
      </c>
      <c r="AY55" s="292"/>
      <c r="AZ55" s="293">
        <v>1</v>
      </c>
      <c r="BA55" s="269"/>
      <c r="BB55" s="269"/>
      <c r="BC55" s="269"/>
      <c r="BD55" s="269"/>
      <c r="BE55" s="262"/>
      <c r="BF55" s="244">
        <v>39</v>
      </c>
      <c r="BG55" s="275">
        <v>2028</v>
      </c>
      <c r="BH55" s="276">
        <v>2.1089E-2</v>
      </c>
      <c r="BI55" s="277">
        <v>1.2556156280075701</v>
      </c>
      <c r="BJ55" s="278">
        <v>1.27819169259149</v>
      </c>
      <c r="BK55" s="298" t="s">
        <v>2379</v>
      </c>
    </row>
    <row r="56" spans="28:64" ht="14.25" customHeight="1" outlineLevel="1">
      <c r="AB56" s="258">
        <v>42</v>
      </c>
      <c r="AC56" s="243" t="s">
        <v>2402</v>
      </c>
      <c r="AD56" s="259" t="s">
        <v>2372</v>
      </c>
      <c r="AE56" s="243" t="s">
        <v>2469</v>
      </c>
      <c r="AF56" s="295">
        <v>1</v>
      </c>
      <c r="AG56" s="301">
        <f t="shared" ref="AG56:AZ56" si="60">AF56*(1+C$12)</f>
        <v>1.03</v>
      </c>
      <c r="AH56" s="301">
        <f t="shared" si="60"/>
        <v>1.0609</v>
      </c>
      <c r="AI56" s="301">
        <f t="shared" si="60"/>
        <v>1.092727</v>
      </c>
      <c r="AJ56" s="301">
        <f t="shared" si="60"/>
        <v>1.1255088100000001</v>
      </c>
      <c r="AK56" s="301">
        <f t="shared" si="60"/>
        <v>1.1592740743000001</v>
      </c>
      <c r="AL56" s="301">
        <f t="shared" si="60"/>
        <v>1.1940522965290001</v>
      </c>
      <c r="AM56" s="301">
        <f t="shared" si="60"/>
        <v>1.2298738654248702</v>
      </c>
      <c r="AN56" s="301">
        <f t="shared" si="60"/>
        <v>1.2667700813876164</v>
      </c>
      <c r="AO56" s="301">
        <f t="shared" si="60"/>
        <v>1.3047731838292449</v>
      </c>
      <c r="AP56" s="301">
        <f t="shared" si="60"/>
        <v>1.3439163793441222</v>
      </c>
      <c r="AQ56" s="301">
        <f t="shared" si="60"/>
        <v>1.3842338707244459</v>
      </c>
      <c r="AR56" s="301">
        <f t="shared" si="60"/>
        <v>1.4257608868461793</v>
      </c>
      <c r="AS56" s="301">
        <f t="shared" si="60"/>
        <v>1.4685337134515648</v>
      </c>
      <c r="AT56" s="301">
        <f t="shared" si="60"/>
        <v>1.5125897248551119</v>
      </c>
      <c r="AU56" s="301">
        <f t="shared" si="60"/>
        <v>1.5579674166007653</v>
      </c>
      <c r="AV56" s="301">
        <f t="shared" si="60"/>
        <v>1.6047064390987884</v>
      </c>
      <c r="AW56" s="301">
        <f t="shared" si="60"/>
        <v>1.652847632271752</v>
      </c>
      <c r="AX56" s="301">
        <f t="shared" si="60"/>
        <v>1.7024330612399046</v>
      </c>
      <c r="AY56" s="301">
        <f t="shared" si="60"/>
        <v>1.7535060530771018</v>
      </c>
      <c r="AZ56" s="302">
        <f t="shared" si="60"/>
        <v>1.806111234669415</v>
      </c>
      <c r="BA56" s="269"/>
      <c r="BB56" s="269"/>
      <c r="BC56" s="269"/>
      <c r="BD56" s="269"/>
      <c r="BE56" s="262"/>
      <c r="BF56" s="244">
        <v>40</v>
      </c>
      <c r="BG56" s="275">
        <v>2029</v>
      </c>
      <c r="BH56" s="276">
        <v>2.1089E-2</v>
      </c>
      <c r="BI56" s="277">
        <v>1.28209530598662</v>
      </c>
      <c r="BJ56" s="278">
        <v>1.30223716798167</v>
      </c>
      <c r="BK56" s="298" t="s">
        <v>2380</v>
      </c>
    </row>
    <row r="57" spans="28:64" ht="14.25" customHeight="1">
      <c r="AB57" s="258">
        <v>43</v>
      </c>
      <c r="AC57" s="243" t="s">
        <v>2402</v>
      </c>
      <c r="AD57" s="243" t="s">
        <v>2373</v>
      </c>
      <c r="AE57" s="243" t="s">
        <v>2469</v>
      </c>
      <c r="AF57" s="268">
        <f t="shared" ref="AF57:AF76" si="61">AG57/(1+B$12)</f>
        <v>0.97560975609756106</v>
      </c>
      <c r="AG57" s="295">
        <v>1</v>
      </c>
      <c r="AH57" s="296">
        <f t="shared" ref="AH57:AZ57" si="62">AG57*(1+D$12)</f>
        <v>1.03</v>
      </c>
      <c r="AI57" s="296">
        <f t="shared" si="62"/>
        <v>1.0609</v>
      </c>
      <c r="AJ57" s="296">
        <f t="shared" si="62"/>
        <v>1.092727</v>
      </c>
      <c r="AK57" s="296">
        <f t="shared" si="62"/>
        <v>1.1255088100000001</v>
      </c>
      <c r="AL57" s="296">
        <f t="shared" si="62"/>
        <v>1.1592740743000001</v>
      </c>
      <c r="AM57" s="296">
        <f t="shared" si="62"/>
        <v>1.1940522965290001</v>
      </c>
      <c r="AN57" s="296">
        <f t="shared" si="62"/>
        <v>1.2298738654248702</v>
      </c>
      <c r="AO57" s="296">
        <f t="shared" si="62"/>
        <v>1.2667700813876164</v>
      </c>
      <c r="AP57" s="296">
        <f t="shared" si="62"/>
        <v>1.3047731838292449</v>
      </c>
      <c r="AQ57" s="296">
        <f t="shared" si="62"/>
        <v>1.3439163793441222</v>
      </c>
      <c r="AR57" s="296">
        <f t="shared" si="62"/>
        <v>1.3842338707244459</v>
      </c>
      <c r="AS57" s="296">
        <f t="shared" si="62"/>
        <v>1.4257608868461793</v>
      </c>
      <c r="AT57" s="296">
        <f t="shared" si="62"/>
        <v>1.4685337134515648</v>
      </c>
      <c r="AU57" s="296">
        <f t="shared" si="62"/>
        <v>1.5125897248551119</v>
      </c>
      <c r="AV57" s="296">
        <f t="shared" si="62"/>
        <v>1.5579674166007653</v>
      </c>
      <c r="AW57" s="296">
        <f t="shared" si="62"/>
        <v>1.6047064390987884</v>
      </c>
      <c r="AX57" s="296">
        <f t="shared" si="62"/>
        <v>1.652847632271752</v>
      </c>
      <c r="AY57" s="296">
        <f t="shared" si="62"/>
        <v>1.7024330612399046</v>
      </c>
      <c r="AZ57" s="296">
        <f t="shared" si="62"/>
        <v>1.7535060530771018</v>
      </c>
      <c r="BA57" s="269"/>
      <c r="BB57" s="269"/>
      <c r="BC57" s="269"/>
      <c r="BD57" s="269"/>
      <c r="BE57" s="262"/>
      <c r="BF57" s="244">
        <v>41</v>
      </c>
      <c r="BG57" s="275">
        <v>2030</v>
      </c>
      <c r="BH57" s="276">
        <v>2.1089E-2</v>
      </c>
      <c r="BI57" s="277">
        <v>1.3091334138945701</v>
      </c>
      <c r="BJ57" s="278">
        <v>1.3296739984532799</v>
      </c>
      <c r="BK57" s="298" t="s">
        <v>2381</v>
      </c>
    </row>
    <row r="58" spans="28:64" ht="18.75" customHeight="1" outlineLevel="1">
      <c r="AB58" s="258">
        <v>44</v>
      </c>
      <c r="AC58" s="243" t="s">
        <v>2402</v>
      </c>
      <c r="AD58" s="267" t="s">
        <v>2374</v>
      </c>
      <c r="AE58" s="243" t="s">
        <v>2470</v>
      </c>
      <c r="AF58" s="268">
        <f t="shared" si="61"/>
        <v>0.94719393795879714</v>
      </c>
      <c r="AG58" s="268">
        <f t="shared" ref="AG58:AG76" si="63">AH58/(1+C$12)</f>
        <v>0.970873786407767</v>
      </c>
      <c r="AH58" s="260">
        <v>1</v>
      </c>
      <c r="AI58" s="261">
        <f t="shared" ref="AI58:AZ58" si="64">AH58*(1+E$12)</f>
        <v>1.03</v>
      </c>
      <c r="AJ58" s="261">
        <f t="shared" si="64"/>
        <v>1.0609</v>
      </c>
      <c r="AK58" s="261">
        <f t="shared" si="64"/>
        <v>1.092727</v>
      </c>
      <c r="AL58" s="261">
        <f t="shared" si="64"/>
        <v>1.1255088100000001</v>
      </c>
      <c r="AM58" s="261">
        <f t="shared" si="64"/>
        <v>1.1592740743000001</v>
      </c>
      <c r="AN58" s="261">
        <f t="shared" si="64"/>
        <v>1.1940522965290001</v>
      </c>
      <c r="AO58" s="261">
        <f t="shared" si="64"/>
        <v>1.2298738654248702</v>
      </c>
      <c r="AP58" s="261">
        <f t="shared" si="64"/>
        <v>1.2667700813876164</v>
      </c>
      <c r="AQ58" s="261">
        <f t="shared" si="64"/>
        <v>1.3047731838292449</v>
      </c>
      <c r="AR58" s="261">
        <f t="shared" si="64"/>
        <v>1.3439163793441222</v>
      </c>
      <c r="AS58" s="261">
        <f t="shared" si="64"/>
        <v>1.3842338707244459</v>
      </c>
      <c r="AT58" s="261">
        <f t="shared" si="64"/>
        <v>1.4257608868461793</v>
      </c>
      <c r="AU58" s="261">
        <f t="shared" si="64"/>
        <v>1.4685337134515648</v>
      </c>
      <c r="AV58" s="261">
        <f t="shared" si="64"/>
        <v>1.5125897248551119</v>
      </c>
      <c r="AW58" s="261">
        <f t="shared" si="64"/>
        <v>1.5579674166007653</v>
      </c>
      <c r="AX58" s="261">
        <f t="shared" si="64"/>
        <v>1.6047064390987884</v>
      </c>
      <c r="AY58" s="261">
        <f t="shared" si="64"/>
        <v>1.652847632271752</v>
      </c>
      <c r="AZ58" s="261">
        <f t="shared" si="64"/>
        <v>1.7024330612399046</v>
      </c>
      <c r="BA58" s="269"/>
      <c r="BB58" s="269"/>
      <c r="BC58" s="269"/>
      <c r="BD58" s="269"/>
      <c r="BE58" s="262"/>
      <c r="BF58" s="244">
        <v>42</v>
      </c>
      <c r="BG58" s="275">
        <v>2031</v>
      </c>
      <c r="BH58" s="276">
        <v>2.0773E-2</v>
      </c>
      <c r="BI58" s="277">
        <v>1.3363280423014099</v>
      </c>
      <c r="BJ58" s="278">
        <v>1.3573630228371001</v>
      </c>
      <c r="BK58" s="298" t="s">
        <v>2382</v>
      </c>
    </row>
    <row r="59" spans="28:64" ht="14.25" customHeight="1" outlineLevel="1">
      <c r="AB59" s="258">
        <v>45</v>
      </c>
      <c r="AC59" s="243" t="s">
        <v>2471</v>
      </c>
      <c r="AD59" s="267" t="s">
        <v>2375</v>
      </c>
      <c r="AE59" s="243" t="s">
        <v>2472</v>
      </c>
      <c r="AF59" s="268">
        <f t="shared" si="61"/>
        <v>0.91960576500854085</v>
      </c>
      <c r="AG59" s="268">
        <f t="shared" si="63"/>
        <v>0.94259590913375435</v>
      </c>
      <c r="AH59" s="268">
        <f t="shared" ref="AH59:AH76" si="65">AI59/(1+D$12)</f>
        <v>0.970873786407767</v>
      </c>
      <c r="AI59" s="260">
        <v>1</v>
      </c>
      <c r="AJ59" s="261">
        <f t="shared" ref="AJ59:AZ59" si="66">AI59*(1+F$12)</f>
        <v>1.03</v>
      </c>
      <c r="AK59" s="261">
        <f t="shared" si="66"/>
        <v>1.0609</v>
      </c>
      <c r="AL59" s="261">
        <f t="shared" si="66"/>
        <v>1.092727</v>
      </c>
      <c r="AM59" s="261">
        <f t="shared" si="66"/>
        <v>1.1255088100000001</v>
      </c>
      <c r="AN59" s="261">
        <f t="shared" si="66"/>
        <v>1.1592740743000001</v>
      </c>
      <c r="AO59" s="261">
        <f t="shared" si="66"/>
        <v>1.1940522965290001</v>
      </c>
      <c r="AP59" s="261">
        <f t="shared" si="66"/>
        <v>1.2298738654248702</v>
      </c>
      <c r="AQ59" s="261">
        <f t="shared" si="66"/>
        <v>1.2667700813876164</v>
      </c>
      <c r="AR59" s="261">
        <f t="shared" si="66"/>
        <v>1.3047731838292449</v>
      </c>
      <c r="AS59" s="261">
        <f t="shared" si="66"/>
        <v>1.3439163793441222</v>
      </c>
      <c r="AT59" s="261">
        <f t="shared" si="66"/>
        <v>1.3842338707244459</v>
      </c>
      <c r="AU59" s="261">
        <f t="shared" si="66"/>
        <v>1.4257608868461793</v>
      </c>
      <c r="AV59" s="261">
        <f t="shared" si="66"/>
        <v>1.4685337134515648</v>
      </c>
      <c r="AW59" s="261">
        <f t="shared" si="66"/>
        <v>1.5125897248551119</v>
      </c>
      <c r="AX59" s="261">
        <f t="shared" si="66"/>
        <v>1.5579674166007653</v>
      </c>
      <c r="AY59" s="261">
        <f t="shared" si="66"/>
        <v>1.6047064390987884</v>
      </c>
      <c r="AZ59" s="261">
        <f t="shared" si="66"/>
        <v>1.652847632271752</v>
      </c>
      <c r="BA59" s="269"/>
      <c r="BB59" s="269"/>
      <c r="BC59" s="269"/>
      <c r="BD59" s="269"/>
      <c r="BE59" s="262"/>
      <c r="BF59" s="244">
        <v>43</v>
      </c>
      <c r="BG59" s="275">
        <v>2032</v>
      </c>
      <c r="BH59" s="276">
        <v>2.0773E-2</v>
      </c>
      <c r="BI59" s="277">
        <v>1.3640875847241301</v>
      </c>
      <c r="BJ59" s="278">
        <v>1.38551357331134</v>
      </c>
      <c r="BK59" s="298" t="s">
        <v>2383</v>
      </c>
    </row>
    <row r="60" spans="28:64" ht="14.25" customHeight="1" outlineLevel="1">
      <c r="AB60" s="258">
        <v>46</v>
      </c>
      <c r="AC60" s="243" t="s">
        <v>2402</v>
      </c>
      <c r="AD60" s="267" t="s">
        <v>2376</v>
      </c>
      <c r="AE60" s="243" t="s">
        <v>2473</v>
      </c>
      <c r="AF60" s="268">
        <f t="shared" si="61"/>
        <v>0.89282113107625327</v>
      </c>
      <c r="AG60" s="268">
        <f t="shared" si="63"/>
        <v>0.9151416593531595</v>
      </c>
      <c r="AH60" s="268">
        <f t="shared" si="65"/>
        <v>0.94259590913375435</v>
      </c>
      <c r="AI60" s="268">
        <f t="shared" ref="AI60:AI76" si="67">AJ60/(1+E$12)</f>
        <v>0.970873786407767</v>
      </c>
      <c r="AJ60" s="260">
        <v>1</v>
      </c>
      <c r="AK60" s="261">
        <f t="shared" ref="AK60:AZ60" si="68">AJ60*(1+G$12)</f>
        <v>1.03</v>
      </c>
      <c r="AL60" s="261">
        <f t="shared" si="68"/>
        <v>1.0609</v>
      </c>
      <c r="AM60" s="261">
        <f t="shared" si="68"/>
        <v>1.092727</v>
      </c>
      <c r="AN60" s="261">
        <f t="shared" si="68"/>
        <v>1.1255088100000001</v>
      </c>
      <c r="AO60" s="261">
        <f t="shared" si="68"/>
        <v>1.1592740743000001</v>
      </c>
      <c r="AP60" s="261">
        <f t="shared" si="68"/>
        <v>1.1940522965290001</v>
      </c>
      <c r="AQ60" s="261">
        <f t="shared" si="68"/>
        <v>1.2298738654248702</v>
      </c>
      <c r="AR60" s="261">
        <f t="shared" si="68"/>
        <v>1.2667700813876164</v>
      </c>
      <c r="AS60" s="261">
        <f t="shared" si="68"/>
        <v>1.3047731838292449</v>
      </c>
      <c r="AT60" s="261">
        <f t="shared" si="68"/>
        <v>1.3439163793441222</v>
      </c>
      <c r="AU60" s="261">
        <f t="shared" si="68"/>
        <v>1.3842338707244459</v>
      </c>
      <c r="AV60" s="261">
        <f t="shared" si="68"/>
        <v>1.4257608868461793</v>
      </c>
      <c r="AW60" s="261">
        <f t="shared" si="68"/>
        <v>1.4685337134515648</v>
      </c>
      <c r="AX60" s="261">
        <f t="shared" si="68"/>
        <v>1.5125897248551119</v>
      </c>
      <c r="AY60" s="261">
        <f t="shared" si="68"/>
        <v>1.5579674166007653</v>
      </c>
      <c r="AZ60" s="261">
        <f t="shared" si="68"/>
        <v>1.6047064390987884</v>
      </c>
      <c r="BA60" s="269"/>
      <c r="BB60" s="269"/>
      <c r="BC60" s="269"/>
      <c r="BD60" s="269"/>
      <c r="BE60" s="262"/>
      <c r="BF60" s="244">
        <v>44</v>
      </c>
      <c r="BG60" s="275">
        <v>2033</v>
      </c>
      <c r="BH60" s="276">
        <v>2.0773E-2</v>
      </c>
      <c r="BI60" s="277">
        <v>1.3924237761216101</v>
      </c>
      <c r="BJ60" s="278">
        <v>1.41424036800049</v>
      </c>
      <c r="BK60" s="298" t="s">
        <v>2384</v>
      </c>
    </row>
    <row r="61" spans="28:64" ht="14.25" customHeight="1" outlineLevel="1">
      <c r="AB61" s="258">
        <v>47</v>
      </c>
      <c r="AC61" s="243" t="s">
        <v>2471</v>
      </c>
      <c r="AD61" s="267" t="s">
        <v>2377</v>
      </c>
      <c r="AE61" s="243" t="s">
        <v>2474</v>
      </c>
      <c r="AF61" s="268">
        <f t="shared" si="61"/>
        <v>0.86681663211286719</v>
      </c>
      <c r="AG61" s="268">
        <f t="shared" si="63"/>
        <v>0.88848704791568878</v>
      </c>
      <c r="AH61" s="268">
        <f t="shared" si="65"/>
        <v>0.9151416593531595</v>
      </c>
      <c r="AI61" s="268">
        <f t="shared" si="67"/>
        <v>0.94259590913375435</v>
      </c>
      <c r="AJ61" s="268">
        <f t="shared" ref="AJ61:AJ76" si="69">AK61/(1+F$12)</f>
        <v>0.970873786407767</v>
      </c>
      <c r="AK61" s="260">
        <v>1</v>
      </c>
      <c r="AL61" s="261">
        <f t="shared" ref="AL61:AZ61" si="70">AK61*(1+H$12)</f>
        <v>1.03</v>
      </c>
      <c r="AM61" s="261">
        <f t="shared" si="70"/>
        <v>1.0609</v>
      </c>
      <c r="AN61" s="261">
        <f t="shared" si="70"/>
        <v>1.092727</v>
      </c>
      <c r="AO61" s="261">
        <f t="shared" si="70"/>
        <v>1.1255088100000001</v>
      </c>
      <c r="AP61" s="261">
        <f t="shared" si="70"/>
        <v>1.1592740743000001</v>
      </c>
      <c r="AQ61" s="261">
        <f t="shared" si="70"/>
        <v>1.1940522965290001</v>
      </c>
      <c r="AR61" s="261">
        <f t="shared" si="70"/>
        <v>1.2298738654248702</v>
      </c>
      <c r="AS61" s="261">
        <f t="shared" si="70"/>
        <v>1.2667700813876164</v>
      </c>
      <c r="AT61" s="261">
        <f t="shared" si="70"/>
        <v>1.3047731838292449</v>
      </c>
      <c r="AU61" s="261">
        <f t="shared" si="70"/>
        <v>1.3439163793441222</v>
      </c>
      <c r="AV61" s="261">
        <f t="shared" si="70"/>
        <v>1.3842338707244459</v>
      </c>
      <c r="AW61" s="261">
        <f t="shared" si="70"/>
        <v>1.4257608868461793</v>
      </c>
      <c r="AX61" s="261">
        <f t="shared" si="70"/>
        <v>1.4685337134515648</v>
      </c>
      <c r="AY61" s="261">
        <f t="shared" si="70"/>
        <v>1.5125897248551119</v>
      </c>
      <c r="AZ61" s="261">
        <f t="shared" si="70"/>
        <v>1.5579674166007653</v>
      </c>
      <c r="BA61" s="269"/>
      <c r="BB61" s="269"/>
      <c r="BC61" s="269"/>
      <c r="BD61" s="269"/>
      <c r="BE61" s="262"/>
      <c r="BF61" s="244">
        <v>45</v>
      </c>
      <c r="BG61" s="275">
        <v>2034</v>
      </c>
      <c r="BH61" s="276">
        <v>2.0773E-2</v>
      </c>
      <c r="BI61" s="277">
        <v>1.4213485952229801</v>
      </c>
      <c r="BJ61" s="278">
        <v>1.4437590631306201</v>
      </c>
      <c r="BK61" s="298" t="s">
        <v>2385</v>
      </c>
    </row>
    <row r="62" spans="28:64" ht="14.25" customHeight="1" outlineLevel="1">
      <c r="AB62" s="258">
        <v>48</v>
      </c>
      <c r="AC62" s="243" t="s">
        <v>2402</v>
      </c>
      <c r="AD62" s="267" t="s">
        <v>2378</v>
      </c>
      <c r="AE62" s="243" t="s">
        <v>2475</v>
      </c>
      <c r="AF62" s="268">
        <f t="shared" si="61"/>
        <v>0.8415695457406478</v>
      </c>
      <c r="AG62" s="268">
        <f t="shared" si="63"/>
        <v>0.86260878438416388</v>
      </c>
      <c r="AH62" s="268">
        <f t="shared" si="65"/>
        <v>0.88848704791568878</v>
      </c>
      <c r="AI62" s="268">
        <f t="shared" si="67"/>
        <v>0.9151416593531595</v>
      </c>
      <c r="AJ62" s="268">
        <f t="shared" si="69"/>
        <v>0.94259590913375435</v>
      </c>
      <c r="AK62" s="268">
        <f t="shared" ref="AK62:AK76" si="71">AL62/(1+G$12)</f>
        <v>0.970873786407767</v>
      </c>
      <c r="AL62" s="260">
        <v>1</v>
      </c>
      <c r="AM62" s="261">
        <f t="shared" ref="AM62:AZ62" si="72">AL62*(1+I$12)</f>
        <v>1.03</v>
      </c>
      <c r="AN62" s="261">
        <f t="shared" si="72"/>
        <v>1.0609</v>
      </c>
      <c r="AO62" s="261">
        <f t="shared" si="72"/>
        <v>1.092727</v>
      </c>
      <c r="AP62" s="261">
        <f t="shared" si="72"/>
        <v>1.1255088100000001</v>
      </c>
      <c r="AQ62" s="261">
        <f t="shared" si="72"/>
        <v>1.1592740743000001</v>
      </c>
      <c r="AR62" s="261">
        <f t="shared" si="72"/>
        <v>1.1940522965290001</v>
      </c>
      <c r="AS62" s="261">
        <f t="shared" si="72"/>
        <v>1.2298738654248702</v>
      </c>
      <c r="AT62" s="261">
        <f t="shared" si="72"/>
        <v>1.2667700813876164</v>
      </c>
      <c r="AU62" s="261">
        <f t="shared" si="72"/>
        <v>1.3047731838292449</v>
      </c>
      <c r="AV62" s="261">
        <f t="shared" si="72"/>
        <v>1.3439163793441222</v>
      </c>
      <c r="AW62" s="261">
        <f t="shared" si="72"/>
        <v>1.3842338707244459</v>
      </c>
      <c r="AX62" s="261">
        <f t="shared" si="72"/>
        <v>1.4257608868461793</v>
      </c>
      <c r="AY62" s="261">
        <f t="shared" si="72"/>
        <v>1.4685337134515648</v>
      </c>
      <c r="AZ62" s="261">
        <f t="shared" si="72"/>
        <v>1.5125897248551119</v>
      </c>
      <c r="BA62" s="269"/>
      <c r="BB62" s="269"/>
      <c r="BC62" s="269"/>
      <c r="BD62" s="269"/>
      <c r="BE62" s="262"/>
      <c r="BF62" s="244">
        <v>46</v>
      </c>
      <c r="BG62" s="275">
        <v>2035</v>
      </c>
      <c r="BH62" s="276">
        <v>2.0773E-2</v>
      </c>
      <c r="BI62" s="277">
        <v>1.45087426959155</v>
      </c>
      <c r="BJ62" s="278">
        <v>1.4736734341672499</v>
      </c>
      <c r="BK62" s="298" t="s">
        <v>2386</v>
      </c>
    </row>
    <row r="63" spans="28:64" ht="14.25" customHeight="1" outlineLevel="1">
      <c r="AB63" s="258">
        <v>49</v>
      </c>
      <c r="AC63" s="243" t="s">
        <v>2402</v>
      </c>
      <c r="AD63" s="267" t="s">
        <v>2379</v>
      </c>
      <c r="AE63" s="243" t="s">
        <v>2476</v>
      </c>
      <c r="AF63" s="268">
        <f t="shared" si="61"/>
        <v>0.81705781139868716</v>
      </c>
      <c r="AG63" s="268">
        <f t="shared" si="63"/>
        <v>0.83748425668365423</v>
      </c>
      <c r="AH63" s="268">
        <f t="shared" si="65"/>
        <v>0.86260878438416388</v>
      </c>
      <c r="AI63" s="268">
        <f t="shared" si="67"/>
        <v>0.88848704791568878</v>
      </c>
      <c r="AJ63" s="268">
        <f t="shared" si="69"/>
        <v>0.9151416593531595</v>
      </c>
      <c r="AK63" s="268">
        <f t="shared" si="71"/>
        <v>0.94259590913375435</v>
      </c>
      <c r="AL63" s="268">
        <f t="shared" ref="AL63:AL76" si="73">AM63/(1+H$12)</f>
        <v>0.970873786407767</v>
      </c>
      <c r="AM63" s="260">
        <v>1</v>
      </c>
      <c r="AN63" s="261">
        <f t="shared" ref="AN63:AZ63" si="74">AM63*(1+J$12)</f>
        <v>1.03</v>
      </c>
      <c r="AO63" s="261">
        <f t="shared" si="74"/>
        <v>1.0609</v>
      </c>
      <c r="AP63" s="261">
        <f t="shared" si="74"/>
        <v>1.092727</v>
      </c>
      <c r="AQ63" s="261">
        <f t="shared" si="74"/>
        <v>1.1255088100000001</v>
      </c>
      <c r="AR63" s="261">
        <f t="shared" si="74"/>
        <v>1.1592740743000001</v>
      </c>
      <c r="AS63" s="261">
        <f t="shared" si="74"/>
        <v>1.1940522965290001</v>
      </c>
      <c r="AT63" s="261">
        <f t="shared" si="74"/>
        <v>1.2298738654248702</v>
      </c>
      <c r="AU63" s="261">
        <f t="shared" si="74"/>
        <v>1.2667700813876164</v>
      </c>
      <c r="AV63" s="261">
        <f t="shared" si="74"/>
        <v>1.3047731838292449</v>
      </c>
      <c r="AW63" s="261">
        <f t="shared" si="74"/>
        <v>1.3439163793441222</v>
      </c>
      <c r="AX63" s="261">
        <f t="shared" si="74"/>
        <v>1.3842338707244459</v>
      </c>
      <c r="AY63" s="261">
        <f t="shared" si="74"/>
        <v>1.4257608868461793</v>
      </c>
      <c r="AZ63" s="261">
        <f t="shared" si="74"/>
        <v>1.4685337134515648</v>
      </c>
      <c r="BA63" s="269"/>
      <c r="BB63" s="269"/>
      <c r="BC63" s="269"/>
      <c r="BD63" s="269"/>
      <c r="BE63" s="262"/>
      <c r="BF63" s="244">
        <v>47</v>
      </c>
      <c r="BG63" s="275">
        <v>2036</v>
      </c>
      <c r="BH63" s="276">
        <v>2.0773E-2</v>
      </c>
      <c r="BI63" s="277">
        <v>1.4810132807937699</v>
      </c>
      <c r="BJ63" s="278">
        <v>1.50430377489571</v>
      </c>
      <c r="BK63" s="298" t="s">
        <v>2387</v>
      </c>
    </row>
    <row r="64" spans="28:64" ht="14.25" customHeight="1" outlineLevel="1">
      <c r="AB64" s="258">
        <v>50</v>
      </c>
      <c r="AC64" s="243" t="s">
        <v>2402</v>
      </c>
      <c r="AD64" s="267" t="s">
        <v>2380</v>
      </c>
      <c r="AE64" s="243" t="s">
        <v>2477</v>
      </c>
      <c r="AF64" s="268">
        <f t="shared" si="61"/>
        <v>0.79326001106668642</v>
      </c>
      <c r="AG64" s="268">
        <f t="shared" si="63"/>
        <v>0.81309151134335356</v>
      </c>
      <c r="AH64" s="268">
        <f t="shared" si="65"/>
        <v>0.83748425668365423</v>
      </c>
      <c r="AI64" s="268">
        <f t="shared" si="67"/>
        <v>0.86260878438416388</v>
      </c>
      <c r="AJ64" s="268">
        <f t="shared" si="69"/>
        <v>0.88848704791568878</v>
      </c>
      <c r="AK64" s="268">
        <f t="shared" si="71"/>
        <v>0.9151416593531595</v>
      </c>
      <c r="AL64" s="268">
        <f t="shared" si="73"/>
        <v>0.94259590913375435</v>
      </c>
      <c r="AM64" s="268">
        <f t="shared" ref="AM64:AM76" si="75">AN64/(1+I$12)</f>
        <v>0.970873786407767</v>
      </c>
      <c r="AN64" s="260">
        <v>1</v>
      </c>
      <c r="AO64" s="261">
        <f t="shared" ref="AO64:AZ64" si="76">AN64*(1+K$12)</f>
        <v>1.03</v>
      </c>
      <c r="AP64" s="261">
        <f t="shared" si="76"/>
        <v>1.0609</v>
      </c>
      <c r="AQ64" s="261">
        <f t="shared" si="76"/>
        <v>1.092727</v>
      </c>
      <c r="AR64" s="261">
        <f t="shared" si="76"/>
        <v>1.1255088100000001</v>
      </c>
      <c r="AS64" s="261">
        <f t="shared" si="76"/>
        <v>1.1592740743000001</v>
      </c>
      <c r="AT64" s="261">
        <f t="shared" si="76"/>
        <v>1.1940522965290001</v>
      </c>
      <c r="AU64" s="261">
        <f t="shared" si="76"/>
        <v>1.2298738654248702</v>
      </c>
      <c r="AV64" s="261">
        <f t="shared" si="76"/>
        <v>1.2667700813876164</v>
      </c>
      <c r="AW64" s="261">
        <f t="shared" si="76"/>
        <v>1.3047731838292449</v>
      </c>
      <c r="AX64" s="261">
        <f t="shared" si="76"/>
        <v>1.3439163793441222</v>
      </c>
      <c r="AY64" s="261">
        <f t="shared" si="76"/>
        <v>1.3842338707244459</v>
      </c>
      <c r="AZ64" s="261">
        <f t="shared" si="76"/>
        <v>1.4257608868461793</v>
      </c>
      <c r="BA64" s="269"/>
      <c r="BB64" s="269"/>
      <c r="BC64" s="269"/>
      <c r="BD64" s="269"/>
      <c r="BE64" s="262"/>
      <c r="BF64" s="244">
        <v>48</v>
      </c>
      <c r="BG64" s="275">
        <v>2037</v>
      </c>
      <c r="BH64" s="276">
        <v>2.0773E-2</v>
      </c>
      <c r="BI64" s="277">
        <v>1.5117783696756999</v>
      </c>
      <c r="BJ64" s="278">
        <v>1.53555892658055</v>
      </c>
      <c r="BK64" s="298" t="s">
        <v>2388</v>
      </c>
    </row>
    <row r="65" spans="28:63" ht="14.25" customHeight="1" outlineLevel="1">
      <c r="AB65" s="258">
        <v>51</v>
      </c>
      <c r="AC65" s="243" t="s">
        <v>2402</v>
      </c>
      <c r="AD65" s="267" t="s">
        <v>2381</v>
      </c>
      <c r="AE65" s="243" t="s">
        <v>2478</v>
      </c>
      <c r="AF65" s="268">
        <f t="shared" si="61"/>
        <v>0.77015535055018103</v>
      </c>
      <c r="AG65" s="268">
        <f t="shared" si="63"/>
        <v>0.7894092343139355</v>
      </c>
      <c r="AH65" s="268">
        <f t="shared" si="65"/>
        <v>0.81309151134335356</v>
      </c>
      <c r="AI65" s="268">
        <f t="shared" si="67"/>
        <v>0.83748425668365423</v>
      </c>
      <c r="AJ65" s="268">
        <f t="shared" si="69"/>
        <v>0.86260878438416388</v>
      </c>
      <c r="AK65" s="268">
        <f t="shared" si="71"/>
        <v>0.88848704791568878</v>
      </c>
      <c r="AL65" s="268">
        <f t="shared" si="73"/>
        <v>0.9151416593531595</v>
      </c>
      <c r="AM65" s="268">
        <f t="shared" si="75"/>
        <v>0.94259590913375435</v>
      </c>
      <c r="AN65" s="268">
        <f t="shared" ref="AN65:AN76" si="77">AO65/(1+J$12)</f>
        <v>0.970873786407767</v>
      </c>
      <c r="AO65" s="260">
        <v>1</v>
      </c>
      <c r="AP65" s="261">
        <f t="shared" ref="AP65:AZ65" si="78">AO65*(1+L$12)</f>
        <v>1.03</v>
      </c>
      <c r="AQ65" s="261">
        <f t="shared" si="78"/>
        <v>1.0609</v>
      </c>
      <c r="AR65" s="261">
        <f t="shared" si="78"/>
        <v>1.092727</v>
      </c>
      <c r="AS65" s="261">
        <f t="shared" si="78"/>
        <v>1.1255088100000001</v>
      </c>
      <c r="AT65" s="261">
        <f t="shared" si="78"/>
        <v>1.1592740743000001</v>
      </c>
      <c r="AU65" s="261">
        <f t="shared" si="78"/>
        <v>1.1940522965290001</v>
      </c>
      <c r="AV65" s="261">
        <f t="shared" si="78"/>
        <v>1.2298738654248702</v>
      </c>
      <c r="AW65" s="261">
        <f t="shared" si="78"/>
        <v>1.2667700813876164</v>
      </c>
      <c r="AX65" s="261">
        <f t="shared" si="78"/>
        <v>1.3047731838292449</v>
      </c>
      <c r="AY65" s="261">
        <f t="shared" si="78"/>
        <v>1.3439163793441222</v>
      </c>
      <c r="AZ65" s="261">
        <f t="shared" si="78"/>
        <v>1.3842338707244459</v>
      </c>
      <c r="BA65" s="269"/>
      <c r="BB65" s="269"/>
      <c r="BC65" s="269"/>
      <c r="BD65" s="269"/>
      <c r="BE65" s="262"/>
      <c r="BF65" s="244">
        <v>49</v>
      </c>
      <c r="BG65" s="275">
        <v>2038</v>
      </c>
      <c r="BH65" s="276">
        <v>2.0773E-2</v>
      </c>
      <c r="BI65" s="277">
        <v>1.54318254174897</v>
      </c>
      <c r="BJ65" s="278">
        <v>1.5674521183974699</v>
      </c>
      <c r="BK65" s="298" t="s">
        <v>2389</v>
      </c>
    </row>
    <row r="66" spans="28:63" ht="14.25" customHeight="1" outlineLevel="1">
      <c r="AB66" s="258">
        <v>52</v>
      </c>
      <c r="AC66" s="243" t="s">
        <v>2402</v>
      </c>
      <c r="AD66" s="267" t="s">
        <v>2382</v>
      </c>
      <c r="AE66" s="243" t="s">
        <v>2479</v>
      </c>
      <c r="AF66" s="268">
        <f t="shared" si="61"/>
        <v>0.74772364131085545</v>
      </c>
      <c r="AG66" s="268">
        <f t="shared" si="63"/>
        <v>0.76641673234362673</v>
      </c>
      <c r="AH66" s="268">
        <f t="shared" si="65"/>
        <v>0.7894092343139355</v>
      </c>
      <c r="AI66" s="268">
        <f t="shared" si="67"/>
        <v>0.81309151134335356</v>
      </c>
      <c r="AJ66" s="268">
        <f t="shared" si="69"/>
        <v>0.83748425668365423</v>
      </c>
      <c r="AK66" s="268">
        <f t="shared" si="71"/>
        <v>0.86260878438416388</v>
      </c>
      <c r="AL66" s="268">
        <f t="shared" si="73"/>
        <v>0.88848704791568878</v>
      </c>
      <c r="AM66" s="268">
        <f t="shared" si="75"/>
        <v>0.9151416593531595</v>
      </c>
      <c r="AN66" s="268">
        <f t="shared" si="77"/>
        <v>0.94259590913375435</v>
      </c>
      <c r="AO66" s="268">
        <f t="shared" ref="AO66:AO76" si="79">AP66/(1+K$12)</f>
        <v>0.970873786407767</v>
      </c>
      <c r="AP66" s="260">
        <v>1</v>
      </c>
      <c r="AQ66" s="261">
        <f t="shared" ref="AQ66:AZ66" si="80">AP66*(1+M$12)</f>
        <v>1.03</v>
      </c>
      <c r="AR66" s="261">
        <f t="shared" si="80"/>
        <v>1.0609</v>
      </c>
      <c r="AS66" s="261">
        <f t="shared" si="80"/>
        <v>1.092727</v>
      </c>
      <c r="AT66" s="261">
        <f t="shared" si="80"/>
        <v>1.1255088100000001</v>
      </c>
      <c r="AU66" s="261">
        <f t="shared" si="80"/>
        <v>1.1592740743000001</v>
      </c>
      <c r="AV66" s="261">
        <f t="shared" si="80"/>
        <v>1.1940522965290001</v>
      </c>
      <c r="AW66" s="261">
        <f t="shared" si="80"/>
        <v>1.2298738654248702</v>
      </c>
      <c r="AX66" s="261">
        <f t="shared" si="80"/>
        <v>1.2667700813876164</v>
      </c>
      <c r="AY66" s="261">
        <f t="shared" si="80"/>
        <v>1.3047731838292449</v>
      </c>
      <c r="AZ66" s="261">
        <f t="shared" si="80"/>
        <v>1.3439163793441222</v>
      </c>
      <c r="BA66" s="269"/>
      <c r="BB66" s="269"/>
      <c r="BC66" s="269"/>
      <c r="BD66" s="269"/>
      <c r="BE66" s="262"/>
      <c r="BF66" s="244">
        <v>50</v>
      </c>
      <c r="BG66" s="275">
        <v>2039</v>
      </c>
      <c r="BH66" s="276">
        <v>2.0773E-2</v>
      </c>
      <c r="BI66" s="277">
        <v>1.57523907268873</v>
      </c>
      <c r="BJ66" s="278">
        <v>1.59999685520096</v>
      </c>
      <c r="BK66" s="298" t="s">
        <v>2390</v>
      </c>
    </row>
    <row r="67" spans="28:63" ht="14.25" customHeight="1" outlineLevel="1">
      <c r="AB67" s="258">
        <v>53</v>
      </c>
      <c r="AC67" s="243" t="s">
        <v>2402</v>
      </c>
      <c r="AD67" s="267" t="s">
        <v>2383</v>
      </c>
      <c r="AE67" s="243" t="s">
        <v>2480</v>
      </c>
      <c r="AF67" s="268">
        <f t="shared" si="61"/>
        <v>0.72594528282607318</v>
      </c>
      <c r="AG67" s="268">
        <f t="shared" si="63"/>
        <v>0.74409391489672494</v>
      </c>
      <c r="AH67" s="268">
        <f t="shared" si="65"/>
        <v>0.76641673234362673</v>
      </c>
      <c r="AI67" s="268">
        <f t="shared" si="67"/>
        <v>0.7894092343139355</v>
      </c>
      <c r="AJ67" s="268">
        <f t="shared" si="69"/>
        <v>0.81309151134335356</v>
      </c>
      <c r="AK67" s="268">
        <f t="shared" si="71"/>
        <v>0.83748425668365423</v>
      </c>
      <c r="AL67" s="268">
        <f t="shared" si="73"/>
        <v>0.86260878438416388</v>
      </c>
      <c r="AM67" s="268">
        <f t="shared" si="75"/>
        <v>0.88848704791568878</v>
      </c>
      <c r="AN67" s="268">
        <f t="shared" si="77"/>
        <v>0.9151416593531595</v>
      </c>
      <c r="AO67" s="268">
        <f t="shared" si="79"/>
        <v>0.94259590913375435</v>
      </c>
      <c r="AP67" s="268">
        <f t="shared" ref="AP67:AP76" si="81">AQ67/(1+L$12)</f>
        <v>0.970873786407767</v>
      </c>
      <c r="AQ67" s="260">
        <v>1</v>
      </c>
      <c r="AR67" s="261">
        <f t="shared" ref="AR67:AZ67" si="82">AQ67*(1+N$12)</f>
        <v>1.03</v>
      </c>
      <c r="AS67" s="261">
        <f t="shared" si="82"/>
        <v>1.0609</v>
      </c>
      <c r="AT67" s="261">
        <f t="shared" si="82"/>
        <v>1.092727</v>
      </c>
      <c r="AU67" s="261">
        <f t="shared" si="82"/>
        <v>1.1255088100000001</v>
      </c>
      <c r="AV67" s="261">
        <f t="shared" si="82"/>
        <v>1.1592740743000001</v>
      </c>
      <c r="AW67" s="261">
        <f t="shared" si="82"/>
        <v>1.1940522965290001</v>
      </c>
      <c r="AX67" s="261">
        <f t="shared" si="82"/>
        <v>1.2298738654248702</v>
      </c>
      <c r="AY67" s="261">
        <f t="shared" si="82"/>
        <v>1.2667700813876164</v>
      </c>
      <c r="AZ67" s="261">
        <f t="shared" si="82"/>
        <v>1.3047731838292449</v>
      </c>
      <c r="BA67" s="269"/>
      <c r="BB67" s="269"/>
      <c r="BC67" s="269"/>
      <c r="BD67" s="269"/>
      <c r="BE67" s="262"/>
      <c r="BF67" s="244">
        <v>51</v>
      </c>
      <c r="BG67" s="275">
        <v>2040</v>
      </c>
      <c r="BH67" s="276">
        <v>2.0773E-2</v>
      </c>
      <c r="BI67" s="277">
        <v>1.60796151394569</v>
      </c>
      <c r="BJ67" s="278">
        <v>1.63320692208983</v>
      </c>
      <c r="BK67" s="298" t="s">
        <v>2391</v>
      </c>
    </row>
    <row r="68" spans="28:63" ht="14.25" customHeight="1" outlineLevel="1">
      <c r="AB68" s="258">
        <v>54</v>
      </c>
      <c r="AC68" s="243" t="s">
        <v>2402</v>
      </c>
      <c r="AD68" s="267" t="s">
        <v>2384</v>
      </c>
      <c r="AE68" s="243" t="s">
        <v>2481</v>
      </c>
      <c r="AF68" s="268">
        <f t="shared" si="61"/>
        <v>0.70480124546220702</v>
      </c>
      <c r="AG68" s="268">
        <f t="shared" si="63"/>
        <v>0.7224212765987621</v>
      </c>
      <c r="AH68" s="268">
        <f t="shared" si="65"/>
        <v>0.74409391489672494</v>
      </c>
      <c r="AI68" s="268">
        <f t="shared" si="67"/>
        <v>0.76641673234362673</v>
      </c>
      <c r="AJ68" s="268">
        <f t="shared" si="69"/>
        <v>0.7894092343139355</v>
      </c>
      <c r="AK68" s="268">
        <f t="shared" si="71"/>
        <v>0.81309151134335356</v>
      </c>
      <c r="AL68" s="268">
        <f t="shared" si="73"/>
        <v>0.83748425668365423</v>
      </c>
      <c r="AM68" s="268">
        <f t="shared" si="75"/>
        <v>0.86260878438416388</v>
      </c>
      <c r="AN68" s="268">
        <f t="shared" si="77"/>
        <v>0.88848704791568878</v>
      </c>
      <c r="AO68" s="268">
        <f t="shared" si="79"/>
        <v>0.9151416593531595</v>
      </c>
      <c r="AP68" s="268">
        <f t="shared" si="81"/>
        <v>0.94259590913375435</v>
      </c>
      <c r="AQ68" s="268">
        <f t="shared" ref="AQ68:AQ76" si="83">AR68/(1+M$12)</f>
        <v>0.970873786407767</v>
      </c>
      <c r="AR68" s="260">
        <v>1</v>
      </c>
      <c r="AS68" s="261">
        <f t="shared" ref="AS68:AZ68" si="84">AR68*(1+O$12)</f>
        <v>1.03</v>
      </c>
      <c r="AT68" s="261">
        <f t="shared" si="84"/>
        <v>1.0609</v>
      </c>
      <c r="AU68" s="261">
        <f t="shared" si="84"/>
        <v>1.092727</v>
      </c>
      <c r="AV68" s="261">
        <f t="shared" si="84"/>
        <v>1.1255088100000001</v>
      </c>
      <c r="AW68" s="261">
        <f t="shared" si="84"/>
        <v>1.1592740743000001</v>
      </c>
      <c r="AX68" s="261">
        <f t="shared" si="84"/>
        <v>1.1940522965290001</v>
      </c>
      <c r="AY68" s="261">
        <f t="shared" si="84"/>
        <v>1.2298738654248702</v>
      </c>
      <c r="AZ68" s="261">
        <f t="shared" si="84"/>
        <v>1.2667700813876164</v>
      </c>
      <c r="BA68" s="269"/>
      <c r="BB68" s="269"/>
      <c r="BC68" s="269"/>
      <c r="BD68" s="269"/>
      <c r="BE68" s="262"/>
      <c r="BF68" s="244">
        <v>52</v>
      </c>
      <c r="BG68" s="275">
        <v>2041</v>
      </c>
      <c r="BH68" s="276">
        <v>2.0773E-2</v>
      </c>
      <c r="BI68" s="277">
        <v>1.6413636984748801</v>
      </c>
      <c r="BJ68" s="278">
        <v>1.6670963891974999</v>
      </c>
      <c r="BK68" s="298" t="s">
        <v>2392</v>
      </c>
    </row>
    <row r="69" spans="28:63" ht="14.25" customHeight="1" outlineLevel="1">
      <c r="AB69" s="258">
        <v>55</v>
      </c>
      <c r="AC69" s="243" t="s">
        <v>2402</v>
      </c>
      <c r="AD69" s="267" t="s">
        <v>2385</v>
      </c>
      <c r="AE69" s="243" t="s">
        <v>2482</v>
      </c>
      <c r="AF69" s="268">
        <f t="shared" si="61"/>
        <v>0.68427305384680293</v>
      </c>
      <c r="AG69" s="268">
        <f t="shared" si="63"/>
        <v>0.70137988019297293</v>
      </c>
      <c r="AH69" s="268">
        <f t="shared" si="65"/>
        <v>0.7224212765987621</v>
      </c>
      <c r="AI69" s="268">
        <f t="shared" si="67"/>
        <v>0.74409391489672494</v>
      </c>
      <c r="AJ69" s="268">
        <f t="shared" si="69"/>
        <v>0.76641673234362673</v>
      </c>
      <c r="AK69" s="268">
        <f t="shared" si="71"/>
        <v>0.7894092343139355</v>
      </c>
      <c r="AL69" s="268">
        <f t="shared" si="73"/>
        <v>0.81309151134335356</v>
      </c>
      <c r="AM69" s="268">
        <f t="shared" si="75"/>
        <v>0.83748425668365423</v>
      </c>
      <c r="AN69" s="268">
        <f t="shared" si="77"/>
        <v>0.86260878438416388</v>
      </c>
      <c r="AO69" s="268">
        <f t="shared" si="79"/>
        <v>0.88848704791568878</v>
      </c>
      <c r="AP69" s="268">
        <f t="shared" si="81"/>
        <v>0.9151416593531595</v>
      </c>
      <c r="AQ69" s="268">
        <f t="shared" si="83"/>
        <v>0.94259590913375435</v>
      </c>
      <c r="AR69" s="268">
        <f t="shared" ref="AR69:AR76" si="85">AS69/(1+N$12)</f>
        <v>0.970873786407767</v>
      </c>
      <c r="AS69" s="260">
        <v>1</v>
      </c>
      <c r="AT69" s="261">
        <f t="shared" ref="AT69:AZ69" si="86">AS69*(1+P$12)</f>
        <v>1.03</v>
      </c>
      <c r="AU69" s="261">
        <f t="shared" si="86"/>
        <v>1.0609</v>
      </c>
      <c r="AV69" s="261">
        <f t="shared" si="86"/>
        <v>1.092727</v>
      </c>
      <c r="AW69" s="261">
        <f t="shared" si="86"/>
        <v>1.1255088100000001</v>
      </c>
      <c r="AX69" s="261">
        <f t="shared" si="86"/>
        <v>1.1592740743000001</v>
      </c>
      <c r="AY69" s="261">
        <f t="shared" si="86"/>
        <v>1.1940522965290001</v>
      </c>
      <c r="AZ69" s="261">
        <f t="shared" si="86"/>
        <v>1.2298738654248702</v>
      </c>
      <c r="BA69" s="269"/>
      <c r="BB69" s="269"/>
      <c r="BC69" s="269"/>
      <c r="BD69" s="269"/>
      <c r="BE69" s="262"/>
      <c r="BF69" s="244">
        <v>53</v>
      </c>
      <c r="BG69" s="275">
        <v>2042</v>
      </c>
      <c r="BH69" s="276">
        <v>2.0773E-2</v>
      </c>
      <c r="BI69" s="277">
        <v>1.6754597465833001</v>
      </c>
      <c r="BJ69" s="278">
        <v>1.7017800759756001</v>
      </c>
      <c r="BK69" s="298" t="s">
        <v>2393</v>
      </c>
    </row>
    <row r="70" spans="28:63" ht="14.25" customHeight="1" outlineLevel="1">
      <c r="AB70" s="258">
        <v>56</v>
      </c>
      <c r="AC70" s="243" t="s">
        <v>2402</v>
      </c>
      <c r="AD70" s="267" t="s">
        <v>2386</v>
      </c>
      <c r="AE70" s="243" t="s">
        <v>2483</v>
      </c>
      <c r="AF70" s="268">
        <f t="shared" si="61"/>
        <v>0.66434277072505132</v>
      </c>
      <c r="AG70" s="268">
        <f t="shared" si="63"/>
        <v>0.68095133999317758</v>
      </c>
      <c r="AH70" s="268">
        <f t="shared" si="65"/>
        <v>0.70137988019297293</v>
      </c>
      <c r="AI70" s="268">
        <f t="shared" si="67"/>
        <v>0.7224212765987621</v>
      </c>
      <c r="AJ70" s="268">
        <f t="shared" si="69"/>
        <v>0.74409391489672494</v>
      </c>
      <c r="AK70" s="268">
        <f t="shared" si="71"/>
        <v>0.76641673234362673</v>
      </c>
      <c r="AL70" s="268">
        <f t="shared" si="73"/>
        <v>0.7894092343139355</v>
      </c>
      <c r="AM70" s="268">
        <f t="shared" si="75"/>
        <v>0.81309151134335356</v>
      </c>
      <c r="AN70" s="268">
        <f t="shared" si="77"/>
        <v>0.83748425668365423</v>
      </c>
      <c r="AO70" s="268">
        <f t="shared" si="79"/>
        <v>0.86260878438416388</v>
      </c>
      <c r="AP70" s="268">
        <f t="shared" si="81"/>
        <v>0.88848704791568878</v>
      </c>
      <c r="AQ70" s="268">
        <f t="shared" si="83"/>
        <v>0.9151416593531595</v>
      </c>
      <c r="AR70" s="268">
        <f t="shared" si="85"/>
        <v>0.94259590913375435</v>
      </c>
      <c r="AS70" s="268">
        <f t="shared" ref="AS70:AS76" si="87">AT70/(1+O$12)</f>
        <v>0.970873786407767</v>
      </c>
      <c r="AT70" s="260">
        <v>1</v>
      </c>
      <c r="AU70" s="261">
        <f t="shared" ref="AU70:AZ70" si="88">AT70*(1+Q$12)</f>
        <v>1.03</v>
      </c>
      <c r="AV70" s="261">
        <f t="shared" si="88"/>
        <v>1.0609</v>
      </c>
      <c r="AW70" s="261">
        <f t="shared" si="88"/>
        <v>1.092727</v>
      </c>
      <c r="AX70" s="261">
        <f t="shared" si="88"/>
        <v>1.1255088100000001</v>
      </c>
      <c r="AY70" s="261">
        <f t="shared" si="88"/>
        <v>1.1592740743000001</v>
      </c>
      <c r="AZ70" s="261">
        <f t="shared" si="88"/>
        <v>1.1940522965290001</v>
      </c>
      <c r="BA70" s="269"/>
      <c r="BB70" s="269"/>
      <c r="BC70" s="269"/>
      <c r="BD70" s="269"/>
      <c r="BE70" s="262"/>
      <c r="BF70" s="244">
        <v>54</v>
      </c>
      <c r="BG70" s="275">
        <v>2043</v>
      </c>
      <c r="BH70" s="276">
        <v>2.0773E-2</v>
      </c>
      <c r="BI70" s="277">
        <v>1.71026407189908</v>
      </c>
      <c r="BJ70" s="278">
        <v>1.7372724689485599</v>
      </c>
      <c r="BK70" s="298" t="s">
        <v>2394</v>
      </c>
    </row>
    <row r="71" spans="28:63" ht="14.25" customHeight="1" outlineLevel="1">
      <c r="AB71" s="258">
        <v>57</v>
      </c>
      <c r="AC71" s="243" t="s">
        <v>2402</v>
      </c>
      <c r="AD71" s="267" t="s">
        <v>2387</v>
      </c>
      <c r="AE71" s="243" t="s">
        <v>2484</v>
      </c>
      <c r="AF71" s="268">
        <f t="shared" si="61"/>
        <v>0.64499298128645766</v>
      </c>
      <c r="AG71" s="268">
        <f t="shared" si="63"/>
        <v>0.66111780581861901</v>
      </c>
      <c r="AH71" s="268">
        <f t="shared" si="65"/>
        <v>0.68095133999317758</v>
      </c>
      <c r="AI71" s="268">
        <f t="shared" si="67"/>
        <v>0.70137988019297293</v>
      </c>
      <c r="AJ71" s="268">
        <f t="shared" si="69"/>
        <v>0.7224212765987621</v>
      </c>
      <c r="AK71" s="268">
        <f t="shared" si="71"/>
        <v>0.74409391489672494</v>
      </c>
      <c r="AL71" s="268">
        <f t="shared" si="73"/>
        <v>0.76641673234362673</v>
      </c>
      <c r="AM71" s="268">
        <f t="shared" si="75"/>
        <v>0.7894092343139355</v>
      </c>
      <c r="AN71" s="268">
        <f t="shared" si="77"/>
        <v>0.81309151134335356</v>
      </c>
      <c r="AO71" s="268">
        <f t="shared" si="79"/>
        <v>0.83748425668365423</v>
      </c>
      <c r="AP71" s="268">
        <f t="shared" si="81"/>
        <v>0.86260878438416388</v>
      </c>
      <c r="AQ71" s="268">
        <f t="shared" si="83"/>
        <v>0.88848704791568878</v>
      </c>
      <c r="AR71" s="268">
        <f t="shared" si="85"/>
        <v>0.9151416593531595</v>
      </c>
      <c r="AS71" s="268">
        <f t="shared" si="87"/>
        <v>0.94259590913375435</v>
      </c>
      <c r="AT71" s="268">
        <f t="shared" ref="AT71:AT76" si="89">AU71/(1+P$12)</f>
        <v>0.970873786407767</v>
      </c>
      <c r="AU71" s="260">
        <v>1</v>
      </c>
      <c r="AV71" s="261">
        <f>AU71*(1+R$12)</f>
        <v>1.03</v>
      </c>
      <c r="AW71" s="261">
        <f>AV71*(1+S$12)</f>
        <v>1.0609</v>
      </c>
      <c r="AX71" s="261">
        <f>AW71*(1+T$12)</f>
        <v>1.092727</v>
      </c>
      <c r="AY71" s="261">
        <f>AX71*(1+U$12)</f>
        <v>1.1255088100000001</v>
      </c>
      <c r="AZ71" s="261">
        <f>AY71*(1+V$12)</f>
        <v>1.1592740743000001</v>
      </c>
      <c r="BA71" s="269"/>
      <c r="BB71" s="269"/>
      <c r="BC71" s="269"/>
      <c r="BD71" s="269"/>
      <c r="BE71" s="262"/>
      <c r="BF71" s="244">
        <v>55</v>
      </c>
      <c r="BG71" s="275">
        <v>2044</v>
      </c>
      <c r="BH71" s="276">
        <v>2.0773E-2</v>
      </c>
      <c r="BI71" s="277">
        <v>1.74579138746464</v>
      </c>
      <c r="BJ71" s="278">
        <v>1.77328416521998</v>
      </c>
      <c r="BK71" s="298" t="s">
        <v>2395</v>
      </c>
    </row>
    <row r="72" spans="28:63" ht="14.25" customHeight="1" outlineLevel="1">
      <c r="AB72" s="258">
        <v>58</v>
      </c>
      <c r="AC72" s="243" t="s">
        <v>2402</v>
      </c>
      <c r="AD72" s="267" t="s">
        <v>2388</v>
      </c>
      <c r="AE72" s="243" t="s">
        <v>2485</v>
      </c>
      <c r="AF72" s="268">
        <f t="shared" si="61"/>
        <v>0.62620677794801705</v>
      </c>
      <c r="AG72" s="268">
        <f t="shared" si="63"/>
        <v>0.64186194739671742</v>
      </c>
      <c r="AH72" s="268">
        <f t="shared" si="65"/>
        <v>0.66111780581861901</v>
      </c>
      <c r="AI72" s="268">
        <f t="shared" si="67"/>
        <v>0.68095133999317758</v>
      </c>
      <c r="AJ72" s="268">
        <f t="shared" si="69"/>
        <v>0.70137988019297293</v>
      </c>
      <c r="AK72" s="268">
        <f t="shared" si="71"/>
        <v>0.7224212765987621</v>
      </c>
      <c r="AL72" s="268">
        <f t="shared" si="73"/>
        <v>0.74409391489672494</v>
      </c>
      <c r="AM72" s="268">
        <f t="shared" si="75"/>
        <v>0.76641673234362673</v>
      </c>
      <c r="AN72" s="268">
        <f t="shared" si="77"/>
        <v>0.7894092343139355</v>
      </c>
      <c r="AO72" s="268">
        <f t="shared" si="79"/>
        <v>0.81309151134335356</v>
      </c>
      <c r="AP72" s="268">
        <f t="shared" si="81"/>
        <v>0.83748425668365423</v>
      </c>
      <c r="AQ72" s="268">
        <f t="shared" si="83"/>
        <v>0.86260878438416388</v>
      </c>
      <c r="AR72" s="268">
        <f t="shared" si="85"/>
        <v>0.88848704791568878</v>
      </c>
      <c r="AS72" s="268">
        <f t="shared" si="87"/>
        <v>0.9151416593531595</v>
      </c>
      <c r="AT72" s="268">
        <f t="shared" si="89"/>
        <v>0.94259590913375435</v>
      </c>
      <c r="AU72" s="268">
        <f>AV72/(1+Q$12)</f>
        <v>0.970873786407767</v>
      </c>
      <c r="AV72" s="260">
        <v>1</v>
      </c>
      <c r="AW72" s="261">
        <f>AV72*(1+S$12)</f>
        <v>1.03</v>
      </c>
      <c r="AX72" s="261">
        <f>AW72*(1+T$12)</f>
        <v>1.0609</v>
      </c>
      <c r="AY72" s="261">
        <f>AX72*(1+U$12)</f>
        <v>1.092727</v>
      </c>
      <c r="AZ72" s="261">
        <f>AY72*(1+V$12)</f>
        <v>1.1255088100000001</v>
      </c>
      <c r="BA72" s="269"/>
      <c r="BB72" s="269"/>
      <c r="BC72" s="269"/>
      <c r="BD72" s="269"/>
      <c r="BE72" s="262"/>
      <c r="BF72" s="244">
        <v>56</v>
      </c>
      <c r="BG72" s="275">
        <v>2045</v>
      </c>
      <c r="BH72" s="276">
        <v>2.0773E-2</v>
      </c>
      <c r="BI72" s="277">
        <v>1.7820567119564401</v>
      </c>
      <c r="BJ72" s="278">
        <v>1.81013480994461</v>
      </c>
    </row>
    <row r="73" spans="28:63" ht="14.25" customHeight="1" outlineLevel="1">
      <c r="AB73" s="258">
        <v>59</v>
      </c>
      <c r="AC73" s="243" t="s">
        <v>2402</v>
      </c>
      <c r="AD73" s="267" t="s">
        <v>2389</v>
      </c>
      <c r="AE73" s="243" t="s">
        <v>2486</v>
      </c>
      <c r="AF73" s="268">
        <f t="shared" si="61"/>
        <v>0.60796774558059907</v>
      </c>
      <c r="AG73" s="268">
        <f t="shared" si="63"/>
        <v>0.62316693922011401</v>
      </c>
      <c r="AH73" s="268">
        <f t="shared" si="65"/>
        <v>0.64186194739671742</v>
      </c>
      <c r="AI73" s="268">
        <f t="shared" si="67"/>
        <v>0.66111780581861901</v>
      </c>
      <c r="AJ73" s="268">
        <f t="shared" si="69"/>
        <v>0.68095133999317758</v>
      </c>
      <c r="AK73" s="268">
        <f t="shared" si="71"/>
        <v>0.70137988019297293</v>
      </c>
      <c r="AL73" s="268">
        <f t="shared" si="73"/>
        <v>0.7224212765987621</v>
      </c>
      <c r="AM73" s="268">
        <f t="shared" si="75"/>
        <v>0.74409391489672494</v>
      </c>
      <c r="AN73" s="268">
        <f t="shared" si="77"/>
        <v>0.76641673234362673</v>
      </c>
      <c r="AO73" s="268">
        <f t="shared" si="79"/>
        <v>0.7894092343139355</v>
      </c>
      <c r="AP73" s="268">
        <f t="shared" si="81"/>
        <v>0.81309151134335356</v>
      </c>
      <c r="AQ73" s="268">
        <f t="shared" si="83"/>
        <v>0.83748425668365423</v>
      </c>
      <c r="AR73" s="268">
        <f t="shared" si="85"/>
        <v>0.86260878438416388</v>
      </c>
      <c r="AS73" s="268">
        <f t="shared" si="87"/>
        <v>0.88848704791568878</v>
      </c>
      <c r="AT73" s="268">
        <f t="shared" si="89"/>
        <v>0.9151416593531595</v>
      </c>
      <c r="AU73" s="268">
        <f>AV73/(1+Q$12)</f>
        <v>0.94259590913375435</v>
      </c>
      <c r="AV73" s="268">
        <f>AW73/(1+R$12)</f>
        <v>0.970873786407767</v>
      </c>
      <c r="AW73" s="260">
        <v>1</v>
      </c>
      <c r="AX73" s="261">
        <f>AW73*(1+T$12)</f>
        <v>1.03</v>
      </c>
      <c r="AY73" s="261">
        <f>AX73*(1+U$12)</f>
        <v>1.0609</v>
      </c>
      <c r="AZ73" s="261">
        <f>AY73*(1+V$12)</f>
        <v>1.092727</v>
      </c>
      <c r="BA73" s="269"/>
      <c r="BB73" s="269"/>
      <c r="BC73" s="269"/>
      <c r="BD73" s="269"/>
      <c r="BE73" s="262"/>
      <c r="BF73" s="244">
        <v>57</v>
      </c>
      <c r="BG73" s="275">
        <v>2046</v>
      </c>
      <c r="BH73" s="276">
        <v>2.0773E-2</v>
      </c>
      <c r="BI73" s="277">
        <v>1.81907537603391</v>
      </c>
      <c r="BJ73" s="278">
        <v>1.8477380148717499</v>
      </c>
    </row>
    <row r="74" spans="28:63" ht="14.25" customHeight="1" outlineLevel="1">
      <c r="AB74" s="258">
        <v>60</v>
      </c>
      <c r="AC74" s="243" t="s">
        <v>2402</v>
      </c>
      <c r="AD74" s="267" t="s">
        <v>2390</v>
      </c>
      <c r="AE74" s="243" t="s">
        <v>2487</v>
      </c>
      <c r="AF74" s="268">
        <f t="shared" si="61"/>
        <v>0.59025994716563013</v>
      </c>
      <c r="AG74" s="268">
        <f t="shared" si="63"/>
        <v>0.60501644584477088</v>
      </c>
      <c r="AH74" s="268">
        <f t="shared" si="65"/>
        <v>0.62316693922011401</v>
      </c>
      <c r="AI74" s="268">
        <f t="shared" si="67"/>
        <v>0.64186194739671742</v>
      </c>
      <c r="AJ74" s="268">
        <f t="shared" si="69"/>
        <v>0.66111780581861901</v>
      </c>
      <c r="AK74" s="268">
        <f t="shared" si="71"/>
        <v>0.68095133999317758</v>
      </c>
      <c r="AL74" s="268">
        <f t="shared" si="73"/>
        <v>0.70137988019297293</v>
      </c>
      <c r="AM74" s="268">
        <f t="shared" si="75"/>
        <v>0.7224212765987621</v>
      </c>
      <c r="AN74" s="268">
        <f t="shared" si="77"/>
        <v>0.74409391489672494</v>
      </c>
      <c r="AO74" s="268">
        <f t="shared" si="79"/>
        <v>0.76641673234362673</v>
      </c>
      <c r="AP74" s="268">
        <f t="shared" si="81"/>
        <v>0.7894092343139355</v>
      </c>
      <c r="AQ74" s="268">
        <f t="shared" si="83"/>
        <v>0.81309151134335356</v>
      </c>
      <c r="AR74" s="268">
        <f t="shared" si="85"/>
        <v>0.83748425668365423</v>
      </c>
      <c r="AS74" s="268">
        <f t="shared" si="87"/>
        <v>0.86260878438416388</v>
      </c>
      <c r="AT74" s="268">
        <f t="shared" si="89"/>
        <v>0.88848704791568878</v>
      </c>
      <c r="AU74" s="268">
        <f>AV74/(1+Q$12)</f>
        <v>0.9151416593531595</v>
      </c>
      <c r="AV74" s="268">
        <f>AW74/(1+R$12)</f>
        <v>0.94259590913375435</v>
      </c>
      <c r="AW74" s="268">
        <f>AX74/(1+S$12)</f>
        <v>0.970873786407767</v>
      </c>
      <c r="AX74" s="260">
        <v>1</v>
      </c>
      <c r="AY74" s="261">
        <f>AX74*(1+U$12)</f>
        <v>1.03</v>
      </c>
      <c r="AZ74" s="261">
        <f>AY74*(1+V$12)</f>
        <v>1.0609</v>
      </c>
      <c r="BA74" s="269"/>
      <c r="BB74" s="269"/>
      <c r="BC74" s="269"/>
      <c r="BD74" s="269"/>
      <c r="BE74" s="262"/>
      <c r="BF74" s="244">
        <v>58</v>
      </c>
      <c r="BG74" s="275">
        <v>2047</v>
      </c>
      <c r="BH74" s="276">
        <v>2.0773E-2</v>
      </c>
      <c r="BI74" s="277">
        <v>1.8568630288202601</v>
      </c>
      <c r="BJ74" s="278">
        <v>1.88610969824232</v>
      </c>
    </row>
    <row r="75" spans="28:63" ht="14.25" customHeight="1" outlineLevel="1">
      <c r="AB75" s="258">
        <v>61</v>
      </c>
      <c r="AC75" s="243" t="s">
        <v>2402</v>
      </c>
      <c r="AD75" s="267" t="s">
        <v>2391</v>
      </c>
      <c r="AE75" s="303" t="s">
        <v>2488</v>
      </c>
      <c r="AF75" s="286">
        <f t="shared" si="61"/>
        <v>0.57306790986954381</v>
      </c>
      <c r="AG75" s="286">
        <f t="shared" si="63"/>
        <v>0.58739460761628237</v>
      </c>
      <c r="AH75" s="286">
        <f t="shared" si="65"/>
        <v>0.60501644584477088</v>
      </c>
      <c r="AI75" s="286">
        <f t="shared" si="67"/>
        <v>0.62316693922011401</v>
      </c>
      <c r="AJ75" s="286">
        <f t="shared" si="69"/>
        <v>0.64186194739671742</v>
      </c>
      <c r="AK75" s="286">
        <f t="shared" si="71"/>
        <v>0.66111780581861901</v>
      </c>
      <c r="AL75" s="286">
        <f t="shared" si="73"/>
        <v>0.68095133999317758</v>
      </c>
      <c r="AM75" s="286">
        <f t="shared" si="75"/>
        <v>0.70137988019297293</v>
      </c>
      <c r="AN75" s="286">
        <f t="shared" si="77"/>
        <v>0.7224212765987621</v>
      </c>
      <c r="AO75" s="286">
        <f t="shared" si="79"/>
        <v>0.74409391489672494</v>
      </c>
      <c r="AP75" s="286">
        <f t="shared" si="81"/>
        <v>0.76641673234362673</v>
      </c>
      <c r="AQ75" s="286">
        <f t="shared" si="83"/>
        <v>0.7894092343139355</v>
      </c>
      <c r="AR75" s="286">
        <f t="shared" si="85"/>
        <v>0.81309151134335356</v>
      </c>
      <c r="AS75" s="286">
        <f t="shared" si="87"/>
        <v>0.83748425668365423</v>
      </c>
      <c r="AT75" s="286">
        <f t="shared" si="89"/>
        <v>0.86260878438416388</v>
      </c>
      <c r="AU75" s="286">
        <f>AV75/(1+Q$12)</f>
        <v>0.88848704791568878</v>
      </c>
      <c r="AV75" s="286">
        <f>AW75/(1+R$12)</f>
        <v>0.9151416593531595</v>
      </c>
      <c r="AW75" s="286">
        <f>AX75/(1+S$12)</f>
        <v>0.94259590913375435</v>
      </c>
      <c r="AX75" s="286">
        <f>AY75/(1+T$12)</f>
        <v>0.970873786407767</v>
      </c>
      <c r="AY75" s="287">
        <v>1</v>
      </c>
      <c r="AZ75" s="300">
        <f>AY75*(1+V$12)</f>
        <v>1.03</v>
      </c>
      <c r="BA75" s="269"/>
      <c r="BB75" s="269"/>
      <c r="BC75" s="269"/>
      <c r="BD75" s="269"/>
      <c r="BE75" s="262"/>
      <c r="BF75" s="244">
        <v>59</v>
      </c>
      <c r="BG75" s="275">
        <v>2048</v>
      </c>
      <c r="BH75" s="276">
        <v>2.0773E-2</v>
      </c>
      <c r="BI75" s="277">
        <v>1.8954356445179401</v>
      </c>
      <c r="BJ75" s="278">
        <v>1.9252645324597699</v>
      </c>
    </row>
    <row r="76" spans="28:63" ht="15" customHeight="1" outlineLevel="1">
      <c r="AB76" s="289">
        <v>62</v>
      </c>
      <c r="AC76" s="290" t="s">
        <v>2402</v>
      </c>
      <c r="AD76" s="291" t="s">
        <v>2392</v>
      </c>
      <c r="AE76" s="290" t="s">
        <v>2489</v>
      </c>
      <c r="AF76" s="292">
        <f t="shared" si="61"/>
        <v>0.556376611523829</v>
      </c>
      <c r="AG76" s="292">
        <f t="shared" si="63"/>
        <v>0.57028602681192464</v>
      </c>
      <c r="AH76" s="292">
        <f t="shared" si="65"/>
        <v>0.58739460761628237</v>
      </c>
      <c r="AI76" s="292">
        <f t="shared" si="67"/>
        <v>0.60501644584477088</v>
      </c>
      <c r="AJ76" s="292">
        <f t="shared" si="69"/>
        <v>0.62316693922011401</v>
      </c>
      <c r="AK76" s="292">
        <f t="shared" si="71"/>
        <v>0.64186194739671742</v>
      </c>
      <c r="AL76" s="292">
        <f t="shared" si="73"/>
        <v>0.66111780581861901</v>
      </c>
      <c r="AM76" s="292">
        <f t="shared" si="75"/>
        <v>0.68095133999317758</v>
      </c>
      <c r="AN76" s="292">
        <f t="shared" si="77"/>
        <v>0.70137988019297293</v>
      </c>
      <c r="AO76" s="292">
        <f t="shared" si="79"/>
        <v>0.7224212765987621</v>
      </c>
      <c r="AP76" s="292">
        <f t="shared" si="81"/>
        <v>0.74409391489672494</v>
      </c>
      <c r="AQ76" s="292">
        <f t="shared" si="83"/>
        <v>0.76641673234362673</v>
      </c>
      <c r="AR76" s="292">
        <f t="shared" si="85"/>
        <v>0.7894092343139355</v>
      </c>
      <c r="AS76" s="292">
        <f t="shared" si="87"/>
        <v>0.81309151134335356</v>
      </c>
      <c r="AT76" s="292">
        <f t="shared" si="89"/>
        <v>0.83748425668365423</v>
      </c>
      <c r="AU76" s="292">
        <f>AV76/(1+Q$12)</f>
        <v>0.86260878438416388</v>
      </c>
      <c r="AV76" s="292">
        <f>AW76/(1+R$12)</f>
        <v>0.88848704791568878</v>
      </c>
      <c r="AW76" s="292">
        <f>AX76/(1+S$12)</f>
        <v>0.9151416593531595</v>
      </c>
      <c r="AX76" s="292">
        <f>AY76/(1+T$12)</f>
        <v>0.94259590913375435</v>
      </c>
      <c r="AY76" s="292">
        <f>AZ76/(1+U$12)</f>
        <v>0.970873786407767</v>
      </c>
      <c r="AZ76" s="293">
        <v>1</v>
      </c>
      <c r="BA76" s="269"/>
      <c r="BB76" s="269"/>
      <c r="BC76" s="269"/>
      <c r="BD76" s="269"/>
      <c r="BE76" s="262"/>
      <c r="BF76" s="244">
        <v>60</v>
      </c>
      <c r="BG76" s="275">
        <v>2049</v>
      </c>
      <c r="BH76" s="276">
        <v>2.0773E-2</v>
      </c>
      <c r="BI76" s="277">
        <v>1.9348095291615199</v>
      </c>
      <c r="BJ76" s="278">
        <v>1.9652206814734501</v>
      </c>
    </row>
    <row r="77" spans="28:63" ht="14.25" customHeight="1">
      <c r="AB77" s="258">
        <v>63</v>
      </c>
      <c r="AC77" s="243" t="s">
        <v>2404</v>
      </c>
      <c r="AD77" s="259" t="s">
        <v>2373</v>
      </c>
      <c r="AE77" s="243" t="s">
        <v>2490</v>
      </c>
      <c r="AG77" s="295">
        <v>1</v>
      </c>
      <c r="AH77" s="301">
        <f t="shared" ref="AH77:AZ77" si="90">AG77*(1+D$13)</f>
        <v>1.0404610000000001</v>
      </c>
      <c r="AI77" s="301">
        <f t="shared" si="90"/>
        <v>1.066472525</v>
      </c>
      <c r="AJ77" s="301">
        <f t="shared" si="90"/>
        <v>1.0920678656</v>
      </c>
      <c r="AK77" s="301">
        <f t="shared" si="90"/>
        <v>1.1160933586432</v>
      </c>
      <c r="AL77" s="301">
        <f t="shared" si="90"/>
        <v>1.1406474125333506</v>
      </c>
      <c r="AM77" s="301">
        <f t="shared" si="90"/>
        <v>1.1657416556090843</v>
      </c>
      <c r="AN77" s="301">
        <f t="shared" si="90"/>
        <v>1.1913879720324843</v>
      </c>
      <c r="AO77" s="301">
        <f t="shared" si="90"/>
        <v>1.2175985074171989</v>
      </c>
      <c r="AP77" s="301">
        <f t="shared" si="90"/>
        <v>1.2443856745803772</v>
      </c>
      <c r="AQ77" s="301">
        <f t="shared" si="90"/>
        <v>1.2717621594211455</v>
      </c>
      <c r="AR77" s="301">
        <f t="shared" si="90"/>
        <v>1.3004874513159908</v>
      </c>
      <c r="AS77" s="301">
        <f t="shared" si="90"/>
        <v>1.3298615613788649</v>
      </c>
      <c r="AT77" s="301">
        <f t="shared" si="90"/>
        <v>1.3598991444657291</v>
      </c>
      <c r="AU77" s="301">
        <f t="shared" si="90"/>
        <v>1.3906151864417764</v>
      </c>
      <c r="AV77" s="301">
        <f t="shared" si="90"/>
        <v>1.4220250116579367</v>
      </c>
      <c r="AW77" s="301">
        <f t="shared" si="90"/>
        <v>1.4541442905962545</v>
      </c>
      <c r="AX77" s="301">
        <f t="shared" si="90"/>
        <v>1.4869890476879519</v>
      </c>
      <c r="AY77" s="301">
        <f t="shared" si="90"/>
        <v>1.5205756693080796</v>
      </c>
      <c r="AZ77" s="302">
        <f t="shared" si="90"/>
        <v>1.554920911950741</v>
      </c>
      <c r="BA77" s="269"/>
      <c r="BB77" s="269"/>
      <c r="BC77" s="269"/>
      <c r="BD77" s="269"/>
      <c r="BE77" s="262"/>
      <c r="BF77" s="244">
        <v>61</v>
      </c>
      <c r="BG77" s="275">
        <v>2050</v>
      </c>
      <c r="BH77" s="276">
        <v>2.0773E-2</v>
      </c>
      <c r="BI77" s="277">
        <v>1.9750013275107901</v>
      </c>
      <c r="BJ77" s="278">
        <v>2.00609505095191</v>
      </c>
    </row>
    <row r="78" spans="28:63" ht="14.25" customHeight="1" outlineLevel="1">
      <c r="AB78" s="258">
        <v>64</v>
      </c>
      <c r="AC78" s="243" t="s">
        <v>2404</v>
      </c>
      <c r="AD78" s="267" t="s">
        <v>2374</v>
      </c>
      <c r="AE78" s="243" t="s">
        <v>2491</v>
      </c>
      <c r="AG78" s="268">
        <f t="shared" ref="AG78:AG96" si="91">AH78/(1+C$13)</f>
        <v>0.96349602606064055</v>
      </c>
      <c r="AH78" s="260">
        <v>1</v>
      </c>
      <c r="AI78" s="261">
        <f t="shared" ref="AI78:BC78" si="92">AH78*(1+E$13)</f>
        <v>1.0249999999999999</v>
      </c>
      <c r="AJ78" s="261">
        <f t="shared" si="92"/>
        <v>1.0495999999999999</v>
      </c>
      <c r="AK78" s="261">
        <f t="shared" si="92"/>
        <v>1.0726912</v>
      </c>
      <c r="AL78" s="261">
        <f t="shared" si="92"/>
        <v>1.0962904064000001</v>
      </c>
      <c r="AM78" s="261">
        <f t="shared" si="92"/>
        <v>1.1204087953408002</v>
      </c>
      <c r="AN78" s="261">
        <f t="shared" si="92"/>
        <v>1.1450577888382978</v>
      </c>
      <c r="AO78" s="261">
        <f t="shared" si="92"/>
        <v>1.1702490601927404</v>
      </c>
      <c r="AP78" s="261">
        <f t="shared" si="92"/>
        <v>1.1959945395169806</v>
      </c>
      <c r="AQ78" s="261">
        <f t="shared" si="92"/>
        <v>1.2223064193863542</v>
      </c>
      <c r="AR78" s="261">
        <f t="shared" si="92"/>
        <v>1.2499146544810338</v>
      </c>
      <c r="AS78" s="261">
        <f t="shared" si="92"/>
        <v>1.2781464767817967</v>
      </c>
      <c r="AT78" s="261">
        <f t="shared" si="92"/>
        <v>1.3070159712528671</v>
      </c>
      <c r="AU78" s="261">
        <f t="shared" si="92"/>
        <v>1.3365375409955556</v>
      </c>
      <c r="AV78" s="261">
        <f t="shared" si="92"/>
        <v>1.366725914434022</v>
      </c>
      <c r="AW78" s="261">
        <f t="shared" si="92"/>
        <v>1.3975961526633431</v>
      </c>
      <c r="AX78" s="261">
        <f t="shared" si="92"/>
        <v>1.42916365696355</v>
      </c>
      <c r="AY78" s="261">
        <f t="shared" si="92"/>
        <v>1.4614441764833856</v>
      </c>
      <c r="AZ78" s="261">
        <f t="shared" si="92"/>
        <v>1.4944538160976157</v>
      </c>
      <c r="BA78" s="261">
        <f t="shared" si="92"/>
        <v>1.5282090444418124</v>
      </c>
      <c r="BB78" s="261">
        <f t="shared" si="92"/>
        <v>1.5627267021286195</v>
      </c>
      <c r="BC78" s="261">
        <f t="shared" si="92"/>
        <v>1.5980240101495986</v>
      </c>
      <c r="BD78" s="261">
        <f>IFERROR(BC78*(1+Z$13),BC78)</f>
        <v>1.5980240101495986</v>
      </c>
      <c r="BE78" s="262"/>
      <c r="BF78" s="244">
        <v>62</v>
      </c>
      <c r="BG78" s="275">
        <v>2051</v>
      </c>
      <c r="BH78" s="276">
        <v>2.0773E-2</v>
      </c>
      <c r="BI78" s="277">
        <v>2.01602803008717</v>
      </c>
      <c r="BJ78" s="278">
        <v>2.0477017618380602</v>
      </c>
    </row>
    <row r="79" spans="28:63" ht="14.25" customHeight="1" outlineLevel="1">
      <c r="AB79" s="258">
        <v>65</v>
      </c>
      <c r="AC79" s="243" t="s">
        <v>2404</v>
      </c>
      <c r="AD79" s="267" t="s">
        <v>2375</v>
      </c>
      <c r="AE79" s="243" t="s">
        <v>2492</v>
      </c>
      <c r="AG79" s="268">
        <f t="shared" si="91"/>
        <v>0.9260280068744916</v>
      </c>
      <c r="AH79" s="268">
        <f t="shared" ref="AH79:AH96" si="93">AI79/(1+D$13)</f>
        <v>0.96111242997094548</v>
      </c>
      <c r="AI79" s="260">
        <v>1</v>
      </c>
      <c r="AJ79" s="261">
        <f t="shared" ref="AJ79:AZ79" si="94">AI79*(1+F$13)</f>
        <v>1.024</v>
      </c>
      <c r="AK79" s="261">
        <f t="shared" si="94"/>
        <v>1.0465280000000001</v>
      </c>
      <c r="AL79" s="261">
        <f t="shared" si="94"/>
        <v>1.069551616</v>
      </c>
      <c r="AM79" s="261">
        <f t="shared" si="94"/>
        <v>1.0930817515520002</v>
      </c>
      <c r="AN79" s="261">
        <f t="shared" si="94"/>
        <v>1.1171295500861442</v>
      </c>
      <c r="AO79" s="261">
        <f t="shared" si="94"/>
        <v>1.1417064001880395</v>
      </c>
      <c r="AP79" s="261">
        <f t="shared" si="94"/>
        <v>1.1668239409921763</v>
      </c>
      <c r="AQ79" s="261">
        <f t="shared" si="94"/>
        <v>1.1924940676940043</v>
      </c>
      <c r="AR79" s="261">
        <f t="shared" si="94"/>
        <v>1.2194289312010087</v>
      </c>
      <c r="AS79" s="261">
        <f t="shared" si="94"/>
        <v>1.2469721724700458</v>
      </c>
      <c r="AT79" s="261">
        <f t="shared" si="94"/>
        <v>1.2751375329296266</v>
      </c>
      <c r="AU79" s="261">
        <f t="shared" si="94"/>
        <v>1.3039390643859079</v>
      </c>
      <c r="AV79" s="261">
        <f t="shared" si="94"/>
        <v>1.3333911360331923</v>
      </c>
      <c r="AW79" s="261">
        <f t="shared" si="94"/>
        <v>1.3635084416227738</v>
      </c>
      <c r="AX79" s="261">
        <f t="shared" si="94"/>
        <v>1.3943060067937074</v>
      </c>
      <c r="AY79" s="261">
        <f t="shared" si="94"/>
        <v>1.4257991965691568</v>
      </c>
      <c r="AZ79" s="261">
        <f t="shared" si="94"/>
        <v>1.4580037230220642</v>
      </c>
      <c r="BA79" s="269"/>
      <c r="BB79" s="269"/>
      <c r="BC79" s="269"/>
      <c r="BD79" s="269"/>
      <c r="BE79" s="262"/>
      <c r="BF79" s="244">
        <v>63</v>
      </c>
      <c r="BG79" s="275">
        <v>2052</v>
      </c>
      <c r="BH79" s="276">
        <v>2.0773E-2</v>
      </c>
      <c r="BI79" s="277">
        <v>2.05790698035617</v>
      </c>
      <c r="BJ79" s="278">
        <v>2.0903613557742502</v>
      </c>
    </row>
    <row r="80" spans="28:63" ht="14.25" customHeight="1" outlineLevel="1">
      <c r="AB80" s="258">
        <v>66</v>
      </c>
      <c r="AC80" s="243" t="s">
        <v>2404</v>
      </c>
      <c r="AD80" s="267" t="s">
        <v>2376</v>
      </c>
      <c r="AE80" s="243" t="s">
        <v>2493</v>
      </c>
      <c r="AG80" s="268">
        <f t="shared" si="91"/>
        <v>0.90344195792633331</v>
      </c>
      <c r="AH80" s="268">
        <f t="shared" si="93"/>
        <v>0.93767066338628835</v>
      </c>
      <c r="AI80" s="268">
        <f t="shared" ref="AI80:AI96" si="95">AJ80/(1+E$13)</f>
        <v>0.97560975609756106</v>
      </c>
      <c r="AJ80" s="260">
        <v>1</v>
      </c>
      <c r="AK80" s="261">
        <f t="shared" ref="AK80:AZ80" si="96">AJ80*(1+G$13)</f>
        <v>1.022</v>
      </c>
      <c r="AL80" s="261">
        <f t="shared" si="96"/>
        <v>1.044484</v>
      </c>
      <c r="AM80" s="261">
        <f t="shared" si="96"/>
        <v>1.067462648</v>
      </c>
      <c r="AN80" s="261">
        <f t="shared" si="96"/>
        <v>1.090946826256</v>
      </c>
      <c r="AO80" s="261">
        <f t="shared" si="96"/>
        <v>1.114947656433632</v>
      </c>
      <c r="AP80" s="261">
        <f t="shared" si="96"/>
        <v>1.139476504875172</v>
      </c>
      <c r="AQ80" s="261">
        <f t="shared" si="96"/>
        <v>1.1645449879824259</v>
      </c>
      <c r="AR80" s="261">
        <f t="shared" si="96"/>
        <v>1.1908485656259848</v>
      </c>
      <c r="AS80" s="261">
        <f t="shared" si="96"/>
        <v>1.2177462621777788</v>
      </c>
      <c r="AT80" s="261">
        <f t="shared" si="96"/>
        <v>1.2452514970015882</v>
      </c>
      <c r="AU80" s="261">
        <f t="shared" si="96"/>
        <v>1.2733779925643629</v>
      </c>
      <c r="AV80" s="261">
        <f t="shared" si="96"/>
        <v>1.302139781282414</v>
      </c>
      <c r="AW80" s="261">
        <f t="shared" si="96"/>
        <v>1.3315512125222397</v>
      </c>
      <c r="AX80" s="261">
        <f t="shared" si="96"/>
        <v>1.3616269597594794</v>
      </c>
      <c r="AY80" s="261">
        <f t="shared" si="96"/>
        <v>1.3923820278995667</v>
      </c>
      <c r="AZ80" s="261">
        <f t="shared" si="96"/>
        <v>1.4238317607637341</v>
      </c>
      <c r="BA80" s="269"/>
      <c r="BB80" s="269"/>
      <c r="BC80" s="269"/>
      <c r="BD80" s="269"/>
      <c r="BE80" s="262"/>
      <c r="BF80" s="244">
        <v>64</v>
      </c>
      <c r="BG80" s="275">
        <v>2053</v>
      </c>
      <c r="BH80" s="276">
        <v>2.0773E-2</v>
      </c>
      <c r="BI80" s="277">
        <v>2.1006558820591099</v>
      </c>
      <c r="BJ80" s="278">
        <v>2.13368914240219</v>
      </c>
    </row>
    <row r="81" spans="28:62" ht="14.25" customHeight="1" outlineLevel="1">
      <c r="AB81" s="258">
        <v>67</v>
      </c>
      <c r="AC81" s="243" t="s">
        <v>2404</v>
      </c>
      <c r="AD81" s="267" t="s">
        <v>2377</v>
      </c>
      <c r="AE81" s="243" t="s">
        <v>2494</v>
      </c>
      <c r="AG81" s="268">
        <f t="shared" si="91"/>
        <v>0.88226753703743499</v>
      </c>
      <c r="AH81" s="268">
        <f t="shared" si="93"/>
        <v>0.91569400721317229</v>
      </c>
      <c r="AI81" s="268">
        <f t="shared" si="95"/>
        <v>0.95274390243902451</v>
      </c>
      <c r="AJ81" s="268">
        <f t="shared" ref="AJ81:AJ96" si="97">AK81/(1+F$13)</f>
        <v>0.9765625</v>
      </c>
      <c r="AK81" s="260">
        <v>1</v>
      </c>
      <c r="AL81" s="261">
        <f t="shared" ref="AL81:AZ81" si="98">AK81*(1+H$13)</f>
        <v>1.022</v>
      </c>
      <c r="AM81" s="261">
        <f t="shared" si="98"/>
        <v>1.044484</v>
      </c>
      <c r="AN81" s="261">
        <f t="shared" si="98"/>
        <v>1.067462648</v>
      </c>
      <c r="AO81" s="261">
        <f t="shared" si="98"/>
        <v>1.090946826256</v>
      </c>
      <c r="AP81" s="261">
        <f t="shared" si="98"/>
        <v>1.114947656433632</v>
      </c>
      <c r="AQ81" s="261">
        <f t="shared" si="98"/>
        <v>1.139476504875172</v>
      </c>
      <c r="AR81" s="261">
        <f t="shared" si="98"/>
        <v>1.1652138606907874</v>
      </c>
      <c r="AS81" s="261">
        <f t="shared" si="98"/>
        <v>1.1915325461622102</v>
      </c>
      <c r="AT81" s="261">
        <f t="shared" si="98"/>
        <v>1.2184456917823758</v>
      </c>
      <c r="AU81" s="261">
        <f t="shared" si="98"/>
        <v>1.2459667246226642</v>
      </c>
      <c r="AV81" s="261">
        <f t="shared" si="98"/>
        <v>1.2741093750317163</v>
      </c>
      <c r="AW81" s="261">
        <f t="shared" si="98"/>
        <v>1.3028876834855576</v>
      </c>
      <c r="AX81" s="261">
        <f t="shared" si="98"/>
        <v>1.3323160075924458</v>
      </c>
      <c r="AY81" s="261">
        <f t="shared" si="98"/>
        <v>1.3624090292559363</v>
      </c>
      <c r="AZ81" s="261">
        <f t="shared" si="98"/>
        <v>1.39318176199974</v>
      </c>
      <c r="BA81" s="269"/>
      <c r="BB81" s="269"/>
      <c r="BC81" s="269"/>
      <c r="BD81" s="269"/>
      <c r="BE81" s="262"/>
      <c r="BF81" s="244">
        <v>65</v>
      </c>
      <c r="BG81" s="275">
        <v>2054</v>
      </c>
      <c r="BH81" s="276">
        <v>2.0773E-2</v>
      </c>
      <c r="BI81" s="277">
        <v>2.1442928066971199</v>
      </c>
      <c r="BJ81" s="278">
        <v>2.1781043914903799</v>
      </c>
    </row>
    <row r="82" spans="28:62" ht="14.25" customHeight="1" outlineLevel="1">
      <c r="AB82" s="258">
        <v>68</v>
      </c>
      <c r="AC82" s="243" t="s">
        <v>2404</v>
      </c>
      <c r="AD82" s="267" t="s">
        <v>2378</v>
      </c>
      <c r="AE82" s="243" t="s">
        <v>2495</v>
      </c>
      <c r="AG82" s="268">
        <f t="shared" si="91"/>
        <v>0.86327547655326309</v>
      </c>
      <c r="AH82" s="268">
        <f t="shared" si="93"/>
        <v>0.89598239453343653</v>
      </c>
      <c r="AI82" s="268">
        <f t="shared" si="95"/>
        <v>0.93223473819865399</v>
      </c>
      <c r="AJ82" s="268">
        <f t="shared" si="97"/>
        <v>0.95554060665362028</v>
      </c>
      <c r="AK82" s="268">
        <f t="shared" ref="AK82:AK96" si="99">AL82/(1+G$13)</f>
        <v>0.97847358121330719</v>
      </c>
      <c r="AL82" s="260">
        <v>1</v>
      </c>
      <c r="AM82" s="261">
        <f t="shared" ref="AM82:AZ82" si="100">AL82*(1+I$13)</f>
        <v>1.022</v>
      </c>
      <c r="AN82" s="261">
        <f t="shared" si="100"/>
        <v>1.044484</v>
      </c>
      <c r="AO82" s="261">
        <f t="shared" si="100"/>
        <v>1.067462648</v>
      </c>
      <c r="AP82" s="261">
        <f t="shared" si="100"/>
        <v>1.090946826256</v>
      </c>
      <c r="AQ82" s="261">
        <f t="shared" si="100"/>
        <v>1.114947656433632</v>
      </c>
      <c r="AR82" s="261">
        <f t="shared" si="100"/>
        <v>1.1401309791494985</v>
      </c>
      <c r="AS82" s="261">
        <f t="shared" si="100"/>
        <v>1.1658831175755482</v>
      </c>
      <c r="AT82" s="261">
        <f t="shared" si="100"/>
        <v>1.192216919552227</v>
      </c>
      <c r="AU82" s="261">
        <f t="shared" si="100"/>
        <v>1.219145523114153</v>
      </c>
      <c r="AV82" s="261">
        <f t="shared" si="100"/>
        <v>1.2466823630447323</v>
      </c>
      <c r="AW82" s="261">
        <f t="shared" si="100"/>
        <v>1.2748411775788235</v>
      </c>
      <c r="AX82" s="261">
        <f t="shared" si="100"/>
        <v>1.3036360152567963</v>
      </c>
      <c r="AY82" s="261">
        <f t="shared" si="100"/>
        <v>1.3330812419334015</v>
      </c>
      <c r="AZ82" s="261">
        <f t="shared" si="100"/>
        <v>1.363191547944951</v>
      </c>
      <c r="BA82" s="269"/>
      <c r="BB82" s="269"/>
      <c r="BC82" s="269"/>
      <c r="BD82" s="269"/>
      <c r="BE82" s="262"/>
      <c r="BF82" s="244">
        <v>66</v>
      </c>
      <c r="BG82" s="275">
        <v>2055</v>
      </c>
      <c r="BH82" s="276">
        <v>2.0773E-2</v>
      </c>
      <c r="BI82" s="277">
        <v>2.1888362011706399</v>
      </c>
      <c r="BJ82" s="278">
        <v>2.22332489945404</v>
      </c>
    </row>
    <row r="83" spans="28:62" ht="14.25" customHeight="1" outlineLevel="1">
      <c r="AB83" s="258">
        <v>69</v>
      </c>
      <c r="AC83" s="243" t="s">
        <v>2404</v>
      </c>
      <c r="AD83" s="267" t="s">
        <v>2379</v>
      </c>
      <c r="AE83" s="243" t="s">
        <v>2496</v>
      </c>
      <c r="AG83" s="268">
        <f t="shared" si="91"/>
        <v>0.84469224711669577</v>
      </c>
      <c r="AH83" s="268">
        <f t="shared" si="93"/>
        <v>0.87669510228320602</v>
      </c>
      <c r="AI83" s="268">
        <f t="shared" si="95"/>
        <v>0.91216706281668691</v>
      </c>
      <c r="AJ83" s="268">
        <f t="shared" si="97"/>
        <v>0.93497123938710403</v>
      </c>
      <c r="AK83" s="268">
        <f t="shared" si="99"/>
        <v>0.95741054913239454</v>
      </c>
      <c r="AL83" s="268">
        <f t="shared" ref="AL83:AL96" si="101">AM83/(1+H$13)</f>
        <v>0.97847358121330719</v>
      </c>
      <c r="AM83" s="260">
        <v>1</v>
      </c>
      <c r="AN83" s="261">
        <f t="shared" ref="AN83:AZ83" si="102">AM83*(1+J$13)</f>
        <v>1.022</v>
      </c>
      <c r="AO83" s="261">
        <f t="shared" si="102"/>
        <v>1.044484</v>
      </c>
      <c r="AP83" s="261">
        <f t="shared" si="102"/>
        <v>1.067462648</v>
      </c>
      <c r="AQ83" s="261">
        <f t="shared" si="102"/>
        <v>1.090946826256</v>
      </c>
      <c r="AR83" s="261">
        <f t="shared" si="102"/>
        <v>1.1155880422206441</v>
      </c>
      <c r="AS83" s="261">
        <f t="shared" si="102"/>
        <v>1.1407858293302817</v>
      </c>
      <c r="AT83" s="261">
        <f t="shared" si="102"/>
        <v>1.1665527588573648</v>
      </c>
      <c r="AU83" s="261">
        <f t="shared" si="102"/>
        <v>1.1929016860216759</v>
      </c>
      <c r="AV83" s="261">
        <f t="shared" si="102"/>
        <v>1.2198457564038474</v>
      </c>
      <c r="AW83" s="261">
        <f t="shared" si="102"/>
        <v>1.2473984125037409</v>
      </c>
      <c r="AX83" s="261">
        <f t="shared" si="102"/>
        <v>1.2755734004469628</v>
      </c>
      <c r="AY83" s="261">
        <f t="shared" si="102"/>
        <v>1.3043847768428583</v>
      </c>
      <c r="AZ83" s="261">
        <f t="shared" si="102"/>
        <v>1.3338469157974078</v>
      </c>
      <c r="BA83" s="269"/>
      <c r="BB83" s="269"/>
      <c r="BC83" s="269"/>
      <c r="BD83" s="269"/>
      <c r="BE83" s="262"/>
      <c r="BF83" s="244">
        <v>67</v>
      </c>
      <c r="BG83" s="275">
        <v>2056</v>
      </c>
      <c r="BH83" s="276">
        <v>2.0773E-2</v>
      </c>
      <c r="BI83" s="277">
        <v>2.23430489557756</v>
      </c>
      <c r="BJ83" s="278">
        <v>2.2694696210730698</v>
      </c>
    </row>
    <row r="84" spans="28:62" ht="14.25" customHeight="1" outlineLevel="1">
      <c r="AB84" s="258">
        <v>70</v>
      </c>
      <c r="AC84" s="243" t="s">
        <v>2404</v>
      </c>
      <c r="AD84" s="267" t="s">
        <v>2380</v>
      </c>
      <c r="AE84" s="243" t="s">
        <v>2497</v>
      </c>
      <c r="AG84" s="268">
        <f t="shared" si="91"/>
        <v>0.82650904805938918</v>
      </c>
      <c r="AH84" s="268">
        <f t="shared" si="93"/>
        <v>0.85782299636321524</v>
      </c>
      <c r="AI84" s="268">
        <f t="shared" si="95"/>
        <v>0.89253137261906734</v>
      </c>
      <c r="AJ84" s="268">
        <f t="shared" si="97"/>
        <v>0.91484465693454398</v>
      </c>
      <c r="AK84" s="268">
        <f t="shared" si="99"/>
        <v>0.93680092870097309</v>
      </c>
      <c r="AL84" s="268">
        <f t="shared" si="101"/>
        <v>0.95741054913239454</v>
      </c>
      <c r="AM84" s="268">
        <f t="shared" ref="AM84:AM96" si="103">AN84/(1+I$13)</f>
        <v>0.97847358121330719</v>
      </c>
      <c r="AN84" s="260">
        <v>1</v>
      </c>
      <c r="AO84" s="261">
        <f t="shared" ref="AO84:AZ84" si="104">AN84*(1+K$13)</f>
        <v>1.022</v>
      </c>
      <c r="AP84" s="261">
        <f t="shared" si="104"/>
        <v>1.044484</v>
      </c>
      <c r="AQ84" s="261">
        <f t="shared" si="104"/>
        <v>1.067462648</v>
      </c>
      <c r="AR84" s="261">
        <f t="shared" si="104"/>
        <v>1.0915734268303758</v>
      </c>
      <c r="AS84" s="261">
        <f t="shared" si="104"/>
        <v>1.1162287958221935</v>
      </c>
      <c r="AT84" s="261">
        <f t="shared" si="104"/>
        <v>1.1414410556334293</v>
      </c>
      <c r="AU84" s="261">
        <f t="shared" si="104"/>
        <v>1.1672227847570216</v>
      </c>
      <c r="AV84" s="261">
        <f t="shared" si="104"/>
        <v>1.1935868457963283</v>
      </c>
      <c r="AW84" s="261">
        <f t="shared" si="104"/>
        <v>1.2205463918823298</v>
      </c>
      <c r="AX84" s="261">
        <f t="shared" si="104"/>
        <v>1.2481148732357759</v>
      </c>
      <c r="AY84" s="261">
        <f t="shared" si="104"/>
        <v>1.2763060438775522</v>
      </c>
      <c r="AZ84" s="261">
        <f t="shared" si="104"/>
        <v>1.3051339684906142</v>
      </c>
      <c r="BA84" s="269"/>
      <c r="BB84" s="269"/>
      <c r="BC84" s="269"/>
      <c r="BD84" s="269"/>
      <c r="BE84" s="262"/>
      <c r="BF84" s="244">
        <v>68</v>
      </c>
      <c r="BG84" s="275">
        <v>2057</v>
      </c>
      <c r="BH84" s="276">
        <v>2.0773E-2</v>
      </c>
      <c r="BI84" s="277">
        <v>2.2807181111733899</v>
      </c>
      <c r="BJ84" s="278">
        <v>0</v>
      </c>
    </row>
    <row r="85" spans="28:62" ht="14.25" customHeight="1" outlineLevel="1">
      <c r="AB85" s="258">
        <v>71</v>
      </c>
      <c r="AC85" s="243" t="s">
        <v>2404</v>
      </c>
      <c r="AD85" s="267" t="s">
        <v>2381</v>
      </c>
      <c r="AE85" s="243" t="s">
        <v>2498</v>
      </c>
      <c r="AG85" s="268">
        <f t="shared" si="91"/>
        <v>0.80871726815987188</v>
      </c>
      <c r="AH85" s="268">
        <f t="shared" si="93"/>
        <v>0.83935713929864497</v>
      </c>
      <c r="AI85" s="268">
        <f t="shared" si="95"/>
        <v>0.87331836851180755</v>
      </c>
      <c r="AJ85" s="268">
        <f t="shared" si="97"/>
        <v>0.89515132772460271</v>
      </c>
      <c r="AK85" s="268">
        <f t="shared" si="99"/>
        <v>0.91663495958999319</v>
      </c>
      <c r="AL85" s="268">
        <f t="shared" si="101"/>
        <v>0.93680092870097309</v>
      </c>
      <c r="AM85" s="268">
        <f t="shared" si="103"/>
        <v>0.95741054913239454</v>
      </c>
      <c r="AN85" s="268">
        <f t="shared" ref="AN85:AN96" si="105">AO85/(1+J$13)</f>
        <v>0.97847358121330719</v>
      </c>
      <c r="AO85" s="260">
        <v>1</v>
      </c>
      <c r="AP85" s="261">
        <f t="shared" ref="AP85:AZ85" si="106">AO85*(1+L$13)</f>
        <v>1.022</v>
      </c>
      <c r="AQ85" s="261">
        <f t="shared" si="106"/>
        <v>1.044484</v>
      </c>
      <c r="AR85" s="261">
        <f t="shared" si="106"/>
        <v>1.068075760108</v>
      </c>
      <c r="AS85" s="261">
        <f t="shared" si="106"/>
        <v>1.0922003873015593</v>
      </c>
      <c r="AT85" s="261">
        <f t="shared" si="106"/>
        <v>1.1168699174495396</v>
      </c>
      <c r="AU85" s="261">
        <f t="shared" si="106"/>
        <v>1.1420966582749723</v>
      </c>
      <c r="AV85" s="261">
        <f t="shared" si="106"/>
        <v>1.167893195495429</v>
      </c>
      <c r="AW85" s="261">
        <f t="shared" si="106"/>
        <v>1.1942723991020843</v>
      </c>
      <c r="AX85" s="261">
        <f t="shared" si="106"/>
        <v>1.2212474297806029</v>
      </c>
      <c r="AY85" s="261">
        <f t="shared" si="106"/>
        <v>1.2488317454770572</v>
      </c>
      <c r="AZ85" s="261">
        <f t="shared" si="106"/>
        <v>1.2770391081121475</v>
      </c>
      <c r="BA85" s="269"/>
      <c r="BB85" s="269"/>
      <c r="BC85" s="269"/>
      <c r="BD85" s="269"/>
      <c r="BE85" s="262"/>
      <c r="BF85" s="244">
        <v>69</v>
      </c>
      <c r="BG85" s="275">
        <v>2058</v>
      </c>
      <c r="BH85" s="276">
        <v>2.0773E-2</v>
      </c>
      <c r="BI85" s="277">
        <v>2.3280954684967998</v>
      </c>
      <c r="BJ85" s="278">
        <v>0</v>
      </c>
    </row>
    <row r="86" spans="28:62" ht="14.25" customHeight="1" outlineLevel="1">
      <c r="AB86" s="258">
        <v>72</v>
      </c>
      <c r="AC86" s="243" t="s">
        <v>2404</v>
      </c>
      <c r="AD86" s="267" t="s">
        <v>2382</v>
      </c>
      <c r="AE86" s="243" t="s">
        <v>2499</v>
      </c>
      <c r="AG86" s="268">
        <f t="shared" si="91"/>
        <v>0.79130848156543243</v>
      </c>
      <c r="AH86" s="268">
        <f t="shared" si="93"/>
        <v>0.82128878600650201</v>
      </c>
      <c r="AI86" s="268">
        <f t="shared" si="95"/>
        <v>0.85451895157711111</v>
      </c>
      <c r="AJ86" s="268">
        <f t="shared" si="97"/>
        <v>0.87588192536653886</v>
      </c>
      <c r="AK86" s="268">
        <f t="shared" si="99"/>
        <v>0.89690309157533576</v>
      </c>
      <c r="AL86" s="268">
        <f t="shared" si="101"/>
        <v>0.91663495958999319</v>
      </c>
      <c r="AM86" s="268">
        <f t="shared" si="103"/>
        <v>0.93680092870097309</v>
      </c>
      <c r="AN86" s="268">
        <f t="shared" si="105"/>
        <v>0.95741054913239454</v>
      </c>
      <c r="AO86" s="268">
        <f t="shared" ref="AO86:AO96" si="107">AP86/(1+K$13)</f>
        <v>0.97847358121330719</v>
      </c>
      <c r="AP86" s="260">
        <v>1</v>
      </c>
      <c r="AQ86" s="261">
        <f t="shared" ref="AQ86:AZ86" si="108">AP86*(1+M$13)</f>
        <v>1.022</v>
      </c>
      <c r="AR86" s="261">
        <f t="shared" si="108"/>
        <v>1.0450839139999999</v>
      </c>
      <c r="AS86" s="261">
        <f t="shared" si="108"/>
        <v>1.0686892243655177</v>
      </c>
      <c r="AT86" s="261">
        <f t="shared" si="108"/>
        <v>1.0928277078762616</v>
      </c>
      <c r="AU86" s="261">
        <f t="shared" si="108"/>
        <v>1.1175114073140626</v>
      </c>
      <c r="AV86" s="261">
        <f t="shared" si="108"/>
        <v>1.1427526374710653</v>
      </c>
      <c r="AW86" s="261">
        <f t="shared" si="108"/>
        <v>1.1685639912936241</v>
      </c>
      <c r="AX86" s="261">
        <f t="shared" si="108"/>
        <v>1.1949583461649731</v>
      </c>
      <c r="AY86" s="261">
        <f t="shared" si="108"/>
        <v>1.2219488703298012</v>
      </c>
      <c r="AZ86" s="261">
        <f t="shared" si="108"/>
        <v>1.2495490294639402</v>
      </c>
      <c r="BA86" s="269"/>
      <c r="BB86" s="269"/>
      <c r="BC86" s="269"/>
      <c r="BD86" s="269"/>
      <c r="BE86" s="262"/>
      <c r="BF86" s="244">
        <v>70</v>
      </c>
      <c r="BG86" s="275">
        <v>2059</v>
      </c>
      <c r="BH86" s="276">
        <v>2.0773E-2</v>
      </c>
      <c r="BI86" s="277">
        <v>2.3764569956638799</v>
      </c>
      <c r="BJ86" s="278">
        <v>0</v>
      </c>
    </row>
    <row r="87" spans="28:62" ht="15" customHeight="1" outlineLevel="1">
      <c r="AB87" s="258">
        <v>73</v>
      </c>
      <c r="AC87" s="243" t="s">
        <v>2404</v>
      </c>
      <c r="AD87" s="267" t="s">
        <v>2383</v>
      </c>
      <c r="AE87" s="243" t="s">
        <v>2500</v>
      </c>
      <c r="AG87" s="268">
        <f t="shared" si="91"/>
        <v>0.774274443801793</v>
      </c>
      <c r="AH87" s="268">
        <f t="shared" si="93"/>
        <v>0.8036093796541115</v>
      </c>
      <c r="AI87" s="268">
        <f t="shared" si="95"/>
        <v>0.83612421876429655</v>
      </c>
      <c r="AJ87" s="268">
        <f t="shared" si="97"/>
        <v>0.85702732423340389</v>
      </c>
      <c r="AK87" s="268">
        <f t="shared" si="99"/>
        <v>0.87759598001500561</v>
      </c>
      <c r="AL87" s="268">
        <f t="shared" si="101"/>
        <v>0.89690309157533576</v>
      </c>
      <c r="AM87" s="268">
        <f t="shared" si="103"/>
        <v>0.91663495958999319</v>
      </c>
      <c r="AN87" s="268">
        <f t="shared" si="105"/>
        <v>0.93680092870097309</v>
      </c>
      <c r="AO87" s="268">
        <f t="shared" si="107"/>
        <v>0.95741054913239454</v>
      </c>
      <c r="AP87" s="268">
        <f t="shared" ref="AP87:AP96" si="109">AQ87/(1+L$13)</f>
        <v>0.97847358121330719</v>
      </c>
      <c r="AQ87" s="260">
        <v>1</v>
      </c>
      <c r="AR87" s="261">
        <f t="shared" ref="AR87:AZ87" si="110">AQ87*(1+N$13)</f>
        <v>1.0225869999999999</v>
      </c>
      <c r="AS87" s="261">
        <f t="shared" si="110"/>
        <v>1.0456841725689998</v>
      </c>
      <c r="AT87" s="261">
        <f t="shared" si="110"/>
        <v>1.0693030409748157</v>
      </c>
      <c r="AU87" s="261">
        <f t="shared" si="110"/>
        <v>1.0934553887613137</v>
      </c>
      <c r="AV87" s="261">
        <f t="shared" si="110"/>
        <v>1.1181532656272652</v>
      </c>
      <c r="AW87" s="261">
        <f t="shared" si="110"/>
        <v>1.1434089934379883</v>
      </c>
      <c r="AX87" s="261">
        <f t="shared" si="110"/>
        <v>1.1692351723727721</v>
      </c>
      <c r="AY87" s="261">
        <f t="shared" si="110"/>
        <v>1.1956446872111557</v>
      </c>
      <c r="AZ87" s="261">
        <f t="shared" si="110"/>
        <v>1.2226507137611939</v>
      </c>
      <c r="BA87" s="269"/>
      <c r="BB87" s="269"/>
      <c r="BC87" s="269"/>
      <c r="BD87" s="269"/>
      <c r="BE87" s="262"/>
      <c r="BF87" s="244">
        <v>71</v>
      </c>
      <c r="BG87" s="304">
        <v>2060</v>
      </c>
      <c r="BH87" s="305">
        <v>2.0773E-2</v>
      </c>
      <c r="BI87" s="306">
        <v>2.4258231368348002</v>
      </c>
      <c r="BJ87" s="307">
        <v>0</v>
      </c>
    </row>
    <row r="88" spans="28:62" ht="14.25" customHeight="1" outlineLevel="1">
      <c r="AB88" s="258">
        <v>74</v>
      </c>
      <c r="AC88" s="243" t="s">
        <v>2404</v>
      </c>
      <c r="AD88" s="267" t="s">
        <v>2384</v>
      </c>
      <c r="AE88" s="243" t="s">
        <v>2501</v>
      </c>
      <c r="AG88" s="268">
        <f t="shared" si="91"/>
        <v>0.75760708786868192</v>
      </c>
      <c r="AH88" s="268">
        <f t="shared" si="93"/>
        <v>0.78631054760676267</v>
      </c>
      <c r="AI88" s="268">
        <f t="shared" si="95"/>
        <v>0.81812545867347997</v>
      </c>
      <c r="AJ88" s="268">
        <f t="shared" si="97"/>
        <v>0.83857859514031685</v>
      </c>
      <c r="AK88" s="268">
        <f t="shared" si="99"/>
        <v>0.8587044814236845</v>
      </c>
      <c r="AL88" s="268">
        <f t="shared" si="101"/>
        <v>0.87759598001500561</v>
      </c>
      <c r="AM88" s="268">
        <f t="shared" si="103"/>
        <v>0.89690309157533576</v>
      </c>
      <c r="AN88" s="268">
        <f t="shared" si="105"/>
        <v>0.91663495958999319</v>
      </c>
      <c r="AO88" s="268">
        <f t="shared" si="107"/>
        <v>0.93680092870097309</v>
      </c>
      <c r="AP88" s="268">
        <f t="shared" si="109"/>
        <v>0.95741054913239454</v>
      </c>
      <c r="AQ88" s="268">
        <f t="shared" ref="AQ88:AQ96" si="111">AR88/(1+M$13)</f>
        <v>0.97847358121330719</v>
      </c>
      <c r="AR88" s="260">
        <v>1</v>
      </c>
      <c r="AS88" s="261">
        <f t="shared" ref="AS88:AZ88" si="112">AR88*(1+O$13)</f>
        <v>1.0225869999999999</v>
      </c>
      <c r="AT88" s="261">
        <f t="shared" si="112"/>
        <v>1.0456841725689998</v>
      </c>
      <c r="AU88" s="261">
        <f t="shared" si="112"/>
        <v>1.0693030409748157</v>
      </c>
      <c r="AV88" s="261">
        <f t="shared" si="112"/>
        <v>1.0934553887613137</v>
      </c>
      <c r="AW88" s="261">
        <f t="shared" si="112"/>
        <v>1.1181532656272652</v>
      </c>
      <c r="AX88" s="261">
        <f t="shared" si="112"/>
        <v>1.1434089934379883</v>
      </c>
      <c r="AY88" s="261">
        <f t="shared" si="112"/>
        <v>1.1692351723727721</v>
      </c>
      <c r="AZ88" s="261">
        <f t="shared" si="112"/>
        <v>1.1956446872111557</v>
      </c>
      <c r="BA88" s="269"/>
      <c r="BB88" s="269"/>
      <c r="BC88" s="269"/>
      <c r="BD88" s="269"/>
      <c r="BE88" s="262"/>
    </row>
    <row r="89" spans="28:62" ht="14.25" customHeight="1" outlineLevel="1">
      <c r="AB89" s="258">
        <v>75</v>
      </c>
      <c r="AC89" s="243" t="s">
        <v>2404</v>
      </c>
      <c r="AD89" s="267" t="s">
        <v>2385</v>
      </c>
      <c r="AE89" s="243" t="s">
        <v>2502</v>
      </c>
      <c r="AG89" s="268">
        <f t="shared" si="91"/>
        <v>0.74087298965142534</v>
      </c>
      <c r="AH89" s="268">
        <f t="shared" si="93"/>
        <v>0.76894244461034889</v>
      </c>
      <c r="AI89" s="268">
        <f t="shared" si="95"/>
        <v>0.80005462486172829</v>
      </c>
      <c r="AJ89" s="268">
        <f t="shared" si="97"/>
        <v>0.82005599048327138</v>
      </c>
      <c r="AK89" s="268">
        <f t="shared" si="99"/>
        <v>0.83973733425486996</v>
      </c>
      <c r="AL89" s="268">
        <f t="shared" si="101"/>
        <v>0.85821155560847717</v>
      </c>
      <c r="AM89" s="268">
        <f t="shared" si="103"/>
        <v>0.87709220983186365</v>
      </c>
      <c r="AN89" s="268">
        <f t="shared" si="105"/>
        <v>0.89638823844816462</v>
      </c>
      <c r="AO89" s="268">
        <f t="shared" si="107"/>
        <v>0.91610877969402427</v>
      </c>
      <c r="AP89" s="268">
        <f t="shared" si="109"/>
        <v>0.93626317284729277</v>
      </c>
      <c r="AQ89" s="268">
        <f t="shared" si="111"/>
        <v>0.95686096264993326</v>
      </c>
      <c r="AR89" s="268">
        <f t="shared" ref="AR89:AR96" si="113">AS89/(1+N$13)</f>
        <v>0.97791190382823179</v>
      </c>
      <c r="AS89" s="260">
        <v>1</v>
      </c>
      <c r="AT89" s="261">
        <f t="shared" ref="AT89:AZ89" si="114">AS89*(1+P$13)</f>
        <v>1.0225869999999999</v>
      </c>
      <c r="AU89" s="261">
        <f t="shared" si="114"/>
        <v>1.0456841725689998</v>
      </c>
      <c r="AV89" s="261">
        <f t="shared" si="114"/>
        <v>1.0693030409748157</v>
      </c>
      <c r="AW89" s="261">
        <f t="shared" si="114"/>
        <v>1.0934553887613137</v>
      </c>
      <c r="AX89" s="261">
        <f t="shared" si="114"/>
        <v>1.1181532656272652</v>
      </c>
      <c r="AY89" s="261">
        <f t="shared" si="114"/>
        <v>1.1434089934379883</v>
      </c>
      <c r="AZ89" s="261">
        <f t="shared" si="114"/>
        <v>1.1692351723727721</v>
      </c>
      <c r="BA89" s="269"/>
      <c r="BB89" s="269"/>
      <c r="BC89" s="269"/>
      <c r="BD89" s="269"/>
      <c r="BE89" s="262"/>
    </row>
    <row r="90" spans="28:62" ht="14.25" customHeight="1" outlineLevel="1">
      <c r="AB90" s="258">
        <v>76</v>
      </c>
      <c r="AC90" s="243" t="s">
        <v>2404</v>
      </c>
      <c r="AD90" s="267" t="s">
        <v>2386</v>
      </c>
      <c r="AE90" s="243" t="s">
        <v>2503</v>
      </c>
      <c r="AG90" s="268">
        <f t="shared" si="91"/>
        <v>0.72450851580493936</v>
      </c>
      <c r="AH90" s="268">
        <f t="shared" si="93"/>
        <v>0.75195796994324104</v>
      </c>
      <c r="AI90" s="268">
        <f t="shared" si="95"/>
        <v>0.78238294136511455</v>
      </c>
      <c r="AJ90" s="268">
        <f t="shared" si="97"/>
        <v>0.80194251489924229</v>
      </c>
      <c r="AK90" s="268">
        <f t="shared" si="99"/>
        <v>0.82118913525682413</v>
      </c>
      <c r="AL90" s="268">
        <f t="shared" si="101"/>
        <v>0.8392552962324743</v>
      </c>
      <c r="AM90" s="268">
        <f t="shared" si="103"/>
        <v>0.85771891274958878</v>
      </c>
      <c r="AN90" s="268">
        <f t="shared" si="105"/>
        <v>0.87658872883007977</v>
      </c>
      <c r="AO90" s="268">
        <f t="shared" si="107"/>
        <v>0.89587368086434149</v>
      </c>
      <c r="AP90" s="268">
        <f t="shared" si="109"/>
        <v>0.915582901843357</v>
      </c>
      <c r="AQ90" s="268">
        <f t="shared" si="111"/>
        <v>0.93572572568391088</v>
      </c>
      <c r="AR90" s="268">
        <f t="shared" si="113"/>
        <v>0.95631169164895691</v>
      </c>
      <c r="AS90" s="268">
        <f t="shared" ref="AS90:AS96" si="115">AT90/(1+O$13)</f>
        <v>0.97791190382823179</v>
      </c>
      <c r="AT90" s="260">
        <v>1</v>
      </c>
      <c r="AU90" s="261">
        <f t="shared" ref="AU90:AZ90" si="116">AT90*(1+Q$13)</f>
        <v>1.0225869999999999</v>
      </c>
      <c r="AV90" s="261">
        <f t="shared" si="116"/>
        <v>1.0456841725689998</v>
      </c>
      <c r="AW90" s="261">
        <f t="shared" si="116"/>
        <v>1.0693030409748157</v>
      </c>
      <c r="AX90" s="261">
        <f t="shared" si="116"/>
        <v>1.0934553887613137</v>
      </c>
      <c r="AY90" s="261">
        <f t="shared" si="116"/>
        <v>1.1181532656272652</v>
      </c>
      <c r="AZ90" s="261">
        <f t="shared" si="116"/>
        <v>1.1434089934379883</v>
      </c>
      <c r="BA90" s="269"/>
      <c r="BB90" s="269"/>
      <c r="BC90" s="269"/>
      <c r="BD90" s="269"/>
      <c r="BE90" s="262"/>
    </row>
    <row r="91" spans="28:62" ht="14.25" customHeight="1" outlineLevel="1">
      <c r="AB91" s="258">
        <v>77</v>
      </c>
      <c r="AC91" s="243" t="s">
        <v>2404</v>
      </c>
      <c r="AD91" s="267" t="s">
        <v>2387</v>
      </c>
      <c r="AE91" s="243" t="s">
        <v>2504</v>
      </c>
      <c r="AG91" s="268">
        <f t="shared" si="91"/>
        <v>0.7085055020305745</v>
      </c>
      <c r="AH91" s="268">
        <f t="shared" si="93"/>
        <v>0.73534864998600691</v>
      </c>
      <c r="AI91" s="268">
        <f t="shared" si="95"/>
        <v>0.76510159171309078</v>
      </c>
      <c r="AJ91" s="268">
        <f t="shared" si="97"/>
        <v>0.784229131505918</v>
      </c>
      <c r="AK91" s="268">
        <f t="shared" si="99"/>
        <v>0.80305063066206006</v>
      </c>
      <c r="AL91" s="268">
        <f t="shared" si="101"/>
        <v>0.82071774453662538</v>
      </c>
      <c r="AM91" s="268">
        <f t="shared" si="103"/>
        <v>0.83877353491643114</v>
      </c>
      <c r="AN91" s="268">
        <f t="shared" si="105"/>
        <v>0.85722655268459269</v>
      </c>
      <c r="AO91" s="268">
        <f t="shared" si="107"/>
        <v>0.87608553684365376</v>
      </c>
      <c r="AP91" s="268">
        <f t="shared" si="109"/>
        <v>0.8953594186542142</v>
      </c>
      <c r="AQ91" s="268">
        <f t="shared" si="111"/>
        <v>0.91505732586460697</v>
      </c>
      <c r="AR91" s="268">
        <f t="shared" si="113"/>
        <v>0.93518858703362839</v>
      </c>
      <c r="AS91" s="268">
        <f t="shared" si="115"/>
        <v>0.95631169164895691</v>
      </c>
      <c r="AT91" s="268">
        <f t="shared" ref="AT91:AT96" si="117">AU91/(1+P$13)</f>
        <v>0.97791190382823179</v>
      </c>
      <c r="AU91" s="260">
        <v>1</v>
      </c>
      <c r="AV91" s="261">
        <f>AU91*(1+R$13)</f>
        <v>1.0225869999999999</v>
      </c>
      <c r="AW91" s="261">
        <f>AV91*(1+S$13)</f>
        <v>1.0456841725689998</v>
      </c>
      <c r="AX91" s="261">
        <f>AW91*(1+T$13)</f>
        <v>1.0693030409748157</v>
      </c>
      <c r="AY91" s="261">
        <f>AX91*(1+U$13)</f>
        <v>1.0934553887613137</v>
      </c>
      <c r="AZ91" s="261">
        <f>AY91*(1+V$13)</f>
        <v>1.1181532656272652</v>
      </c>
      <c r="BA91" s="269"/>
      <c r="BB91" s="269"/>
      <c r="BC91" s="269"/>
      <c r="BD91" s="269"/>
      <c r="BE91" s="262"/>
    </row>
    <row r="92" spans="28:62" ht="14.25" customHeight="1" outlineLevel="1">
      <c r="AB92" s="258">
        <v>78</v>
      </c>
      <c r="AC92" s="243" t="s">
        <v>2404</v>
      </c>
      <c r="AD92" s="267" t="s">
        <v>2388</v>
      </c>
      <c r="AE92" s="243" t="s">
        <v>2505</v>
      </c>
      <c r="AG92" s="268">
        <f t="shared" si="91"/>
        <v>0.69285596436349628</v>
      </c>
      <c r="AH92" s="268">
        <f t="shared" si="93"/>
        <v>0.71910619828533606</v>
      </c>
      <c r="AI92" s="268">
        <f t="shared" si="95"/>
        <v>0.74820195417415913</v>
      </c>
      <c r="AJ92" s="268">
        <f t="shared" si="97"/>
        <v>0.766907003028513</v>
      </c>
      <c r="AK92" s="268">
        <f t="shared" si="99"/>
        <v>0.78531277110119735</v>
      </c>
      <c r="AL92" s="268">
        <f t="shared" si="101"/>
        <v>0.80258965206542365</v>
      </c>
      <c r="AM92" s="268">
        <f t="shared" si="103"/>
        <v>0.82024662441086305</v>
      </c>
      <c r="AN92" s="268">
        <f t="shared" si="105"/>
        <v>0.83829205014790209</v>
      </c>
      <c r="AO92" s="268">
        <f t="shared" si="107"/>
        <v>0.85673447525115598</v>
      </c>
      <c r="AP92" s="268">
        <f t="shared" si="109"/>
        <v>0.87558263370668143</v>
      </c>
      <c r="AQ92" s="268">
        <f t="shared" si="111"/>
        <v>0.89484545164822848</v>
      </c>
      <c r="AR92" s="268">
        <f t="shared" si="113"/>
        <v>0.91453205158448958</v>
      </c>
      <c r="AS92" s="268">
        <f t="shared" si="115"/>
        <v>0.93518858703362839</v>
      </c>
      <c r="AT92" s="268">
        <f t="shared" si="117"/>
        <v>0.95631169164895691</v>
      </c>
      <c r="AU92" s="268">
        <f>AV92/(1+Q$13)</f>
        <v>0.97791190382823179</v>
      </c>
      <c r="AV92" s="260">
        <v>1</v>
      </c>
      <c r="AW92" s="261">
        <f>AV92*(1+S$13)</f>
        <v>1.0225869999999999</v>
      </c>
      <c r="AX92" s="261">
        <f>AW92*(1+T$13)</f>
        <v>1.0456841725689998</v>
      </c>
      <c r="AY92" s="261">
        <f>AX92*(1+U$13)</f>
        <v>1.0693030409748157</v>
      </c>
      <c r="AZ92" s="261">
        <f>AY92*(1+V$13)</f>
        <v>1.0934553887613137</v>
      </c>
      <c r="BA92" s="269"/>
      <c r="BB92" s="269"/>
      <c r="BC92" s="269"/>
      <c r="BD92" s="269"/>
      <c r="BE92" s="262"/>
    </row>
    <row r="93" spans="28:62" ht="14.25" customHeight="1" outlineLevel="1">
      <c r="AB93" s="258">
        <v>79</v>
      </c>
      <c r="AC93" s="243" t="s">
        <v>2404</v>
      </c>
      <c r="AD93" s="267" t="s">
        <v>2389</v>
      </c>
      <c r="AE93" s="243" t="s">
        <v>2506</v>
      </c>
      <c r="AG93" s="268">
        <f t="shared" si="91"/>
        <v>0.67755209518945236</v>
      </c>
      <c r="AH93" s="268">
        <f t="shared" si="93"/>
        <v>0.70322251141989511</v>
      </c>
      <c r="AI93" s="268">
        <f t="shared" si="95"/>
        <v>0.73167559745445554</v>
      </c>
      <c r="AJ93" s="268">
        <f t="shared" si="97"/>
        <v>0.74996748739081687</v>
      </c>
      <c r="AK93" s="268">
        <f t="shared" si="99"/>
        <v>0.76796670708819648</v>
      </c>
      <c r="AL93" s="268">
        <f t="shared" si="101"/>
        <v>0.78486197464413676</v>
      </c>
      <c r="AM93" s="268">
        <f t="shared" si="103"/>
        <v>0.80212893808630781</v>
      </c>
      <c r="AN93" s="268">
        <f t="shared" si="105"/>
        <v>0.8197757747242066</v>
      </c>
      <c r="AO93" s="268">
        <f t="shared" si="107"/>
        <v>0.83781084176813914</v>
      </c>
      <c r="AP93" s="268">
        <f t="shared" si="109"/>
        <v>0.8562426802870382</v>
      </c>
      <c r="AQ93" s="268">
        <f t="shared" si="111"/>
        <v>0.8750800192533531</v>
      </c>
      <c r="AR93" s="268">
        <f t="shared" si="113"/>
        <v>0.8943317796769269</v>
      </c>
      <c r="AS93" s="268">
        <f t="shared" si="115"/>
        <v>0.91453205158448958</v>
      </c>
      <c r="AT93" s="268">
        <f t="shared" si="117"/>
        <v>0.93518858703362839</v>
      </c>
      <c r="AU93" s="268">
        <f>AV93/(1+Q$13)</f>
        <v>0.95631169164895691</v>
      </c>
      <c r="AV93" s="268">
        <f>AW93/(1+R$13)</f>
        <v>0.97791190382823179</v>
      </c>
      <c r="AW93" s="260">
        <v>1</v>
      </c>
      <c r="AX93" s="261">
        <f>AW93*(1+T$13)</f>
        <v>1.0225869999999999</v>
      </c>
      <c r="AY93" s="261">
        <f>AX93*(1+U$13)</f>
        <v>1.0456841725689998</v>
      </c>
      <c r="AZ93" s="261">
        <f>AY93*(1+V$13)</f>
        <v>1.0693030409748157</v>
      </c>
      <c r="BA93" s="269"/>
      <c r="BB93" s="269"/>
      <c r="BC93" s="269"/>
      <c r="BD93" s="269"/>
      <c r="BE93" s="262"/>
    </row>
    <row r="94" spans="28:62" ht="14.25" customHeight="1" outlineLevel="1">
      <c r="AB94" s="258">
        <v>80</v>
      </c>
      <c r="AC94" s="243" t="s">
        <v>2404</v>
      </c>
      <c r="AD94" s="267" t="s">
        <v>2390</v>
      </c>
      <c r="AE94" s="243" t="s">
        <v>2507</v>
      </c>
      <c r="AG94" s="268">
        <f t="shared" si="91"/>
        <v>0.66258625934952475</v>
      </c>
      <c r="AH94" s="268">
        <f t="shared" si="93"/>
        <v>0.68768966495750017</v>
      </c>
      <c r="AI94" s="268">
        <f t="shared" si="95"/>
        <v>0.71551427649134569</v>
      </c>
      <c r="AJ94" s="268">
        <f t="shared" si="97"/>
        <v>0.73340213340362925</v>
      </c>
      <c r="AK94" s="268">
        <f t="shared" si="99"/>
        <v>0.75100378460531636</v>
      </c>
      <c r="AL94" s="268">
        <f t="shared" si="101"/>
        <v>0.76752586786663335</v>
      </c>
      <c r="AM94" s="268">
        <f t="shared" si="103"/>
        <v>0.78441143695969928</v>
      </c>
      <c r="AN94" s="268">
        <f t="shared" si="105"/>
        <v>0.8016684885728127</v>
      </c>
      <c r="AO94" s="268">
        <f t="shared" si="107"/>
        <v>0.81930519532141455</v>
      </c>
      <c r="AP94" s="268">
        <f t="shared" si="109"/>
        <v>0.83732990961848563</v>
      </c>
      <c r="AQ94" s="268">
        <f t="shared" si="111"/>
        <v>0.85575116763009229</v>
      </c>
      <c r="AR94" s="268">
        <f t="shared" si="113"/>
        <v>0.87457769331795432</v>
      </c>
      <c r="AS94" s="268">
        <f t="shared" si="115"/>
        <v>0.8943317796769269</v>
      </c>
      <c r="AT94" s="268">
        <f t="shared" si="117"/>
        <v>0.91453205158448958</v>
      </c>
      <c r="AU94" s="268">
        <f>AV94/(1+Q$13)</f>
        <v>0.93518858703362839</v>
      </c>
      <c r="AV94" s="268">
        <f>AW94/(1+R$13)</f>
        <v>0.95631169164895691</v>
      </c>
      <c r="AW94" s="268">
        <f>AX94/(1+S$13)</f>
        <v>0.97791190382823179</v>
      </c>
      <c r="AX94" s="260">
        <v>1</v>
      </c>
      <c r="AY94" s="261">
        <f>AX94*(1+U$13)</f>
        <v>1.0225869999999999</v>
      </c>
      <c r="AZ94" s="261">
        <f>AY94*(1+V$13)</f>
        <v>1.0456841725689998</v>
      </c>
      <c r="BA94" s="269"/>
      <c r="BB94" s="269"/>
      <c r="BC94" s="269"/>
      <c r="BD94" s="269"/>
      <c r="BE94" s="262"/>
    </row>
    <row r="95" spans="28:62" ht="14.25" customHeight="1" outlineLevel="1">
      <c r="AB95" s="258">
        <v>81</v>
      </c>
      <c r="AC95" s="243" t="s">
        <v>2404</v>
      </c>
      <c r="AD95" s="267" t="s">
        <v>2391</v>
      </c>
      <c r="AE95" s="243" t="s">
        <v>2508</v>
      </c>
      <c r="AF95" s="303"/>
      <c r="AG95" s="286">
        <f t="shared" si="91"/>
        <v>0.64795099033092018</v>
      </c>
      <c r="AH95" s="286">
        <f t="shared" si="93"/>
        <v>0.67249990950158778</v>
      </c>
      <c r="AI95" s="286">
        <f t="shared" si="95"/>
        <v>0.69970992833993162</v>
      </c>
      <c r="AJ95" s="286">
        <f t="shared" si="97"/>
        <v>0.71720267654842984</v>
      </c>
      <c r="AK95" s="286">
        <f t="shared" si="99"/>
        <v>0.73441554078559212</v>
      </c>
      <c r="AL95" s="286">
        <f t="shared" si="101"/>
        <v>0.75057268268287514</v>
      </c>
      <c r="AM95" s="286">
        <f t="shared" si="103"/>
        <v>0.76708528170189838</v>
      </c>
      <c r="AN95" s="286">
        <f t="shared" si="105"/>
        <v>0.78396115789934018</v>
      </c>
      <c r="AO95" s="286">
        <f t="shared" si="107"/>
        <v>0.80120830337312565</v>
      </c>
      <c r="AP95" s="286">
        <f t="shared" si="109"/>
        <v>0.81883488604733445</v>
      </c>
      <c r="AQ95" s="286">
        <f t="shared" si="111"/>
        <v>0.83684925354037587</v>
      </c>
      <c r="AR95" s="286">
        <f t="shared" si="113"/>
        <v>0.8552599371182642</v>
      </c>
      <c r="AS95" s="286">
        <f t="shared" si="115"/>
        <v>0.87457769331795432</v>
      </c>
      <c r="AT95" s="286">
        <f t="shared" si="117"/>
        <v>0.8943317796769269</v>
      </c>
      <c r="AU95" s="286">
        <f>AV95/(1+Q$13)</f>
        <v>0.91453205158448958</v>
      </c>
      <c r="AV95" s="286">
        <f>AW95/(1+R$13)</f>
        <v>0.93518858703362839</v>
      </c>
      <c r="AW95" s="286">
        <f>AX95/(1+S$13)</f>
        <v>0.95631169164895691</v>
      </c>
      <c r="AX95" s="286">
        <f>AY95/(1+T$13)</f>
        <v>0.97791190382823179</v>
      </c>
      <c r="AY95" s="287">
        <v>1</v>
      </c>
      <c r="AZ95" s="300">
        <f>AY95*(1+V$13)</f>
        <v>1.0225869999999999</v>
      </c>
      <c r="BA95" s="269"/>
      <c r="BB95" s="269"/>
      <c r="BC95" s="269"/>
      <c r="BD95" s="269"/>
      <c r="BE95" s="262"/>
    </row>
    <row r="96" spans="28:62" ht="15" customHeight="1" outlineLevel="1">
      <c r="AB96" s="289">
        <v>82</v>
      </c>
      <c r="AC96" s="290" t="s">
        <v>2404</v>
      </c>
      <c r="AD96" s="291" t="s">
        <v>2392</v>
      </c>
      <c r="AE96" s="290" t="s">
        <v>2509</v>
      </c>
      <c r="AF96" s="290"/>
      <c r="AG96" s="292">
        <f t="shared" si="91"/>
        <v>0.63363898654189832</v>
      </c>
      <c r="AH96" s="292">
        <f t="shared" si="93"/>
        <v>0.65764566682501124</v>
      </c>
      <c r="AI96" s="292">
        <f t="shared" si="95"/>
        <v>0.68425466815041813</v>
      </c>
      <c r="AJ96" s="292">
        <f t="shared" si="97"/>
        <v>0.70136103485417856</v>
      </c>
      <c r="AK96" s="292">
        <f t="shared" si="99"/>
        <v>0.71819369969067881</v>
      </c>
      <c r="AL96" s="292">
        <f t="shared" si="101"/>
        <v>0.73399396108387371</v>
      </c>
      <c r="AM96" s="292">
        <f t="shared" si="103"/>
        <v>0.75014182822771891</v>
      </c>
      <c r="AN96" s="292">
        <f t="shared" si="105"/>
        <v>0.76664494844872877</v>
      </c>
      <c r="AO96" s="292">
        <f t="shared" si="107"/>
        <v>0.78351113731460087</v>
      </c>
      <c r="AP96" s="292">
        <f t="shared" si="109"/>
        <v>0.80074838233552215</v>
      </c>
      <c r="AQ96" s="292">
        <f t="shared" si="111"/>
        <v>0.81836484674690368</v>
      </c>
      <c r="AR96" s="292">
        <f t="shared" si="113"/>
        <v>0.83636887337533561</v>
      </c>
      <c r="AS96" s="292">
        <f t="shared" si="115"/>
        <v>0.8552599371182642</v>
      </c>
      <c r="AT96" s="292">
        <f t="shared" si="117"/>
        <v>0.87457769331795432</v>
      </c>
      <c r="AU96" s="292">
        <f>AV96/(1+Q$13)</f>
        <v>0.8943317796769269</v>
      </c>
      <c r="AV96" s="292">
        <f>AW96/(1+R$13)</f>
        <v>0.91453205158448958</v>
      </c>
      <c r="AW96" s="292">
        <f>AX96/(1+S$13)</f>
        <v>0.93518858703362839</v>
      </c>
      <c r="AX96" s="292">
        <f>AY96/(1+T$13)</f>
        <v>0.95631169164895691</v>
      </c>
      <c r="AY96" s="292">
        <f>AZ96/(1+U$13)</f>
        <v>0.97791190382823179</v>
      </c>
      <c r="AZ96" s="293">
        <v>1</v>
      </c>
      <c r="BA96" s="269"/>
      <c r="BB96" s="269"/>
      <c r="BC96" s="269"/>
      <c r="BD96" s="269"/>
      <c r="BE96" s="262"/>
    </row>
    <row r="97" spans="28:57" ht="14.25" customHeight="1">
      <c r="AB97" s="258">
        <v>83</v>
      </c>
      <c r="AC97" s="243" t="s">
        <v>2406</v>
      </c>
      <c r="AD97" s="259" t="s">
        <v>2373</v>
      </c>
      <c r="AE97" s="243" t="s">
        <v>2510</v>
      </c>
      <c r="AG97" s="295">
        <v>1</v>
      </c>
      <c r="AH97" s="301"/>
      <c r="AI97" s="301"/>
      <c r="AJ97" s="301"/>
      <c r="AK97" s="301"/>
      <c r="AL97" s="301"/>
      <c r="AM97" s="301"/>
      <c r="AN97" s="301"/>
      <c r="AO97" s="301"/>
      <c r="AP97" s="301"/>
      <c r="AQ97" s="301"/>
      <c r="AR97" s="301"/>
      <c r="AS97" s="301"/>
      <c r="AT97" s="301"/>
      <c r="AU97" s="301"/>
      <c r="AV97" s="301"/>
      <c r="AW97" s="301"/>
      <c r="AX97" s="301"/>
      <c r="AY97" s="301"/>
      <c r="AZ97" s="302"/>
      <c r="BA97" s="269"/>
      <c r="BB97" s="269"/>
      <c r="BC97" s="269"/>
      <c r="BD97" s="269"/>
      <c r="BE97" s="262"/>
    </row>
    <row r="98" spans="28:57" ht="14.25" customHeight="1" outlineLevel="1">
      <c r="AB98" s="258">
        <v>84</v>
      </c>
      <c r="AC98" s="243" t="s">
        <v>2406</v>
      </c>
      <c r="AD98" s="243" t="s">
        <v>2374</v>
      </c>
      <c r="AE98" s="243" t="s">
        <v>2511</v>
      </c>
      <c r="AG98" s="268"/>
      <c r="AH98" s="260">
        <v>1</v>
      </c>
      <c r="AI98" s="261"/>
      <c r="AJ98" s="261"/>
      <c r="AK98" s="261"/>
      <c r="AL98" s="261"/>
      <c r="AM98" s="261"/>
      <c r="AN98" s="261"/>
      <c r="AO98" s="261"/>
      <c r="AP98" s="261"/>
      <c r="AQ98" s="261"/>
      <c r="AR98" s="261"/>
      <c r="AS98" s="261"/>
      <c r="AT98" s="261"/>
      <c r="AU98" s="261"/>
      <c r="AV98" s="261"/>
      <c r="AW98" s="261"/>
      <c r="AX98" s="261"/>
      <c r="AY98" s="261"/>
      <c r="AZ98" s="261"/>
      <c r="BA98" s="261">
        <f>AZ$98*(1+W$14)</f>
        <v>0</v>
      </c>
      <c r="BB98" s="261">
        <f>BA$98*(1+X$14)</f>
        <v>0</v>
      </c>
      <c r="BC98" s="261">
        <f>BB$98*(1+Y$14)</f>
        <v>0</v>
      </c>
      <c r="BD98" s="261">
        <f>IFERROR(BC$98*(1+Z$14),BC$98)</f>
        <v>0</v>
      </c>
      <c r="BE98" s="262"/>
    </row>
    <row r="99" spans="28:57" ht="14.25" customHeight="1" outlineLevel="1">
      <c r="AB99" s="258">
        <v>85</v>
      </c>
      <c r="AC99" s="267" t="s">
        <v>2406</v>
      </c>
      <c r="AD99" s="267" t="s">
        <v>2375</v>
      </c>
      <c r="AE99" s="267" t="s">
        <v>2512</v>
      </c>
      <c r="AF99" s="267"/>
      <c r="AG99" s="268"/>
      <c r="AH99" s="268"/>
      <c r="AI99" s="308">
        <v>1</v>
      </c>
      <c r="AJ99" s="261"/>
      <c r="AK99" s="261"/>
      <c r="AL99" s="261"/>
      <c r="AM99" s="261"/>
      <c r="AN99" s="261"/>
      <c r="AO99" s="261"/>
      <c r="AP99" s="261"/>
      <c r="AQ99" s="261"/>
      <c r="AR99" s="261"/>
      <c r="AS99" s="261"/>
      <c r="AT99" s="261"/>
      <c r="AU99" s="261"/>
      <c r="AV99" s="261"/>
      <c r="AW99" s="261"/>
      <c r="AX99" s="261"/>
      <c r="AY99" s="261"/>
      <c r="AZ99" s="261"/>
      <c r="BA99" s="261">
        <f>AZ99*(1+W14)</f>
        <v>0</v>
      </c>
      <c r="BB99" s="261">
        <f>BA99*(1+X14)</f>
        <v>0</v>
      </c>
      <c r="BC99" s="261">
        <f>BB99*(1+Y14)</f>
        <v>0</v>
      </c>
      <c r="BD99" s="261">
        <f>IFERROR(BC99*(1+Z14),BC99)</f>
        <v>0</v>
      </c>
      <c r="BE99" s="262"/>
    </row>
    <row r="100" spans="28:57" ht="14.25" customHeight="1" outlineLevel="1">
      <c r="AB100" s="258">
        <v>86</v>
      </c>
      <c r="AC100" s="267" t="s">
        <v>2406</v>
      </c>
      <c r="AD100" s="267" t="s">
        <v>2376</v>
      </c>
      <c r="AE100" s="267" t="s">
        <v>2513</v>
      </c>
      <c r="AF100" s="267"/>
      <c r="AG100" s="268"/>
      <c r="AH100" s="268"/>
      <c r="AI100" s="268"/>
      <c r="AJ100" s="308">
        <v>1</v>
      </c>
      <c r="AK100" s="261"/>
      <c r="AL100" s="261"/>
      <c r="AM100" s="261"/>
      <c r="AN100" s="261"/>
      <c r="AO100" s="261"/>
      <c r="AP100" s="261"/>
      <c r="AQ100" s="261"/>
      <c r="AR100" s="261"/>
      <c r="AS100" s="261"/>
      <c r="AT100" s="261"/>
      <c r="AU100" s="261"/>
      <c r="AV100" s="261"/>
      <c r="AW100" s="261"/>
      <c r="AX100" s="261"/>
      <c r="AY100" s="261"/>
      <c r="AZ100" s="261"/>
      <c r="BA100" s="261">
        <f>AZ100*(1+W14)</f>
        <v>0</v>
      </c>
      <c r="BB100" s="261">
        <f>BA100*(1+X14)</f>
        <v>0</v>
      </c>
      <c r="BC100" s="261">
        <f>BB100*(1+Y14)</f>
        <v>0</v>
      </c>
      <c r="BD100" s="261">
        <f>IFERROR(BC100*(1+Z14),BC100)</f>
        <v>0</v>
      </c>
      <c r="BE100" s="262"/>
    </row>
    <row r="101" spans="28:57" ht="14.25" customHeight="1" outlineLevel="1">
      <c r="AB101" s="258">
        <v>87</v>
      </c>
      <c r="AC101" s="267" t="s">
        <v>2406</v>
      </c>
      <c r="AD101" s="267" t="s">
        <v>2377</v>
      </c>
      <c r="AE101" s="267" t="s">
        <v>2514</v>
      </c>
      <c r="AF101" s="267"/>
      <c r="AG101" s="268"/>
      <c r="AH101" s="268"/>
      <c r="AI101" s="268"/>
      <c r="AJ101" s="268"/>
      <c r="AK101" s="308">
        <v>1</v>
      </c>
      <c r="AL101" s="261"/>
      <c r="AM101" s="261"/>
      <c r="AN101" s="261"/>
      <c r="AO101" s="261"/>
      <c r="AP101" s="261"/>
      <c r="AQ101" s="261"/>
      <c r="AR101" s="261"/>
      <c r="AS101" s="261"/>
      <c r="AT101" s="261"/>
      <c r="AU101" s="261"/>
      <c r="AV101" s="261"/>
      <c r="AW101" s="261"/>
      <c r="AX101" s="261"/>
      <c r="AY101" s="261"/>
      <c r="AZ101" s="261"/>
      <c r="BA101" s="261">
        <f>AZ101*(1+W14)</f>
        <v>0</v>
      </c>
      <c r="BB101" s="261">
        <f>BA101*(1+X14)</f>
        <v>0</v>
      </c>
      <c r="BC101" s="261">
        <f>BB101*(1+Y14)</f>
        <v>0</v>
      </c>
      <c r="BD101" s="261">
        <f>IFERROR(BC101*(1+Z14),BC101)</f>
        <v>0</v>
      </c>
      <c r="BE101" s="262"/>
    </row>
    <row r="102" spans="28:57" ht="14.25" customHeight="1" outlineLevel="1">
      <c r="AB102" s="258">
        <v>88</v>
      </c>
      <c r="AC102" s="267" t="s">
        <v>2406</v>
      </c>
      <c r="AD102" s="267" t="s">
        <v>2378</v>
      </c>
      <c r="AE102" s="267" t="s">
        <v>2515</v>
      </c>
      <c r="AF102" s="267"/>
      <c r="AG102" s="268"/>
      <c r="AH102" s="268"/>
      <c r="AI102" s="268"/>
      <c r="AJ102" s="268"/>
      <c r="AK102" s="268"/>
      <c r="AL102" s="260">
        <v>1</v>
      </c>
      <c r="AM102" s="261"/>
      <c r="AN102" s="261"/>
      <c r="AO102" s="261"/>
      <c r="AP102" s="261"/>
      <c r="AQ102" s="261"/>
      <c r="AR102" s="261"/>
      <c r="AS102" s="261"/>
      <c r="AT102" s="261"/>
      <c r="AU102" s="261"/>
      <c r="AV102" s="261"/>
      <c r="AW102" s="261"/>
      <c r="AX102" s="261"/>
      <c r="AY102" s="261"/>
      <c r="AZ102" s="261"/>
      <c r="BA102" s="261">
        <f>AZ102*(1+W14)</f>
        <v>0</v>
      </c>
      <c r="BB102" s="261">
        <f>BA102*(1+X14)</f>
        <v>0</v>
      </c>
      <c r="BC102" s="261">
        <f>BB102*(1+Y14)</f>
        <v>0</v>
      </c>
      <c r="BD102" s="261">
        <f>IFERROR(BC102*(1+Z14),BC102)</f>
        <v>0</v>
      </c>
      <c r="BE102" s="262"/>
    </row>
    <row r="103" spans="28:57" ht="14.25" customHeight="1" outlineLevel="1">
      <c r="AB103" s="258">
        <v>89</v>
      </c>
      <c r="AC103" s="267" t="s">
        <v>2406</v>
      </c>
      <c r="AD103" s="267" t="s">
        <v>2379</v>
      </c>
      <c r="AE103" s="267" t="s">
        <v>2516</v>
      </c>
      <c r="AF103" s="267"/>
      <c r="AG103" s="268"/>
      <c r="AH103" s="268"/>
      <c r="AI103" s="268"/>
      <c r="AJ103" s="268"/>
      <c r="AK103" s="268"/>
      <c r="AL103" s="268"/>
      <c r="AM103" s="260">
        <v>1</v>
      </c>
      <c r="AN103" s="261"/>
      <c r="AO103" s="261"/>
      <c r="AP103" s="261"/>
      <c r="AQ103" s="261"/>
      <c r="AR103" s="261"/>
      <c r="AS103" s="261"/>
      <c r="AT103" s="261"/>
      <c r="AU103" s="261"/>
      <c r="AV103" s="261"/>
      <c r="AW103" s="261"/>
      <c r="AX103" s="261"/>
      <c r="AY103" s="261"/>
      <c r="AZ103" s="261"/>
      <c r="BA103" s="261">
        <f>AZ103*(1+W14)</f>
        <v>0</v>
      </c>
      <c r="BB103" s="261">
        <f>BA103*(1+X14)</f>
        <v>0</v>
      </c>
      <c r="BC103" s="261">
        <f>BB103*(1+Y14)</f>
        <v>0</v>
      </c>
      <c r="BD103" s="261">
        <f>IFERROR(BC103*(1+Z14),BC103)</f>
        <v>0</v>
      </c>
      <c r="BE103" s="262"/>
    </row>
    <row r="104" spans="28:57" ht="14.25" customHeight="1" outlineLevel="1">
      <c r="AB104" s="258">
        <v>90</v>
      </c>
      <c r="AC104" s="267" t="s">
        <v>2406</v>
      </c>
      <c r="AD104" s="267" t="s">
        <v>2380</v>
      </c>
      <c r="AE104" s="267" t="s">
        <v>2517</v>
      </c>
      <c r="AF104" s="267"/>
      <c r="AG104" s="268"/>
      <c r="AH104" s="268"/>
      <c r="AI104" s="268"/>
      <c r="AJ104" s="268"/>
      <c r="AK104" s="268"/>
      <c r="AL104" s="268"/>
      <c r="AM104" s="268"/>
      <c r="AN104" s="260">
        <v>1</v>
      </c>
      <c r="AO104" s="261"/>
      <c r="AP104" s="261"/>
      <c r="AQ104" s="261"/>
      <c r="AR104" s="261"/>
      <c r="AS104" s="261"/>
      <c r="AT104" s="261"/>
      <c r="AU104" s="261"/>
      <c r="AV104" s="261"/>
      <c r="AW104" s="261"/>
      <c r="AX104" s="261"/>
      <c r="AY104" s="261"/>
      <c r="AZ104" s="261"/>
      <c r="BA104" s="261">
        <f>AZ104*(1+W14)</f>
        <v>0</v>
      </c>
      <c r="BB104" s="261">
        <f>BA104*(1+X14)</f>
        <v>0</v>
      </c>
      <c r="BC104" s="261">
        <f>BB104*(1+Y14)</f>
        <v>0</v>
      </c>
      <c r="BD104" s="261">
        <f>IFERROR(BC104*(1+Z14),BC104)</f>
        <v>0</v>
      </c>
      <c r="BE104" s="262"/>
    </row>
    <row r="105" spans="28:57" ht="14.25" customHeight="1" outlineLevel="1">
      <c r="AB105" s="258">
        <v>91</v>
      </c>
      <c r="AC105" s="267" t="s">
        <v>2406</v>
      </c>
      <c r="AD105" s="267" t="s">
        <v>2381</v>
      </c>
      <c r="AE105" s="267" t="s">
        <v>2518</v>
      </c>
      <c r="AF105" s="267"/>
      <c r="AG105" s="268"/>
      <c r="AH105" s="268"/>
      <c r="AI105" s="268"/>
      <c r="AJ105" s="268"/>
      <c r="AK105" s="268"/>
      <c r="AL105" s="268"/>
      <c r="AM105" s="268"/>
      <c r="AN105" s="268"/>
      <c r="AO105" s="260">
        <v>1</v>
      </c>
      <c r="AP105" s="261"/>
      <c r="AQ105" s="261"/>
      <c r="AR105" s="261"/>
      <c r="AS105" s="261"/>
      <c r="AT105" s="261"/>
      <c r="AU105" s="261"/>
      <c r="AV105" s="261"/>
      <c r="AW105" s="261"/>
      <c r="AX105" s="261"/>
      <c r="AY105" s="261"/>
      <c r="AZ105" s="261"/>
      <c r="BA105" s="261">
        <f>AZ105*(1+W14)</f>
        <v>0</v>
      </c>
      <c r="BB105" s="261">
        <f>BA105*(1+X14)</f>
        <v>0</v>
      </c>
      <c r="BC105" s="261">
        <f>BB105*(1+Y14)</f>
        <v>0</v>
      </c>
      <c r="BD105" s="261">
        <f>IFERROR(BC105*(1+Z14),BC105)</f>
        <v>0</v>
      </c>
      <c r="BE105" s="262"/>
    </row>
    <row r="106" spans="28:57" ht="14.25" customHeight="1" outlineLevel="1">
      <c r="AB106" s="258">
        <v>92</v>
      </c>
      <c r="AC106" s="267" t="s">
        <v>2406</v>
      </c>
      <c r="AD106" s="267" t="s">
        <v>2382</v>
      </c>
      <c r="AE106" s="267" t="s">
        <v>2519</v>
      </c>
      <c r="AF106" s="267"/>
      <c r="AG106" s="268"/>
      <c r="AH106" s="268"/>
      <c r="AI106" s="268"/>
      <c r="AJ106" s="268"/>
      <c r="AK106" s="268"/>
      <c r="AL106" s="268"/>
      <c r="AM106" s="268"/>
      <c r="AN106" s="268"/>
      <c r="AO106" s="268"/>
      <c r="AP106" s="260">
        <v>1</v>
      </c>
      <c r="AQ106" s="261"/>
      <c r="AR106" s="261"/>
      <c r="AS106" s="261"/>
      <c r="AT106" s="261"/>
      <c r="AU106" s="261"/>
      <c r="AV106" s="261"/>
      <c r="AW106" s="261"/>
      <c r="AX106" s="261"/>
      <c r="AY106" s="261"/>
      <c r="AZ106" s="261"/>
      <c r="BA106" s="261">
        <f>AZ106*(1+W14)</f>
        <v>0</v>
      </c>
      <c r="BB106" s="261">
        <f>BA106*(1+X14)</f>
        <v>0</v>
      </c>
      <c r="BC106" s="261">
        <f>BB106*(1+Y14)</f>
        <v>0</v>
      </c>
      <c r="BD106" s="261">
        <f>IFERROR(BC106*(1+Z14),BC106)</f>
        <v>0</v>
      </c>
      <c r="BE106" s="262"/>
    </row>
    <row r="107" spans="28:57" ht="14.25" customHeight="1" outlineLevel="1">
      <c r="AB107" s="258">
        <v>93</v>
      </c>
      <c r="AC107" s="267" t="s">
        <v>2406</v>
      </c>
      <c r="AD107" s="267" t="s">
        <v>2383</v>
      </c>
      <c r="AE107" s="267" t="s">
        <v>2520</v>
      </c>
      <c r="AF107" s="267"/>
      <c r="AG107" s="268"/>
      <c r="AH107" s="268"/>
      <c r="AI107" s="268"/>
      <c r="AJ107" s="268"/>
      <c r="AK107" s="268"/>
      <c r="AL107" s="268"/>
      <c r="AM107" s="268"/>
      <c r="AN107" s="268"/>
      <c r="AO107" s="268"/>
      <c r="AP107" s="268"/>
      <c r="AQ107" s="260">
        <v>1</v>
      </c>
      <c r="AR107" s="261"/>
      <c r="AS107" s="261"/>
      <c r="AT107" s="261"/>
      <c r="AU107" s="261"/>
      <c r="AV107" s="261"/>
      <c r="AW107" s="261"/>
      <c r="AX107" s="261"/>
      <c r="AY107" s="261"/>
      <c r="AZ107" s="261"/>
      <c r="BA107" s="261">
        <f>AZ107*(1+W14)</f>
        <v>0</v>
      </c>
      <c r="BB107" s="261">
        <f>BA107*(1+X14)</f>
        <v>0</v>
      </c>
      <c r="BC107" s="261">
        <f>BB107*(1+Y14)</f>
        <v>0</v>
      </c>
      <c r="BD107" s="261">
        <f>IFERROR(BC107*(1+Z14),BC107)</f>
        <v>0</v>
      </c>
      <c r="BE107" s="262"/>
    </row>
    <row r="108" spans="28:57" ht="14.25" customHeight="1" outlineLevel="1">
      <c r="AB108" s="258">
        <v>94</v>
      </c>
      <c r="AC108" s="267" t="s">
        <v>2406</v>
      </c>
      <c r="AD108" s="267" t="s">
        <v>2384</v>
      </c>
      <c r="AE108" s="267" t="s">
        <v>2521</v>
      </c>
      <c r="AF108" s="267"/>
      <c r="AG108" s="268"/>
      <c r="AH108" s="268"/>
      <c r="AI108" s="268"/>
      <c r="AJ108" s="268"/>
      <c r="AK108" s="268"/>
      <c r="AL108" s="268"/>
      <c r="AM108" s="268"/>
      <c r="AN108" s="268"/>
      <c r="AO108" s="268"/>
      <c r="AP108" s="268"/>
      <c r="AQ108" s="268"/>
      <c r="AR108" s="260">
        <v>1</v>
      </c>
      <c r="AS108" s="261"/>
      <c r="AT108" s="261"/>
      <c r="AU108" s="261"/>
      <c r="AV108" s="261"/>
      <c r="AW108" s="261"/>
      <c r="AX108" s="261"/>
      <c r="AY108" s="261"/>
      <c r="AZ108" s="261"/>
      <c r="BA108" s="261">
        <f>AZ108*(1+W14)</f>
        <v>0</v>
      </c>
      <c r="BB108" s="261">
        <f>BA108*(1+X14)</f>
        <v>0</v>
      </c>
      <c r="BC108" s="261">
        <f>BB108*(1+Y14)</f>
        <v>0</v>
      </c>
      <c r="BD108" s="261">
        <f>IFERROR(BC108*(1+Z14),BC108)</f>
        <v>0</v>
      </c>
      <c r="BE108" s="262"/>
    </row>
    <row r="109" spans="28:57" ht="14.25" customHeight="1" outlineLevel="1">
      <c r="AB109" s="258">
        <v>95</v>
      </c>
      <c r="AC109" s="267" t="s">
        <v>2406</v>
      </c>
      <c r="AD109" s="267" t="s">
        <v>2385</v>
      </c>
      <c r="AE109" s="267" t="s">
        <v>2522</v>
      </c>
      <c r="AF109" s="267"/>
      <c r="AG109" s="268"/>
      <c r="AH109" s="268"/>
      <c r="AI109" s="268"/>
      <c r="AJ109" s="268"/>
      <c r="AK109" s="268"/>
      <c r="AL109" s="268"/>
      <c r="AM109" s="268"/>
      <c r="AN109" s="268"/>
      <c r="AO109" s="268"/>
      <c r="AP109" s="268"/>
      <c r="AQ109" s="268"/>
      <c r="AR109" s="268"/>
      <c r="AS109" s="260">
        <v>1</v>
      </c>
      <c r="AT109" s="261"/>
      <c r="AU109" s="261"/>
      <c r="AV109" s="261"/>
      <c r="AW109" s="261"/>
      <c r="AX109" s="261"/>
      <c r="AY109" s="261"/>
      <c r="AZ109" s="261"/>
      <c r="BA109" s="261">
        <f>AZ109*(1+W14)</f>
        <v>0</v>
      </c>
      <c r="BB109" s="261">
        <f>BA109*(1+X14)</f>
        <v>0</v>
      </c>
      <c r="BC109" s="261">
        <f>BB109*(1+Y14)</f>
        <v>0</v>
      </c>
      <c r="BD109" s="261">
        <f>IFERROR(BC109*(1+Z14),BC109)</f>
        <v>0</v>
      </c>
      <c r="BE109" s="262"/>
    </row>
    <row r="110" spans="28:57" ht="14.25" customHeight="1" outlineLevel="1">
      <c r="AB110" s="258">
        <v>96</v>
      </c>
      <c r="AC110" s="267" t="s">
        <v>2406</v>
      </c>
      <c r="AD110" s="267" t="s">
        <v>2386</v>
      </c>
      <c r="AE110" s="267" t="s">
        <v>2523</v>
      </c>
      <c r="AF110" s="267"/>
      <c r="AG110" s="268"/>
      <c r="AH110" s="268"/>
      <c r="AI110" s="268"/>
      <c r="AJ110" s="268"/>
      <c r="AK110" s="268"/>
      <c r="AL110" s="268"/>
      <c r="AM110" s="268"/>
      <c r="AN110" s="268"/>
      <c r="AO110" s="268"/>
      <c r="AP110" s="268"/>
      <c r="AQ110" s="268"/>
      <c r="AR110" s="268"/>
      <c r="AS110" s="268"/>
      <c r="AT110" s="260">
        <v>1</v>
      </c>
      <c r="AU110" s="261"/>
      <c r="AV110" s="261"/>
      <c r="AW110" s="261"/>
      <c r="AX110" s="261"/>
      <c r="AY110" s="261"/>
      <c r="AZ110" s="261"/>
      <c r="BA110" s="261">
        <f>AZ110*(1+W14)</f>
        <v>0</v>
      </c>
      <c r="BB110" s="261">
        <f>BA110*(1+X14)</f>
        <v>0</v>
      </c>
      <c r="BC110" s="261">
        <f>BB110*(1+Y14)</f>
        <v>0</v>
      </c>
      <c r="BD110" s="261">
        <f>IFERROR(BC110*(1+Z14),BC110)</f>
        <v>0</v>
      </c>
      <c r="BE110" s="262"/>
    </row>
    <row r="111" spans="28:57" ht="14.25" customHeight="1" outlineLevel="1">
      <c r="AB111" s="258">
        <v>97</v>
      </c>
      <c r="AC111" s="267" t="s">
        <v>2406</v>
      </c>
      <c r="AD111" s="267" t="s">
        <v>2387</v>
      </c>
      <c r="AE111" s="267" t="s">
        <v>2524</v>
      </c>
      <c r="AF111" s="267"/>
      <c r="AG111" s="268"/>
      <c r="AH111" s="268"/>
      <c r="AI111" s="268"/>
      <c r="AJ111" s="268"/>
      <c r="AK111" s="268"/>
      <c r="AL111" s="268"/>
      <c r="AM111" s="268"/>
      <c r="AN111" s="268"/>
      <c r="AO111" s="268"/>
      <c r="AP111" s="268"/>
      <c r="AQ111" s="268"/>
      <c r="AR111" s="268"/>
      <c r="AS111" s="268"/>
      <c r="AT111" s="268"/>
      <c r="AU111" s="260">
        <v>1</v>
      </c>
      <c r="AV111" s="261"/>
      <c r="AW111" s="261"/>
      <c r="AX111" s="261"/>
      <c r="AY111" s="261"/>
      <c r="AZ111" s="261"/>
      <c r="BA111" s="261">
        <f>AZ111*(1+W14)</f>
        <v>0</v>
      </c>
      <c r="BB111" s="261">
        <f>BA111*(1+X14)</f>
        <v>0</v>
      </c>
      <c r="BC111" s="261">
        <f>BB111*(1+Y14)</f>
        <v>0</v>
      </c>
      <c r="BD111" s="261">
        <f>IFERROR(BC111*(1+Z14),BC111)</f>
        <v>0</v>
      </c>
      <c r="BE111" s="262"/>
    </row>
    <row r="112" spans="28:57" ht="14.25" customHeight="1" outlineLevel="1">
      <c r="AB112" s="258">
        <v>98</v>
      </c>
      <c r="AC112" s="267" t="s">
        <v>2406</v>
      </c>
      <c r="AD112" s="267" t="s">
        <v>2388</v>
      </c>
      <c r="AE112" s="267" t="s">
        <v>2525</v>
      </c>
      <c r="AF112" s="267"/>
      <c r="AG112" s="268"/>
      <c r="AH112" s="268"/>
      <c r="AI112" s="268"/>
      <c r="AJ112" s="268"/>
      <c r="AK112" s="268"/>
      <c r="AL112" s="268"/>
      <c r="AM112" s="268"/>
      <c r="AN112" s="268"/>
      <c r="AO112" s="268"/>
      <c r="AP112" s="268"/>
      <c r="AQ112" s="268"/>
      <c r="AR112" s="268"/>
      <c r="AS112" s="268"/>
      <c r="AT112" s="268"/>
      <c r="AU112" s="268"/>
      <c r="AV112" s="260">
        <v>1</v>
      </c>
      <c r="AW112" s="261"/>
      <c r="AX112" s="261"/>
      <c r="AY112" s="261"/>
      <c r="AZ112" s="261"/>
      <c r="BA112" s="261">
        <f>AZ112*(1+W14)</f>
        <v>0</v>
      </c>
      <c r="BB112" s="261">
        <f>BA112*(1+X14)</f>
        <v>0</v>
      </c>
      <c r="BC112" s="261">
        <f>BB112*(1+Y14)</f>
        <v>0</v>
      </c>
      <c r="BD112" s="261">
        <f>IFERROR(BC112*(1+Z14),BC112)</f>
        <v>0</v>
      </c>
      <c r="BE112" s="262"/>
    </row>
    <row r="113" spans="28:57" ht="14.25" customHeight="1" outlineLevel="1">
      <c r="AB113" s="258">
        <v>99</v>
      </c>
      <c r="AC113" s="267" t="s">
        <v>2406</v>
      </c>
      <c r="AD113" s="267" t="s">
        <v>2389</v>
      </c>
      <c r="AE113" s="267" t="s">
        <v>2526</v>
      </c>
      <c r="AF113" s="267"/>
      <c r="AG113" s="268"/>
      <c r="AH113" s="268"/>
      <c r="AI113" s="268"/>
      <c r="AJ113" s="268"/>
      <c r="AK113" s="268"/>
      <c r="AL113" s="268"/>
      <c r="AM113" s="268"/>
      <c r="AN113" s="268"/>
      <c r="AO113" s="268"/>
      <c r="AP113" s="268"/>
      <c r="AQ113" s="268"/>
      <c r="AR113" s="268"/>
      <c r="AS113" s="268"/>
      <c r="AT113" s="268"/>
      <c r="AU113" s="268"/>
      <c r="AV113" s="268"/>
      <c r="AW113" s="260">
        <v>1</v>
      </c>
      <c r="AX113" s="261"/>
      <c r="AY113" s="261"/>
      <c r="AZ113" s="261"/>
      <c r="BA113" s="261">
        <f>AZ113*(1+W14)</f>
        <v>0</v>
      </c>
      <c r="BB113" s="261">
        <f>BA113*(1+X14)</f>
        <v>0</v>
      </c>
      <c r="BC113" s="261">
        <f>BB113*(1+Y14)</f>
        <v>0</v>
      </c>
      <c r="BD113" s="261">
        <f>IFERROR(BC113*(1+Z14),BC113)</f>
        <v>0</v>
      </c>
      <c r="BE113" s="262"/>
    </row>
    <row r="114" spans="28:57" ht="14.25" customHeight="1" outlineLevel="1">
      <c r="AB114" s="258">
        <v>100</v>
      </c>
      <c r="AC114" s="267" t="s">
        <v>2406</v>
      </c>
      <c r="AD114" s="267" t="s">
        <v>2390</v>
      </c>
      <c r="AE114" s="267" t="s">
        <v>2527</v>
      </c>
      <c r="AF114" s="267"/>
      <c r="AG114" s="268"/>
      <c r="AH114" s="268"/>
      <c r="AI114" s="268"/>
      <c r="AJ114" s="268"/>
      <c r="AK114" s="268"/>
      <c r="AL114" s="268"/>
      <c r="AM114" s="268"/>
      <c r="AN114" s="268"/>
      <c r="AO114" s="268"/>
      <c r="AP114" s="268"/>
      <c r="AQ114" s="268"/>
      <c r="AR114" s="268"/>
      <c r="AS114" s="268"/>
      <c r="AT114" s="268"/>
      <c r="AU114" s="268"/>
      <c r="AV114" s="268"/>
      <c r="AW114" s="268"/>
      <c r="AX114" s="260">
        <v>1</v>
      </c>
      <c r="AY114" s="261"/>
      <c r="AZ114" s="261"/>
      <c r="BA114" s="261">
        <f>AZ114*(1+W14)</f>
        <v>0</v>
      </c>
      <c r="BB114" s="261">
        <f>BA114*(1+X14)</f>
        <v>0</v>
      </c>
      <c r="BC114" s="261">
        <f>BB114*(1+Y14)</f>
        <v>0</v>
      </c>
      <c r="BD114" s="261">
        <f>IFERROR(BC114*(1+Z14),BC114)</f>
        <v>0</v>
      </c>
      <c r="BE114" s="262"/>
    </row>
    <row r="115" spans="28:57" ht="14.25" customHeight="1" outlineLevel="1">
      <c r="AB115" s="258">
        <v>101</v>
      </c>
      <c r="AC115" s="267" t="s">
        <v>2406</v>
      </c>
      <c r="AD115" s="267" t="s">
        <v>2391</v>
      </c>
      <c r="AE115" s="267" t="s">
        <v>2528</v>
      </c>
      <c r="AF115" s="309"/>
      <c r="AG115" s="286"/>
      <c r="AH115" s="286"/>
      <c r="AI115" s="286"/>
      <c r="AJ115" s="286"/>
      <c r="AK115" s="286"/>
      <c r="AL115" s="286"/>
      <c r="AM115" s="286"/>
      <c r="AN115" s="286"/>
      <c r="AO115" s="286"/>
      <c r="AP115" s="286"/>
      <c r="AQ115" s="286"/>
      <c r="AR115" s="286"/>
      <c r="AS115" s="286"/>
      <c r="AT115" s="286"/>
      <c r="AU115" s="286"/>
      <c r="AV115" s="286"/>
      <c r="AW115" s="286"/>
      <c r="AX115" s="286"/>
      <c r="AY115" s="287">
        <v>1</v>
      </c>
      <c r="AZ115" s="288"/>
      <c r="BA115" s="269">
        <f>AZ115*(1+W14)</f>
        <v>0</v>
      </c>
      <c r="BB115" s="269">
        <f>BA115*(1+X14)</f>
        <v>0</v>
      </c>
      <c r="BC115" s="269">
        <f>BB115*(1+Y14)</f>
        <v>0</v>
      </c>
      <c r="BD115" s="269">
        <f>IFERROR(BC115*(1+Z14),BC115)</f>
        <v>0</v>
      </c>
      <c r="BE115" s="262"/>
    </row>
    <row r="116" spans="28:57" ht="15" customHeight="1" outlineLevel="1">
      <c r="AB116" s="289">
        <v>102</v>
      </c>
      <c r="AC116" s="291" t="s">
        <v>2406</v>
      </c>
      <c r="AD116" s="291" t="s">
        <v>2392</v>
      </c>
      <c r="AE116" s="291" t="s">
        <v>2529</v>
      </c>
      <c r="AF116" s="291"/>
      <c r="AG116" s="292"/>
      <c r="AH116" s="292"/>
      <c r="AI116" s="292"/>
      <c r="AJ116" s="292"/>
      <c r="AK116" s="292"/>
      <c r="AL116" s="292"/>
      <c r="AM116" s="292"/>
      <c r="AN116" s="292"/>
      <c r="AO116" s="292"/>
      <c r="AP116" s="292"/>
      <c r="AQ116" s="292"/>
      <c r="AR116" s="292"/>
      <c r="AS116" s="292"/>
      <c r="AT116" s="292"/>
      <c r="AU116" s="292"/>
      <c r="AV116" s="292"/>
      <c r="AW116" s="292"/>
      <c r="AX116" s="292"/>
      <c r="AY116" s="292"/>
      <c r="AZ116" s="293">
        <v>1</v>
      </c>
      <c r="BA116" s="310">
        <f>AZ116*(1+W14)</f>
        <v>1.03</v>
      </c>
      <c r="BB116" s="269">
        <f>BA116*(1+X14)</f>
        <v>1.0609</v>
      </c>
      <c r="BC116" s="269">
        <f>BB116*(1+Y14)</f>
        <v>1.092727</v>
      </c>
      <c r="BD116" s="269">
        <f>IFERROR(BC116*(1+Z14),BC116)</f>
        <v>1.092727</v>
      </c>
      <c r="BE116" s="262"/>
    </row>
    <row r="117" spans="28:57" ht="14.25" customHeight="1">
      <c r="AB117" s="258">
        <v>103</v>
      </c>
      <c r="AC117" s="267" t="s">
        <v>2530</v>
      </c>
      <c r="AD117" s="259" t="s">
        <v>2372</v>
      </c>
      <c r="AE117" s="311">
        <v>0.02</v>
      </c>
      <c r="AF117" s="295">
        <v>1</v>
      </c>
      <c r="AG117" s="301">
        <f t="shared" ref="AG117:AZ117" si="118">AF117*(1+2%)</f>
        <v>1.02</v>
      </c>
      <c r="AH117" s="301">
        <f t="shared" si="118"/>
        <v>1.0404</v>
      </c>
      <c r="AI117" s="301">
        <f t="shared" si="118"/>
        <v>1.0612079999999999</v>
      </c>
      <c r="AJ117" s="301">
        <f t="shared" si="118"/>
        <v>1.08243216</v>
      </c>
      <c r="AK117" s="301">
        <f t="shared" si="118"/>
        <v>1.1040808032</v>
      </c>
      <c r="AL117" s="301">
        <f t="shared" si="118"/>
        <v>1.1261624192640001</v>
      </c>
      <c r="AM117" s="301">
        <f t="shared" si="118"/>
        <v>1.14868566764928</v>
      </c>
      <c r="AN117" s="301">
        <f t="shared" si="118"/>
        <v>1.1716593810022657</v>
      </c>
      <c r="AO117" s="301">
        <f t="shared" si="118"/>
        <v>1.1950925686223111</v>
      </c>
      <c r="AP117" s="301">
        <f t="shared" si="118"/>
        <v>1.2189944199947573</v>
      </c>
      <c r="AQ117" s="301">
        <f t="shared" si="118"/>
        <v>1.2433743083946525</v>
      </c>
      <c r="AR117" s="301">
        <f t="shared" si="118"/>
        <v>1.2682417945625455</v>
      </c>
      <c r="AS117" s="301">
        <f t="shared" si="118"/>
        <v>1.2936066304537963</v>
      </c>
      <c r="AT117" s="301">
        <f t="shared" si="118"/>
        <v>1.3194787630628724</v>
      </c>
      <c r="AU117" s="301">
        <f t="shared" si="118"/>
        <v>1.3458683383241299</v>
      </c>
      <c r="AV117" s="301">
        <f t="shared" si="118"/>
        <v>1.3727857050906125</v>
      </c>
      <c r="AW117" s="301">
        <f t="shared" si="118"/>
        <v>1.4002414191924248</v>
      </c>
      <c r="AX117" s="301">
        <f t="shared" si="118"/>
        <v>1.4282462475762734</v>
      </c>
      <c r="AY117" s="301">
        <f t="shared" si="118"/>
        <v>1.4568111725277988</v>
      </c>
      <c r="AZ117" s="301">
        <f t="shared" si="118"/>
        <v>1.4859473959783549</v>
      </c>
    </row>
    <row r="118" spans="28:57" ht="14.25" customHeight="1">
      <c r="AB118" s="258">
        <v>104</v>
      </c>
      <c r="AC118" s="267" t="s">
        <v>2530</v>
      </c>
      <c r="AD118" s="243" t="s">
        <v>2373</v>
      </c>
      <c r="AF118" s="268">
        <f t="shared" ref="AF118:AF137" si="119">AG118/(1+2%)</f>
        <v>0.98039215686274506</v>
      </c>
      <c r="AG118" s="295">
        <v>1</v>
      </c>
      <c r="AH118" s="301">
        <f t="shared" ref="AH118:AZ118" si="120">AG118*(1+2%)</f>
        <v>1.02</v>
      </c>
      <c r="AI118" s="301">
        <f t="shared" si="120"/>
        <v>1.0404</v>
      </c>
      <c r="AJ118" s="301">
        <f t="shared" si="120"/>
        <v>1.0612079999999999</v>
      </c>
      <c r="AK118" s="301">
        <f t="shared" si="120"/>
        <v>1.08243216</v>
      </c>
      <c r="AL118" s="301">
        <f t="shared" si="120"/>
        <v>1.1040808032</v>
      </c>
      <c r="AM118" s="301">
        <f t="shared" si="120"/>
        <v>1.1261624192640001</v>
      </c>
      <c r="AN118" s="301">
        <f t="shared" si="120"/>
        <v>1.14868566764928</v>
      </c>
      <c r="AO118" s="301">
        <f t="shared" si="120"/>
        <v>1.1716593810022657</v>
      </c>
      <c r="AP118" s="301">
        <f t="shared" si="120"/>
        <v>1.1950925686223111</v>
      </c>
      <c r="AQ118" s="301">
        <f t="shared" si="120"/>
        <v>1.2189944199947573</v>
      </c>
      <c r="AR118" s="301">
        <f t="shared" si="120"/>
        <v>1.2433743083946525</v>
      </c>
      <c r="AS118" s="301">
        <f t="shared" si="120"/>
        <v>1.2682417945625455</v>
      </c>
      <c r="AT118" s="301">
        <f t="shared" si="120"/>
        <v>1.2936066304537963</v>
      </c>
      <c r="AU118" s="301">
        <f t="shared" si="120"/>
        <v>1.3194787630628724</v>
      </c>
      <c r="AV118" s="301">
        <f t="shared" si="120"/>
        <v>1.3458683383241299</v>
      </c>
      <c r="AW118" s="301">
        <f t="shared" si="120"/>
        <v>1.3727857050906125</v>
      </c>
      <c r="AX118" s="301">
        <f t="shared" si="120"/>
        <v>1.4002414191924248</v>
      </c>
      <c r="AY118" s="301">
        <f t="shared" si="120"/>
        <v>1.4282462475762734</v>
      </c>
      <c r="AZ118" s="301">
        <f t="shared" si="120"/>
        <v>1.4568111725277988</v>
      </c>
    </row>
    <row r="119" spans="28:57" ht="14.25" customHeight="1">
      <c r="AB119" s="258">
        <v>105</v>
      </c>
      <c r="AC119" s="267" t="s">
        <v>2530</v>
      </c>
      <c r="AD119" s="267" t="s">
        <v>2374</v>
      </c>
      <c r="AF119" s="268">
        <f t="shared" si="119"/>
        <v>0.96116878123798533</v>
      </c>
      <c r="AG119" s="268">
        <f t="shared" ref="AG119:AG137" si="121">AH119/(1+2%)</f>
        <v>0.98039215686274506</v>
      </c>
      <c r="AH119" s="260">
        <v>1</v>
      </c>
      <c r="AI119" s="301">
        <f t="shared" ref="AI119:AZ119" si="122">AH119*(1+2%)</f>
        <v>1.02</v>
      </c>
      <c r="AJ119" s="301">
        <f t="shared" si="122"/>
        <v>1.0404</v>
      </c>
      <c r="AK119" s="301">
        <f t="shared" si="122"/>
        <v>1.0612079999999999</v>
      </c>
      <c r="AL119" s="301">
        <f t="shared" si="122"/>
        <v>1.08243216</v>
      </c>
      <c r="AM119" s="301">
        <f t="shared" si="122"/>
        <v>1.1040808032</v>
      </c>
      <c r="AN119" s="301">
        <f t="shared" si="122"/>
        <v>1.1261624192640001</v>
      </c>
      <c r="AO119" s="301">
        <f t="shared" si="122"/>
        <v>1.14868566764928</v>
      </c>
      <c r="AP119" s="301">
        <f t="shared" si="122"/>
        <v>1.1716593810022657</v>
      </c>
      <c r="AQ119" s="301">
        <f t="shared" si="122"/>
        <v>1.1950925686223111</v>
      </c>
      <c r="AR119" s="301">
        <f t="shared" si="122"/>
        <v>1.2189944199947573</v>
      </c>
      <c r="AS119" s="301">
        <f t="shared" si="122"/>
        <v>1.2433743083946525</v>
      </c>
      <c r="AT119" s="301">
        <f t="shared" si="122"/>
        <v>1.2682417945625455</v>
      </c>
      <c r="AU119" s="301">
        <f t="shared" si="122"/>
        <v>1.2936066304537963</v>
      </c>
      <c r="AV119" s="301">
        <f t="shared" si="122"/>
        <v>1.3194787630628724</v>
      </c>
      <c r="AW119" s="301">
        <f t="shared" si="122"/>
        <v>1.3458683383241299</v>
      </c>
      <c r="AX119" s="301">
        <f t="shared" si="122"/>
        <v>1.3727857050906125</v>
      </c>
      <c r="AY119" s="301">
        <f t="shared" si="122"/>
        <v>1.4002414191924248</v>
      </c>
      <c r="AZ119" s="301">
        <f t="shared" si="122"/>
        <v>1.4282462475762734</v>
      </c>
    </row>
    <row r="120" spans="28:57" ht="14.25" customHeight="1">
      <c r="AB120" s="258">
        <v>106</v>
      </c>
      <c r="AC120" s="267" t="s">
        <v>2530</v>
      </c>
      <c r="AD120" s="267" t="s">
        <v>2375</v>
      </c>
      <c r="AF120" s="268">
        <f t="shared" si="119"/>
        <v>0.94232233454704439</v>
      </c>
      <c r="AG120" s="268">
        <f t="shared" si="121"/>
        <v>0.96116878123798533</v>
      </c>
      <c r="AH120" s="268">
        <f t="shared" ref="AH120:AH137" si="123">AI120/(1+2%)</f>
        <v>0.98039215686274506</v>
      </c>
      <c r="AI120" s="260">
        <v>1</v>
      </c>
      <c r="AJ120" s="301">
        <f t="shared" ref="AJ120:AZ120" si="124">AI120*(1+2%)</f>
        <v>1.02</v>
      </c>
      <c r="AK120" s="301">
        <f t="shared" si="124"/>
        <v>1.0404</v>
      </c>
      <c r="AL120" s="301">
        <f t="shared" si="124"/>
        <v>1.0612079999999999</v>
      </c>
      <c r="AM120" s="301">
        <f t="shared" si="124"/>
        <v>1.08243216</v>
      </c>
      <c r="AN120" s="301">
        <f t="shared" si="124"/>
        <v>1.1040808032</v>
      </c>
      <c r="AO120" s="301">
        <f t="shared" si="124"/>
        <v>1.1261624192640001</v>
      </c>
      <c r="AP120" s="301">
        <f t="shared" si="124"/>
        <v>1.14868566764928</v>
      </c>
      <c r="AQ120" s="301">
        <f t="shared" si="124"/>
        <v>1.1716593810022657</v>
      </c>
      <c r="AR120" s="301">
        <f t="shared" si="124"/>
        <v>1.1950925686223111</v>
      </c>
      <c r="AS120" s="301">
        <f t="shared" si="124"/>
        <v>1.2189944199947573</v>
      </c>
      <c r="AT120" s="301">
        <f t="shared" si="124"/>
        <v>1.2433743083946525</v>
      </c>
      <c r="AU120" s="301">
        <f t="shared" si="124"/>
        <v>1.2682417945625455</v>
      </c>
      <c r="AV120" s="301">
        <f t="shared" si="124"/>
        <v>1.2936066304537963</v>
      </c>
      <c r="AW120" s="301">
        <f t="shared" si="124"/>
        <v>1.3194787630628724</v>
      </c>
      <c r="AX120" s="301">
        <f t="shared" si="124"/>
        <v>1.3458683383241299</v>
      </c>
      <c r="AY120" s="301">
        <f t="shared" si="124"/>
        <v>1.3727857050906125</v>
      </c>
      <c r="AZ120" s="301">
        <f t="shared" si="124"/>
        <v>1.4002414191924248</v>
      </c>
    </row>
    <row r="121" spans="28:57" ht="14.25" customHeight="1">
      <c r="AB121" s="258">
        <v>107</v>
      </c>
      <c r="AC121" s="267" t="s">
        <v>2530</v>
      </c>
      <c r="AD121" s="267" t="s">
        <v>2376</v>
      </c>
      <c r="AF121" s="268">
        <f t="shared" si="119"/>
        <v>0.92384542602651409</v>
      </c>
      <c r="AG121" s="268">
        <f t="shared" si="121"/>
        <v>0.94232233454704439</v>
      </c>
      <c r="AH121" s="268">
        <f t="shared" si="123"/>
        <v>0.96116878123798533</v>
      </c>
      <c r="AI121" s="268">
        <f t="shared" ref="AI121:AI137" si="125">AJ121/(1+2%)</f>
        <v>0.98039215686274506</v>
      </c>
      <c r="AJ121" s="260">
        <v>1</v>
      </c>
      <c r="AK121" s="301">
        <f t="shared" ref="AK121:AZ121" si="126">AJ121*(1+2%)</f>
        <v>1.02</v>
      </c>
      <c r="AL121" s="301">
        <f t="shared" si="126"/>
        <v>1.0404</v>
      </c>
      <c r="AM121" s="301">
        <f t="shared" si="126"/>
        <v>1.0612079999999999</v>
      </c>
      <c r="AN121" s="301">
        <f t="shared" si="126"/>
        <v>1.08243216</v>
      </c>
      <c r="AO121" s="301">
        <f t="shared" si="126"/>
        <v>1.1040808032</v>
      </c>
      <c r="AP121" s="301">
        <f t="shared" si="126"/>
        <v>1.1261624192640001</v>
      </c>
      <c r="AQ121" s="301">
        <f t="shared" si="126"/>
        <v>1.14868566764928</v>
      </c>
      <c r="AR121" s="301">
        <f t="shared" si="126"/>
        <v>1.1716593810022657</v>
      </c>
      <c r="AS121" s="301">
        <f t="shared" si="126"/>
        <v>1.1950925686223111</v>
      </c>
      <c r="AT121" s="301">
        <f t="shared" si="126"/>
        <v>1.2189944199947573</v>
      </c>
      <c r="AU121" s="301">
        <f t="shared" si="126"/>
        <v>1.2433743083946525</v>
      </c>
      <c r="AV121" s="301">
        <f t="shared" si="126"/>
        <v>1.2682417945625455</v>
      </c>
      <c r="AW121" s="301">
        <f t="shared" si="126"/>
        <v>1.2936066304537963</v>
      </c>
      <c r="AX121" s="301">
        <f t="shared" si="126"/>
        <v>1.3194787630628724</v>
      </c>
      <c r="AY121" s="301">
        <f t="shared" si="126"/>
        <v>1.3458683383241299</v>
      </c>
      <c r="AZ121" s="301">
        <f t="shared" si="126"/>
        <v>1.3727857050906125</v>
      </c>
    </row>
    <row r="122" spans="28:57" ht="14.25" customHeight="1">
      <c r="AB122" s="258">
        <v>108</v>
      </c>
      <c r="AC122" s="267" t="s">
        <v>2530</v>
      </c>
      <c r="AD122" s="267" t="s">
        <v>2377</v>
      </c>
      <c r="AF122" s="268">
        <f t="shared" si="119"/>
        <v>0.90573080982991572</v>
      </c>
      <c r="AG122" s="268">
        <f t="shared" si="121"/>
        <v>0.92384542602651409</v>
      </c>
      <c r="AH122" s="268">
        <f t="shared" si="123"/>
        <v>0.94232233454704439</v>
      </c>
      <c r="AI122" s="268">
        <f t="shared" si="125"/>
        <v>0.96116878123798533</v>
      </c>
      <c r="AJ122" s="268">
        <f t="shared" ref="AJ122:AJ137" si="127">AK122/(1+2%)</f>
        <v>0.98039215686274506</v>
      </c>
      <c r="AK122" s="260">
        <v>1</v>
      </c>
      <c r="AL122" s="301">
        <f t="shared" ref="AL122:AZ122" si="128">AK122*(1+2%)</f>
        <v>1.02</v>
      </c>
      <c r="AM122" s="301">
        <f t="shared" si="128"/>
        <v>1.0404</v>
      </c>
      <c r="AN122" s="301">
        <f t="shared" si="128"/>
        <v>1.0612079999999999</v>
      </c>
      <c r="AO122" s="301">
        <f t="shared" si="128"/>
        <v>1.08243216</v>
      </c>
      <c r="AP122" s="301">
        <f t="shared" si="128"/>
        <v>1.1040808032</v>
      </c>
      <c r="AQ122" s="301">
        <f t="shared" si="128"/>
        <v>1.1261624192640001</v>
      </c>
      <c r="AR122" s="301">
        <f t="shared" si="128"/>
        <v>1.14868566764928</v>
      </c>
      <c r="AS122" s="301">
        <f t="shared" si="128"/>
        <v>1.1716593810022657</v>
      </c>
      <c r="AT122" s="301">
        <f t="shared" si="128"/>
        <v>1.1950925686223111</v>
      </c>
      <c r="AU122" s="301">
        <f t="shared" si="128"/>
        <v>1.2189944199947573</v>
      </c>
      <c r="AV122" s="301">
        <f t="shared" si="128"/>
        <v>1.2433743083946525</v>
      </c>
      <c r="AW122" s="301">
        <f t="shared" si="128"/>
        <v>1.2682417945625455</v>
      </c>
      <c r="AX122" s="301">
        <f t="shared" si="128"/>
        <v>1.2936066304537963</v>
      </c>
      <c r="AY122" s="301">
        <f t="shared" si="128"/>
        <v>1.3194787630628724</v>
      </c>
      <c r="AZ122" s="301">
        <f t="shared" si="128"/>
        <v>1.3458683383241299</v>
      </c>
    </row>
    <row r="123" spans="28:57" ht="14.25" customHeight="1">
      <c r="AB123" s="258">
        <v>109</v>
      </c>
      <c r="AC123" s="267" t="s">
        <v>2530</v>
      </c>
      <c r="AD123" s="267" t="s">
        <v>2378</v>
      </c>
      <c r="AF123" s="268">
        <f t="shared" si="119"/>
        <v>0.88797138218619187</v>
      </c>
      <c r="AG123" s="268">
        <f t="shared" si="121"/>
        <v>0.90573080982991572</v>
      </c>
      <c r="AH123" s="268">
        <f t="shared" si="123"/>
        <v>0.92384542602651409</v>
      </c>
      <c r="AI123" s="268">
        <f t="shared" si="125"/>
        <v>0.94232233454704439</v>
      </c>
      <c r="AJ123" s="268">
        <f t="shared" si="127"/>
        <v>0.96116878123798533</v>
      </c>
      <c r="AK123" s="268">
        <f t="shared" ref="AK123:AK137" si="129">AL123/(1+2%)</f>
        <v>0.98039215686274506</v>
      </c>
      <c r="AL123" s="260">
        <v>1</v>
      </c>
      <c r="AM123" s="301">
        <f t="shared" ref="AM123:AZ123" si="130">AL123*(1+2%)</f>
        <v>1.02</v>
      </c>
      <c r="AN123" s="301">
        <f t="shared" si="130"/>
        <v>1.0404</v>
      </c>
      <c r="AO123" s="301">
        <f t="shared" si="130"/>
        <v>1.0612079999999999</v>
      </c>
      <c r="AP123" s="301">
        <f t="shared" si="130"/>
        <v>1.08243216</v>
      </c>
      <c r="AQ123" s="301">
        <f t="shared" si="130"/>
        <v>1.1040808032</v>
      </c>
      <c r="AR123" s="301">
        <f t="shared" si="130"/>
        <v>1.1261624192640001</v>
      </c>
      <c r="AS123" s="301">
        <f t="shared" si="130"/>
        <v>1.14868566764928</v>
      </c>
      <c r="AT123" s="301">
        <f t="shared" si="130"/>
        <v>1.1716593810022657</v>
      </c>
      <c r="AU123" s="301">
        <f t="shared" si="130"/>
        <v>1.1950925686223111</v>
      </c>
      <c r="AV123" s="301">
        <f t="shared" si="130"/>
        <v>1.2189944199947573</v>
      </c>
      <c r="AW123" s="301">
        <f t="shared" si="130"/>
        <v>1.2433743083946525</v>
      </c>
      <c r="AX123" s="301">
        <f t="shared" si="130"/>
        <v>1.2682417945625455</v>
      </c>
      <c r="AY123" s="301">
        <f t="shared" si="130"/>
        <v>1.2936066304537963</v>
      </c>
      <c r="AZ123" s="301">
        <f t="shared" si="130"/>
        <v>1.3194787630628724</v>
      </c>
    </row>
    <row r="124" spans="28:57" ht="14.25" customHeight="1">
      <c r="AB124" s="258">
        <v>110</v>
      </c>
      <c r="AC124" s="267" t="s">
        <v>2530</v>
      </c>
      <c r="AD124" s="267" t="s">
        <v>2379</v>
      </c>
      <c r="AF124" s="268">
        <f t="shared" si="119"/>
        <v>0.87056017861391355</v>
      </c>
      <c r="AG124" s="268">
        <f t="shared" si="121"/>
        <v>0.88797138218619187</v>
      </c>
      <c r="AH124" s="268">
        <f t="shared" si="123"/>
        <v>0.90573080982991572</v>
      </c>
      <c r="AI124" s="268">
        <f t="shared" si="125"/>
        <v>0.92384542602651409</v>
      </c>
      <c r="AJ124" s="268">
        <f t="shared" si="127"/>
        <v>0.94232233454704439</v>
      </c>
      <c r="AK124" s="268">
        <f t="shared" si="129"/>
        <v>0.96116878123798533</v>
      </c>
      <c r="AL124" s="268">
        <f t="shared" ref="AL124:AL137" si="131">AM124/(1+2%)</f>
        <v>0.98039215686274506</v>
      </c>
      <c r="AM124" s="260">
        <v>1</v>
      </c>
      <c r="AN124" s="301">
        <f t="shared" ref="AN124:AZ124" si="132">AM124*(1+2%)</f>
        <v>1.02</v>
      </c>
      <c r="AO124" s="301">
        <f t="shared" si="132"/>
        <v>1.0404</v>
      </c>
      <c r="AP124" s="301">
        <f t="shared" si="132"/>
        <v>1.0612079999999999</v>
      </c>
      <c r="AQ124" s="301">
        <f t="shared" si="132"/>
        <v>1.08243216</v>
      </c>
      <c r="AR124" s="301">
        <f t="shared" si="132"/>
        <v>1.1040808032</v>
      </c>
      <c r="AS124" s="301">
        <f t="shared" si="132"/>
        <v>1.1261624192640001</v>
      </c>
      <c r="AT124" s="301">
        <f t="shared" si="132"/>
        <v>1.14868566764928</v>
      </c>
      <c r="AU124" s="301">
        <f t="shared" si="132"/>
        <v>1.1716593810022657</v>
      </c>
      <c r="AV124" s="301">
        <f t="shared" si="132"/>
        <v>1.1950925686223111</v>
      </c>
      <c r="AW124" s="301">
        <f t="shared" si="132"/>
        <v>1.2189944199947573</v>
      </c>
      <c r="AX124" s="301">
        <f t="shared" si="132"/>
        <v>1.2433743083946525</v>
      </c>
      <c r="AY124" s="301">
        <f t="shared" si="132"/>
        <v>1.2682417945625455</v>
      </c>
      <c r="AZ124" s="301">
        <f t="shared" si="132"/>
        <v>1.2936066304537963</v>
      </c>
    </row>
    <row r="125" spans="28:57" ht="14.25" customHeight="1">
      <c r="AB125" s="258">
        <v>111</v>
      </c>
      <c r="AC125" s="267" t="s">
        <v>2530</v>
      </c>
      <c r="AD125" s="267" t="s">
        <v>2380</v>
      </c>
      <c r="AF125" s="268">
        <f t="shared" si="119"/>
        <v>0.85349037119011129</v>
      </c>
      <c r="AG125" s="268">
        <f t="shared" si="121"/>
        <v>0.87056017861391355</v>
      </c>
      <c r="AH125" s="268">
        <f t="shared" si="123"/>
        <v>0.88797138218619187</v>
      </c>
      <c r="AI125" s="268">
        <f t="shared" si="125"/>
        <v>0.90573080982991572</v>
      </c>
      <c r="AJ125" s="268">
        <f t="shared" si="127"/>
        <v>0.92384542602651409</v>
      </c>
      <c r="AK125" s="268">
        <f t="shared" si="129"/>
        <v>0.94232233454704439</v>
      </c>
      <c r="AL125" s="268">
        <f t="shared" si="131"/>
        <v>0.96116878123798533</v>
      </c>
      <c r="AM125" s="268">
        <f t="shared" ref="AM125:AM137" si="133">AN125/(1+2%)</f>
        <v>0.98039215686274506</v>
      </c>
      <c r="AN125" s="260">
        <v>1</v>
      </c>
      <c r="AO125" s="301">
        <f t="shared" ref="AO125:AZ125" si="134">AN125*(1+2%)</f>
        <v>1.02</v>
      </c>
      <c r="AP125" s="301">
        <f t="shared" si="134"/>
        <v>1.0404</v>
      </c>
      <c r="AQ125" s="301">
        <f t="shared" si="134"/>
        <v>1.0612079999999999</v>
      </c>
      <c r="AR125" s="301">
        <f t="shared" si="134"/>
        <v>1.08243216</v>
      </c>
      <c r="AS125" s="301">
        <f t="shared" si="134"/>
        <v>1.1040808032</v>
      </c>
      <c r="AT125" s="301">
        <f t="shared" si="134"/>
        <v>1.1261624192640001</v>
      </c>
      <c r="AU125" s="301">
        <f t="shared" si="134"/>
        <v>1.14868566764928</v>
      </c>
      <c r="AV125" s="301">
        <f t="shared" si="134"/>
        <v>1.1716593810022657</v>
      </c>
      <c r="AW125" s="301">
        <f t="shared" si="134"/>
        <v>1.1950925686223111</v>
      </c>
      <c r="AX125" s="301">
        <f t="shared" si="134"/>
        <v>1.2189944199947573</v>
      </c>
      <c r="AY125" s="301">
        <f t="shared" si="134"/>
        <v>1.2433743083946525</v>
      </c>
      <c r="AZ125" s="301">
        <f t="shared" si="134"/>
        <v>1.2682417945625455</v>
      </c>
    </row>
    <row r="126" spans="28:57" ht="14.25" customHeight="1">
      <c r="AB126" s="258">
        <v>112</v>
      </c>
      <c r="AC126" s="267" t="s">
        <v>2530</v>
      </c>
      <c r="AD126" s="267" t="s">
        <v>2381</v>
      </c>
      <c r="AF126" s="268">
        <f t="shared" si="119"/>
        <v>0.83675526587265814</v>
      </c>
      <c r="AG126" s="268">
        <f t="shared" si="121"/>
        <v>0.85349037119011129</v>
      </c>
      <c r="AH126" s="268">
        <f t="shared" si="123"/>
        <v>0.87056017861391355</v>
      </c>
      <c r="AI126" s="268">
        <f t="shared" si="125"/>
        <v>0.88797138218619187</v>
      </c>
      <c r="AJ126" s="268">
        <f t="shared" si="127"/>
        <v>0.90573080982991572</v>
      </c>
      <c r="AK126" s="268">
        <f t="shared" si="129"/>
        <v>0.92384542602651409</v>
      </c>
      <c r="AL126" s="268">
        <f t="shared" si="131"/>
        <v>0.94232233454704439</v>
      </c>
      <c r="AM126" s="268">
        <f t="shared" si="133"/>
        <v>0.96116878123798533</v>
      </c>
      <c r="AN126" s="268">
        <f t="shared" ref="AN126:AN137" si="135">AO126/(1+2%)</f>
        <v>0.98039215686274506</v>
      </c>
      <c r="AO126" s="260">
        <v>1</v>
      </c>
      <c r="AP126" s="301">
        <f t="shared" ref="AP126:AZ126" si="136">AO126*(1+2%)</f>
        <v>1.02</v>
      </c>
      <c r="AQ126" s="301">
        <f t="shared" si="136"/>
        <v>1.0404</v>
      </c>
      <c r="AR126" s="301">
        <f t="shared" si="136"/>
        <v>1.0612079999999999</v>
      </c>
      <c r="AS126" s="301">
        <f t="shared" si="136"/>
        <v>1.08243216</v>
      </c>
      <c r="AT126" s="301">
        <f t="shared" si="136"/>
        <v>1.1040808032</v>
      </c>
      <c r="AU126" s="301">
        <f t="shared" si="136"/>
        <v>1.1261624192640001</v>
      </c>
      <c r="AV126" s="301">
        <f t="shared" si="136"/>
        <v>1.14868566764928</v>
      </c>
      <c r="AW126" s="301">
        <f t="shared" si="136"/>
        <v>1.1716593810022657</v>
      </c>
      <c r="AX126" s="301">
        <f t="shared" si="136"/>
        <v>1.1950925686223111</v>
      </c>
      <c r="AY126" s="301">
        <f t="shared" si="136"/>
        <v>1.2189944199947573</v>
      </c>
      <c r="AZ126" s="301">
        <f t="shared" si="136"/>
        <v>1.2433743083946525</v>
      </c>
    </row>
    <row r="127" spans="28:57" ht="14.25" customHeight="1">
      <c r="AB127" s="258">
        <v>113</v>
      </c>
      <c r="AC127" s="267" t="s">
        <v>2530</v>
      </c>
      <c r="AD127" s="267" t="s">
        <v>2382</v>
      </c>
      <c r="AF127" s="268">
        <f t="shared" si="119"/>
        <v>0.82034829987515501</v>
      </c>
      <c r="AG127" s="268">
        <f t="shared" si="121"/>
        <v>0.83675526587265814</v>
      </c>
      <c r="AH127" s="268">
        <f t="shared" si="123"/>
        <v>0.85349037119011129</v>
      </c>
      <c r="AI127" s="268">
        <f t="shared" si="125"/>
        <v>0.87056017861391355</v>
      </c>
      <c r="AJ127" s="268">
        <f t="shared" si="127"/>
        <v>0.88797138218619187</v>
      </c>
      <c r="AK127" s="268">
        <f t="shared" si="129"/>
        <v>0.90573080982991572</v>
      </c>
      <c r="AL127" s="268">
        <f t="shared" si="131"/>
        <v>0.92384542602651409</v>
      </c>
      <c r="AM127" s="268">
        <f t="shared" si="133"/>
        <v>0.94232233454704439</v>
      </c>
      <c r="AN127" s="268">
        <f t="shared" si="135"/>
        <v>0.96116878123798533</v>
      </c>
      <c r="AO127" s="268">
        <f t="shared" ref="AO127:AO137" si="137">AP127/(1+2%)</f>
        <v>0.98039215686274506</v>
      </c>
      <c r="AP127" s="260">
        <v>1</v>
      </c>
      <c r="AQ127" s="301">
        <f t="shared" ref="AQ127:AZ127" si="138">AP127*(1+2%)</f>
        <v>1.02</v>
      </c>
      <c r="AR127" s="301">
        <f t="shared" si="138"/>
        <v>1.0404</v>
      </c>
      <c r="AS127" s="301">
        <f t="shared" si="138"/>
        <v>1.0612079999999999</v>
      </c>
      <c r="AT127" s="301">
        <f t="shared" si="138"/>
        <v>1.08243216</v>
      </c>
      <c r="AU127" s="301">
        <f t="shared" si="138"/>
        <v>1.1040808032</v>
      </c>
      <c r="AV127" s="301">
        <f t="shared" si="138"/>
        <v>1.1261624192640001</v>
      </c>
      <c r="AW127" s="301">
        <f t="shared" si="138"/>
        <v>1.14868566764928</v>
      </c>
      <c r="AX127" s="301">
        <f t="shared" si="138"/>
        <v>1.1716593810022657</v>
      </c>
      <c r="AY127" s="301">
        <f t="shared" si="138"/>
        <v>1.1950925686223111</v>
      </c>
      <c r="AZ127" s="301">
        <f t="shared" si="138"/>
        <v>1.2189944199947573</v>
      </c>
    </row>
    <row r="128" spans="28:57" ht="14.25" customHeight="1">
      <c r="AB128" s="258">
        <v>114</v>
      </c>
      <c r="AC128" s="267" t="s">
        <v>2530</v>
      </c>
      <c r="AD128" s="267" t="s">
        <v>2383</v>
      </c>
      <c r="AF128" s="268">
        <f t="shared" si="119"/>
        <v>0.80426303909328922</v>
      </c>
      <c r="AG128" s="268">
        <f t="shared" si="121"/>
        <v>0.82034829987515501</v>
      </c>
      <c r="AH128" s="268">
        <f t="shared" si="123"/>
        <v>0.83675526587265814</v>
      </c>
      <c r="AI128" s="268">
        <f t="shared" si="125"/>
        <v>0.85349037119011129</v>
      </c>
      <c r="AJ128" s="268">
        <f t="shared" si="127"/>
        <v>0.87056017861391355</v>
      </c>
      <c r="AK128" s="268">
        <f t="shared" si="129"/>
        <v>0.88797138218619187</v>
      </c>
      <c r="AL128" s="268">
        <f t="shared" si="131"/>
        <v>0.90573080982991572</v>
      </c>
      <c r="AM128" s="268">
        <f t="shared" si="133"/>
        <v>0.92384542602651409</v>
      </c>
      <c r="AN128" s="268">
        <f t="shared" si="135"/>
        <v>0.94232233454704439</v>
      </c>
      <c r="AO128" s="268">
        <f t="shared" si="137"/>
        <v>0.96116878123798533</v>
      </c>
      <c r="AP128" s="268">
        <f t="shared" ref="AP128:AP137" si="139">AQ128/(1+2%)</f>
        <v>0.98039215686274506</v>
      </c>
      <c r="AQ128" s="260">
        <v>1</v>
      </c>
      <c r="AR128" s="301">
        <f t="shared" ref="AR128:AZ128" si="140">AQ128*(1+2%)</f>
        <v>1.02</v>
      </c>
      <c r="AS128" s="301">
        <f t="shared" si="140"/>
        <v>1.0404</v>
      </c>
      <c r="AT128" s="301">
        <f t="shared" si="140"/>
        <v>1.0612079999999999</v>
      </c>
      <c r="AU128" s="301">
        <f t="shared" si="140"/>
        <v>1.08243216</v>
      </c>
      <c r="AV128" s="301">
        <f t="shared" si="140"/>
        <v>1.1040808032</v>
      </c>
      <c r="AW128" s="301">
        <f t="shared" si="140"/>
        <v>1.1261624192640001</v>
      </c>
      <c r="AX128" s="301">
        <f t="shared" si="140"/>
        <v>1.14868566764928</v>
      </c>
      <c r="AY128" s="301">
        <f t="shared" si="140"/>
        <v>1.1716593810022657</v>
      </c>
      <c r="AZ128" s="301">
        <f t="shared" si="140"/>
        <v>1.1950925686223111</v>
      </c>
    </row>
    <row r="129" spans="28:52" ht="14.25" customHeight="1">
      <c r="AB129" s="258">
        <v>115</v>
      </c>
      <c r="AC129" s="267" t="s">
        <v>2530</v>
      </c>
      <c r="AD129" s="267" t="s">
        <v>2384</v>
      </c>
      <c r="AF129" s="268">
        <f t="shared" si="119"/>
        <v>0.7884931755816561</v>
      </c>
      <c r="AG129" s="268">
        <f t="shared" si="121"/>
        <v>0.80426303909328922</v>
      </c>
      <c r="AH129" s="268">
        <f t="shared" si="123"/>
        <v>0.82034829987515501</v>
      </c>
      <c r="AI129" s="268">
        <f t="shared" si="125"/>
        <v>0.83675526587265814</v>
      </c>
      <c r="AJ129" s="268">
        <f t="shared" si="127"/>
        <v>0.85349037119011129</v>
      </c>
      <c r="AK129" s="268">
        <f t="shared" si="129"/>
        <v>0.87056017861391355</v>
      </c>
      <c r="AL129" s="268">
        <f t="shared" si="131"/>
        <v>0.88797138218619187</v>
      </c>
      <c r="AM129" s="268">
        <f t="shared" si="133"/>
        <v>0.90573080982991572</v>
      </c>
      <c r="AN129" s="268">
        <f t="shared" si="135"/>
        <v>0.92384542602651409</v>
      </c>
      <c r="AO129" s="268">
        <f t="shared" si="137"/>
        <v>0.94232233454704439</v>
      </c>
      <c r="AP129" s="268">
        <f t="shared" si="139"/>
        <v>0.96116878123798533</v>
      </c>
      <c r="AQ129" s="268">
        <f t="shared" ref="AQ129:AQ137" si="141">AR129/(1+2%)</f>
        <v>0.98039215686274506</v>
      </c>
      <c r="AR129" s="260">
        <v>1</v>
      </c>
      <c r="AS129" s="301">
        <f t="shared" ref="AS129:AZ129" si="142">AR129*(1+2%)</f>
        <v>1.02</v>
      </c>
      <c r="AT129" s="301">
        <f t="shared" si="142"/>
        <v>1.0404</v>
      </c>
      <c r="AU129" s="301">
        <f t="shared" si="142"/>
        <v>1.0612079999999999</v>
      </c>
      <c r="AV129" s="301">
        <f t="shared" si="142"/>
        <v>1.08243216</v>
      </c>
      <c r="AW129" s="301">
        <f t="shared" si="142"/>
        <v>1.1040808032</v>
      </c>
      <c r="AX129" s="301">
        <f t="shared" si="142"/>
        <v>1.1261624192640001</v>
      </c>
      <c r="AY129" s="301">
        <f t="shared" si="142"/>
        <v>1.14868566764928</v>
      </c>
      <c r="AZ129" s="301">
        <f t="shared" si="142"/>
        <v>1.1716593810022657</v>
      </c>
    </row>
    <row r="130" spans="28:52" ht="14.25" customHeight="1">
      <c r="AB130" s="258">
        <v>116</v>
      </c>
      <c r="AC130" s="267" t="s">
        <v>2530</v>
      </c>
      <c r="AD130" s="267" t="s">
        <v>2385</v>
      </c>
      <c r="AF130" s="268">
        <f t="shared" si="119"/>
        <v>0.77303252508005504</v>
      </c>
      <c r="AG130" s="268">
        <f t="shared" si="121"/>
        <v>0.7884931755816561</v>
      </c>
      <c r="AH130" s="268">
        <f t="shared" si="123"/>
        <v>0.80426303909328922</v>
      </c>
      <c r="AI130" s="268">
        <f t="shared" si="125"/>
        <v>0.82034829987515501</v>
      </c>
      <c r="AJ130" s="268">
        <f t="shared" si="127"/>
        <v>0.83675526587265814</v>
      </c>
      <c r="AK130" s="268">
        <f t="shared" si="129"/>
        <v>0.85349037119011129</v>
      </c>
      <c r="AL130" s="268">
        <f t="shared" si="131"/>
        <v>0.87056017861391355</v>
      </c>
      <c r="AM130" s="268">
        <f t="shared" si="133"/>
        <v>0.88797138218619187</v>
      </c>
      <c r="AN130" s="268">
        <f t="shared" si="135"/>
        <v>0.90573080982991572</v>
      </c>
      <c r="AO130" s="268">
        <f t="shared" si="137"/>
        <v>0.92384542602651409</v>
      </c>
      <c r="AP130" s="268">
        <f t="shared" si="139"/>
        <v>0.94232233454704439</v>
      </c>
      <c r="AQ130" s="268">
        <f t="shared" si="141"/>
        <v>0.96116878123798533</v>
      </c>
      <c r="AR130" s="268">
        <f t="shared" ref="AR130:AR137" si="143">AS130/(1+2%)</f>
        <v>0.98039215686274506</v>
      </c>
      <c r="AS130" s="260">
        <v>1</v>
      </c>
      <c r="AT130" s="301">
        <f t="shared" ref="AT130:AZ130" si="144">AS130*(1+2%)</f>
        <v>1.02</v>
      </c>
      <c r="AU130" s="301">
        <f t="shared" si="144"/>
        <v>1.0404</v>
      </c>
      <c r="AV130" s="301">
        <f t="shared" si="144"/>
        <v>1.0612079999999999</v>
      </c>
      <c r="AW130" s="301">
        <f t="shared" si="144"/>
        <v>1.08243216</v>
      </c>
      <c r="AX130" s="301">
        <f t="shared" si="144"/>
        <v>1.1040808032</v>
      </c>
      <c r="AY130" s="301">
        <f t="shared" si="144"/>
        <v>1.1261624192640001</v>
      </c>
      <c r="AZ130" s="301">
        <f t="shared" si="144"/>
        <v>1.14868566764928</v>
      </c>
    </row>
    <row r="131" spans="28:52" ht="14.25" customHeight="1">
      <c r="AB131" s="258">
        <v>117</v>
      </c>
      <c r="AC131" s="267" t="s">
        <v>2530</v>
      </c>
      <c r="AD131" s="267" t="s">
        <v>2386</v>
      </c>
      <c r="AF131" s="268">
        <f t="shared" si="119"/>
        <v>0.75787502458828926</v>
      </c>
      <c r="AG131" s="268">
        <f t="shared" si="121"/>
        <v>0.77303252508005504</v>
      </c>
      <c r="AH131" s="268">
        <f t="shared" si="123"/>
        <v>0.7884931755816561</v>
      </c>
      <c r="AI131" s="268">
        <f t="shared" si="125"/>
        <v>0.80426303909328922</v>
      </c>
      <c r="AJ131" s="268">
        <f t="shared" si="127"/>
        <v>0.82034829987515501</v>
      </c>
      <c r="AK131" s="268">
        <f t="shared" si="129"/>
        <v>0.83675526587265814</v>
      </c>
      <c r="AL131" s="268">
        <f t="shared" si="131"/>
        <v>0.85349037119011129</v>
      </c>
      <c r="AM131" s="268">
        <f t="shared" si="133"/>
        <v>0.87056017861391355</v>
      </c>
      <c r="AN131" s="268">
        <f t="shared" si="135"/>
        <v>0.88797138218619187</v>
      </c>
      <c r="AO131" s="268">
        <f t="shared" si="137"/>
        <v>0.90573080982991572</v>
      </c>
      <c r="AP131" s="268">
        <f t="shared" si="139"/>
        <v>0.92384542602651409</v>
      </c>
      <c r="AQ131" s="268">
        <f t="shared" si="141"/>
        <v>0.94232233454704439</v>
      </c>
      <c r="AR131" s="268">
        <f t="shared" si="143"/>
        <v>0.96116878123798533</v>
      </c>
      <c r="AS131" s="268">
        <f t="shared" ref="AS131:AS137" si="145">AT131/(1+2%)</f>
        <v>0.98039215686274506</v>
      </c>
      <c r="AT131" s="260">
        <v>1</v>
      </c>
      <c r="AU131" s="301">
        <f t="shared" ref="AU131:AZ131" si="146">AT131*(1+2%)</f>
        <v>1.02</v>
      </c>
      <c r="AV131" s="301">
        <f t="shared" si="146"/>
        <v>1.0404</v>
      </c>
      <c r="AW131" s="301">
        <f t="shared" si="146"/>
        <v>1.0612079999999999</v>
      </c>
      <c r="AX131" s="301">
        <f t="shared" si="146"/>
        <v>1.08243216</v>
      </c>
      <c r="AY131" s="301">
        <f t="shared" si="146"/>
        <v>1.1040808032</v>
      </c>
      <c r="AZ131" s="301">
        <f t="shared" si="146"/>
        <v>1.1261624192640001</v>
      </c>
    </row>
    <row r="132" spans="28:52" ht="14.25" customHeight="1">
      <c r="AB132" s="258">
        <v>118</v>
      </c>
      <c r="AC132" s="267" t="s">
        <v>2530</v>
      </c>
      <c r="AD132" s="267" t="s">
        <v>2387</v>
      </c>
      <c r="AF132" s="268">
        <f t="shared" si="119"/>
        <v>0.74301472998851892</v>
      </c>
      <c r="AG132" s="268">
        <f t="shared" si="121"/>
        <v>0.75787502458828926</v>
      </c>
      <c r="AH132" s="268">
        <f t="shared" si="123"/>
        <v>0.77303252508005504</v>
      </c>
      <c r="AI132" s="268">
        <f t="shared" si="125"/>
        <v>0.7884931755816561</v>
      </c>
      <c r="AJ132" s="268">
        <f t="shared" si="127"/>
        <v>0.80426303909328922</v>
      </c>
      <c r="AK132" s="268">
        <f t="shared" si="129"/>
        <v>0.82034829987515501</v>
      </c>
      <c r="AL132" s="268">
        <f t="shared" si="131"/>
        <v>0.83675526587265814</v>
      </c>
      <c r="AM132" s="268">
        <f t="shared" si="133"/>
        <v>0.85349037119011129</v>
      </c>
      <c r="AN132" s="268">
        <f t="shared" si="135"/>
        <v>0.87056017861391355</v>
      </c>
      <c r="AO132" s="268">
        <f t="shared" si="137"/>
        <v>0.88797138218619187</v>
      </c>
      <c r="AP132" s="268">
        <f t="shared" si="139"/>
        <v>0.90573080982991572</v>
      </c>
      <c r="AQ132" s="268">
        <f t="shared" si="141"/>
        <v>0.92384542602651409</v>
      </c>
      <c r="AR132" s="268">
        <f t="shared" si="143"/>
        <v>0.94232233454704439</v>
      </c>
      <c r="AS132" s="268">
        <f t="shared" si="145"/>
        <v>0.96116878123798533</v>
      </c>
      <c r="AT132" s="268">
        <f t="shared" ref="AT132:AT137" si="147">AU132/(1+2%)</f>
        <v>0.98039215686274506</v>
      </c>
      <c r="AU132" s="260">
        <v>1</v>
      </c>
      <c r="AV132" s="301">
        <f>AU132*(1+2%)</f>
        <v>1.02</v>
      </c>
      <c r="AW132" s="301">
        <f>AV132*(1+2%)</f>
        <v>1.0404</v>
      </c>
      <c r="AX132" s="301">
        <f>AW132*(1+2%)</f>
        <v>1.0612079999999999</v>
      </c>
      <c r="AY132" s="301">
        <f>AX132*(1+2%)</f>
        <v>1.08243216</v>
      </c>
      <c r="AZ132" s="301">
        <f>AY132*(1+2%)</f>
        <v>1.1040808032</v>
      </c>
    </row>
    <row r="133" spans="28:52" ht="14.25" customHeight="1">
      <c r="AB133" s="258">
        <v>119</v>
      </c>
      <c r="AC133" s="267" t="s">
        <v>2530</v>
      </c>
      <c r="AD133" s="267" t="s">
        <v>2388</v>
      </c>
      <c r="AF133" s="268">
        <f t="shared" si="119"/>
        <v>0.72844581371423422</v>
      </c>
      <c r="AG133" s="268">
        <f t="shared" si="121"/>
        <v>0.74301472998851892</v>
      </c>
      <c r="AH133" s="268">
        <f t="shared" si="123"/>
        <v>0.75787502458828926</v>
      </c>
      <c r="AI133" s="268">
        <f t="shared" si="125"/>
        <v>0.77303252508005504</v>
      </c>
      <c r="AJ133" s="268">
        <f t="shared" si="127"/>
        <v>0.7884931755816561</v>
      </c>
      <c r="AK133" s="268">
        <f t="shared" si="129"/>
        <v>0.80426303909328922</v>
      </c>
      <c r="AL133" s="268">
        <f t="shared" si="131"/>
        <v>0.82034829987515501</v>
      </c>
      <c r="AM133" s="268">
        <f t="shared" si="133"/>
        <v>0.83675526587265814</v>
      </c>
      <c r="AN133" s="268">
        <f t="shared" si="135"/>
        <v>0.85349037119011129</v>
      </c>
      <c r="AO133" s="268">
        <f t="shared" si="137"/>
        <v>0.87056017861391355</v>
      </c>
      <c r="AP133" s="268">
        <f t="shared" si="139"/>
        <v>0.88797138218619187</v>
      </c>
      <c r="AQ133" s="268">
        <f t="shared" si="141"/>
        <v>0.90573080982991572</v>
      </c>
      <c r="AR133" s="268">
        <f t="shared" si="143"/>
        <v>0.92384542602651409</v>
      </c>
      <c r="AS133" s="268">
        <f t="shared" si="145"/>
        <v>0.94232233454704439</v>
      </c>
      <c r="AT133" s="268">
        <f t="shared" si="147"/>
        <v>0.96116878123798533</v>
      </c>
      <c r="AU133" s="268">
        <f>AV133/(1+2%)</f>
        <v>0.98039215686274506</v>
      </c>
      <c r="AV133" s="260">
        <v>1</v>
      </c>
      <c r="AW133" s="301">
        <f>AV133*(1+2%)</f>
        <v>1.02</v>
      </c>
      <c r="AX133" s="301">
        <f>AW133*(1+2%)</f>
        <v>1.0404</v>
      </c>
      <c r="AY133" s="301">
        <f>AX133*(1+2%)</f>
        <v>1.0612079999999999</v>
      </c>
      <c r="AZ133" s="301">
        <f>AY133*(1+2%)</f>
        <v>1.08243216</v>
      </c>
    </row>
    <row r="134" spans="28:52" ht="14.25" customHeight="1">
      <c r="AB134" s="258">
        <v>120</v>
      </c>
      <c r="AC134" s="267" t="s">
        <v>2530</v>
      </c>
      <c r="AD134" s="267" t="s">
        <v>2389</v>
      </c>
      <c r="AF134" s="268">
        <f t="shared" si="119"/>
        <v>0.71416256246493548</v>
      </c>
      <c r="AG134" s="268">
        <f t="shared" si="121"/>
        <v>0.72844581371423422</v>
      </c>
      <c r="AH134" s="268">
        <f t="shared" si="123"/>
        <v>0.74301472998851892</v>
      </c>
      <c r="AI134" s="268">
        <f t="shared" si="125"/>
        <v>0.75787502458828926</v>
      </c>
      <c r="AJ134" s="268">
        <f t="shared" si="127"/>
        <v>0.77303252508005504</v>
      </c>
      <c r="AK134" s="268">
        <f t="shared" si="129"/>
        <v>0.7884931755816561</v>
      </c>
      <c r="AL134" s="268">
        <f t="shared" si="131"/>
        <v>0.80426303909328922</v>
      </c>
      <c r="AM134" s="268">
        <f t="shared" si="133"/>
        <v>0.82034829987515501</v>
      </c>
      <c r="AN134" s="268">
        <f t="shared" si="135"/>
        <v>0.83675526587265814</v>
      </c>
      <c r="AO134" s="268">
        <f t="shared" si="137"/>
        <v>0.85349037119011129</v>
      </c>
      <c r="AP134" s="268">
        <f t="shared" si="139"/>
        <v>0.87056017861391355</v>
      </c>
      <c r="AQ134" s="268">
        <f t="shared" si="141"/>
        <v>0.88797138218619187</v>
      </c>
      <c r="AR134" s="268">
        <f t="shared" si="143"/>
        <v>0.90573080982991572</v>
      </c>
      <c r="AS134" s="268">
        <f t="shared" si="145"/>
        <v>0.92384542602651409</v>
      </c>
      <c r="AT134" s="268">
        <f t="shared" si="147"/>
        <v>0.94232233454704439</v>
      </c>
      <c r="AU134" s="268">
        <f>AV134/(1+2%)</f>
        <v>0.96116878123798533</v>
      </c>
      <c r="AV134" s="268">
        <f>AW134/(1+2%)</f>
        <v>0.98039215686274506</v>
      </c>
      <c r="AW134" s="260">
        <v>1</v>
      </c>
      <c r="AX134" s="301">
        <f>AW134*(1+2%)</f>
        <v>1.02</v>
      </c>
      <c r="AY134" s="301">
        <f>AX134*(1+2%)</f>
        <v>1.0404</v>
      </c>
      <c r="AZ134" s="301">
        <f>AY134*(1+2%)</f>
        <v>1.0612079999999999</v>
      </c>
    </row>
    <row r="135" spans="28:52" ht="14.25" customHeight="1">
      <c r="AB135" s="258">
        <v>121</v>
      </c>
      <c r="AC135" s="267" t="s">
        <v>2530</v>
      </c>
      <c r="AD135" s="267" t="s">
        <v>2390</v>
      </c>
      <c r="AF135" s="268">
        <f t="shared" si="119"/>
        <v>0.70015937496562297</v>
      </c>
      <c r="AG135" s="268">
        <f t="shared" si="121"/>
        <v>0.71416256246493548</v>
      </c>
      <c r="AH135" s="268">
        <f t="shared" si="123"/>
        <v>0.72844581371423422</v>
      </c>
      <c r="AI135" s="268">
        <f t="shared" si="125"/>
        <v>0.74301472998851892</v>
      </c>
      <c r="AJ135" s="268">
        <f t="shared" si="127"/>
        <v>0.75787502458828926</v>
      </c>
      <c r="AK135" s="268">
        <f t="shared" si="129"/>
        <v>0.77303252508005504</v>
      </c>
      <c r="AL135" s="268">
        <f t="shared" si="131"/>
        <v>0.7884931755816561</v>
      </c>
      <c r="AM135" s="268">
        <f t="shared" si="133"/>
        <v>0.80426303909328922</v>
      </c>
      <c r="AN135" s="268">
        <f t="shared" si="135"/>
        <v>0.82034829987515501</v>
      </c>
      <c r="AO135" s="268">
        <f t="shared" si="137"/>
        <v>0.83675526587265814</v>
      </c>
      <c r="AP135" s="268">
        <f t="shared" si="139"/>
        <v>0.85349037119011129</v>
      </c>
      <c r="AQ135" s="268">
        <f t="shared" si="141"/>
        <v>0.87056017861391355</v>
      </c>
      <c r="AR135" s="268">
        <f t="shared" si="143"/>
        <v>0.88797138218619187</v>
      </c>
      <c r="AS135" s="268">
        <f t="shared" si="145"/>
        <v>0.90573080982991572</v>
      </c>
      <c r="AT135" s="268">
        <f t="shared" si="147"/>
        <v>0.92384542602651409</v>
      </c>
      <c r="AU135" s="268">
        <f>AV135/(1+2%)</f>
        <v>0.94232233454704439</v>
      </c>
      <c r="AV135" s="268">
        <f>AW135/(1+2%)</f>
        <v>0.96116878123798533</v>
      </c>
      <c r="AW135" s="268">
        <f>AX135/(1+2%)</f>
        <v>0.98039215686274506</v>
      </c>
      <c r="AX135" s="260">
        <v>1</v>
      </c>
      <c r="AY135" s="301">
        <f>AX135*(1+2%)</f>
        <v>1.02</v>
      </c>
      <c r="AZ135" s="301">
        <f>AY135*(1+2%)</f>
        <v>1.0404</v>
      </c>
    </row>
    <row r="136" spans="28:52" ht="14.25" customHeight="1">
      <c r="AB136" s="258">
        <v>122</v>
      </c>
      <c r="AC136" s="267" t="s">
        <v>2530</v>
      </c>
      <c r="AD136" s="267" t="s">
        <v>2391</v>
      </c>
      <c r="AE136" s="303"/>
      <c r="AF136" s="286">
        <f t="shared" si="119"/>
        <v>0.68643075977021861</v>
      </c>
      <c r="AG136" s="286">
        <f t="shared" si="121"/>
        <v>0.70015937496562297</v>
      </c>
      <c r="AH136" s="286">
        <f t="shared" si="123"/>
        <v>0.71416256246493548</v>
      </c>
      <c r="AI136" s="286">
        <f t="shared" si="125"/>
        <v>0.72844581371423422</v>
      </c>
      <c r="AJ136" s="286">
        <f t="shared" si="127"/>
        <v>0.74301472998851892</v>
      </c>
      <c r="AK136" s="286">
        <f t="shared" si="129"/>
        <v>0.75787502458828926</v>
      </c>
      <c r="AL136" s="286">
        <f t="shared" si="131"/>
        <v>0.77303252508005504</v>
      </c>
      <c r="AM136" s="286">
        <f t="shared" si="133"/>
        <v>0.7884931755816561</v>
      </c>
      <c r="AN136" s="286">
        <f t="shared" si="135"/>
        <v>0.80426303909328922</v>
      </c>
      <c r="AO136" s="286">
        <f t="shared" si="137"/>
        <v>0.82034829987515501</v>
      </c>
      <c r="AP136" s="286">
        <f t="shared" si="139"/>
        <v>0.83675526587265814</v>
      </c>
      <c r="AQ136" s="286">
        <f t="shared" si="141"/>
        <v>0.85349037119011129</v>
      </c>
      <c r="AR136" s="286">
        <f t="shared" si="143"/>
        <v>0.87056017861391355</v>
      </c>
      <c r="AS136" s="286">
        <f t="shared" si="145"/>
        <v>0.88797138218619187</v>
      </c>
      <c r="AT136" s="286">
        <f t="shared" si="147"/>
        <v>0.90573080982991572</v>
      </c>
      <c r="AU136" s="286">
        <f>AV136/(1+2%)</f>
        <v>0.92384542602651409</v>
      </c>
      <c r="AV136" s="286">
        <f>AW136/(1+2%)</f>
        <v>0.94232233454704439</v>
      </c>
      <c r="AW136" s="286">
        <f>AX136/(1+2%)</f>
        <v>0.96116878123798533</v>
      </c>
      <c r="AX136" s="286">
        <f>AY136/(1+2%)</f>
        <v>0.98039215686274506</v>
      </c>
      <c r="AY136" s="287">
        <v>1</v>
      </c>
      <c r="AZ136" s="312">
        <f>AY136*(1+2%)</f>
        <v>1.02</v>
      </c>
    </row>
    <row r="137" spans="28:52" ht="15" customHeight="1">
      <c r="AB137" s="289">
        <v>123</v>
      </c>
      <c r="AC137" s="291" t="s">
        <v>2530</v>
      </c>
      <c r="AD137" s="291" t="s">
        <v>2392</v>
      </c>
      <c r="AE137" s="290"/>
      <c r="AF137" s="292">
        <f t="shared" si="119"/>
        <v>0.67297133310805746</v>
      </c>
      <c r="AG137" s="292">
        <f t="shared" si="121"/>
        <v>0.68643075977021861</v>
      </c>
      <c r="AH137" s="292">
        <f t="shared" si="123"/>
        <v>0.70015937496562297</v>
      </c>
      <c r="AI137" s="292">
        <f t="shared" si="125"/>
        <v>0.71416256246493548</v>
      </c>
      <c r="AJ137" s="292">
        <f t="shared" si="127"/>
        <v>0.72844581371423422</v>
      </c>
      <c r="AK137" s="292">
        <f t="shared" si="129"/>
        <v>0.74301472998851892</v>
      </c>
      <c r="AL137" s="292">
        <f t="shared" si="131"/>
        <v>0.75787502458828926</v>
      </c>
      <c r="AM137" s="292">
        <f t="shared" si="133"/>
        <v>0.77303252508005504</v>
      </c>
      <c r="AN137" s="292">
        <f t="shared" si="135"/>
        <v>0.7884931755816561</v>
      </c>
      <c r="AO137" s="292">
        <f t="shared" si="137"/>
        <v>0.80426303909328922</v>
      </c>
      <c r="AP137" s="292">
        <f t="shared" si="139"/>
        <v>0.82034829987515501</v>
      </c>
      <c r="AQ137" s="292">
        <f t="shared" si="141"/>
        <v>0.83675526587265814</v>
      </c>
      <c r="AR137" s="292">
        <f t="shared" si="143"/>
        <v>0.85349037119011129</v>
      </c>
      <c r="AS137" s="292">
        <f t="shared" si="145"/>
        <v>0.87056017861391355</v>
      </c>
      <c r="AT137" s="292">
        <f t="shared" si="147"/>
        <v>0.88797138218619187</v>
      </c>
      <c r="AU137" s="292">
        <f>AV137/(1+2%)</f>
        <v>0.90573080982991572</v>
      </c>
      <c r="AV137" s="292">
        <f>AW137/(1+2%)</f>
        <v>0.92384542602651409</v>
      </c>
      <c r="AW137" s="292">
        <f>AX137/(1+2%)</f>
        <v>0.94232233454704439</v>
      </c>
      <c r="AX137" s="292">
        <f>AY137/(1+2%)</f>
        <v>0.96116878123798533</v>
      </c>
      <c r="AY137" s="292">
        <f>AZ137/(1+2%)</f>
        <v>0.98039215686274506</v>
      </c>
      <c r="AZ137" s="293">
        <v>1</v>
      </c>
    </row>
    <row r="138" spans="28:52" ht="14.25" customHeight="1">
      <c r="AB138" s="258">
        <v>124</v>
      </c>
      <c r="AC138" s="267" t="s">
        <v>2531</v>
      </c>
      <c r="AD138" s="259" t="s">
        <v>2372</v>
      </c>
      <c r="AE138" s="311">
        <v>0.04</v>
      </c>
      <c r="AF138" s="295">
        <v>1</v>
      </c>
      <c r="AG138" s="301">
        <f t="shared" ref="AG138:AZ138" si="148">AF138*(1+4%)</f>
        <v>1.04</v>
      </c>
      <c r="AH138" s="301">
        <f t="shared" si="148"/>
        <v>1.0816000000000001</v>
      </c>
      <c r="AI138" s="301">
        <f t="shared" si="148"/>
        <v>1.1248640000000001</v>
      </c>
      <c r="AJ138" s="301">
        <f t="shared" si="148"/>
        <v>1.1698585600000002</v>
      </c>
      <c r="AK138" s="301">
        <f t="shared" si="148"/>
        <v>1.2166529024000003</v>
      </c>
      <c r="AL138" s="301">
        <f t="shared" si="148"/>
        <v>1.2653190184960004</v>
      </c>
      <c r="AM138" s="301">
        <f t="shared" si="148"/>
        <v>1.3159317792358405</v>
      </c>
      <c r="AN138" s="301">
        <f t="shared" si="148"/>
        <v>1.3685690504052741</v>
      </c>
      <c r="AO138" s="301">
        <f t="shared" si="148"/>
        <v>1.4233118124214852</v>
      </c>
      <c r="AP138" s="301">
        <f t="shared" si="148"/>
        <v>1.4802442849183446</v>
      </c>
      <c r="AQ138" s="301">
        <f t="shared" si="148"/>
        <v>1.5394540563150785</v>
      </c>
      <c r="AR138" s="301">
        <f t="shared" si="148"/>
        <v>1.6010322185676817</v>
      </c>
      <c r="AS138" s="301">
        <f t="shared" si="148"/>
        <v>1.6650735073103891</v>
      </c>
      <c r="AT138" s="301">
        <f t="shared" si="148"/>
        <v>1.7316764476028046</v>
      </c>
      <c r="AU138" s="301">
        <f t="shared" si="148"/>
        <v>1.8009435055069167</v>
      </c>
      <c r="AV138" s="301">
        <f t="shared" si="148"/>
        <v>1.8729812457271935</v>
      </c>
      <c r="AW138" s="301">
        <f t="shared" si="148"/>
        <v>1.9479004955562813</v>
      </c>
      <c r="AX138" s="301">
        <f t="shared" si="148"/>
        <v>2.0258165153785326</v>
      </c>
      <c r="AY138" s="301">
        <f t="shared" si="148"/>
        <v>2.1068491759936738</v>
      </c>
      <c r="AZ138" s="301">
        <f t="shared" si="148"/>
        <v>2.1911231430334208</v>
      </c>
    </row>
    <row r="139" spans="28:52" ht="14.25" customHeight="1">
      <c r="AB139" s="258">
        <v>125</v>
      </c>
      <c r="AC139" s="267" t="s">
        <v>2531</v>
      </c>
      <c r="AD139" s="243" t="s">
        <v>2373</v>
      </c>
      <c r="AF139" s="268">
        <f t="shared" ref="AF139:AF158" si="149">AG139/(1+4%)</f>
        <v>0.96153846153846145</v>
      </c>
      <c r="AG139" s="295">
        <v>1</v>
      </c>
      <c r="AH139" s="301">
        <f t="shared" ref="AH139:AZ139" si="150">AG139*(1+4%)</f>
        <v>1.04</v>
      </c>
      <c r="AI139" s="301">
        <f t="shared" si="150"/>
        <v>1.0816000000000001</v>
      </c>
      <c r="AJ139" s="301">
        <f t="shared" si="150"/>
        <v>1.1248640000000001</v>
      </c>
      <c r="AK139" s="301">
        <f t="shared" si="150"/>
        <v>1.1698585600000002</v>
      </c>
      <c r="AL139" s="301">
        <f t="shared" si="150"/>
        <v>1.2166529024000003</v>
      </c>
      <c r="AM139" s="301">
        <f t="shared" si="150"/>
        <v>1.2653190184960004</v>
      </c>
      <c r="AN139" s="301">
        <f t="shared" si="150"/>
        <v>1.3159317792358405</v>
      </c>
      <c r="AO139" s="301">
        <f t="shared" si="150"/>
        <v>1.3685690504052741</v>
      </c>
      <c r="AP139" s="301">
        <f t="shared" si="150"/>
        <v>1.4233118124214852</v>
      </c>
      <c r="AQ139" s="301">
        <f t="shared" si="150"/>
        <v>1.4802442849183446</v>
      </c>
      <c r="AR139" s="301">
        <f t="shared" si="150"/>
        <v>1.5394540563150785</v>
      </c>
      <c r="AS139" s="301">
        <f t="shared" si="150"/>
        <v>1.6010322185676817</v>
      </c>
      <c r="AT139" s="301">
        <f t="shared" si="150"/>
        <v>1.6650735073103891</v>
      </c>
      <c r="AU139" s="301">
        <f t="shared" si="150"/>
        <v>1.7316764476028046</v>
      </c>
      <c r="AV139" s="301">
        <f t="shared" si="150"/>
        <v>1.8009435055069167</v>
      </c>
      <c r="AW139" s="301">
        <f t="shared" si="150"/>
        <v>1.8729812457271935</v>
      </c>
      <c r="AX139" s="301">
        <f t="shared" si="150"/>
        <v>1.9479004955562813</v>
      </c>
      <c r="AY139" s="301">
        <f t="shared" si="150"/>
        <v>2.0258165153785326</v>
      </c>
      <c r="AZ139" s="301">
        <f t="shared" si="150"/>
        <v>2.1068491759936738</v>
      </c>
    </row>
    <row r="140" spans="28:52" ht="14.25" customHeight="1">
      <c r="AB140" s="258">
        <v>126</v>
      </c>
      <c r="AC140" s="267" t="s">
        <v>2531</v>
      </c>
      <c r="AD140" s="267" t="s">
        <v>2374</v>
      </c>
      <c r="AF140" s="268">
        <f t="shared" si="149"/>
        <v>0.92455621301775137</v>
      </c>
      <c r="AG140" s="268">
        <f t="shared" ref="AG140:AG158" si="151">AH140/(1+4%)</f>
        <v>0.96153846153846145</v>
      </c>
      <c r="AH140" s="260">
        <v>1</v>
      </c>
      <c r="AI140" s="301">
        <f t="shared" ref="AI140:AZ140" si="152">AH140*(1+4%)</f>
        <v>1.04</v>
      </c>
      <c r="AJ140" s="301">
        <f t="shared" si="152"/>
        <v>1.0816000000000001</v>
      </c>
      <c r="AK140" s="301">
        <f t="shared" si="152"/>
        <v>1.1248640000000001</v>
      </c>
      <c r="AL140" s="301">
        <f t="shared" si="152"/>
        <v>1.1698585600000002</v>
      </c>
      <c r="AM140" s="301">
        <f t="shared" si="152"/>
        <v>1.2166529024000003</v>
      </c>
      <c r="AN140" s="301">
        <f t="shared" si="152"/>
        <v>1.2653190184960004</v>
      </c>
      <c r="AO140" s="301">
        <f t="shared" si="152"/>
        <v>1.3159317792358405</v>
      </c>
      <c r="AP140" s="301">
        <f t="shared" si="152"/>
        <v>1.3685690504052741</v>
      </c>
      <c r="AQ140" s="301">
        <f t="shared" si="152"/>
        <v>1.4233118124214852</v>
      </c>
      <c r="AR140" s="301">
        <f t="shared" si="152"/>
        <v>1.4802442849183446</v>
      </c>
      <c r="AS140" s="301">
        <f t="shared" si="152"/>
        <v>1.5394540563150785</v>
      </c>
      <c r="AT140" s="301">
        <f t="shared" si="152"/>
        <v>1.6010322185676817</v>
      </c>
      <c r="AU140" s="301">
        <f t="shared" si="152"/>
        <v>1.6650735073103891</v>
      </c>
      <c r="AV140" s="301">
        <f t="shared" si="152"/>
        <v>1.7316764476028046</v>
      </c>
      <c r="AW140" s="301">
        <f t="shared" si="152"/>
        <v>1.8009435055069167</v>
      </c>
      <c r="AX140" s="301">
        <f t="shared" si="152"/>
        <v>1.8729812457271935</v>
      </c>
      <c r="AY140" s="301">
        <f t="shared" si="152"/>
        <v>1.9479004955562813</v>
      </c>
      <c r="AZ140" s="301">
        <f t="shared" si="152"/>
        <v>2.0258165153785326</v>
      </c>
    </row>
    <row r="141" spans="28:52" ht="14.25" customHeight="1">
      <c r="AB141" s="258">
        <v>127</v>
      </c>
      <c r="AC141" s="267" t="s">
        <v>2531</v>
      </c>
      <c r="AD141" s="267" t="s">
        <v>2375</v>
      </c>
      <c r="AF141" s="268">
        <f t="shared" si="149"/>
        <v>0.88899635867091475</v>
      </c>
      <c r="AG141" s="268">
        <f t="shared" si="151"/>
        <v>0.92455621301775137</v>
      </c>
      <c r="AH141" s="268">
        <f t="shared" ref="AH141:AH158" si="153">AI141/(1+4%)</f>
        <v>0.96153846153846145</v>
      </c>
      <c r="AI141" s="260">
        <v>1</v>
      </c>
      <c r="AJ141" s="301">
        <f t="shared" ref="AJ141:AZ141" si="154">AI141*(1+4%)</f>
        <v>1.04</v>
      </c>
      <c r="AK141" s="301">
        <f t="shared" si="154"/>
        <v>1.0816000000000001</v>
      </c>
      <c r="AL141" s="301">
        <f t="shared" si="154"/>
        <v>1.1248640000000001</v>
      </c>
      <c r="AM141" s="301">
        <f t="shared" si="154"/>
        <v>1.1698585600000002</v>
      </c>
      <c r="AN141" s="301">
        <f t="shared" si="154"/>
        <v>1.2166529024000003</v>
      </c>
      <c r="AO141" s="301">
        <f t="shared" si="154"/>
        <v>1.2653190184960004</v>
      </c>
      <c r="AP141" s="301">
        <f t="shared" si="154"/>
        <v>1.3159317792358405</v>
      </c>
      <c r="AQ141" s="301">
        <f t="shared" si="154"/>
        <v>1.3685690504052741</v>
      </c>
      <c r="AR141" s="301">
        <f t="shared" si="154"/>
        <v>1.4233118124214852</v>
      </c>
      <c r="AS141" s="301">
        <f t="shared" si="154"/>
        <v>1.4802442849183446</v>
      </c>
      <c r="AT141" s="301">
        <f t="shared" si="154"/>
        <v>1.5394540563150785</v>
      </c>
      <c r="AU141" s="301">
        <f t="shared" si="154"/>
        <v>1.6010322185676817</v>
      </c>
      <c r="AV141" s="301">
        <f t="shared" si="154"/>
        <v>1.6650735073103891</v>
      </c>
      <c r="AW141" s="301">
        <f t="shared" si="154"/>
        <v>1.7316764476028046</v>
      </c>
      <c r="AX141" s="301">
        <f t="shared" si="154"/>
        <v>1.8009435055069167</v>
      </c>
      <c r="AY141" s="301">
        <f t="shared" si="154"/>
        <v>1.8729812457271935</v>
      </c>
      <c r="AZ141" s="301">
        <f t="shared" si="154"/>
        <v>1.9479004955562813</v>
      </c>
    </row>
    <row r="142" spans="28:52" ht="14.25" customHeight="1">
      <c r="AB142" s="258">
        <v>128</v>
      </c>
      <c r="AC142" s="267" t="s">
        <v>2531</v>
      </c>
      <c r="AD142" s="267" t="s">
        <v>2376</v>
      </c>
      <c r="AF142" s="268">
        <f t="shared" si="149"/>
        <v>0.85480419102972571</v>
      </c>
      <c r="AG142" s="268">
        <f t="shared" si="151"/>
        <v>0.88899635867091475</v>
      </c>
      <c r="AH142" s="268">
        <f t="shared" si="153"/>
        <v>0.92455621301775137</v>
      </c>
      <c r="AI142" s="268">
        <f t="shared" ref="AI142:AI158" si="155">AJ142/(1+4%)</f>
        <v>0.96153846153846145</v>
      </c>
      <c r="AJ142" s="260">
        <v>1</v>
      </c>
      <c r="AK142" s="301">
        <f t="shared" ref="AK142:AZ142" si="156">AJ142*(1+4%)</f>
        <v>1.04</v>
      </c>
      <c r="AL142" s="301">
        <f t="shared" si="156"/>
        <v>1.0816000000000001</v>
      </c>
      <c r="AM142" s="301">
        <f t="shared" si="156"/>
        <v>1.1248640000000001</v>
      </c>
      <c r="AN142" s="301">
        <f t="shared" si="156"/>
        <v>1.1698585600000002</v>
      </c>
      <c r="AO142" s="301">
        <f t="shared" si="156"/>
        <v>1.2166529024000003</v>
      </c>
      <c r="AP142" s="301">
        <f t="shared" si="156"/>
        <v>1.2653190184960004</v>
      </c>
      <c r="AQ142" s="301">
        <f t="shared" si="156"/>
        <v>1.3159317792358405</v>
      </c>
      <c r="AR142" s="301">
        <f t="shared" si="156"/>
        <v>1.3685690504052741</v>
      </c>
      <c r="AS142" s="301">
        <f t="shared" si="156"/>
        <v>1.4233118124214852</v>
      </c>
      <c r="AT142" s="301">
        <f t="shared" si="156"/>
        <v>1.4802442849183446</v>
      </c>
      <c r="AU142" s="301">
        <f t="shared" si="156"/>
        <v>1.5394540563150785</v>
      </c>
      <c r="AV142" s="301">
        <f t="shared" si="156"/>
        <v>1.6010322185676817</v>
      </c>
      <c r="AW142" s="301">
        <f t="shared" si="156"/>
        <v>1.6650735073103891</v>
      </c>
      <c r="AX142" s="301">
        <f t="shared" si="156"/>
        <v>1.7316764476028046</v>
      </c>
      <c r="AY142" s="301">
        <f t="shared" si="156"/>
        <v>1.8009435055069167</v>
      </c>
      <c r="AZ142" s="301">
        <f t="shared" si="156"/>
        <v>1.8729812457271935</v>
      </c>
    </row>
    <row r="143" spans="28:52" ht="14.25" customHeight="1">
      <c r="AB143" s="258">
        <v>129</v>
      </c>
      <c r="AC143" s="267" t="s">
        <v>2531</v>
      </c>
      <c r="AD143" s="267" t="s">
        <v>2377</v>
      </c>
      <c r="AF143" s="268">
        <f t="shared" si="149"/>
        <v>0.82192710675935166</v>
      </c>
      <c r="AG143" s="268">
        <f t="shared" si="151"/>
        <v>0.85480419102972571</v>
      </c>
      <c r="AH143" s="268">
        <f t="shared" si="153"/>
        <v>0.88899635867091475</v>
      </c>
      <c r="AI143" s="268">
        <f t="shared" si="155"/>
        <v>0.92455621301775137</v>
      </c>
      <c r="AJ143" s="268">
        <f t="shared" ref="AJ143:AJ158" si="157">AK143/(1+4%)</f>
        <v>0.96153846153846145</v>
      </c>
      <c r="AK143" s="260">
        <v>1</v>
      </c>
      <c r="AL143" s="301">
        <f t="shared" ref="AL143:AZ143" si="158">AK143*(1+4%)</f>
        <v>1.04</v>
      </c>
      <c r="AM143" s="301">
        <f t="shared" si="158"/>
        <v>1.0816000000000001</v>
      </c>
      <c r="AN143" s="301">
        <f t="shared" si="158"/>
        <v>1.1248640000000001</v>
      </c>
      <c r="AO143" s="301">
        <f t="shared" si="158"/>
        <v>1.1698585600000002</v>
      </c>
      <c r="AP143" s="301">
        <f t="shared" si="158"/>
        <v>1.2166529024000003</v>
      </c>
      <c r="AQ143" s="301">
        <f t="shared" si="158"/>
        <v>1.2653190184960004</v>
      </c>
      <c r="AR143" s="301">
        <f t="shared" si="158"/>
        <v>1.3159317792358405</v>
      </c>
      <c r="AS143" s="301">
        <f t="shared" si="158"/>
        <v>1.3685690504052741</v>
      </c>
      <c r="AT143" s="301">
        <f t="shared" si="158"/>
        <v>1.4233118124214852</v>
      </c>
      <c r="AU143" s="301">
        <f t="shared" si="158"/>
        <v>1.4802442849183446</v>
      </c>
      <c r="AV143" s="301">
        <f t="shared" si="158"/>
        <v>1.5394540563150785</v>
      </c>
      <c r="AW143" s="301">
        <f t="shared" si="158"/>
        <v>1.6010322185676817</v>
      </c>
      <c r="AX143" s="301">
        <f t="shared" si="158"/>
        <v>1.6650735073103891</v>
      </c>
      <c r="AY143" s="301">
        <f t="shared" si="158"/>
        <v>1.7316764476028046</v>
      </c>
      <c r="AZ143" s="301">
        <f t="shared" si="158"/>
        <v>1.8009435055069167</v>
      </c>
    </row>
    <row r="144" spans="28:52" ht="14.25" customHeight="1">
      <c r="AB144" s="258">
        <v>130</v>
      </c>
      <c r="AC144" s="267" t="s">
        <v>2531</v>
      </c>
      <c r="AD144" s="267" t="s">
        <v>2378</v>
      </c>
      <c r="AF144" s="268">
        <f t="shared" si="149"/>
        <v>0.79031452573014582</v>
      </c>
      <c r="AG144" s="268">
        <f t="shared" si="151"/>
        <v>0.82192710675935166</v>
      </c>
      <c r="AH144" s="268">
        <f t="shared" si="153"/>
        <v>0.85480419102972571</v>
      </c>
      <c r="AI144" s="268">
        <f t="shared" si="155"/>
        <v>0.88899635867091475</v>
      </c>
      <c r="AJ144" s="268">
        <f t="shared" si="157"/>
        <v>0.92455621301775137</v>
      </c>
      <c r="AK144" s="268">
        <f t="shared" ref="AK144:AK158" si="159">AL144/(1+4%)</f>
        <v>0.96153846153846145</v>
      </c>
      <c r="AL144" s="260">
        <v>1</v>
      </c>
      <c r="AM144" s="301">
        <f t="shared" ref="AM144:AZ144" si="160">AL144*(1+4%)</f>
        <v>1.04</v>
      </c>
      <c r="AN144" s="301">
        <f t="shared" si="160"/>
        <v>1.0816000000000001</v>
      </c>
      <c r="AO144" s="301">
        <f t="shared" si="160"/>
        <v>1.1248640000000001</v>
      </c>
      <c r="AP144" s="301">
        <f t="shared" si="160"/>
        <v>1.1698585600000002</v>
      </c>
      <c r="AQ144" s="301">
        <f t="shared" si="160"/>
        <v>1.2166529024000003</v>
      </c>
      <c r="AR144" s="301">
        <f t="shared" si="160"/>
        <v>1.2653190184960004</v>
      </c>
      <c r="AS144" s="301">
        <f t="shared" si="160"/>
        <v>1.3159317792358405</v>
      </c>
      <c r="AT144" s="301">
        <f t="shared" si="160"/>
        <v>1.3685690504052741</v>
      </c>
      <c r="AU144" s="301">
        <f t="shared" si="160"/>
        <v>1.4233118124214852</v>
      </c>
      <c r="AV144" s="301">
        <f t="shared" si="160"/>
        <v>1.4802442849183446</v>
      </c>
      <c r="AW144" s="301">
        <f t="shared" si="160"/>
        <v>1.5394540563150785</v>
      </c>
      <c r="AX144" s="301">
        <f t="shared" si="160"/>
        <v>1.6010322185676817</v>
      </c>
      <c r="AY144" s="301">
        <f t="shared" si="160"/>
        <v>1.6650735073103891</v>
      </c>
      <c r="AZ144" s="301">
        <f t="shared" si="160"/>
        <v>1.7316764476028046</v>
      </c>
    </row>
    <row r="145" spans="28:52" ht="14.25" customHeight="1">
      <c r="AB145" s="258">
        <v>131</v>
      </c>
      <c r="AC145" s="267" t="s">
        <v>2531</v>
      </c>
      <c r="AD145" s="267" t="s">
        <v>2379</v>
      </c>
      <c r="AF145" s="268">
        <f t="shared" si="149"/>
        <v>0.75991781320206331</v>
      </c>
      <c r="AG145" s="268">
        <f t="shared" si="151"/>
        <v>0.79031452573014582</v>
      </c>
      <c r="AH145" s="268">
        <f t="shared" si="153"/>
        <v>0.82192710675935166</v>
      </c>
      <c r="AI145" s="268">
        <f t="shared" si="155"/>
        <v>0.85480419102972571</v>
      </c>
      <c r="AJ145" s="268">
        <f t="shared" si="157"/>
        <v>0.88899635867091475</v>
      </c>
      <c r="AK145" s="268">
        <f t="shared" si="159"/>
        <v>0.92455621301775137</v>
      </c>
      <c r="AL145" s="268">
        <f t="shared" ref="AL145:AL158" si="161">AM145/(1+4%)</f>
        <v>0.96153846153846145</v>
      </c>
      <c r="AM145" s="260">
        <v>1</v>
      </c>
      <c r="AN145" s="301">
        <f t="shared" ref="AN145:AZ145" si="162">AM145*(1+4%)</f>
        <v>1.04</v>
      </c>
      <c r="AO145" s="301">
        <f t="shared" si="162"/>
        <v>1.0816000000000001</v>
      </c>
      <c r="AP145" s="301">
        <f t="shared" si="162"/>
        <v>1.1248640000000001</v>
      </c>
      <c r="AQ145" s="301">
        <f t="shared" si="162"/>
        <v>1.1698585600000002</v>
      </c>
      <c r="AR145" s="301">
        <f t="shared" si="162"/>
        <v>1.2166529024000003</v>
      </c>
      <c r="AS145" s="301">
        <f t="shared" si="162"/>
        <v>1.2653190184960004</v>
      </c>
      <c r="AT145" s="301">
        <f t="shared" si="162"/>
        <v>1.3159317792358405</v>
      </c>
      <c r="AU145" s="301">
        <f t="shared" si="162"/>
        <v>1.3685690504052741</v>
      </c>
      <c r="AV145" s="301">
        <f t="shared" si="162"/>
        <v>1.4233118124214852</v>
      </c>
      <c r="AW145" s="301">
        <f t="shared" si="162"/>
        <v>1.4802442849183446</v>
      </c>
      <c r="AX145" s="301">
        <f t="shared" si="162"/>
        <v>1.5394540563150785</v>
      </c>
      <c r="AY145" s="301">
        <f t="shared" si="162"/>
        <v>1.6010322185676817</v>
      </c>
      <c r="AZ145" s="301">
        <f t="shared" si="162"/>
        <v>1.6650735073103891</v>
      </c>
    </row>
    <row r="146" spans="28:52" ht="14.25" customHeight="1">
      <c r="AB146" s="258">
        <v>132</v>
      </c>
      <c r="AC146" s="267" t="s">
        <v>2531</v>
      </c>
      <c r="AD146" s="267" t="s">
        <v>2380</v>
      </c>
      <c r="AF146" s="268">
        <f t="shared" si="149"/>
        <v>0.73069020500198389</v>
      </c>
      <c r="AG146" s="268">
        <f t="shared" si="151"/>
        <v>0.75991781320206331</v>
      </c>
      <c r="AH146" s="268">
        <f t="shared" si="153"/>
        <v>0.79031452573014582</v>
      </c>
      <c r="AI146" s="268">
        <f t="shared" si="155"/>
        <v>0.82192710675935166</v>
      </c>
      <c r="AJ146" s="268">
        <f t="shared" si="157"/>
        <v>0.85480419102972571</v>
      </c>
      <c r="AK146" s="268">
        <f t="shared" si="159"/>
        <v>0.88899635867091475</v>
      </c>
      <c r="AL146" s="268">
        <f t="shared" si="161"/>
        <v>0.92455621301775137</v>
      </c>
      <c r="AM146" s="268">
        <f t="shared" ref="AM146:AM158" si="163">AN146/(1+4%)</f>
        <v>0.96153846153846145</v>
      </c>
      <c r="AN146" s="260">
        <v>1</v>
      </c>
      <c r="AO146" s="301">
        <f t="shared" ref="AO146:AZ146" si="164">AN146*(1+4%)</f>
        <v>1.04</v>
      </c>
      <c r="AP146" s="301">
        <f t="shared" si="164"/>
        <v>1.0816000000000001</v>
      </c>
      <c r="AQ146" s="301">
        <f t="shared" si="164"/>
        <v>1.1248640000000001</v>
      </c>
      <c r="AR146" s="301">
        <f t="shared" si="164"/>
        <v>1.1698585600000002</v>
      </c>
      <c r="AS146" s="301">
        <f t="shared" si="164"/>
        <v>1.2166529024000003</v>
      </c>
      <c r="AT146" s="301">
        <f t="shared" si="164"/>
        <v>1.2653190184960004</v>
      </c>
      <c r="AU146" s="301">
        <f t="shared" si="164"/>
        <v>1.3159317792358405</v>
      </c>
      <c r="AV146" s="301">
        <f t="shared" si="164"/>
        <v>1.3685690504052741</v>
      </c>
      <c r="AW146" s="301">
        <f t="shared" si="164"/>
        <v>1.4233118124214852</v>
      </c>
      <c r="AX146" s="301">
        <f t="shared" si="164"/>
        <v>1.4802442849183446</v>
      </c>
      <c r="AY146" s="301">
        <f t="shared" si="164"/>
        <v>1.5394540563150785</v>
      </c>
      <c r="AZ146" s="301">
        <f t="shared" si="164"/>
        <v>1.6010322185676817</v>
      </c>
    </row>
    <row r="147" spans="28:52" ht="14.25" customHeight="1">
      <c r="AB147" s="258">
        <v>133</v>
      </c>
      <c r="AC147" s="267" t="s">
        <v>2531</v>
      </c>
      <c r="AD147" s="267" t="s">
        <v>2381</v>
      </c>
      <c r="AF147" s="268">
        <f t="shared" si="149"/>
        <v>0.70258673557883067</v>
      </c>
      <c r="AG147" s="268">
        <f t="shared" si="151"/>
        <v>0.73069020500198389</v>
      </c>
      <c r="AH147" s="268">
        <f t="shared" si="153"/>
        <v>0.75991781320206331</v>
      </c>
      <c r="AI147" s="268">
        <f t="shared" si="155"/>
        <v>0.79031452573014582</v>
      </c>
      <c r="AJ147" s="268">
        <f t="shared" si="157"/>
        <v>0.82192710675935166</v>
      </c>
      <c r="AK147" s="268">
        <f t="shared" si="159"/>
        <v>0.85480419102972571</v>
      </c>
      <c r="AL147" s="268">
        <f t="shared" si="161"/>
        <v>0.88899635867091475</v>
      </c>
      <c r="AM147" s="268">
        <f t="shared" si="163"/>
        <v>0.92455621301775137</v>
      </c>
      <c r="AN147" s="268">
        <f t="shared" ref="AN147:AN158" si="165">AO147/(1+4%)</f>
        <v>0.96153846153846145</v>
      </c>
      <c r="AO147" s="260">
        <v>1</v>
      </c>
      <c r="AP147" s="301">
        <f t="shared" ref="AP147:AZ147" si="166">AO147*(1+4%)</f>
        <v>1.04</v>
      </c>
      <c r="AQ147" s="301">
        <f t="shared" si="166"/>
        <v>1.0816000000000001</v>
      </c>
      <c r="AR147" s="301">
        <f t="shared" si="166"/>
        <v>1.1248640000000001</v>
      </c>
      <c r="AS147" s="301">
        <f t="shared" si="166"/>
        <v>1.1698585600000002</v>
      </c>
      <c r="AT147" s="301">
        <f t="shared" si="166"/>
        <v>1.2166529024000003</v>
      </c>
      <c r="AU147" s="301">
        <f t="shared" si="166"/>
        <v>1.2653190184960004</v>
      </c>
      <c r="AV147" s="301">
        <f t="shared" si="166"/>
        <v>1.3159317792358405</v>
      </c>
      <c r="AW147" s="301">
        <f t="shared" si="166"/>
        <v>1.3685690504052741</v>
      </c>
      <c r="AX147" s="301">
        <f t="shared" si="166"/>
        <v>1.4233118124214852</v>
      </c>
      <c r="AY147" s="301">
        <f t="shared" si="166"/>
        <v>1.4802442849183446</v>
      </c>
      <c r="AZ147" s="301">
        <f t="shared" si="166"/>
        <v>1.5394540563150785</v>
      </c>
    </row>
    <row r="148" spans="28:52" ht="14.25" customHeight="1">
      <c r="AB148" s="258">
        <v>134</v>
      </c>
      <c r="AC148" s="267" t="s">
        <v>2531</v>
      </c>
      <c r="AD148" s="267" t="s">
        <v>2382</v>
      </c>
      <c r="AF148" s="268">
        <f t="shared" si="149"/>
        <v>0.67556416882579873</v>
      </c>
      <c r="AG148" s="268">
        <f t="shared" si="151"/>
        <v>0.70258673557883067</v>
      </c>
      <c r="AH148" s="268">
        <f t="shared" si="153"/>
        <v>0.73069020500198389</v>
      </c>
      <c r="AI148" s="268">
        <f t="shared" si="155"/>
        <v>0.75991781320206331</v>
      </c>
      <c r="AJ148" s="268">
        <f t="shared" si="157"/>
        <v>0.79031452573014582</v>
      </c>
      <c r="AK148" s="268">
        <f t="shared" si="159"/>
        <v>0.82192710675935166</v>
      </c>
      <c r="AL148" s="268">
        <f t="shared" si="161"/>
        <v>0.85480419102972571</v>
      </c>
      <c r="AM148" s="268">
        <f t="shared" si="163"/>
        <v>0.88899635867091475</v>
      </c>
      <c r="AN148" s="268">
        <f t="shared" si="165"/>
        <v>0.92455621301775137</v>
      </c>
      <c r="AO148" s="268">
        <f t="shared" ref="AO148:AO158" si="167">AP148/(1+4%)</f>
        <v>0.96153846153846145</v>
      </c>
      <c r="AP148" s="260">
        <v>1</v>
      </c>
      <c r="AQ148" s="301">
        <f t="shared" ref="AQ148:AZ148" si="168">AP148*(1+4%)</f>
        <v>1.04</v>
      </c>
      <c r="AR148" s="301">
        <f t="shared" si="168"/>
        <v>1.0816000000000001</v>
      </c>
      <c r="AS148" s="301">
        <f t="shared" si="168"/>
        <v>1.1248640000000001</v>
      </c>
      <c r="AT148" s="301">
        <f t="shared" si="168"/>
        <v>1.1698585600000002</v>
      </c>
      <c r="AU148" s="301">
        <f t="shared" si="168"/>
        <v>1.2166529024000003</v>
      </c>
      <c r="AV148" s="301">
        <f t="shared" si="168"/>
        <v>1.2653190184960004</v>
      </c>
      <c r="AW148" s="301">
        <f t="shared" si="168"/>
        <v>1.3159317792358405</v>
      </c>
      <c r="AX148" s="301">
        <f t="shared" si="168"/>
        <v>1.3685690504052741</v>
      </c>
      <c r="AY148" s="301">
        <f t="shared" si="168"/>
        <v>1.4233118124214852</v>
      </c>
      <c r="AZ148" s="301">
        <f t="shared" si="168"/>
        <v>1.4802442849183446</v>
      </c>
    </row>
    <row r="149" spans="28:52" ht="14.25" customHeight="1">
      <c r="AB149" s="258">
        <v>135</v>
      </c>
      <c r="AC149" s="267" t="s">
        <v>2531</v>
      </c>
      <c r="AD149" s="267" t="s">
        <v>2383</v>
      </c>
      <c r="AF149" s="268">
        <f t="shared" si="149"/>
        <v>0.64958093156326802</v>
      </c>
      <c r="AG149" s="268">
        <f t="shared" si="151"/>
        <v>0.67556416882579873</v>
      </c>
      <c r="AH149" s="268">
        <f t="shared" si="153"/>
        <v>0.70258673557883067</v>
      </c>
      <c r="AI149" s="268">
        <f t="shared" si="155"/>
        <v>0.73069020500198389</v>
      </c>
      <c r="AJ149" s="268">
        <f t="shared" si="157"/>
        <v>0.75991781320206331</v>
      </c>
      <c r="AK149" s="268">
        <f t="shared" si="159"/>
        <v>0.79031452573014582</v>
      </c>
      <c r="AL149" s="268">
        <f t="shared" si="161"/>
        <v>0.82192710675935166</v>
      </c>
      <c r="AM149" s="268">
        <f t="shared" si="163"/>
        <v>0.85480419102972571</v>
      </c>
      <c r="AN149" s="268">
        <f t="shared" si="165"/>
        <v>0.88899635867091475</v>
      </c>
      <c r="AO149" s="268">
        <f t="shared" si="167"/>
        <v>0.92455621301775137</v>
      </c>
      <c r="AP149" s="268">
        <f t="shared" ref="AP149:AP158" si="169">AQ149/(1+4%)</f>
        <v>0.96153846153846145</v>
      </c>
      <c r="AQ149" s="260">
        <v>1</v>
      </c>
      <c r="AR149" s="301">
        <f t="shared" ref="AR149:AZ149" si="170">AQ149*(1+4%)</f>
        <v>1.04</v>
      </c>
      <c r="AS149" s="301">
        <f t="shared" si="170"/>
        <v>1.0816000000000001</v>
      </c>
      <c r="AT149" s="301">
        <f t="shared" si="170"/>
        <v>1.1248640000000001</v>
      </c>
      <c r="AU149" s="301">
        <f t="shared" si="170"/>
        <v>1.1698585600000002</v>
      </c>
      <c r="AV149" s="301">
        <f t="shared" si="170"/>
        <v>1.2166529024000003</v>
      </c>
      <c r="AW149" s="301">
        <f t="shared" si="170"/>
        <v>1.2653190184960004</v>
      </c>
      <c r="AX149" s="301">
        <f t="shared" si="170"/>
        <v>1.3159317792358405</v>
      </c>
      <c r="AY149" s="301">
        <f t="shared" si="170"/>
        <v>1.3685690504052741</v>
      </c>
      <c r="AZ149" s="301">
        <f t="shared" si="170"/>
        <v>1.4233118124214852</v>
      </c>
    </row>
    <row r="150" spans="28:52" ht="14.25" customHeight="1">
      <c r="AB150" s="258">
        <v>136</v>
      </c>
      <c r="AC150" s="267" t="s">
        <v>2531</v>
      </c>
      <c r="AD150" s="267" t="s">
        <v>2384</v>
      </c>
      <c r="AF150" s="268">
        <f t="shared" si="149"/>
        <v>0.62459704958006534</v>
      </c>
      <c r="AG150" s="268">
        <f t="shared" si="151"/>
        <v>0.64958093156326802</v>
      </c>
      <c r="AH150" s="268">
        <f t="shared" si="153"/>
        <v>0.67556416882579873</v>
      </c>
      <c r="AI150" s="268">
        <f t="shared" si="155"/>
        <v>0.70258673557883067</v>
      </c>
      <c r="AJ150" s="268">
        <f t="shared" si="157"/>
        <v>0.73069020500198389</v>
      </c>
      <c r="AK150" s="268">
        <f t="shared" si="159"/>
        <v>0.75991781320206331</v>
      </c>
      <c r="AL150" s="268">
        <f t="shared" si="161"/>
        <v>0.79031452573014582</v>
      </c>
      <c r="AM150" s="268">
        <f t="shared" si="163"/>
        <v>0.82192710675935166</v>
      </c>
      <c r="AN150" s="268">
        <f t="shared" si="165"/>
        <v>0.85480419102972571</v>
      </c>
      <c r="AO150" s="268">
        <f t="shared" si="167"/>
        <v>0.88899635867091475</v>
      </c>
      <c r="AP150" s="268">
        <f t="shared" si="169"/>
        <v>0.92455621301775137</v>
      </c>
      <c r="AQ150" s="268">
        <f t="shared" ref="AQ150:AQ158" si="171">AR150/(1+4%)</f>
        <v>0.96153846153846145</v>
      </c>
      <c r="AR150" s="260">
        <v>1</v>
      </c>
      <c r="AS150" s="301">
        <f t="shared" ref="AS150:AZ150" si="172">AR150*(1+4%)</f>
        <v>1.04</v>
      </c>
      <c r="AT150" s="301">
        <f t="shared" si="172"/>
        <v>1.0816000000000001</v>
      </c>
      <c r="AU150" s="301">
        <f t="shared" si="172"/>
        <v>1.1248640000000001</v>
      </c>
      <c r="AV150" s="301">
        <f t="shared" si="172"/>
        <v>1.1698585600000002</v>
      </c>
      <c r="AW150" s="301">
        <f t="shared" si="172"/>
        <v>1.2166529024000003</v>
      </c>
      <c r="AX150" s="301">
        <f t="shared" si="172"/>
        <v>1.2653190184960004</v>
      </c>
      <c r="AY150" s="301">
        <f t="shared" si="172"/>
        <v>1.3159317792358405</v>
      </c>
      <c r="AZ150" s="301">
        <f t="shared" si="172"/>
        <v>1.3685690504052741</v>
      </c>
    </row>
    <row r="151" spans="28:52" ht="14.25" customHeight="1">
      <c r="AB151" s="258">
        <v>137</v>
      </c>
      <c r="AC151" s="267" t="s">
        <v>2531</v>
      </c>
      <c r="AD151" s="267" t="s">
        <v>2385</v>
      </c>
      <c r="AF151" s="268">
        <f t="shared" si="149"/>
        <v>0.60057408613467822</v>
      </c>
      <c r="AG151" s="268">
        <f t="shared" si="151"/>
        <v>0.62459704958006534</v>
      </c>
      <c r="AH151" s="268">
        <f t="shared" si="153"/>
        <v>0.64958093156326802</v>
      </c>
      <c r="AI151" s="268">
        <f t="shared" si="155"/>
        <v>0.67556416882579873</v>
      </c>
      <c r="AJ151" s="268">
        <f t="shared" si="157"/>
        <v>0.70258673557883067</v>
      </c>
      <c r="AK151" s="268">
        <f t="shared" si="159"/>
        <v>0.73069020500198389</v>
      </c>
      <c r="AL151" s="268">
        <f t="shared" si="161"/>
        <v>0.75991781320206331</v>
      </c>
      <c r="AM151" s="268">
        <f t="shared" si="163"/>
        <v>0.79031452573014582</v>
      </c>
      <c r="AN151" s="268">
        <f t="shared" si="165"/>
        <v>0.82192710675935166</v>
      </c>
      <c r="AO151" s="268">
        <f t="shared" si="167"/>
        <v>0.85480419102972571</v>
      </c>
      <c r="AP151" s="268">
        <f t="shared" si="169"/>
        <v>0.88899635867091475</v>
      </c>
      <c r="AQ151" s="268">
        <f t="shared" si="171"/>
        <v>0.92455621301775137</v>
      </c>
      <c r="AR151" s="268">
        <f t="shared" ref="AR151:AR158" si="173">AS151/(1+4%)</f>
        <v>0.96153846153846145</v>
      </c>
      <c r="AS151" s="260">
        <v>1</v>
      </c>
      <c r="AT151" s="301">
        <f t="shared" ref="AT151:AZ151" si="174">AS151*(1+4%)</f>
        <v>1.04</v>
      </c>
      <c r="AU151" s="301">
        <f t="shared" si="174"/>
        <v>1.0816000000000001</v>
      </c>
      <c r="AV151" s="301">
        <f t="shared" si="174"/>
        <v>1.1248640000000001</v>
      </c>
      <c r="AW151" s="301">
        <f t="shared" si="174"/>
        <v>1.1698585600000002</v>
      </c>
      <c r="AX151" s="301">
        <f t="shared" si="174"/>
        <v>1.2166529024000003</v>
      </c>
      <c r="AY151" s="301">
        <f t="shared" si="174"/>
        <v>1.2653190184960004</v>
      </c>
      <c r="AZ151" s="301">
        <f t="shared" si="174"/>
        <v>1.3159317792358405</v>
      </c>
    </row>
    <row r="152" spans="28:52" ht="14.25" customHeight="1">
      <c r="AB152" s="258">
        <v>138</v>
      </c>
      <c r="AC152" s="267" t="s">
        <v>2531</v>
      </c>
      <c r="AD152" s="267" t="s">
        <v>2386</v>
      </c>
      <c r="AF152" s="268">
        <f t="shared" si="149"/>
        <v>0.57747508282180593</v>
      </c>
      <c r="AG152" s="268">
        <f t="shared" si="151"/>
        <v>0.60057408613467822</v>
      </c>
      <c r="AH152" s="268">
        <f t="shared" si="153"/>
        <v>0.62459704958006534</v>
      </c>
      <c r="AI152" s="268">
        <f t="shared" si="155"/>
        <v>0.64958093156326802</v>
      </c>
      <c r="AJ152" s="268">
        <f t="shared" si="157"/>
        <v>0.67556416882579873</v>
      </c>
      <c r="AK152" s="268">
        <f t="shared" si="159"/>
        <v>0.70258673557883067</v>
      </c>
      <c r="AL152" s="268">
        <f t="shared" si="161"/>
        <v>0.73069020500198389</v>
      </c>
      <c r="AM152" s="268">
        <f t="shared" si="163"/>
        <v>0.75991781320206331</v>
      </c>
      <c r="AN152" s="268">
        <f t="shared" si="165"/>
        <v>0.79031452573014582</v>
      </c>
      <c r="AO152" s="268">
        <f t="shared" si="167"/>
        <v>0.82192710675935166</v>
      </c>
      <c r="AP152" s="268">
        <f t="shared" si="169"/>
        <v>0.85480419102972571</v>
      </c>
      <c r="AQ152" s="268">
        <f t="shared" si="171"/>
        <v>0.88899635867091475</v>
      </c>
      <c r="AR152" s="268">
        <f t="shared" si="173"/>
        <v>0.92455621301775137</v>
      </c>
      <c r="AS152" s="268">
        <f t="shared" ref="AS152:AS158" si="175">AT152/(1+4%)</f>
        <v>0.96153846153846145</v>
      </c>
      <c r="AT152" s="260">
        <v>1</v>
      </c>
      <c r="AU152" s="301">
        <f t="shared" ref="AU152:AZ152" si="176">AT152*(1+4%)</f>
        <v>1.04</v>
      </c>
      <c r="AV152" s="301">
        <f t="shared" si="176"/>
        <v>1.0816000000000001</v>
      </c>
      <c r="AW152" s="301">
        <f t="shared" si="176"/>
        <v>1.1248640000000001</v>
      </c>
      <c r="AX152" s="301">
        <f t="shared" si="176"/>
        <v>1.1698585600000002</v>
      </c>
      <c r="AY152" s="301">
        <f t="shared" si="176"/>
        <v>1.2166529024000003</v>
      </c>
      <c r="AZ152" s="301">
        <f t="shared" si="176"/>
        <v>1.2653190184960004</v>
      </c>
    </row>
    <row r="153" spans="28:52" ht="14.25" customHeight="1">
      <c r="AB153" s="258">
        <v>139</v>
      </c>
      <c r="AC153" s="267" t="s">
        <v>2531</v>
      </c>
      <c r="AD153" s="267" t="s">
        <v>2387</v>
      </c>
      <c r="AF153" s="268">
        <f t="shared" si="149"/>
        <v>0.55526450271327488</v>
      </c>
      <c r="AG153" s="268">
        <f t="shared" si="151"/>
        <v>0.57747508282180593</v>
      </c>
      <c r="AH153" s="268">
        <f t="shared" si="153"/>
        <v>0.60057408613467822</v>
      </c>
      <c r="AI153" s="268">
        <f t="shared" si="155"/>
        <v>0.62459704958006534</v>
      </c>
      <c r="AJ153" s="268">
        <f t="shared" si="157"/>
        <v>0.64958093156326802</v>
      </c>
      <c r="AK153" s="268">
        <f t="shared" si="159"/>
        <v>0.67556416882579873</v>
      </c>
      <c r="AL153" s="268">
        <f t="shared" si="161"/>
        <v>0.70258673557883067</v>
      </c>
      <c r="AM153" s="268">
        <f t="shared" si="163"/>
        <v>0.73069020500198389</v>
      </c>
      <c r="AN153" s="268">
        <f t="shared" si="165"/>
        <v>0.75991781320206331</v>
      </c>
      <c r="AO153" s="268">
        <f t="shared" si="167"/>
        <v>0.79031452573014582</v>
      </c>
      <c r="AP153" s="268">
        <f t="shared" si="169"/>
        <v>0.82192710675935166</v>
      </c>
      <c r="AQ153" s="268">
        <f t="shared" si="171"/>
        <v>0.85480419102972571</v>
      </c>
      <c r="AR153" s="268">
        <f t="shared" si="173"/>
        <v>0.88899635867091475</v>
      </c>
      <c r="AS153" s="268">
        <f t="shared" si="175"/>
        <v>0.92455621301775137</v>
      </c>
      <c r="AT153" s="268">
        <f t="shared" ref="AT153:AT158" si="177">AU153/(1+4%)</f>
        <v>0.96153846153846145</v>
      </c>
      <c r="AU153" s="260">
        <v>1</v>
      </c>
      <c r="AV153" s="301">
        <f>AU153*(1+4%)</f>
        <v>1.04</v>
      </c>
      <c r="AW153" s="301">
        <f>AV153*(1+4%)</f>
        <v>1.0816000000000001</v>
      </c>
      <c r="AX153" s="301">
        <f>AW153*(1+4%)</f>
        <v>1.1248640000000001</v>
      </c>
      <c r="AY153" s="301">
        <f>AX153*(1+4%)</f>
        <v>1.1698585600000002</v>
      </c>
      <c r="AZ153" s="301">
        <f>AY153*(1+4%)</f>
        <v>1.2166529024000003</v>
      </c>
    </row>
    <row r="154" spans="28:52" ht="14.25" customHeight="1">
      <c r="AB154" s="258">
        <v>140</v>
      </c>
      <c r="AC154" s="267" t="s">
        <v>2531</v>
      </c>
      <c r="AD154" s="267" t="s">
        <v>2388</v>
      </c>
      <c r="AF154" s="268">
        <f t="shared" si="149"/>
        <v>0.53390817568584126</v>
      </c>
      <c r="AG154" s="268">
        <f t="shared" si="151"/>
        <v>0.55526450271327488</v>
      </c>
      <c r="AH154" s="268">
        <f t="shared" si="153"/>
        <v>0.57747508282180593</v>
      </c>
      <c r="AI154" s="268">
        <f t="shared" si="155"/>
        <v>0.60057408613467822</v>
      </c>
      <c r="AJ154" s="268">
        <f t="shared" si="157"/>
        <v>0.62459704958006534</v>
      </c>
      <c r="AK154" s="268">
        <f t="shared" si="159"/>
        <v>0.64958093156326802</v>
      </c>
      <c r="AL154" s="268">
        <f t="shared" si="161"/>
        <v>0.67556416882579873</v>
      </c>
      <c r="AM154" s="268">
        <f t="shared" si="163"/>
        <v>0.70258673557883067</v>
      </c>
      <c r="AN154" s="268">
        <f t="shared" si="165"/>
        <v>0.73069020500198389</v>
      </c>
      <c r="AO154" s="268">
        <f t="shared" si="167"/>
        <v>0.75991781320206331</v>
      </c>
      <c r="AP154" s="268">
        <f t="shared" si="169"/>
        <v>0.79031452573014582</v>
      </c>
      <c r="AQ154" s="268">
        <f t="shared" si="171"/>
        <v>0.82192710675935166</v>
      </c>
      <c r="AR154" s="268">
        <f t="shared" si="173"/>
        <v>0.85480419102972571</v>
      </c>
      <c r="AS154" s="268">
        <f t="shared" si="175"/>
        <v>0.88899635867091475</v>
      </c>
      <c r="AT154" s="268">
        <f t="shared" si="177"/>
        <v>0.92455621301775137</v>
      </c>
      <c r="AU154" s="268">
        <f>AV154/(1+4%)</f>
        <v>0.96153846153846145</v>
      </c>
      <c r="AV154" s="260">
        <v>1</v>
      </c>
      <c r="AW154" s="301">
        <f>AV154*(1+4%)</f>
        <v>1.04</v>
      </c>
      <c r="AX154" s="301">
        <f>AW154*(1+4%)</f>
        <v>1.0816000000000001</v>
      </c>
      <c r="AY154" s="301">
        <f>AX154*(1+4%)</f>
        <v>1.1248640000000001</v>
      </c>
      <c r="AZ154" s="301">
        <f>AY154*(1+4%)</f>
        <v>1.1698585600000002</v>
      </c>
    </row>
    <row r="155" spans="28:52" ht="14.25" customHeight="1">
      <c r="AB155" s="258">
        <v>141</v>
      </c>
      <c r="AC155" s="267" t="s">
        <v>2531</v>
      </c>
      <c r="AD155" s="267" t="s">
        <v>2389</v>
      </c>
      <c r="AF155" s="268">
        <f t="shared" si="149"/>
        <v>0.51337324585177047</v>
      </c>
      <c r="AG155" s="268">
        <f t="shared" si="151"/>
        <v>0.53390817568584126</v>
      </c>
      <c r="AH155" s="268">
        <f t="shared" si="153"/>
        <v>0.55526450271327488</v>
      </c>
      <c r="AI155" s="268">
        <f t="shared" si="155"/>
        <v>0.57747508282180593</v>
      </c>
      <c r="AJ155" s="268">
        <f t="shared" si="157"/>
        <v>0.60057408613467822</v>
      </c>
      <c r="AK155" s="268">
        <f t="shared" si="159"/>
        <v>0.62459704958006534</v>
      </c>
      <c r="AL155" s="268">
        <f t="shared" si="161"/>
        <v>0.64958093156326802</v>
      </c>
      <c r="AM155" s="268">
        <f t="shared" si="163"/>
        <v>0.67556416882579873</v>
      </c>
      <c r="AN155" s="268">
        <f t="shared" si="165"/>
        <v>0.70258673557883067</v>
      </c>
      <c r="AO155" s="268">
        <f t="shared" si="167"/>
        <v>0.73069020500198389</v>
      </c>
      <c r="AP155" s="268">
        <f t="shared" si="169"/>
        <v>0.75991781320206331</v>
      </c>
      <c r="AQ155" s="268">
        <f t="shared" si="171"/>
        <v>0.79031452573014582</v>
      </c>
      <c r="AR155" s="268">
        <f t="shared" si="173"/>
        <v>0.82192710675935166</v>
      </c>
      <c r="AS155" s="268">
        <f t="shared" si="175"/>
        <v>0.85480419102972571</v>
      </c>
      <c r="AT155" s="268">
        <f t="shared" si="177"/>
        <v>0.88899635867091475</v>
      </c>
      <c r="AU155" s="268">
        <f>AV155/(1+4%)</f>
        <v>0.92455621301775137</v>
      </c>
      <c r="AV155" s="268">
        <f>AW155/(1+4%)</f>
        <v>0.96153846153846145</v>
      </c>
      <c r="AW155" s="260">
        <v>1</v>
      </c>
      <c r="AX155" s="301">
        <f>AW155*(1+4%)</f>
        <v>1.04</v>
      </c>
      <c r="AY155" s="301">
        <f>AX155*(1+4%)</f>
        <v>1.0816000000000001</v>
      </c>
      <c r="AZ155" s="301">
        <f>AY155*(1+4%)</f>
        <v>1.1248640000000001</v>
      </c>
    </row>
    <row r="156" spans="28:52" ht="14.25" customHeight="1">
      <c r="AB156" s="258">
        <v>142</v>
      </c>
      <c r="AC156" s="267" t="s">
        <v>2531</v>
      </c>
      <c r="AD156" s="267" t="s">
        <v>2390</v>
      </c>
      <c r="AF156" s="268">
        <f t="shared" si="149"/>
        <v>0.49362812101131776</v>
      </c>
      <c r="AG156" s="268">
        <f t="shared" si="151"/>
        <v>0.51337324585177047</v>
      </c>
      <c r="AH156" s="268">
        <f t="shared" si="153"/>
        <v>0.53390817568584126</v>
      </c>
      <c r="AI156" s="268">
        <f t="shared" si="155"/>
        <v>0.55526450271327488</v>
      </c>
      <c r="AJ156" s="268">
        <f t="shared" si="157"/>
        <v>0.57747508282180593</v>
      </c>
      <c r="AK156" s="268">
        <f t="shared" si="159"/>
        <v>0.60057408613467822</v>
      </c>
      <c r="AL156" s="268">
        <f t="shared" si="161"/>
        <v>0.62459704958006534</v>
      </c>
      <c r="AM156" s="268">
        <f t="shared" si="163"/>
        <v>0.64958093156326802</v>
      </c>
      <c r="AN156" s="268">
        <f t="shared" si="165"/>
        <v>0.67556416882579873</v>
      </c>
      <c r="AO156" s="268">
        <f t="shared" si="167"/>
        <v>0.70258673557883067</v>
      </c>
      <c r="AP156" s="268">
        <f t="shared" si="169"/>
        <v>0.73069020500198389</v>
      </c>
      <c r="AQ156" s="268">
        <f t="shared" si="171"/>
        <v>0.75991781320206331</v>
      </c>
      <c r="AR156" s="268">
        <f t="shared" si="173"/>
        <v>0.79031452573014582</v>
      </c>
      <c r="AS156" s="268">
        <f t="shared" si="175"/>
        <v>0.82192710675935166</v>
      </c>
      <c r="AT156" s="268">
        <f t="shared" si="177"/>
        <v>0.85480419102972571</v>
      </c>
      <c r="AU156" s="268">
        <f>AV156/(1+4%)</f>
        <v>0.88899635867091475</v>
      </c>
      <c r="AV156" s="268">
        <f>AW156/(1+4%)</f>
        <v>0.92455621301775137</v>
      </c>
      <c r="AW156" s="268">
        <f>AX156/(1+4%)</f>
        <v>0.96153846153846145</v>
      </c>
      <c r="AX156" s="260">
        <v>1</v>
      </c>
      <c r="AY156" s="301">
        <f>AX156*(1+4%)</f>
        <v>1.04</v>
      </c>
      <c r="AZ156" s="301">
        <f>AY156*(1+4%)</f>
        <v>1.0816000000000001</v>
      </c>
    </row>
    <row r="157" spans="28:52" ht="14.25" customHeight="1">
      <c r="AB157" s="258">
        <v>143</v>
      </c>
      <c r="AC157" s="267" t="s">
        <v>2531</v>
      </c>
      <c r="AD157" s="267" t="s">
        <v>2391</v>
      </c>
      <c r="AE157" s="303"/>
      <c r="AF157" s="286">
        <f t="shared" si="149"/>
        <v>0.47464242404934398</v>
      </c>
      <c r="AG157" s="286">
        <f t="shared" si="151"/>
        <v>0.49362812101131776</v>
      </c>
      <c r="AH157" s="286">
        <f t="shared" si="153"/>
        <v>0.51337324585177047</v>
      </c>
      <c r="AI157" s="286">
        <f t="shared" si="155"/>
        <v>0.53390817568584126</v>
      </c>
      <c r="AJ157" s="286">
        <f t="shared" si="157"/>
        <v>0.55526450271327488</v>
      </c>
      <c r="AK157" s="286">
        <f t="shared" si="159"/>
        <v>0.57747508282180593</v>
      </c>
      <c r="AL157" s="286">
        <f t="shared" si="161"/>
        <v>0.60057408613467822</v>
      </c>
      <c r="AM157" s="286">
        <f t="shared" si="163"/>
        <v>0.62459704958006534</v>
      </c>
      <c r="AN157" s="286">
        <f t="shared" si="165"/>
        <v>0.64958093156326802</v>
      </c>
      <c r="AO157" s="286">
        <f t="shared" si="167"/>
        <v>0.67556416882579873</v>
      </c>
      <c r="AP157" s="286">
        <f t="shared" si="169"/>
        <v>0.70258673557883067</v>
      </c>
      <c r="AQ157" s="286">
        <f t="shared" si="171"/>
        <v>0.73069020500198389</v>
      </c>
      <c r="AR157" s="286">
        <f t="shared" si="173"/>
        <v>0.75991781320206331</v>
      </c>
      <c r="AS157" s="286">
        <f t="shared" si="175"/>
        <v>0.79031452573014582</v>
      </c>
      <c r="AT157" s="286">
        <f t="shared" si="177"/>
        <v>0.82192710675935166</v>
      </c>
      <c r="AU157" s="286">
        <f>AV157/(1+4%)</f>
        <v>0.85480419102972571</v>
      </c>
      <c r="AV157" s="286">
        <f>AW157/(1+4%)</f>
        <v>0.88899635867091475</v>
      </c>
      <c r="AW157" s="286">
        <f>AX157/(1+4%)</f>
        <v>0.92455621301775137</v>
      </c>
      <c r="AX157" s="286">
        <f>AY157/(1+4%)</f>
        <v>0.96153846153846145</v>
      </c>
      <c r="AY157" s="287">
        <v>1</v>
      </c>
      <c r="AZ157" s="312">
        <f>AY157*(1+4%)</f>
        <v>1.04</v>
      </c>
    </row>
    <row r="158" spans="28:52" ht="15" customHeight="1">
      <c r="AB158" s="289">
        <v>144</v>
      </c>
      <c r="AC158" s="291" t="s">
        <v>2531</v>
      </c>
      <c r="AD158" s="291" t="s">
        <v>2392</v>
      </c>
      <c r="AE158" s="290"/>
      <c r="AF158" s="292">
        <f t="shared" si="149"/>
        <v>0.45638694620129228</v>
      </c>
      <c r="AG158" s="292">
        <f t="shared" si="151"/>
        <v>0.47464242404934398</v>
      </c>
      <c r="AH158" s="292">
        <f t="shared" si="153"/>
        <v>0.49362812101131776</v>
      </c>
      <c r="AI158" s="292">
        <f t="shared" si="155"/>
        <v>0.51337324585177047</v>
      </c>
      <c r="AJ158" s="292">
        <f t="shared" si="157"/>
        <v>0.53390817568584126</v>
      </c>
      <c r="AK158" s="292">
        <f t="shared" si="159"/>
        <v>0.55526450271327488</v>
      </c>
      <c r="AL158" s="292">
        <f t="shared" si="161"/>
        <v>0.57747508282180593</v>
      </c>
      <c r="AM158" s="292">
        <f t="shared" si="163"/>
        <v>0.60057408613467822</v>
      </c>
      <c r="AN158" s="292">
        <f t="shared" si="165"/>
        <v>0.62459704958006534</v>
      </c>
      <c r="AO158" s="292">
        <f t="shared" si="167"/>
        <v>0.64958093156326802</v>
      </c>
      <c r="AP158" s="292">
        <f t="shared" si="169"/>
        <v>0.67556416882579873</v>
      </c>
      <c r="AQ158" s="292">
        <f t="shared" si="171"/>
        <v>0.70258673557883067</v>
      </c>
      <c r="AR158" s="292">
        <f t="shared" si="173"/>
        <v>0.73069020500198389</v>
      </c>
      <c r="AS158" s="292">
        <f t="shared" si="175"/>
        <v>0.75991781320206331</v>
      </c>
      <c r="AT158" s="292">
        <f t="shared" si="177"/>
        <v>0.79031452573014582</v>
      </c>
      <c r="AU158" s="292">
        <f>AV158/(1+4%)</f>
        <v>0.82192710675935166</v>
      </c>
      <c r="AV158" s="292">
        <f>AW158/(1+4%)</f>
        <v>0.85480419102972571</v>
      </c>
      <c r="AW158" s="292">
        <f>AX158/(1+4%)</f>
        <v>0.88899635867091475</v>
      </c>
      <c r="AX158" s="292">
        <f>AY158/(1+4%)</f>
        <v>0.92455621301775137</v>
      </c>
      <c r="AY158" s="292">
        <f>AZ158/(1+4%)</f>
        <v>0.96153846153846145</v>
      </c>
      <c r="AZ158" s="293">
        <v>1</v>
      </c>
    </row>
    <row r="159" spans="28:52" ht="14.25" customHeight="1">
      <c r="AB159" s="258">
        <v>145</v>
      </c>
      <c r="AC159" s="370" t="s">
        <v>2425</v>
      </c>
      <c r="AD159" s="259" t="s">
        <v>2372</v>
      </c>
      <c r="AF159" s="295">
        <v>1</v>
      </c>
      <c r="AG159" s="313">
        <f t="shared" ref="AG159:AZ159" si="178">AF159*(1+C$18)</f>
        <v>1.034</v>
      </c>
      <c r="AH159" s="301">
        <f t="shared" si="178"/>
        <v>1.1053459999999999</v>
      </c>
      <c r="AI159" s="301">
        <f t="shared" si="178"/>
        <v>1.151770532</v>
      </c>
      <c r="AJ159" s="301">
        <f t="shared" si="178"/>
        <v>1.1794130247680001</v>
      </c>
      <c r="AK159" s="301">
        <f t="shared" si="178"/>
        <v>1.2042856660473324</v>
      </c>
      <c r="AL159" s="301">
        <f t="shared" si="178"/>
        <v>1.2296828464586045</v>
      </c>
      <c r="AM159" s="301">
        <f t="shared" si="178"/>
        <v>1.2556156280075699</v>
      </c>
      <c r="AN159" s="301">
        <f t="shared" si="178"/>
        <v>1.2820953059866214</v>
      </c>
      <c r="AO159" s="301">
        <f t="shared" si="178"/>
        <v>1.3091334138945732</v>
      </c>
      <c r="AP159" s="301">
        <f t="shared" si="178"/>
        <v>1.336328042301405</v>
      </c>
      <c r="AQ159" s="301">
        <f t="shared" si="178"/>
        <v>1.3640875847241321</v>
      </c>
      <c r="AR159" s="301">
        <f t="shared" si="178"/>
        <v>1.3924237761216063</v>
      </c>
      <c r="AS159" s="301">
        <f t="shared" si="178"/>
        <v>1.4213485952229803</v>
      </c>
      <c r="AT159" s="301">
        <f t="shared" si="178"/>
        <v>1.4508742695915471</v>
      </c>
      <c r="AU159" s="301">
        <f t="shared" si="178"/>
        <v>1.4810132807937721</v>
      </c>
      <c r="AV159" s="301">
        <f t="shared" si="178"/>
        <v>1.511778369675701</v>
      </c>
      <c r="AW159" s="301">
        <f t="shared" si="178"/>
        <v>1.5431825417489742</v>
      </c>
      <c r="AX159" s="301">
        <f t="shared" si="178"/>
        <v>1.5752390726887255</v>
      </c>
      <c r="AY159" s="301">
        <f t="shared" si="178"/>
        <v>1.6079615139456884</v>
      </c>
      <c r="AZ159" s="301">
        <f t="shared" si="178"/>
        <v>1.6413636984748821</v>
      </c>
    </row>
    <row r="160" spans="28:52" ht="14.25" customHeight="1">
      <c r="AB160" s="258">
        <v>146</v>
      </c>
      <c r="AC160" s="370"/>
      <c r="AD160" s="243" t="s">
        <v>2373</v>
      </c>
      <c r="AF160" s="268">
        <f t="shared" ref="AF160:AF179" si="179">AG160/(1+B$18)</f>
        <v>0.99304865938430997</v>
      </c>
      <c r="AG160" s="295">
        <v>1</v>
      </c>
      <c r="AH160" s="301">
        <f t="shared" ref="AH160:AZ160" si="180">AG160*(1+D$18)</f>
        <v>1.069</v>
      </c>
      <c r="AI160" s="301">
        <f t="shared" si="180"/>
        <v>1.1138980000000001</v>
      </c>
      <c r="AJ160" s="301">
        <f t="shared" si="180"/>
        <v>1.1406315520000001</v>
      </c>
      <c r="AK160" s="301">
        <f t="shared" si="180"/>
        <v>1.1646863308001281</v>
      </c>
      <c r="AL160" s="301">
        <f t="shared" si="180"/>
        <v>1.1892484008303719</v>
      </c>
      <c r="AM160" s="301">
        <f t="shared" si="180"/>
        <v>1.2143284603554836</v>
      </c>
      <c r="AN160" s="301">
        <f t="shared" si="180"/>
        <v>1.2399374332559203</v>
      </c>
      <c r="AO160" s="301">
        <f t="shared" si="180"/>
        <v>1.2660864737858544</v>
      </c>
      <c r="AP160" s="301">
        <f t="shared" si="180"/>
        <v>1.2923868881058078</v>
      </c>
      <c r="AQ160" s="301">
        <f t="shared" si="180"/>
        <v>1.3192336409324297</v>
      </c>
      <c r="AR160" s="301">
        <f t="shared" si="180"/>
        <v>1.346638081355519</v>
      </c>
      <c r="AS160" s="301">
        <f t="shared" si="180"/>
        <v>1.3746117942195171</v>
      </c>
      <c r="AT160" s="301">
        <f t="shared" si="180"/>
        <v>1.4031666050208389</v>
      </c>
      <c r="AU160" s="301">
        <f t="shared" si="180"/>
        <v>1.4323145849069367</v>
      </c>
      <c r="AV160" s="301">
        <f t="shared" si="180"/>
        <v>1.4620680557792085</v>
      </c>
      <c r="AW160" s="301">
        <f t="shared" si="180"/>
        <v>1.4924395955019099</v>
      </c>
      <c r="AX160" s="301">
        <f t="shared" si="180"/>
        <v>1.523442043219271</v>
      </c>
      <c r="AY160" s="301">
        <f t="shared" si="180"/>
        <v>1.5550885047830649</v>
      </c>
      <c r="AZ160" s="301">
        <f t="shared" si="180"/>
        <v>1.5873923582929235</v>
      </c>
    </row>
    <row r="161" spans="28:52" ht="14.25" customHeight="1">
      <c r="AB161" s="258">
        <v>147</v>
      </c>
      <c r="AC161" s="370"/>
      <c r="AD161" s="267" t="s">
        <v>2374</v>
      </c>
      <c r="AF161" s="268">
        <f t="shared" si="179"/>
        <v>0.96039522184169235</v>
      </c>
      <c r="AG161" s="268">
        <f t="shared" ref="AG161:AG179" si="181">AH161/(1+C$18)</f>
        <v>0.96711798839458407</v>
      </c>
      <c r="AH161" s="260">
        <v>1</v>
      </c>
      <c r="AI161" s="301">
        <f t="shared" ref="AI161:AZ161" si="182">AH161*(1+E$18)</f>
        <v>1.042</v>
      </c>
      <c r="AJ161" s="301">
        <f t="shared" si="182"/>
        <v>1.067008</v>
      </c>
      <c r="AK161" s="301">
        <f t="shared" si="182"/>
        <v>1.089510131712</v>
      </c>
      <c r="AL161" s="301">
        <f t="shared" si="182"/>
        <v>1.1124868108796742</v>
      </c>
      <c r="AM161" s="301">
        <f t="shared" si="182"/>
        <v>1.1359480452343156</v>
      </c>
      <c r="AN161" s="301">
        <f t="shared" si="182"/>
        <v>1.159904053560262</v>
      </c>
      <c r="AO161" s="301">
        <f t="shared" si="182"/>
        <v>1.1843652701457943</v>
      </c>
      <c r="AP161" s="301">
        <f t="shared" si="182"/>
        <v>1.2089680899025328</v>
      </c>
      <c r="AQ161" s="301">
        <f t="shared" si="182"/>
        <v>1.234081984034078</v>
      </c>
      <c r="AR161" s="301">
        <f t="shared" si="182"/>
        <v>1.2597175690884177</v>
      </c>
      <c r="AS161" s="301">
        <f t="shared" si="182"/>
        <v>1.2858856821510913</v>
      </c>
      <c r="AT161" s="301">
        <f t="shared" si="182"/>
        <v>1.3125973854264159</v>
      </c>
      <c r="AU161" s="301">
        <f t="shared" si="182"/>
        <v>1.3398639709138787</v>
      </c>
      <c r="AV161" s="301">
        <f t="shared" si="182"/>
        <v>1.3676969651816726</v>
      </c>
      <c r="AW161" s="301">
        <f t="shared" si="182"/>
        <v>1.3961081342393915</v>
      </c>
      <c r="AX161" s="301">
        <f t="shared" si="182"/>
        <v>1.4251094885119462</v>
      </c>
      <c r="AY161" s="301">
        <f t="shared" si="182"/>
        <v>1.4547132879168048</v>
      </c>
      <c r="AZ161" s="301">
        <f t="shared" si="182"/>
        <v>1.4849320470467005</v>
      </c>
    </row>
    <row r="162" spans="28:52" ht="14.25" customHeight="1">
      <c r="AB162" s="258">
        <v>148</v>
      </c>
      <c r="AC162" s="370"/>
      <c r="AD162" s="267" t="s">
        <v>2375</v>
      </c>
      <c r="AF162" s="268">
        <f t="shared" si="179"/>
        <v>0.89840525897258405</v>
      </c>
      <c r="AG162" s="268">
        <f t="shared" si="181"/>
        <v>0.90469409578539206</v>
      </c>
      <c r="AH162" s="268">
        <f t="shared" ref="AH162:AH179" si="183">AI162/(1+D$18)</f>
        <v>0.93545369504209541</v>
      </c>
      <c r="AI162" s="260">
        <v>1</v>
      </c>
      <c r="AJ162" s="301">
        <f t="shared" ref="AJ162:AZ162" si="184">AI162*(1+F$18)</f>
        <v>1.024</v>
      </c>
      <c r="AK162" s="301">
        <f t="shared" si="184"/>
        <v>1.045595136</v>
      </c>
      <c r="AL162" s="301">
        <f t="shared" si="184"/>
        <v>1.0676456918231039</v>
      </c>
      <c r="AM162" s="301">
        <f t="shared" si="184"/>
        <v>1.0901612718179612</v>
      </c>
      <c r="AN162" s="301">
        <f t="shared" si="184"/>
        <v>1.11315168287933</v>
      </c>
      <c r="AO162" s="301">
        <f t="shared" si="184"/>
        <v>1.136626938719572</v>
      </c>
      <c r="AP162" s="301">
        <f t="shared" si="184"/>
        <v>1.1602380901175935</v>
      </c>
      <c r="AQ162" s="301">
        <f t="shared" si="184"/>
        <v>1.1843397159636062</v>
      </c>
      <c r="AR162" s="301">
        <f t="shared" si="184"/>
        <v>1.2089420048833182</v>
      </c>
      <c r="AS162" s="301">
        <f t="shared" si="184"/>
        <v>1.2340553571507593</v>
      </c>
      <c r="AT162" s="301">
        <f t="shared" si="184"/>
        <v>1.2596903890848519</v>
      </c>
      <c r="AU162" s="301">
        <f t="shared" si="184"/>
        <v>1.2858579375373114</v>
      </c>
      <c r="AV162" s="301">
        <f t="shared" si="184"/>
        <v>1.3125690644737738</v>
      </c>
      <c r="AW162" s="301">
        <f t="shared" si="184"/>
        <v>1.3398350616500874</v>
      </c>
      <c r="AX162" s="301">
        <f t="shared" si="184"/>
        <v>1.3676674553857446</v>
      </c>
      <c r="AY162" s="301">
        <f t="shared" si="184"/>
        <v>1.3960780114364726</v>
      </c>
      <c r="AZ162" s="301">
        <f t="shared" si="184"/>
        <v>1.4250787399680422</v>
      </c>
    </row>
    <row r="163" spans="28:52" ht="14.25" customHeight="1">
      <c r="AB163" s="258">
        <v>149</v>
      </c>
      <c r="AC163" s="370"/>
      <c r="AD163" s="267" t="s">
        <v>2376</v>
      </c>
      <c r="AF163" s="268">
        <f t="shared" si="179"/>
        <v>0.86219314680670256</v>
      </c>
      <c r="AG163" s="268">
        <f t="shared" si="181"/>
        <v>0.86822849883434938</v>
      </c>
      <c r="AH163" s="268">
        <f t="shared" si="183"/>
        <v>0.89774826779471728</v>
      </c>
      <c r="AI163" s="268">
        <f t="shared" ref="AI163:AI179" si="185">AJ163/(1+E$18)</f>
        <v>0.95969289827255277</v>
      </c>
      <c r="AJ163" s="260">
        <v>1</v>
      </c>
      <c r="AK163" s="301">
        <f t="shared" ref="AK163:AZ163" si="186">AJ163*(1+G$18)</f>
        <v>1.0210889999999999</v>
      </c>
      <c r="AL163" s="301">
        <f t="shared" si="186"/>
        <v>1.0426227459209998</v>
      </c>
      <c r="AM163" s="301">
        <f t="shared" si="186"/>
        <v>1.0646106170097276</v>
      </c>
      <c r="AN163" s="301">
        <f t="shared" si="186"/>
        <v>1.0870621903118456</v>
      </c>
      <c r="AO163" s="301">
        <f t="shared" si="186"/>
        <v>1.1099872448433321</v>
      </c>
      <c r="AP163" s="301">
        <f t="shared" si="186"/>
        <v>1.1330450098804625</v>
      </c>
      <c r="AQ163" s="301">
        <f t="shared" si="186"/>
        <v>1.1565817538707093</v>
      </c>
      <c r="AR163" s="301">
        <f t="shared" si="186"/>
        <v>1.1806074266438655</v>
      </c>
      <c r="AS163" s="301">
        <f t="shared" si="186"/>
        <v>1.2051321847175385</v>
      </c>
      <c r="AT163" s="301">
        <f t="shared" si="186"/>
        <v>1.2301663955906759</v>
      </c>
      <c r="AU163" s="301">
        <f t="shared" si="186"/>
        <v>1.255720642126281</v>
      </c>
      <c r="AV163" s="301">
        <f t="shared" si="186"/>
        <v>1.2818057270251701</v>
      </c>
      <c r="AW163" s="301">
        <f t="shared" si="186"/>
        <v>1.308432677392664</v>
      </c>
      <c r="AX163" s="301">
        <f t="shared" si="186"/>
        <v>1.3356127494001417</v>
      </c>
      <c r="AY163" s="301">
        <f t="shared" si="186"/>
        <v>1.3633574330434308</v>
      </c>
      <c r="AZ163" s="301">
        <f t="shared" si="186"/>
        <v>1.391678457000042</v>
      </c>
    </row>
    <row r="164" spans="28:52" ht="14.25" customHeight="1">
      <c r="AB164" s="258">
        <v>150</v>
      </c>
      <c r="AC164" s="370"/>
      <c r="AD164" s="267" t="s">
        <v>2377</v>
      </c>
      <c r="AF164" s="268">
        <f t="shared" si="179"/>
        <v>0.84198549492842056</v>
      </c>
      <c r="AG164" s="268">
        <f t="shared" si="181"/>
        <v>0.8478793933929194</v>
      </c>
      <c r="AH164" s="268">
        <f t="shared" si="183"/>
        <v>0.87670729276827863</v>
      </c>
      <c r="AI164" s="268">
        <f t="shared" si="185"/>
        <v>0.93720009596928977</v>
      </c>
      <c r="AJ164" s="268">
        <f t="shared" ref="AJ164:AJ179" si="187">AK164/(1+F$18)</f>
        <v>0.9765625</v>
      </c>
      <c r="AK164" s="260">
        <v>1</v>
      </c>
      <c r="AL164" s="301">
        <f t="shared" ref="AL164:AZ164" si="188">AK164*(1+H$18)</f>
        <v>1.0210889999999999</v>
      </c>
      <c r="AM164" s="301">
        <f t="shared" si="188"/>
        <v>1.0426227459209998</v>
      </c>
      <c r="AN164" s="301">
        <f t="shared" si="188"/>
        <v>1.0646106170097276</v>
      </c>
      <c r="AO164" s="301">
        <f t="shared" si="188"/>
        <v>1.0870621903118456</v>
      </c>
      <c r="AP164" s="301">
        <f t="shared" si="188"/>
        <v>1.1096437331911935</v>
      </c>
      <c r="AQ164" s="301">
        <f t="shared" si="188"/>
        <v>1.1326943624607742</v>
      </c>
      <c r="AR164" s="301">
        <f t="shared" si="188"/>
        <v>1.1562238224521717</v>
      </c>
      <c r="AS164" s="301">
        <f t="shared" si="188"/>
        <v>1.1802420599159706</v>
      </c>
      <c r="AT164" s="301">
        <f t="shared" si="188"/>
        <v>1.2047592282266051</v>
      </c>
      <c r="AU164" s="301">
        <f t="shared" si="188"/>
        <v>1.2297856916745562</v>
      </c>
      <c r="AV164" s="301">
        <f t="shared" si="188"/>
        <v>1.2553320298477118</v>
      </c>
      <c r="AW164" s="301">
        <f t="shared" si="188"/>
        <v>1.2814090421037381</v>
      </c>
      <c r="AX164" s="301">
        <f t="shared" si="188"/>
        <v>1.3080277521353589</v>
      </c>
      <c r="AY164" s="301">
        <f t="shared" si="188"/>
        <v>1.3351994126304667</v>
      </c>
      <c r="AZ164" s="301">
        <f t="shared" si="188"/>
        <v>1.3629355100290392</v>
      </c>
    </row>
    <row r="165" spans="28:52" ht="14.25" customHeight="1">
      <c r="AB165" s="258">
        <v>151</v>
      </c>
      <c r="AC165" s="370"/>
      <c r="AD165" s="267" t="s">
        <v>2378</v>
      </c>
      <c r="AF165" s="268">
        <f t="shared" si="179"/>
        <v>0.82459559835471796</v>
      </c>
      <c r="AG165" s="268">
        <f t="shared" si="181"/>
        <v>0.83036776754320085</v>
      </c>
      <c r="AH165" s="268">
        <f t="shared" si="183"/>
        <v>0.85860027163966968</v>
      </c>
      <c r="AI165" s="268">
        <f t="shared" si="185"/>
        <v>0.91784369038280689</v>
      </c>
      <c r="AJ165" s="268">
        <f t="shared" si="187"/>
        <v>0.95639312537888477</v>
      </c>
      <c r="AK165" s="268">
        <f t="shared" ref="AK165:AK179" si="189">AL165/(1+G$18)</f>
        <v>0.97934656038797807</v>
      </c>
      <c r="AL165" s="260">
        <v>1</v>
      </c>
      <c r="AM165" s="301">
        <f t="shared" ref="AM165:AZ165" si="190">AL165*(1+I$18)</f>
        <v>1.0210889999999999</v>
      </c>
      <c r="AN165" s="301">
        <f t="shared" si="190"/>
        <v>1.0426227459209998</v>
      </c>
      <c r="AO165" s="301">
        <f t="shared" si="190"/>
        <v>1.0646106170097276</v>
      </c>
      <c r="AP165" s="301">
        <f t="shared" si="190"/>
        <v>1.0867257733568705</v>
      </c>
      <c r="AQ165" s="301">
        <f t="shared" si="190"/>
        <v>1.1093003278468128</v>
      </c>
      <c r="AR165" s="301">
        <f t="shared" si="190"/>
        <v>1.1323438235571746</v>
      </c>
      <c r="AS165" s="301">
        <f t="shared" si="190"/>
        <v>1.1558660018039277</v>
      </c>
      <c r="AT165" s="301">
        <f t="shared" si="190"/>
        <v>1.1798768062594007</v>
      </c>
      <c r="AU165" s="301">
        <f t="shared" si="190"/>
        <v>1.2043863871558271</v>
      </c>
      <c r="AV165" s="301">
        <f t="shared" si="190"/>
        <v>1.229405105576215</v>
      </c>
      <c r="AW165" s="301">
        <f t="shared" si="190"/>
        <v>1.2549435378343496</v>
      </c>
      <c r="AX165" s="301">
        <f t="shared" si="190"/>
        <v>1.2810124799457825</v>
      </c>
      <c r="AY165" s="301">
        <f t="shared" si="190"/>
        <v>1.3076229521916962</v>
      </c>
      <c r="AZ165" s="301">
        <f t="shared" si="190"/>
        <v>1.3347862037775742</v>
      </c>
    </row>
    <row r="166" spans="28:52" ht="14.25" customHeight="1">
      <c r="AB166" s="258">
        <v>152</v>
      </c>
      <c r="AC166" s="370"/>
      <c r="AD166" s="267" t="s">
        <v>2379</v>
      </c>
      <c r="AF166" s="268">
        <f t="shared" si="179"/>
        <v>0.80756486295975971</v>
      </c>
      <c r="AG166" s="268">
        <f t="shared" si="181"/>
        <v>0.8132178170004779</v>
      </c>
      <c r="AH166" s="268">
        <f t="shared" si="183"/>
        <v>0.84086722277849413</v>
      </c>
      <c r="AI166" s="268">
        <f t="shared" si="185"/>
        <v>0.89888706115021022</v>
      </c>
      <c r="AJ166" s="268">
        <f t="shared" si="187"/>
        <v>0.93664031771851908</v>
      </c>
      <c r="AK166" s="268">
        <f t="shared" si="189"/>
        <v>0.95911968534376357</v>
      </c>
      <c r="AL166" s="268">
        <f t="shared" ref="AL166:AL179" si="191">AM166/(1+H$18)</f>
        <v>0.97934656038797807</v>
      </c>
      <c r="AM166" s="260">
        <v>1</v>
      </c>
      <c r="AN166" s="301">
        <f t="shared" ref="AN166:AZ166" si="192">AM166*(1+J$18)</f>
        <v>1.0210889999999999</v>
      </c>
      <c r="AO166" s="301">
        <f t="shared" si="192"/>
        <v>1.0426227459209998</v>
      </c>
      <c r="AP166" s="301">
        <f t="shared" si="192"/>
        <v>1.0642811482220167</v>
      </c>
      <c r="AQ166" s="301">
        <f t="shared" si="192"/>
        <v>1.0863894605140325</v>
      </c>
      <c r="AR166" s="301">
        <f t="shared" si="192"/>
        <v>1.1089570287772905</v>
      </c>
      <c r="AS166" s="301">
        <f t="shared" si="192"/>
        <v>1.131993393136081</v>
      </c>
      <c r="AT166" s="301">
        <f t="shared" si="192"/>
        <v>1.1555082918916968</v>
      </c>
      <c r="AU166" s="301">
        <f t="shared" si="192"/>
        <v>1.1795116656391629</v>
      </c>
      <c r="AV166" s="301">
        <f t="shared" si="192"/>
        <v>1.2040136614694852</v>
      </c>
      <c r="AW166" s="301">
        <f t="shared" si="192"/>
        <v>1.2290246372591906</v>
      </c>
      <c r="AX166" s="301">
        <f t="shared" si="192"/>
        <v>1.2545551660489758</v>
      </c>
      <c r="AY166" s="301">
        <f t="shared" si="192"/>
        <v>1.2806160405133111</v>
      </c>
      <c r="AZ166" s="301">
        <f t="shared" si="192"/>
        <v>1.307218277522894</v>
      </c>
    </row>
    <row r="167" spans="28:52" ht="14.25" customHeight="1">
      <c r="AB167" s="258">
        <v>153</v>
      </c>
      <c r="AC167" s="370"/>
      <c r="AD167" s="267" t="s">
        <v>2380</v>
      </c>
      <c r="AF167" s="268">
        <f t="shared" si="179"/>
        <v>0.79088587082982953</v>
      </c>
      <c r="AG167" s="268">
        <f t="shared" si="181"/>
        <v>0.7964220719256383</v>
      </c>
      <c r="AH167" s="268">
        <f t="shared" si="183"/>
        <v>0.82350042237110999</v>
      </c>
      <c r="AI167" s="268">
        <f t="shared" si="185"/>
        <v>0.88032195151471648</v>
      </c>
      <c r="AJ167" s="268">
        <f t="shared" si="187"/>
        <v>0.91729547347833462</v>
      </c>
      <c r="AK167" s="268">
        <f t="shared" si="189"/>
        <v>0.93931056484181463</v>
      </c>
      <c r="AL167" s="268">
        <f t="shared" si="191"/>
        <v>0.95911968534376357</v>
      </c>
      <c r="AM167" s="268">
        <f t="shared" ref="AM167:AM179" si="193">AN167/(1+I$18)</f>
        <v>0.97934656038797807</v>
      </c>
      <c r="AN167" s="260">
        <v>1</v>
      </c>
      <c r="AO167" s="301">
        <f t="shared" ref="AO167:AZ167" si="194">AN167*(1+K$18)</f>
        <v>1.0210889999999999</v>
      </c>
      <c r="AP167" s="301">
        <f t="shared" si="194"/>
        <v>1.0423000817969998</v>
      </c>
      <c r="AQ167" s="301">
        <f t="shared" si="194"/>
        <v>1.0639517813961687</v>
      </c>
      <c r="AR167" s="301">
        <f t="shared" si="194"/>
        <v>1.0860532517511112</v>
      </c>
      <c r="AS167" s="301">
        <f t="shared" si="194"/>
        <v>1.1086138359497371</v>
      </c>
      <c r="AT167" s="301">
        <f t="shared" si="194"/>
        <v>1.1316430711639209</v>
      </c>
      <c r="AU167" s="301">
        <f t="shared" si="194"/>
        <v>1.155150692681209</v>
      </c>
      <c r="AV167" s="301">
        <f t="shared" si="194"/>
        <v>1.1791466380202755</v>
      </c>
      <c r="AW167" s="301">
        <f t="shared" si="194"/>
        <v>1.2036410511318707</v>
      </c>
      <c r="AX167" s="301">
        <f t="shared" si="194"/>
        <v>1.2286442866870331</v>
      </c>
      <c r="AY167" s="301">
        <f t="shared" si="194"/>
        <v>1.2541669144543828</v>
      </c>
      <c r="AZ167" s="301">
        <f t="shared" si="194"/>
        <v>1.2802197237683435</v>
      </c>
    </row>
    <row r="168" spans="28:52" ht="14.25" customHeight="1">
      <c r="AB168" s="258">
        <v>154</v>
      </c>
      <c r="AC168" s="370"/>
      <c r="AD168" s="267" t="s">
        <v>2381</v>
      </c>
      <c r="AF168" s="268">
        <f t="shared" si="179"/>
        <v>0.77455135725664404</v>
      </c>
      <c r="AG168" s="268">
        <f t="shared" si="181"/>
        <v>0.77997321675744047</v>
      </c>
      <c r="AH168" s="268">
        <f t="shared" si="183"/>
        <v>0.80649230612719347</v>
      </c>
      <c r="AI168" s="268">
        <f t="shared" si="185"/>
        <v>0.86214027524996983</v>
      </c>
      <c r="AJ168" s="268">
        <f t="shared" si="187"/>
        <v>0.89835016681046864</v>
      </c>
      <c r="AK168" s="268">
        <f t="shared" si="189"/>
        <v>0.91991057081391991</v>
      </c>
      <c r="AL168" s="268">
        <f t="shared" si="191"/>
        <v>0.93931056484181463</v>
      </c>
      <c r="AM168" s="268">
        <f t="shared" si="193"/>
        <v>0.95911968534376357</v>
      </c>
      <c r="AN168" s="268">
        <f t="shared" ref="AN168:AN179" si="195">AO168/(1+J$18)</f>
        <v>0.97934656038797807</v>
      </c>
      <c r="AO168" s="260">
        <v>1</v>
      </c>
      <c r="AP168" s="301">
        <f t="shared" ref="AP168:AZ168" si="196">AO168*(1+L$18)</f>
        <v>1.0207729999999999</v>
      </c>
      <c r="AQ168" s="301">
        <f t="shared" si="196"/>
        <v>1.0419775175289998</v>
      </c>
      <c r="AR168" s="301">
        <f t="shared" si="196"/>
        <v>1.0636225165006297</v>
      </c>
      <c r="AS168" s="301">
        <f t="shared" si="196"/>
        <v>1.0857171470358973</v>
      </c>
      <c r="AT168" s="301">
        <f t="shared" si="196"/>
        <v>1.108270749331274</v>
      </c>
      <c r="AU168" s="301">
        <f t="shared" si="196"/>
        <v>1.1312928576071324</v>
      </c>
      <c r="AV168" s="301">
        <f t="shared" si="196"/>
        <v>1.1547932041382052</v>
      </c>
      <c r="AW168" s="301">
        <f t="shared" si="196"/>
        <v>1.178781723367768</v>
      </c>
      <c r="AX168" s="301">
        <f t="shared" si="196"/>
        <v>1.2032685561072864</v>
      </c>
      <c r="AY168" s="301">
        <f t="shared" si="196"/>
        <v>1.2282640538233029</v>
      </c>
      <c r="AZ168" s="301">
        <f t="shared" si="196"/>
        <v>1.2537787830133744</v>
      </c>
    </row>
    <row r="169" spans="28:52" ht="14.25" customHeight="1">
      <c r="AB169" s="258">
        <v>155</v>
      </c>
      <c r="AC169" s="370"/>
      <c r="AD169" s="267" t="s">
        <v>2382</v>
      </c>
      <c r="AF169" s="268">
        <f t="shared" si="179"/>
        <v>0.75855420757313441</v>
      </c>
      <c r="AG169" s="268">
        <f t="shared" si="181"/>
        <v>0.76386408702614628</v>
      </c>
      <c r="AH169" s="268">
        <f t="shared" si="183"/>
        <v>0.78983546598503529</v>
      </c>
      <c r="AI169" s="268">
        <f t="shared" si="185"/>
        <v>0.84433411313800266</v>
      </c>
      <c r="AJ169" s="268">
        <f t="shared" si="187"/>
        <v>0.87979614588979882</v>
      </c>
      <c r="AK169" s="268">
        <f t="shared" si="189"/>
        <v>0.90091125339115397</v>
      </c>
      <c r="AL169" s="268">
        <f t="shared" si="191"/>
        <v>0.91991057081391991</v>
      </c>
      <c r="AM169" s="268">
        <f t="shared" si="193"/>
        <v>0.93931056484181463</v>
      </c>
      <c r="AN169" s="268">
        <f t="shared" si="195"/>
        <v>0.95911968534376357</v>
      </c>
      <c r="AO169" s="268">
        <f t="shared" ref="AO169:AO179" si="197">AP169/(1+K$18)</f>
        <v>0.97934656038797807</v>
      </c>
      <c r="AP169" s="260">
        <v>1</v>
      </c>
      <c r="AQ169" s="301">
        <f t="shared" ref="AQ169:AZ169" si="198">AP169*(1+M$18)</f>
        <v>1.0207729999999999</v>
      </c>
      <c r="AR169" s="301">
        <f t="shared" si="198"/>
        <v>1.0419775175289998</v>
      </c>
      <c r="AS169" s="301">
        <f t="shared" si="198"/>
        <v>1.0636225165006297</v>
      </c>
      <c r="AT169" s="301">
        <f t="shared" si="198"/>
        <v>1.0857171470358973</v>
      </c>
      <c r="AU169" s="301">
        <f t="shared" si="198"/>
        <v>1.108270749331274</v>
      </c>
      <c r="AV169" s="301">
        <f t="shared" si="198"/>
        <v>1.1312928576071324</v>
      </c>
      <c r="AW169" s="301">
        <f t="shared" si="198"/>
        <v>1.1547932041382052</v>
      </c>
      <c r="AX169" s="301">
        <f t="shared" si="198"/>
        <v>1.178781723367768</v>
      </c>
      <c r="AY169" s="301">
        <f t="shared" si="198"/>
        <v>1.2032685561072864</v>
      </c>
      <c r="AZ169" s="301">
        <f t="shared" si="198"/>
        <v>1.2282640538233029</v>
      </c>
    </row>
    <row r="170" spans="28:52" ht="14.25" customHeight="1">
      <c r="AB170" s="258">
        <v>156</v>
      </c>
      <c r="AC170" s="370"/>
      <c r="AD170" s="267" t="s">
        <v>2383</v>
      </c>
      <c r="AF170" s="268">
        <f t="shared" si="179"/>
        <v>0.74311742921602963</v>
      </c>
      <c r="AG170" s="268">
        <f t="shared" si="181"/>
        <v>0.74831925122054177</v>
      </c>
      <c r="AH170" s="268">
        <f t="shared" si="183"/>
        <v>0.77376210576204019</v>
      </c>
      <c r="AI170" s="268">
        <f t="shared" si="185"/>
        <v>0.82715169105962094</v>
      </c>
      <c r="AJ170" s="268">
        <f t="shared" si="187"/>
        <v>0.86189206208412505</v>
      </c>
      <c r="AK170" s="268">
        <f t="shared" si="189"/>
        <v>0.88257747157414412</v>
      </c>
      <c r="AL170" s="268">
        <f t="shared" si="191"/>
        <v>0.90119014787217122</v>
      </c>
      <c r="AM170" s="268">
        <f t="shared" si="193"/>
        <v>0.92019534690064742</v>
      </c>
      <c r="AN170" s="268">
        <f t="shared" si="195"/>
        <v>0.93960134657143513</v>
      </c>
      <c r="AO170" s="268">
        <f t="shared" si="197"/>
        <v>0.95941659936928003</v>
      </c>
      <c r="AP170" s="268">
        <f t="shared" ref="AP170:AP179" si="199">AQ170/(1+L$18)</f>
        <v>0.97964973603337868</v>
      </c>
      <c r="AQ170" s="260">
        <v>1</v>
      </c>
      <c r="AR170" s="301">
        <f t="shared" ref="AR170:AZ170" si="200">AQ170*(1+N$18)</f>
        <v>1.0207729999999999</v>
      </c>
      <c r="AS170" s="301">
        <f t="shared" si="200"/>
        <v>1.0419775175289998</v>
      </c>
      <c r="AT170" s="301">
        <f t="shared" si="200"/>
        <v>1.0636225165006297</v>
      </c>
      <c r="AU170" s="301">
        <f t="shared" si="200"/>
        <v>1.0857171470358973</v>
      </c>
      <c r="AV170" s="301">
        <f t="shared" si="200"/>
        <v>1.108270749331274</v>
      </c>
      <c r="AW170" s="301">
        <f t="shared" si="200"/>
        <v>1.1312928576071324</v>
      </c>
      <c r="AX170" s="301">
        <f t="shared" si="200"/>
        <v>1.1547932041382052</v>
      </c>
      <c r="AY170" s="301">
        <f t="shared" si="200"/>
        <v>1.178781723367768</v>
      </c>
      <c r="AZ170" s="301">
        <f t="shared" si="200"/>
        <v>1.2032685561072864</v>
      </c>
    </row>
    <row r="171" spans="28:52" ht="14.25" customHeight="1">
      <c r="AB171" s="258">
        <v>157</v>
      </c>
      <c r="AC171" s="370"/>
      <c r="AD171" s="267" t="s">
        <v>2384</v>
      </c>
      <c r="AF171" s="268">
        <f t="shared" si="179"/>
        <v>0.72799479337328654</v>
      </c>
      <c r="AG171" s="268">
        <f t="shared" si="181"/>
        <v>0.73309075692689951</v>
      </c>
      <c r="AH171" s="268">
        <f t="shared" si="183"/>
        <v>0.75801584266241406</v>
      </c>
      <c r="AI171" s="268">
        <f t="shared" si="185"/>
        <v>0.81031893580612058</v>
      </c>
      <c r="AJ171" s="268">
        <f t="shared" si="187"/>
        <v>0.84435233110997765</v>
      </c>
      <c r="AK171" s="268">
        <f t="shared" si="189"/>
        <v>0.86461678705661715</v>
      </c>
      <c r="AL171" s="268">
        <f t="shared" si="191"/>
        <v>0.88285069047885412</v>
      </c>
      <c r="AM171" s="268">
        <f t="shared" si="193"/>
        <v>0.90146912869036255</v>
      </c>
      <c r="AN171" s="268">
        <f t="shared" si="195"/>
        <v>0.92048021114531353</v>
      </c>
      <c r="AO171" s="268">
        <f t="shared" si="197"/>
        <v>0.93989221831815695</v>
      </c>
      <c r="AP171" s="268">
        <f t="shared" si="199"/>
        <v>0.9597136053102685</v>
      </c>
      <c r="AQ171" s="268">
        <f t="shared" ref="AQ171:AQ179" si="201">AR171/(1+M$18)</f>
        <v>0.97964973603337868</v>
      </c>
      <c r="AR171" s="260">
        <v>1</v>
      </c>
      <c r="AS171" s="301">
        <f t="shared" ref="AS171:AZ171" si="202">AR171*(1+O$18)</f>
        <v>1.0207729999999999</v>
      </c>
      <c r="AT171" s="301">
        <f t="shared" si="202"/>
        <v>1.0419775175289998</v>
      </c>
      <c r="AU171" s="301">
        <f t="shared" si="202"/>
        <v>1.0636225165006297</v>
      </c>
      <c r="AV171" s="301">
        <f t="shared" si="202"/>
        <v>1.0857171470358973</v>
      </c>
      <c r="AW171" s="301">
        <f t="shared" si="202"/>
        <v>1.108270749331274</v>
      </c>
      <c r="AX171" s="301">
        <f t="shared" si="202"/>
        <v>1.1312928576071324</v>
      </c>
      <c r="AY171" s="301">
        <f t="shared" si="202"/>
        <v>1.1547932041382052</v>
      </c>
      <c r="AZ171" s="301">
        <f t="shared" si="202"/>
        <v>1.178781723367768</v>
      </c>
    </row>
    <row r="172" spans="28:52" ht="14.25" customHeight="1">
      <c r="AB172" s="258">
        <v>158</v>
      </c>
      <c r="AC172" s="370"/>
      <c r="AD172" s="267" t="s">
        <v>2385</v>
      </c>
      <c r="AF172" s="268">
        <f t="shared" si="179"/>
        <v>0.71317990716181423</v>
      </c>
      <c r="AG172" s="268">
        <f t="shared" si="181"/>
        <v>0.71817216651194682</v>
      </c>
      <c r="AH172" s="268">
        <f t="shared" si="183"/>
        <v>0.74259002017335307</v>
      </c>
      <c r="AI172" s="268">
        <f t="shared" si="185"/>
        <v>0.79382873156531442</v>
      </c>
      <c r="AJ172" s="268">
        <f t="shared" si="187"/>
        <v>0.82716953829105766</v>
      </c>
      <c r="AK172" s="268">
        <f t="shared" si="189"/>
        <v>0.84702160721004305</v>
      </c>
      <c r="AL172" s="268">
        <f t="shared" si="191"/>
        <v>0.86488444588449553</v>
      </c>
      <c r="AM172" s="268">
        <f t="shared" si="193"/>
        <v>0.88312399396375363</v>
      </c>
      <c r="AN172" s="268">
        <f t="shared" si="195"/>
        <v>0.90174819587245514</v>
      </c>
      <c r="AO172" s="268">
        <f t="shared" si="197"/>
        <v>0.92076516357520921</v>
      </c>
      <c r="AP172" s="268">
        <f t="shared" si="199"/>
        <v>0.94018318010984669</v>
      </c>
      <c r="AQ172" s="268">
        <f t="shared" si="201"/>
        <v>0.9597136053102685</v>
      </c>
      <c r="AR172" s="268">
        <f t="shared" ref="AR172:AR179" si="203">AS172/(1+N$18)</f>
        <v>0.97964973603337868</v>
      </c>
      <c r="AS172" s="260">
        <v>1</v>
      </c>
      <c r="AT172" s="301">
        <f t="shared" ref="AT172:AZ172" si="204">AS172*(1+P$18)</f>
        <v>1.0207729999999999</v>
      </c>
      <c r="AU172" s="301">
        <f t="shared" si="204"/>
        <v>1.0419775175289998</v>
      </c>
      <c r="AV172" s="301">
        <f t="shared" si="204"/>
        <v>1.0636225165006297</v>
      </c>
      <c r="AW172" s="301">
        <f t="shared" si="204"/>
        <v>1.0857171470358973</v>
      </c>
      <c r="AX172" s="301">
        <f t="shared" si="204"/>
        <v>1.108270749331274</v>
      </c>
      <c r="AY172" s="301">
        <f t="shared" si="204"/>
        <v>1.1312928576071324</v>
      </c>
      <c r="AZ172" s="301">
        <f t="shared" si="204"/>
        <v>1.1547932041382052</v>
      </c>
    </row>
    <row r="173" spans="28:52" ht="14.25" customHeight="1">
      <c r="AB173" s="258">
        <v>159</v>
      </c>
      <c r="AC173" s="370"/>
      <c r="AD173" s="267" t="s">
        <v>2386</v>
      </c>
      <c r="AF173" s="268">
        <f t="shared" si="179"/>
        <v>0.69866650779538064</v>
      </c>
      <c r="AG173" s="268">
        <f t="shared" si="181"/>
        <v>0.70355717334994827</v>
      </c>
      <c r="AH173" s="268">
        <f t="shared" si="183"/>
        <v>0.72747811724384659</v>
      </c>
      <c r="AI173" s="268">
        <f t="shared" si="185"/>
        <v>0.77767410733367193</v>
      </c>
      <c r="AJ173" s="268">
        <f t="shared" si="187"/>
        <v>0.81033641984168614</v>
      </c>
      <c r="AK173" s="268">
        <f t="shared" si="189"/>
        <v>0.82978449391788667</v>
      </c>
      <c r="AL173" s="268">
        <f t="shared" si="191"/>
        <v>0.84728381911012096</v>
      </c>
      <c r="AM173" s="268">
        <f t="shared" si="193"/>
        <v>0.86515218757133427</v>
      </c>
      <c r="AN173" s="268">
        <f t="shared" si="195"/>
        <v>0.88339738205502605</v>
      </c>
      <c r="AO173" s="268">
        <f t="shared" si="197"/>
        <v>0.90202734944518437</v>
      </c>
      <c r="AP173" s="268">
        <f t="shared" si="199"/>
        <v>0.92105020421763384</v>
      </c>
      <c r="AQ173" s="268">
        <f t="shared" si="201"/>
        <v>0.94018318010984669</v>
      </c>
      <c r="AR173" s="268">
        <f t="shared" si="203"/>
        <v>0.9597136053102685</v>
      </c>
      <c r="AS173" s="268">
        <f t="shared" ref="AS173:AS179" si="205">AT173/(1+O$18)</f>
        <v>0.97964973603337868</v>
      </c>
      <c r="AT173" s="260">
        <v>1</v>
      </c>
      <c r="AU173" s="301">
        <f t="shared" ref="AU173:AZ173" si="206">AT173*(1+Q$18)</f>
        <v>1.0207729999999999</v>
      </c>
      <c r="AV173" s="301">
        <f t="shared" si="206"/>
        <v>1.0419775175289998</v>
      </c>
      <c r="AW173" s="301">
        <f t="shared" si="206"/>
        <v>1.0636225165006297</v>
      </c>
      <c r="AX173" s="301">
        <f t="shared" si="206"/>
        <v>1.0857171470358973</v>
      </c>
      <c r="AY173" s="301">
        <f t="shared" si="206"/>
        <v>1.108270749331274</v>
      </c>
      <c r="AZ173" s="301">
        <f t="shared" si="206"/>
        <v>1.1312928576071324</v>
      </c>
    </row>
    <row r="174" spans="28:52" ht="14.25" customHeight="1">
      <c r="AB174" s="258">
        <v>160</v>
      </c>
      <c r="AC174" s="370"/>
      <c r="AD174" s="267" t="s">
        <v>2387</v>
      </c>
      <c r="AF174" s="268">
        <f t="shared" si="179"/>
        <v>0.68444845993710735</v>
      </c>
      <c r="AG174" s="268">
        <f t="shared" si="181"/>
        <v>0.68923959915666699</v>
      </c>
      <c r="AH174" s="268">
        <f t="shared" si="183"/>
        <v>0.71267374552799367</v>
      </c>
      <c r="AI174" s="268">
        <f t="shared" si="185"/>
        <v>0.76184823396942525</v>
      </c>
      <c r="AJ174" s="268">
        <f t="shared" si="187"/>
        <v>0.79384585979614108</v>
      </c>
      <c r="AK174" s="268">
        <f t="shared" si="189"/>
        <v>0.81289816043124852</v>
      </c>
      <c r="AL174" s="268">
        <f t="shared" si="191"/>
        <v>0.83004136973658305</v>
      </c>
      <c r="AM174" s="268">
        <f t="shared" si="193"/>
        <v>0.84754611218295772</v>
      </c>
      <c r="AN174" s="268">
        <f t="shared" si="195"/>
        <v>0.86542001214278408</v>
      </c>
      <c r="AO174" s="268">
        <f t="shared" si="197"/>
        <v>0.8836708547788632</v>
      </c>
      <c r="AP174" s="268">
        <f t="shared" si="199"/>
        <v>0.90230658943529451</v>
      </c>
      <c r="AQ174" s="268">
        <f t="shared" si="201"/>
        <v>0.92105020421763384</v>
      </c>
      <c r="AR174" s="268">
        <f t="shared" si="203"/>
        <v>0.94018318010984669</v>
      </c>
      <c r="AS174" s="268">
        <f t="shared" si="205"/>
        <v>0.9597136053102685</v>
      </c>
      <c r="AT174" s="268">
        <f t="shared" ref="AT174:AT179" si="207">AU174/(1+P$18)</f>
        <v>0.97964973603337868</v>
      </c>
      <c r="AU174" s="260">
        <v>1</v>
      </c>
      <c r="AV174" s="301">
        <f>AU174*(1+R$18)</f>
        <v>1.0207729999999999</v>
      </c>
      <c r="AW174" s="301">
        <f>AV174*(1+S$18)</f>
        <v>1.0419775175289998</v>
      </c>
      <c r="AX174" s="301">
        <f>AW174*(1+T$18)</f>
        <v>1.0636225165006297</v>
      </c>
      <c r="AY174" s="301">
        <f>AX174*(1+U$18)</f>
        <v>1.0857171470358973</v>
      </c>
      <c r="AZ174" s="301">
        <f>AY174*(1+V$18)</f>
        <v>1.108270749331274</v>
      </c>
    </row>
    <row r="175" spans="28:52" ht="14.25" customHeight="1">
      <c r="AB175" s="258">
        <v>161</v>
      </c>
      <c r="AC175" s="370"/>
      <c r="AD175" s="267" t="s">
        <v>2388</v>
      </c>
      <c r="AF175" s="268">
        <f t="shared" si="179"/>
        <v>0.67051975310583967</v>
      </c>
      <c r="AG175" s="268">
        <f t="shared" si="181"/>
        <v>0.67521339137758052</v>
      </c>
      <c r="AH175" s="268">
        <f t="shared" si="183"/>
        <v>0.69817064668441831</v>
      </c>
      <c r="AI175" s="268">
        <f t="shared" si="185"/>
        <v>0.74634442130564316</v>
      </c>
      <c r="AJ175" s="268">
        <f t="shared" si="187"/>
        <v>0.77769088700048017</v>
      </c>
      <c r="AK175" s="268">
        <f t="shared" si="189"/>
        <v>0.79635546828849169</v>
      </c>
      <c r="AL175" s="268">
        <f t="shared" si="191"/>
        <v>0.8131498087592276</v>
      </c>
      <c r="AM175" s="268">
        <f t="shared" si="193"/>
        <v>0.83029832507615087</v>
      </c>
      <c r="AN175" s="268">
        <f t="shared" si="195"/>
        <v>0.84780848645368179</v>
      </c>
      <c r="AO175" s="268">
        <f t="shared" si="197"/>
        <v>0.86568791962450342</v>
      </c>
      <c r="AP175" s="268">
        <f t="shared" si="199"/>
        <v>0.88394441216146447</v>
      </c>
      <c r="AQ175" s="268">
        <f t="shared" si="201"/>
        <v>0.90230658943529451</v>
      </c>
      <c r="AR175" s="268">
        <f t="shared" si="203"/>
        <v>0.92105020421763384</v>
      </c>
      <c r="AS175" s="268">
        <f t="shared" si="205"/>
        <v>0.94018318010984669</v>
      </c>
      <c r="AT175" s="268">
        <f t="shared" si="207"/>
        <v>0.9597136053102685</v>
      </c>
      <c r="AU175" s="268">
        <f>AV175/(1+Q$18)</f>
        <v>0.97964973603337868</v>
      </c>
      <c r="AV175" s="260">
        <v>1</v>
      </c>
      <c r="AW175" s="301">
        <f>AV175*(1+S$18)</f>
        <v>1.0207729999999999</v>
      </c>
      <c r="AX175" s="301">
        <f>AW175*(1+T$18)</f>
        <v>1.0419775175289998</v>
      </c>
      <c r="AY175" s="301">
        <f>AX175*(1+U$18)</f>
        <v>1.0636225165006297</v>
      </c>
      <c r="AZ175" s="301">
        <f>AY175*(1+V$18)</f>
        <v>1.0857171470358973</v>
      </c>
    </row>
    <row r="176" spans="28:52" ht="14.25" customHeight="1">
      <c r="AB176" s="258">
        <v>162</v>
      </c>
      <c r="AC176" s="370"/>
      <c r="AD176" s="267" t="s">
        <v>2389</v>
      </c>
      <c r="AF176" s="268">
        <f t="shared" si="179"/>
        <v>0.65687449913530227</v>
      </c>
      <c r="AG176" s="268">
        <f t="shared" si="181"/>
        <v>0.66147262062924927</v>
      </c>
      <c r="AH176" s="268">
        <f t="shared" si="183"/>
        <v>0.68396268973064378</v>
      </c>
      <c r="AI176" s="268">
        <f t="shared" si="185"/>
        <v>0.73115611532205815</v>
      </c>
      <c r="AJ176" s="268">
        <f t="shared" si="187"/>
        <v>0.76186467216558462</v>
      </c>
      <c r="AK176" s="268">
        <f t="shared" si="189"/>
        <v>0.78014942429755862</v>
      </c>
      <c r="AL176" s="268">
        <f t="shared" si="191"/>
        <v>0.79660199550656974</v>
      </c>
      <c r="AM176" s="268">
        <f t="shared" si="193"/>
        <v>0.81340153498980772</v>
      </c>
      <c r="AN176" s="268">
        <f t="shared" si="195"/>
        <v>0.83055535996120766</v>
      </c>
      <c r="AO176" s="268">
        <f t="shared" si="197"/>
        <v>0.84807094194742949</v>
      </c>
      <c r="AP176" s="268">
        <f t="shared" si="199"/>
        <v>0.86595591004215877</v>
      </c>
      <c r="AQ176" s="268">
        <f t="shared" si="201"/>
        <v>0.88394441216146447</v>
      </c>
      <c r="AR176" s="268">
        <f t="shared" si="203"/>
        <v>0.90230658943529451</v>
      </c>
      <c r="AS176" s="268">
        <f t="shared" si="205"/>
        <v>0.92105020421763384</v>
      </c>
      <c r="AT176" s="268">
        <f t="shared" si="207"/>
        <v>0.94018318010984669</v>
      </c>
      <c r="AU176" s="268">
        <f>AV176/(1+Q$18)</f>
        <v>0.9597136053102685</v>
      </c>
      <c r="AV176" s="268">
        <f>AW176/(1+R$18)</f>
        <v>0.97964973603337868</v>
      </c>
      <c r="AW176" s="260">
        <v>1</v>
      </c>
      <c r="AX176" s="301">
        <f>AW176*(1+T$18)</f>
        <v>1.0207729999999999</v>
      </c>
      <c r="AY176" s="301">
        <f>AX176*(1+U$18)</f>
        <v>1.0419775175289998</v>
      </c>
      <c r="AZ176" s="301">
        <f>AY176*(1+V$18)</f>
        <v>1.0636225165006297</v>
      </c>
    </row>
    <row r="177" spans="28:52" ht="14.25" customHeight="1">
      <c r="AB177" s="258">
        <v>163</v>
      </c>
      <c r="AC177" s="370"/>
      <c r="AD177" s="267" t="s">
        <v>2390</v>
      </c>
      <c r="AF177" s="268">
        <f t="shared" si="179"/>
        <v>0.6435069296849566</v>
      </c>
      <c r="AG177" s="268">
        <f t="shared" si="181"/>
        <v>0.64801147819275118</v>
      </c>
      <c r="AH177" s="268">
        <f t="shared" si="183"/>
        <v>0.6700438684513047</v>
      </c>
      <c r="AI177" s="268">
        <f t="shared" si="185"/>
        <v>0.71627689537444472</v>
      </c>
      <c r="AJ177" s="268">
        <f t="shared" si="187"/>
        <v>0.74636052498017147</v>
      </c>
      <c r="AK177" s="268">
        <f t="shared" si="189"/>
        <v>0.7642731775796956</v>
      </c>
      <c r="AL177" s="268">
        <f t="shared" si="191"/>
        <v>0.78039093462167375</v>
      </c>
      <c r="AM177" s="268">
        <f t="shared" si="193"/>
        <v>0.79684859904191019</v>
      </c>
      <c r="AN177" s="268">
        <f t="shared" si="195"/>
        <v>0.81365333914710491</v>
      </c>
      <c r="AO177" s="268">
        <f t="shared" si="197"/>
        <v>0.83081247441637818</v>
      </c>
      <c r="AP177" s="268">
        <f t="shared" si="199"/>
        <v>0.84833347868934506</v>
      </c>
      <c r="AQ177" s="268">
        <f t="shared" si="201"/>
        <v>0.86595591004215877</v>
      </c>
      <c r="AR177" s="268">
        <f t="shared" si="203"/>
        <v>0.88394441216146447</v>
      </c>
      <c r="AS177" s="268">
        <f t="shared" si="205"/>
        <v>0.90230658943529451</v>
      </c>
      <c r="AT177" s="268">
        <f t="shared" si="207"/>
        <v>0.92105020421763384</v>
      </c>
      <c r="AU177" s="268">
        <f>AV177/(1+Q$18)</f>
        <v>0.94018318010984669</v>
      </c>
      <c r="AV177" s="268">
        <f>AW177/(1+R$18)</f>
        <v>0.9597136053102685</v>
      </c>
      <c r="AW177" s="268">
        <f>AX177/(1+S$18)</f>
        <v>0.97964973603337868</v>
      </c>
      <c r="AX177" s="260">
        <v>1</v>
      </c>
      <c r="AY177" s="301">
        <f>AX177*(1+U$18)</f>
        <v>1.0207729999999999</v>
      </c>
      <c r="AZ177" s="301">
        <f>AY177*(1+V$18)</f>
        <v>1.0419775175289998</v>
      </c>
    </row>
    <row r="178" spans="28:52" ht="14.25" customHeight="1">
      <c r="AB178" s="258">
        <v>164</v>
      </c>
      <c r="AC178" s="370"/>
      <c r="AD178" s="267" t="s">
        <v>2391</v>
      </c>
      <c r="AE178" s="303"/>
      <c r="AF178" s="286">
        <f t="shared" si="179"/>
        <v>0.63041139380151767</v>
      </c>
      <c r="AG178" s="286">
        <f t="shared" si="181"/>
        <v>0.6348242735581282</v>
      </c>
      <c r="AH178" s="286">
        <f t="shared" si="183"/>
        <v>0.65640829885910457</v>
      </c>
      <c r="AI178" s="286">
        <f t="shared" si="185"/>
        <v>0.70170047148038273</v>
      </c>
      <c r="AJ178" s="286">
        <f t="shared" si="187"/>
        <v>0.73117189128255888</v>
      </c>
      <c r="AK178" s="286">
        <f t="shared" si="189"/>
        <v>0.74872001667334032</v>
      </c>
      <c r="AL178" s="286">
        <f t="shared" si="191"/>
        <v>0.76450977310496437</v>
      </c>
      <c r="AM178" s="286">
        <f t="shared" si="193"/>
        <v>0.78063251970997494</v>
      </c>
      <c r="AN178" s="286">
        <f t="shared" si="195"/>
        <v>0.79709527891813858</v>
      </c>
      <c r="AO178" s="286">
        <f t="shared" si="197"/>
        <v>0.81390522125524312</v>
      </c>
      <c r="AP178" s="286">
        <f t="shared" si="199"/>
        <v>0.83106966846629482</v>
      </c>
      <c r="AQ178" s="286">
        <f t="shared" si="201"/>
        <v>0.84833347868934506</v>
      </c>
      <c r="AR178" s="286">
        <f t="shared" si="203"/>
        <v>0.86595591004215877</v>
      </c>
      <c r="AS178" s="286">
        <f t="shared" si="205"/>
        <v>0.88394441216146447</v>
      </c>
      <c r="AT178" s="286">
        <f t="shared" si="207"/>
        <v>0.90230658943529451</v>
      </c>
      <c r="AU178" s="286">
        <f>AV178/(1+Q$18)</f>
        <v>0.92105020421763384</v>
      </c>
      <c r="AV178" s="286">
        <f>AW178/(1+R$18)</f>
        <v>0.94018318010984669</v>
      </c>
      <c r="AW178" s="286">
        <f>AX178/(1+S$18)</f>
        <v>0.9597136053102685</v>
      </c>
      <c r="AX178" s="286">
        <f>AY178/(1+T$18)</f>
        <v>0.97964973603337868</v>
      </c>
      <c r="AY178" s="287">
        <v>1</v>
      </c>
      <c r="AZ178" s="312">
        <f>AY178*(1+V$18)</f>
        <v>1.0207729999999999</v>
      </c>
    </row>
    <row r="179" spans="28:52" ht="15" customHeight="1">
      <c r="AB179" s="289">
        <v>165</v>
      </c>
      <c r="AC179" s="370"/>
      <c r="AD179" s="291" t="s">
        <v>2392</v>
      </c>
      <c r="AE179" s="290"/>
      <c r="AF179" s="292">
        <f t="shared" si="179"/>
        <v>0.61758235553009133</v>
      </c>
      <c r="AG179" s="292">
        <f t="shared" si="181"/>
        <v>0.62190543201880188</v>
      </c>
      <c r="AH179" s="292">
        <f t="shared" si="183"/>
        <v>0.64305021670744111</v>
      </c>
      <c r="AI179" s="292">
        <f t="shared" si="185"/>
        <v>0.6874206816602545</v>
      </c>
      <c r="AJ179" s="292">
        <f t="shared" si="187"/>
        <v>0.71629235028998517</v>
      </c>
      <c r="AK179" s="292">
        <f t="shared" si="189"/>
        <v>0.73348336669694481</v>
      </c>
      <c r="AL179" s="292">
        <f t="shared" si="191"/>
        <v>0.74895179741721662</v>
      </c>
      <c r="AM179" s="292">
        <f t="shared" si="193"/>
        <v>0.76474644187294827</v>
      </c>
      <c r="AN179" s="292">
        <f t="shared" si="195"/>
        <v>0.78087417958560679</v>
      </c>
      <c r="AO179" s="292">
        <f t="shared" si="197"/>
        <v>0.79734203515888757</v>
      </c>
      <c r="AP179" s="292">
        <f t="shared" si="199"/>
        <v>0.81415718133835324</v>
      </c>
      <c r="AQ179" s="292">
        <f t="shared" si="201"/>
        <v>0.83106966846629482</v>
      </c>
      <c r="AR179" s="292">
        <f t="shared" si="203"/>
        <v>0.84833347868934506</v>
      </c>
      <c r="AS179" s="292">
        <f t="shared" si="205"/>
        <v>0.86595591004215877</v>
      </c>
      <c r="AT179" s="292">
        <f t="shared" si="207"/>
        <v>0.88394441216146447</v>
      </c>
      <c r="AU179" s="292">
        <f>AV179/(1+Q$18)</f>
        <v>0.90230658943529451</v>
      </c>
      <c r="AV179" s="292">
        <f>AW179/(1+R$18)</f>
        <v>0.92105020421763384</v>
      </c>
      <c r="AW179" s="292">
        <f>AX179/(1+S$18)</f>
        <v>0.94018318010984669</v>
      </c>
      <c r="AX179" s="292">
        <f>AY179/(1+T$18)</f>
        <v>0.9597136053102685</v>
      </c>
      <c r="AY179" s="292">
        <f>AZ179/(1+U$18)</f>
        <v>0.97964973603337868</v>
      </c>
      <c r="AZ179" s="293">
        <v>1</v>
      </c>
    </row>
    <row r="180" spans="28:52" ht="14.25" customHeight="1">
      <c r="AB180" s="258">
        <v>166</v>
      </c>
      <c r="AC180" s="371" t="s">
        <v>2422</v>
      </c>
      <c r="AD180" s="259" t="s">
        <v>2372</v>
      </c>
      <c r="AF180" s="295">
        <v>1</v>
      </c>
      <c r="AG180" s="301">
        <f t="shared" ref="AG180:AZ180" si="208">AF180*(1+C$17)</f>
        <v>1.05</v>
      </c>
      <c r="AH180" s="301">
        <f t="shared" si="208"/>
        <v>1.1025</v>
      </c>
      <c r="AI180" s="301">
        <f t="shared" si="208"/>
        <v>1.1576250000000001</v>
      </c>
      <c r="AJ180" s="301">
        <f t="shared" si="208"/>
        <v>1.2155062500000002</v>
      </c>
      <c r="AK180" s="301">
        <f t="shared" si="208"/>
        <v>1.2762815625000004</v>
      </c>
      <c r="AL180" s="301">
        <f t="shared" si="208"/>
        <v>1.3400956406250004</v>
      </c>
      <c r="AM180" s="301">
        <f t="shared" si="208"/>
        <v>1.4071004226562505</v>
      </c>
      <c r="AN180" s="301">
        <f t="shared" si="208"/>
        <v>1.477455443789063</v>
      </c>
      <c r="AO180" s="301">
        <f t="shared" si="208"/>
        <v>1.5513282159785162</v>
      </c>
      <c r="AP180" s="301">
        <f t="shared" si="208"/>
        <v>1.628894626777442</v>
      </c>
      <c r="AQ180" s="301">
        <f t="shared" si="208"/>
        <v>1.7103393581163142</v>
      </c>
      <c r="AR180" s="301">
        <f t="shared" si="208"/>
        <v>1.7958563260221301</v>
      </c>
      <c r="AS180" s="301">
        <f t="shared" si="208"/>
        <v>1.8856491423232367</v>
      </c>
      <c r="AT180" s="301">
        <f t="shared" si="208"/>
        <v>1.9799315994393987</v>
      </c>
      <c r="AU180" s="301">
        <f t="shared" si="208"/>
        <v>2.0789281794113688</v>
      </c>
      <c r="AV180" s="301">
        <f t="shared" si="208"/>
        <v>2.1828745883819374</v>
      </c>
      <c r="AW180" s="301">
        <f t="shared" si="208"/>
        <v>2.2920183178010345</v>
      </c>
      <c r="AX180" s="301">
        <f t="shared" si="208"/>
        <v>2.4066192336910861</v>
      </c>
      <c r="AY180" s="301">
        <f t="shared" si="208"/>
        <v>2.5269501953756404</v>
      </c>
      <c r="AZ180" s="301">
        <f t="shared" si="208"/>
        <v>2.6532977051444226</v>
      </c>
    </row>
    <row r="181" spans="28:52" ht="14.25" customHeight="1">
      <c r="AB181" s="258">
        <v>167</v>
      </c>
      <c r="AC181" s="371"/>
      <c r="AD181" s="243" t="s">
        <v>2373</v>
      </c>
      <c r="AF181" s="268">
        <f t="shared" ref="AF181:AF200" si="209">AG181/(1+B$17)</f>
        <v>0.95238095238095233</v>
      </c>
      <c r="AG181" s="295">
        <v>1</v>
      </c>
      <c r="AH181" s="301">
        <f t="shared" ref="AH181:AZ181" si="210">AG181*(1+D$17)</f>
        <v>1.05</v>
      </c>
      <c r="AI181" s="301">
        <f t="shared" si="210"/>
        <v>1.1025</v>
      </c>
      <c r="AJ181" s="301">
        <f t="shared" si="210"/>
        <v>1.1576250000000001</v>
      </c>
      <c r="AK181" s="301">
        <f t="shared" si="210"/>
        <v>1.2155062500000002</v>
      </c>
      <c r="AL181" s="301">
        <f t="shared" si="210"/>
        <v>1.2762815625000004</v>
      </c>
      <c r="AM181" s="301">
        <f t="shared" si="210"/>
        <v>1.3400956406250004</v>
      </c>
      <c r="AN181" s="301">
        <f t="shared" si="210"/>
        <v>1.4071004226562505</v>
      </c>
      <c r="AO181" s="301">
        <f t="shared" si="210"/>
        <v>1.477455443789063</v>
      </c>
      <c r="AP181" s="301">
        <f t="shared" si="210"/>
        <v>1.5513282159785162</v>
      </c>
      <c r="AQ181" s="301">
        <f t="shared" si="210"/>
        <v>1.628894626777442</v>
      </c>
      <c r="AR181" s="301">
        <f t="shared" si="210"/>
        <v>1.7103393581163142</v>
      </c>
      <c r="AS181" s="301">
        <f t="shared" si="210"/>
        <v>1.7958563260221301</v>
      </c>
      <c r="AT181" s="301">
        <f t="shared" si="210"/>
        <v>1.8856491423232367</v>
      </c>
      <c r="AU181" s="301">
        <f t="shared" si="210"/>
        <v>1.9799315994393987</v>
      </c>
      <c r="AV181" s="301">
        <f t="shared" si="210"/>
        <v>2.0789281794113688</v>
      </c>
      <c r="AW181" s="301">
        <f t="shared" si="210"/>
        <v>2.1828745883819374</v>
      </c>
      <c r="AX181" s="301">
        <f t="shared" si="210"/>
        <v>2.2920183178010345</v>
      </c>
      <c r="AY181" s="301">
        <f t="shared" si="210"/>
        <v>2.4066192336910861</v>
      </c>
      <c r="AZ181" s="301">
        <f t="shared" si="210"/>
        <v>2.5269501953756404</v>
      </c>
    </row>
    <row r="182" spans="28:52" ht="14.25" customHeight="1">
      <c r="AB182" s="258">
        <v>168</v>
      </c>
      <c r="AC182" s="371"/>
      <c r="AD182" s="267" t="s">
        <v>2374</v>
      </c>
      <c r="AF182" s="268">
        <f t="shared" si="209"/>
        <v>0.90702947845804982</v>
      </c>
      <c r="AG182" s="268">
        <f t="shared" ref="AG182:AG200" si="211">AH182/(1+C$17)</f>
        <v>0.95238095238095233</v>
      </c>
      <c r="AH182" s="260">
        <v>1</v>
      </c>
      <c r="AI182" s="301">
        <f t="shared" ref="AI182:AZ182" si="212">AH182*(1+E$17)</f>
        <v>1.05</v>
      </c>
      <c r="AJ182" s="301">
        <f t="shared" si="212"/>
        <v>1.1025</v>
      </c>
      <c r="AK182" s="301">
        <f t="shared" si="212"/>
        <v>1.1576250000000001</v>
      </c>
      <c r="AL182" s="301">
        <f t="shared" si="212"/>
        <v>1.2155062500000002</v>
      </c>
      <c r="AM182" s="301">
        <f t="shared" si="212"/>
        <v>1.2762815625000004</v>
      </c>
      <c r="AN182" s="301">
        <f t="shared" si="212"/>
        <v>1.3400956406250004</v>
      </c>
      <c r="AO182" s="301">
        <f t="shared" si="212"/>
        <v>1.4071004226562505</v>
      </c>
      <c r="AP182" s="301">
        <f t="shared" si="212"/>
        <v>1.477455443789063</v>
      </c>
      <c r="AQ182" s="301">
        <f t="shared" si="212"/>
        <v>1.5513282159785162</v>
      </c>
      <c r="AR182" s="301">
        <f t="shared" si="212"/>
        <v>1.628894626777442</v>
      </c>
      <c r="AS182" s="301">
        <f t="shared" si="212"/>
        <v>1.7103393581163142</v>
      </c>
      <c r="AT182" s="301">
        <f t="shared" si="212"/>
        <v>1.7958563260221301</v>
      </c>
      <c r="AU182" s="301">
        <f t="shared" si="212"/>
        <v>1.8856491423232367</v>
      </c>
      <c r="AV182" s="301">
        <f t="shared" si="212"/>
        <v>1.9799315994393987</v>
      </c>
      <c r="AW182" s="301">
        <f t="shared" si="212"/>
        <v>2.0789281794113688</v>
      </c>
      <c r="AX182" s="301">
        <f t="shared" si="212"/>
        <v>2.1828745883819374</v>
      </c>
      <c r="AY182" s="301">
        <f t="shared" si="212"/>
        <v>2.2920183178010345</v>
      </c>
      <c r="AZ182" s="301">
        <f t="shared" si="212"/>
        <v>2.4066192336910861</v>
      </c>
    </row>
    <row r="183" spans="28:52" ht="14.25" customHeight="1">
      <c r="AB183" s="258">
        <v>169</v>
      </c>
      <c r="AC183" s="371"/>
      <c r="AD183" s="267" t="s">
        <v>2375</v>
      </c>
      <c r="AF183" s="268">
        <f t="shared" si="209"/>
        <v>0.86383759853147601</v>
      </c>
      <c r="AG183" s="268">
        <f t="shared" si="211"/>
        <v>0.90702947845804982</v>
      </c>
      <c r="AH183" s="268">
        <f t="shared" ref="AH183:AH200" si="213">AI183/(1+D$17)</f>
        <v>0.95238095238095233</v>
      </c>
      <c r="AI183" s="260">
        <v>1</v>
      </c>
      <c r="AJ183" s="301">
        <f t="shared" ref="AJ183:AZ183" si="214">AI183*(1+F$17)</f>
        <v>1.05</v>
      </c>
      <c r="AK183" s="301">
        <f t="shared" si="214"/>
        <v>1.1025</v>
      </c>
      <c r="AL183" s="301">
        <f t="shared" si="214"/>
        <v>1.1576250000000001</v>
      </c>
      <c r="AM183" s="301">
        <f t="shared" si="214"/>
        <v>1.2155062500000002</v>
      </c>
      <c r="AN183" s="301">
        <f t="shared" si="214"/>
        <v>1.2762815625000004</v>
      </c>
      <c r="AO183" s="301">
        <f t="shared" si="214"/>
        <v>1.3400956406250004</v>
      </c>
      <c r="AP183" s="301">
        <f t="shared" si="214"/>
        <v>1.4071004226562505</v>
      </c>
      <c r="AQ183" s="301">
        <f t="shared" si="214"/>
        <v>1.477455443789063</v>
      </c>
      <c r="AR183" s="301">
        <f t="shared" si="214"/>
        <v>1.5513282159785162</v>
      </c>
      <c r="AS183" s="301">
        <f t="shared" si="214"/>
        <v>1.628894626777442</v>
      </c>
      <c r="AT183" s="301">
        <f t="shared" si="214"/>
        <v>1.7103393581163142</v>
      </c>
      <c r="AU183" s="301">
        <f t="shared" si="214"/>
        <v>1.7958563260221301</v>
      </c>
      <c r="AV183" s="301">
        <f t="shared" si="214"/>
        <v>1.8856491423232367</v>
      </c>
      <c r="AW183" s="301">
        <f t="shared" si="214"/>
        <v>1.9799315994393987</v>
      </c>
      <c r="AX183" s="301">
        <f t="shared" si="214"/>
        <v>2.0789281794113688</v>
      </c>
      <c r="AY183" s="301">
        <f t="shared" si="214"/>
        <v>2.1828745883819374</v>
      </c>
      <c r="AZ183" s="301">
        <f t="shared" si="214"/>
        <v>2.2920183178010345</v>
      </c>
    </row>
    <row r="184" spans="28:52" ht="14.25" customHeight="1">
      <c r="AB184" s="258">
        <v>170</v>
      </c>
      <c r="AC184" s="371"/>
      <c r="AD184" s="267" t="s">
        <v>2376</v>
      </c>
      <c r="AF184" s="268">
        <f t="shared" si="209"/>
        <v>0.82270247479188185</v>
      </c>
      <c r="AG184" s="268">
        <f t="shared" si="211"/>
        <v>0.86383759853147601</v>
      </c>
      <c r="AH184" s="268">
        <f t="shared" si="213"/>
        <v>0.90702947845804982</v>
      </c>
      <c r="AI184" s="268">
        <f t="shared" ref="AI184:AI200" si="215">AJ184/(1+E$17)</f>
        <v>0.95238095238095233</v>
      </c>
      <c r="AJ184" s="260">
        <v>1</v>
      </c>
      <c r="AK184" s="301">
        <f t="shared" ref="AK184:AZ184" si="216">AJ184*(1+G$17)</f>
        <v>1.05</v>
      </c>
      <c r="AL184" s="301">
        <f t="shared" si="216"/>
        <v>1.1025</v>
      </c>
      <c r="AM184" s="301">
        <f t="shared" si="216"/>
        <v>1.1576250000000001</v>
      </c>
      <c r="AN184" s="301">
        <f t="shared" si="216"/>
        <v>1.2155062500000002</v>
      </c>
      <c r="AO184" s="301">
        <f t="shared" si="216"/>
        <v>1.2762815625000004</v>
      </c>
      <c r="AP184" s="301">
        <f t="shared" si="216"/>
        <v>1.3400956406250004</v>
      </c>
      <c r="AQ184" s="301">
        <f t="shared" si="216"/>
        <v>1.4071004226562505</v>
      </c>
      <c r="AR184" s="301">
        <f t="shared" si="216"/>
        <v>1.477455443789063</v>
      </c>
      <c r="AS184" s="301">
        <f t="shared" si="216"/>
        <v>1.5513282159785162</v>
      </c>
      <c r="AT184" s="301">
        <f t="shared" si="216"/>
        <v>1.628894626777442</v>
      </c>
      <c r="AU184" s="301">
        <f t="shared" si="216"/>
        <v>1.7103393581163142</v>
      </c>
      <c r="AV184" s="301">
        <f t="shared" si="216"/>
        <v>1.7958563260221301</v>
      </c>
      <c r="AW184" s="301">
        <f t="shared" si="216"/>
        <v>1.8856491423232367</v>
      </c>
      <c r="AX184" s="301">
        <f t="shared" si="216"/>
        <v>1.9799315994393987</v>
      </c>
      <c r="AY184" s="301">
        <f t="shared" si="216"/>
        <v>2.0789281794113688</v>
      </c>
      <c r="AZ184" s="301">
        <f t="shared" si="216"/>
        <v>2.1828745883819374</v>
      </c>
    </row>
    <row r="185" spans="28:52" ht="14.25" customHeight="1">
      <c r="AB185" s="258">
        <v>171</v>
      </c>
      <c r="AC185" s="371"/>
      <c r="AD185" s="267" t="s">
        <v>2377</v>
      </c>
      <c r="AF185" s="268">
        <f t="shared" si="209"/>
        <v>0.78352616646845885</v>
      </c>
      <c r="AG185" s="268">
        <f t="shared" si="211"/>
        <v>0.82270247479188185</v>
      </c>
      <c r="AH185" s="268">
        <f t="shared" si="213"/>
        <v>0.86383759853147601</v>
      </c>
      <c r="AI185" s="268">
        <f t="shared" si="215"/>
        <v>0.90702947845804982</v>
      </c>
      <c r="AJ185" s="268">
        <f t="shared" ref="AJ185:AJ200" si="217">AK185/(1+F$17)</f>
        <v>0.95238095238095233</v>
      </c>
      <c r="AK185" s="260">
        <v>1</v>
      </c>
      <c r="AL185" s="301">
        <f t="shared" ref="AL185:AZ185" si="218">AK185*(1+H$17)</f>
        <v>1.05</v>
      </c>
      <c r="AM185" s="301">
        <f t="shared" si="218"/>
        <v>1.1025</v>
      </c>
      <c r="AN185" s="301">
        <f t="shared" si="218"/>
        <v>1.1576250000000001</v>
      </c>
      <c r="AO185" s="301">
        <f t="shared" si="218"/>
        <v>1.2155062500000002</v>
      </c>
      <c r="AP185" s="301">
        <f t="shared" si="218"/>
        <v>1.2762815625000004</v>
      </c>
      <c r="AQ185" s="301">
        <f t="shared" si="218"/>
        <v>1.3400956406250004</v>
      </c>
      <c r="AR185" s="301">
        <f t="shared" si="218"/>
        <v>1.4071004226562505</v>
      </c>
      <c r="AS185" s="301">
        <f t="shared" si="218"/>
        <v>1.477455443789063</v>
      </c>
      <c r="AT185" s="301">
        <f t="shared" si="218"/>
        <v>1.5513282159785162</v>
      </c>
      <c r="AU185" s="301">
        <f t="shared" si="218"/>
        <v>1.628894626777442</v>
      </c>
      <c r="AV185" s="301">
        <f t="shared" si="218"/>
        <v>1.7103393581163142</v>
      </c>
      <c r="AW185" s="301">
        <f t="shared" si="218"/>
        <v>1.7958563260221301</v>
      </c>
      <c r="AX185" s="301">
        <f t="shared" si="218"/>
        <v>1.8856491423232367</v>
      </c>
      <c r="AY185" s="301">
        <f t="shared" si="218"/>
        <v>1.9799315994393987</v>
      </c>
      <c r="AZ185" s="301">
        <f t="shared" si="218"/>
        <v>2.0789281794113688</v>
      </c>
    </row>
    <row r="186" spans="28:52" ht="14.25" customHeight="1">
      <c r="AB186" s="258">
        <v>172</v>
      </c>
      <c r="AC186" s="371"/>
      <c r="AD186" s="267" t="s">
        <v>2378</v>
      </c>
      <c r="AF186" s="268">
        <f t="shared" si="209"/>
        <v>0.74621539663662739</v>
      </c>
      <c r="AG186" s="268">
        <f t="shared" si="211"/>
        <v>0.78352616646845885</v>
      </c>
      <c r="AH186" s="268">
        <f t="shared" si="213"/>
        <v>0.82270247479188185</v>
      </c>
      <c r="AI186" s="268">
        <f t="shared" si="215"/>
        <v>0.86383759853147601</v>
      </c>
      <c r="AJ186" s="268">
        <f t="shared" si="217"/>
        <v>0.90702947845804982</v>
      </c>
      <c r="AK186" s="268">
        <f t="shared" ref="AK186:AK200" si="219">AL186/(1+G$17)</f>
        <v>0.95238095238095233</v>
      </c>
      <c r="AL186" s="260">
        <v>1</v>
      </c>
      <c r="AM186" s="301">
        <f t="shared" ref="AM186:AZ186" si="220">AL186*(1+I$17)</f>
        <v>1.05</v>
      </c>
      <c r="AN186" s="301">
        <f t="shared" si="220"/>
        <v>1.1025</v>
      </c>
      <c r="AO186" s="301">
        <f t="shared" si="220"/>
        <v>1.1576250000000001</v>
      </c>
      <c r="AP186" s="301">
        <f t="shared" si="220"/>
        <v>1.2155062500000002</v>
      </c>
      <c r="AQ186" s="301">
        <f t="shared" si="220"/>
        <v>1.2762815625000004</v>
      </c>
      <c r="AR186" s="301">
        <f t="shared" si="220"/>
        <v>1.3400956406250004</v>
      </c>
      <c r="AS186" s="301">
        <f t="shared" si="220"/>
        <v>1.4071004226562505</v>
      </c>
      <c r="AT186" s="301">
        <f t="shared" si="220"/>
        <v>1.477455443789063</v>
      </c>
      <c r="AU186" s="301">
        <f t="shared" si="220"/>
        <v>1.5513282159785162</v>
      </c>
      <c r="AV186" s="301">
        <f t="shared" si="220"/>
        <v>1.628894626777442</v>
      </c>
      <c r="AW186" s="301">
        <f t="shared" si="220"/>
        <v>1.7103393581163142</v>
      </c>
      <c r="AX186" s="301">
        <f t="shared" si="220"/>
        <v>1.7958563260221301</v>
      </c>
      <c r="AY186" s="301">
        <f t="shared" si="220"/>
        <v>1.8856491423232367</v>
      </c>
      <c r="AZ186" s="301">
        <f t="shared" si="220"/>
        <v>1.9799315994393987</v>
      </c>
    </row>
    <row r="187" spans="28:52" ht="14.25" customHeight="1">
      <c r="AB187" s="258">
        <v>173</v>
      </c>
      <c r="AC187" s="371"/>
      <c r="AD187" s="267" t="s">
        <v>2379</v>
      </c>
      <c r="AF187" s="268">
        <f t="shared" si="209"/>
        <v>0.71068133013012125</v>
      </c>
      <c r="AG187" s="268">
        <f t="shared" si="211"/>
        <v>0.74621539663662739</v>
      </c>
      <c r="AH187" s="268">
        <f t="shared" si="213"/>
        <v>0.78352616646845885</v>
      </c>
      <c r="AI187" s="268">
        <f t="shared" si="215"/>
        <v>0.82270247479188185</v>
      </c>
      <c r="AJ187" s="268">
        <f t="shared" si="217"/>
        <v>0.86383759853147601</v>
      </c>
      <c r="AK187" s="268">
        <f t="shared" si="219"/>
        <v>0.90702947845804982</v>
      </c>
      <c r="AL187" s="268">
        <f t="shared" ref="AL187:AL200" si="221">AM187/(1+H$17)</f>
        <v>0.95238095238095233</v>
      </c>
      <c r="AM187" s="260">
        <v>1</v>
      </c>
      <c r="AN187" s="301">
        <f t="shared" ref="AN187:AZ187" si="222">AM187*(1+J$17)</f>
        <v>1.05</v>
      </c>
      <c r="AO187" s="301">
        <f t="shared" si="222"/>
        <v>1.1025</v>
      </c>
      <c r="AP187" s="301">
        <f t="shared" si="222"/>
        <v>1.1576250000000001</v>
      </c>
      <c r="AQ187" s="301">
        <f t="shared" si="222"/>
        <v>1.2155062500000002</v>
      </c>
      <c r="AR187" s="301">
        <f t="shared" si="222"/>
        <v>1.2762815625000004</v>
      </c>
      <c r="AS187" s="301">
        <f t="shared" si="222"/>
        <v>1.3400956406250004</v>
      </c>
      <c r="AT187" s="301">
        <f t="shared" si="222"/>
        <v>1.4071004226562505</v>
      </c>
      <c r="AU187" s="301">
        <f t="shared" si="222"/>
        <v>1.477455443789063</v>
      </c>
      <c r="AV187" s="301">
        <f t="shared" si="222"/>
        <v>1.5513282159785162</v>
      </c>
      <c r="AW187" s="301">
        <f t="shared" si="222"/>
        <v>1.628894626777442</v>
      </c>
      <c r="AX187" s="301">
        <f t="shared" si="222"/>
        <v>1.7103393581163142</v>
      </c>
      <c r="AY187" s="301">
        <f t="shared" si="222"/>
        <v>1.7958563260221301</v>
      </c>
      <c r="AZ187" s="301">
        <f t="shared" si="222"/>
        <v>1.8856491423232367</v>
      </c>
    </row>
    <row r="188" spans="28:52" ht="14.25" customHeight="1">
      <c r="AB188" s="258">
        <v>174</v>
      </c>
      <c r="AC188" s="371"/>
      <c r="AD188" s="267" t="s">
        <v>2380</v>
      </c>
      <c r="AF188" s="268">
        <f t="shared" si="209"/>
        <v>0.67683936202868689</v>
      </c>
      <c r="AG188" s="268">
        <f t="shared" si="211"/>
        <v>0.71068133013012125</v>
      </c>
      <c r="AH188" s="268">
        <f t="shared" si="213"/>
        <v>0.74621539663662739</v>
      </c>
      <c r="AI188" s="268">
        <f t="shared" si="215"/>
        <v>0.78352616646845885</v>
      </c>
      <c r="AJ188" s="268">
        <f t="shared" si="217"/>
        <v>0.82270247479188185</v>
      </c>
      <c r="AK188" s="268">
        <f t="shared" si="219"/>
        <v>0.86383759853147601</v>
      </c>
      <c r="AL188" s="268">
        <f t="shared" si="221"/>
        <v>0.90702947845804982</v>
      </c>
      <c r="AM188" s="268">
        <f t="shared" ref="AM188:AM200" si="223">AN188/(1+I$17)</f>
        <v>0.95238095238095233</v>
      </c>
      <c r="AN188" s="260">
        <v>1</v>
      </c>
      <c r="AO188" s="301">
        <f t="shared" ref="AO188:AZ188" si="224">AN188*(1+K$17)</f>
        <v>1.05</v>
      </c>
      <c r="AP188" s="301">
        <f t="shared" si="224"/>
        <v>1.1025</v>
      </c>
      <c r="AQ188" s="301">
        <f t="shared" si="224"/>
        <v>1.1576250000000001</v>
      </c>
      <c r="AR188" s="301">
        <f t="shared" si="224"/>
        <v>1.2155062500000002</v>
      </c>
      <c r="AS188" s="301">
        <f t="shared" si="224"/>
        <v>1.2762815625000004</v>
      </c>
      <c r="AT188" s="301">
        <f t="shared" si="224"/>
        <v>1.3400956406250004</v>
      </c>
      <c r="AU188" s="301">
        <f t="shared" si="224"/>
        <v>1.4071004226562505</v>
      </c>
      <c r="AV188" s="301">
        <f t="shared" si="224"/>
        <v>1.477455443789063</v>
      </c>
      <c r="AW188" s="301">
        <f t="shared" si="224"/>
        <v>1.5513282159785162</v>
      </c>
      <c r="AX188" s="301">
        <f t="shared" si="224"/>
        <v>1.628894626777442</v>
      </c>
      <c r="AY188" s="301">
        <f t="shared" si="224"/>
        <v>1.7103393581163142</v>
      </c>
      <c r="AZ188" s="301">
        <f t="shared" si="224"/>
        <v>1.7958563260221301</v>
      </c>
    </row>
    <row r="189" spans="28:52" ht="14.25" customHeight="1">
      <c r="AB189" s="258">
        <v>175</v>
      </c>
      <c r="AC189" s="371"/>
      <c r="AD189" s="267" t="s">
        <v>2381</v>
      </c>
      <c r="AF189" s="268">
        <f t="shared" si="209"/>
        <v>0.64460891621779703</v>
      </c>
      <c r="AG189" s="268">
        <f t="shared" si="211"/>
        <v>0.67683936202868689</v>
      </c>
      <c r="AH189" s="268">
        <f t="shared" si="213"/>
        <v>0.71068133013012125</v>
      </c>
      <c r="AI189" s="268">
        <f t="shared" si="215"/>
        <v>0.74621539663662739</v>
      </c>
      <c r="AJ189" s="268">
        <f t="shared" si="217"/>
        <v>0.78352616646845885</v>
      </c>
      <c r="AK189" s="268">
        <f t="shared" si="219"/>
        <v>0.82270247479188185</v>
      </c>
      <c r="AL189" s="268">
        <f t="shared" si="221"/>
        <v>0.86383759853147601</v>
      </c>
      <c r="AM189" s="268">
        <f t="shared" si="223"/>
        <v>0.90702947845804982</v>
      </c>
      <c r="AN189" s="268">
        <f t="shared" ref="AN189:AN200" si="225">AO189/(1+J$17)</f>
        <v>0.95238095238095233</v>
      </c>
      <c r="AO189" s="260">
        <v>1</v>
      </c>
      <c r="AP189" s="301">
        <f t="shared" ref="AP189:AZ189" si="226">AO189*(1+L$17)</f>
        <v>1.05</v>
      </c>
      <c r="AQ189" s="301">
        <f t="shared" si="226"/>
        <v>1.1025</v>
      </c>
      <c r="AR189" s="301">
        <f t="shared" si="226"/>
        <v>1.1576250000000001</v>
      </c>
      <c r="AS189" s="301">
        <f t="shared" si="226"/>
        <v>1.2155062500000002</v>
      </c>
      <c r="AT189" s="301">
        <f t="shared" si="226"/>
        <v>1.2762815625000004</v>
      </c>
      <c r="AU189" s="301">
        <f t="shared" si="226"/>
        <v>1.3400956406250004</v>
      </c>
      <c r="AV189" s="301">
        <f t="shared" si="226"/>
        <v>1.4071004226562505</v>
      </c>
      <c r="AW189" s="301">
        <f t="shared" si="226"/>
        <v>1.477455443789063</v>
      </c>
      <c r="AX189" s="301">
        <f t="shared" si="226"/>
        <v>1.5513282159785162</v>
      </c>
      <c r="AY189" s="301">
        <f t="shared" si="226"/>
        <v>1.628894626777442</v>
      </c>
      <c r="AZ189" s="301">
        <f t="shared" si="226"/>
        <v>1.7103393581163142</v>
      </c>
    </row>
    <row r="190" spans="28:52" ht="14.25" customHeight="1">
      <c r="AB190" s="258">
        <v>176</v>
      </c>
      <c r="AC190" s="371"/>
      <c r="AD190" s="267" t="s">
        <v>2382</v>
      </c>
      <c r="AF190" s="268">
        <f t="shared" si="209"/>
        <v>0.6139132535407591</v>
      </c>
      <c r="AG190" s="268">
        <f t="shared" si="211"/>
        <v>0.64460891621779703</v>
      </c>
      <c r="AH190" s="268">
        <f t="shared" si="213"/>
        <v>0.67683936202868689</v>
      </c>
      <c r="AI190" s="268">
        <f t="shared" si="215"/>
        <v>0.71068133013012125</v>
      </c>
      <c r="AJ190" s="268">
        <f t="shared" si="217"/>
        <v>0.74621539663662739</v>
      </c>
      <c r="AK190" s="268">
        <f t="shared" si="219"/>
        <v>0.78352616646845885</v>
      </c>
      <c r="AL190" s="268">
        <f t="shared" si="221"/>
        <v>0.82270247479188185</v>
      </c>
      <c r="AM190" s="268">
        <f t="shared" si="223"/>
        <v>0.86383759853147601</v>
      </c>
      <c r="AN190" s="268">
        <f t="shared" si="225"/>
        <v>0.90702947845804982</v>
      </c>
      <c r="AO190" s="268">
        <f t="shared" ref="AO190:AO200" si="227">AP190/(1+K$17)</f>
        <v>0.95238095238095233</v>
      </c>
      <c r="AP190" s="260">
        <v>1</v>
      </c>
      <c r="AQ190" s="301">
        <f t="shared" ref="AQ190:AZ190" si="228">AP190*(1+M$17)</f>
        <v>1.05</v>
      </c>
      <c r="AR190" s="301">
        <f t="shared" si="228"/>
        <v>1.1025</v>
      </c>
      <c r="AS190" s="301">
        <f t="shared" si="228"/>
        <v>1.1576250000000001</v>
      </c>
      <c r="AT190" s="301">
        <f t="shared" si="228"/>
        <v>1.2155062500000002</v>
      </c>
      <c r="AU190" s="301">
        <f t="shared" si="228"/>
        <v>1.2762815625000004</v>
      </c>
      <c r="AV190" s="301">
        <f t="shared" si="228"/>
        <v>1.3400956406250004</v>
      </c>
      <c r="AW190" s="301">
        <f t="shared" si="228"/>
        <v>1.4071004226562505</v>
      </c>
      <c r="AX190" s="301">
        <f t="shared" si="228"/>
        <v>1.477455443789063</v>
      </c>
      <c r="AY190" s="301">
        <f t="shared" si="228"/>
        <v>1.5513282159785162</v>
      </c>
      <c r="AZ190" s="301">
        <f t="shared" si="228"/>
        <v>1.628894626777442</v>
      </c>
    </row>
    <row r="191" spans="28:52" ht="14.25" customHeight="1">
      <c r="AB191" s="258">
        <v>177</v>
      </c>
      <c r="AC191" s="371"/>
      <c r="AD191" s="267" t="s">
        <v>2383</v>
      </c>
      <c r="AF191" s="268">
        <f t="shared" si="209"/>
        <v>0.58467928908643718</v>
      </c>
      <c r="AG191" s="268">
        <f t="shared" si="211"/>
        <v>0.6139132535407591</v>
      </c>
      <c r="AH191" s="268">
        <f t="shared" si="213"/>
        <v>0.64460891621779703</v>
      </c>
      <c r="AI191" s="268">
        <f t="shared" si="215"/>
        <v>0.67683936202868689</v>
      </c>
      <c r="AJ191" s="268">
        <f t="shared" si="217"/>
        <v>0.71068133013012125</v>
      </c>
      <c r="AK191" s="268">
        <f t="shared" si="219"/>
        <v>0.74621539663662739</v>
      </c>
      <c r="AL191" s="268">
        <f t="shared" si="221"/>
        <v>0.78352616646845885</v>
      </c>
      <c r="AM191" s="268">
        <f t="shared" si="223"/>
        <v>0.82270247479188185</v>
      </c>
      <c r="AN191" s="268">
        <f t="shared" si="225"/>
        <v>0.86383759853147601</v>
      </c>
      <c r="AO191" s="268">
        <f t="shared" si="227"/>
        <v>0.90702947845804982</v>
      </c>
      <c r="AP191" s="268">
        <f t="shared" ref="AP191:AP200" si="229">AQ191/(1+L$17)</f>
        <v>0.95238095238095233</v>
      </c>
      <c r="AQ191" s="260">
        <v>1</v>
      </c>
      <c r="AR191" s="301">
        <f t="shared" ref="AR191:AZ191" si="230">AQ191*(1+N$17)</f>
        <v>1.05</v>
      </c>
      <c r="AS191" s="301">
        <f t="shared" si="230"/>
        <v>1.1025</v>
      </c>
      <c r="AT191" s="301">
        <f t="shared" si="230"/>
        <v>1.1576250000000001</v>
      </c>
      <c r="AU191" s="301">
        <f t="shared" si="230"/>
        <v>1.2155062500000002</v>
      </c>
      <c r="AV191" s="301">
        <f t="shared" si="230"/>
        <v>1.2762815625000004</v>
      </c>
      <c r="AW191" s="301">
        <f t="shared" si="230"/>
        <v>1.3400956406250004</v>
      </c>
      <c r="AX191" s="301">
        <f t="shared" si="230"/>
        <v>1.4071004226562505</v>
      </c>
      <c r="AY191" s="301">
        <f t="shared" si="230"/>
        <v>1.477455443789063</v>
      </c>
      <c r="AZ191" s="301">
        <f t="shared" si="230"/>
        <v>1.5513282159785162</v>
      </c>
    </row>
    <row r="192" spans="28:52" ht="14.25" customHeight="1">
      <c r="AB192" s="258">
        <v>178</v>
      </c>
      <c r="AC192" s="371"/>
      <c r="AD192" s="267" t="s">
        <v>2384</v>
      </c>
      <c r="AF192" s="268">
        <f t="shared" si="209"/>
        <v>0.55683741817755916</v>
      </c>
      <c r="AG192" s="268">
        <f t="shared" si="211"/>
        <v>0.58467928908643718</v>
      </c>
      <c r="AH192" s="268">
        <f t="shared" si="213"/>
        <v>0.6139132535407591</v>
      </c>
      <c r="AI192" s="268">
        <f t="shared" si="215"/>
        <v>0.64460891621779703</v>
      </c>
      <c r="AJ192" s="268">
        <f t="shared" si="217"/>
        <v>0.67683936202868689</v>
      </c>
      <c r="AK192" s="268">
        <f t="shared" si="219"/>
        <v>0.71068133013012125</v>
      </c>
      <c r="AL192" s="268">
        <f t="shared" si="221"/>
        <v>0.74621539663662739</v>
      </c>
      <c r="AM192" s="268">
        <f t="shared" si="223"/>
        <v>0.78352616646845885</v>
      </c>
      <c r="AN192" s="268">
        <f t="shared" si="225"/>
        <v>0.82270247479188185</v>
      </c>
      <c r="AO192" s="268">
        <f t="shared" si="227"/>
        <v>0.86383759853147601</v>
      </c>
      <c r="AP192" s="268">
        <f t="shared" si="229"/>
        <v>0.90702947845804982</v>
      </c>
      <c r="AQ192" s="268">
        <f t="shared" ref="AQ192:AQ200" si="231">AR192/(1+M$17)</f>
        <v>0.95238095238095233</v>
      </c>
      <c r="AR192" s="260">
        <v>1</v>
      </c>
      <c r="AS192" s="301">
        <f t="shared" ref="AS192:AZ192" si="232">AR192*(1+O$17)</f>
        <v>1.05</v>
      </c>
      <c r="AT192" s="301">
        <f t="shared" si="232"/>
        <v>1.1025</v>
      </c>
      <c r="AU192" s="301">
        <f t="shared" si="232"/>
        <v>1.1576250000000001</v>
      </c>
      <c r="AV192" s="301">
        <f t="shared" si="232"/>
        <v>1.2155062500000002</v>
      </c>
      <c r="AW192" s="301">
        <f t="shared" si="232"/>
        <v>1.2762815625000004</v>
      </c>
      <c r="AX192" s="301">
        <f t="shared" si="232"/>
        <v>1.3400956406250004</v>
      </c>
      <c r="AY192" s="301">
        <f t="shared" si="232"/>
        <v>1.4071004226562505</v>
      </c>
      <c r="AZ192" s="301">
        <f t="shared" si="232"/>
        <v>1.477455443789063</v>
      </c>
    </row>
    <row r="193" spans="28:56" ht="14.25" customHeight="1">
      <c r="AB193" s="258">
        <v>179</v>
      </c>
      <c r="AC193" s="371"/>
      <c r="AD193" s="267" t="s">
        <v>2385</v>
      </c>
      <c r="AF193" s="268">
        <f t="shared" si="209"/>
        <v>0.5303213506452944</v>
      </c>
      <c r="AG193" s="268">
        <f t="shared" si="211"/>
        <v>0.55683741817755916</v>
      </c>
      <c r="AH193" s="268">
        <f t="shared" si="213"/>
        <v>0.58467928908643718</v>
      </c>
      <c r="AI193" s="268">
        <f t="shared" si="215"/>
        <v>0.6139132535407591</v>
      </c>
      <c r="AJ193" s="268">
        <f t="shared" si="217"/>
        <v>0.64460891621779703</v>
      </c>
      <c r="AK193" s="268">
        <f t="shared" si="219"/>
        <v>0.67683936202868689</v>
      </c>
      <c r="AL193" s="268">
        <f t="shared" si="221"/>
        <v>0.71068133013012125</v>
      </c>
      <c r="AM193" s="268">
        <f t="shared" si="223"/>
        <v>0.74621539663662739</v>
      </c>
      <c r="AN193" s="268">
        <f t="shared" si="225"/>
        <v>0.78352616646845885</v>
      </c>
      <c r="AO193" s="268">
        <f t="shared" si="227"/>
        <v>0.82270247479188185</v>
      </c>
      <c r="AP193" s="268">
        <f t="shared" si="229"/>
        <v>0.86383759853147601</v>
      </c>
      <c r="AQ193" s="268">
        <f t="shared" si="231"/>
        <v>0.90702947845804982</v>
      </c>
      <c r="AR193" s="268">
        <f t="shared" ref="AR193:AR200" si="233">AS193/(1+N$17)</f>
        <v>0.95238095238095233</v>
      </c>
      <c r="AS193" s="260">
        <v>1</v>
      </c>
      <c r="AT193" s="301">
        <f t="shared" ref="AT193:AZ193" si="234">AS193*(1+P$17)</f>
        <v>1.05</v>
      </c>
      <c r="AU193" s="301">
        <f t="shared" si="234"/>
        <v>1.1025</v>
      </c>
      <c r="AV193" s="301">
        <f t="shared" si="234"/>
        <v>1.1576250000000001</v>
      </c>
      <c r="AW193" s="301">
        <f t="shared" si="234"/>
        <v>1.2155062500000002</v>
      </c>
      <c r="AX193" s="301">
        <f t="shared" si="234"/>
        <v>1.2762815625000004</v>
      </c>
      <c r="AY193" s="301">
        <f t="shared" si="234"/>
        <v>1.3400956406250004</v>
      </c>
      <c r="AZ193" s="301">
        <f t="shared" si="234"/>
        <v>1.4071004226562505</v>
      </c>
    </row>
    <row r="194" spans="28:56" ht="14.25" customHeight="1">
      <c r="AB194" s="258">
        <v>180</v>
      </c>
      <c r="AC194" s="371"/>
      <c r="AD194" s="267" t="s">
        <v>2386</v>
      </c>
      <c r="AF194" s="268">
        <f t="shared" si="209"/>
        <v>0.50506795299551843</v>
      </c>
      <c r="AG194" s="268">
        <f t="shared" si="211"/>
        <v>0.5303213506452944</v>
      </c>
      <c r="AH194" s="268">
        <f t="shared" si="213"/>
        <v>0.55683741817755916</v>
      </c>
      <c r="AI194" s="268">
        <f t="shared" si="215"/>
        <v>0.58467928908643718</v>
      </c>
      <c r="AJ194" s="268">
        <f t="shared" si="217"/>
        <v>0.6139132535407591</v>
      </c>
      <c r="AK194" s="268">
        <f t="shared" si="219"/>
        <v>0.64460891621779703</v>
      </c>
      <c r="AL194" s="268">
        <f t="shared" si="221"/>
        <v>0.67683936202868689</v>
      </c>
      <c r="AM194" s="268">
        <f t="shared" si="223"/>
        <v>0.71068133013012125</v>
      </c>
      <c r="AN194" s="268">
        <f t="shared" si="225"/>
        <v>0.74621539663662739</v>
      </c>
      <c r="AO194" s="268">
        <f t="shared" si="227"/>
        <v>0.78352616646845885</v>
      </c>
      <c r="AP194" s="268">
        <f t="shared" si="229"/>
        <v>0.82270247479188185</v>
      </c>
      <c r="AQ194" s="268">
        <f t="shared" si="231"/>
        <v>0.86383759853147601</v>
      </c>
      <c r="AR194" s="268">
        <f t="shared" si="233"/>
        <v>0.90702947845804982</v>
      </c>
      <c r="AS194" s="268">
        <f t="shared" ref="AS194:AS200" si="235">AT194/(1+O$17)</f>
        <v>0.95238095238095233</v>
      </c>
      <c r="AT194" s="260">
        <v>1</v>
      </c>
      <c r="AU194" s="301">
        <f t="shared" ref="AU194:AZ194" si="236">AT194*(1+Q$17)</f>
        <v>1.05</v>
      </c>
      <c r="AV194" s="301">
        <f t="shared" si="236"/>
        <v>1.1025</v>
      </c>
      <c r="AW194" s="301">
        <f t="shared" si="236"/>
        <v>1.1576250000000001</v>
      </c>
      <c r="AX194" s="301">
        <f t="shared" si="236"/>
        <v>1.2155062500000002</v>
      </c>
      <c r="AY194" s="301">
        <f t="shared" si="236"/>
        <v>1.2762815625000004</v>
      </c>
      <c r="AZ194" s="301">
        <f t="shared" si="236"/>
        <v>1.3400956406250004</v>
      </c>
    </row>
    <row r="195" spans="28:56" ht="14.25" customHeight="1">
      <c r="AB195" s="258">
        <v>181</v>
      </c>
      <c r="AC195" s="371"/>
      <c r="AD195" s="267" t="s">
        <v>2387</v>
      </c>
      <c r="AF195" s="268">
        <f t="shared" si="209"/>
        <v>0.48101709809096993</v>
      </c>
      <c r="AG195" s="268">
        <f t="shared" si="211"/>
        <v>0.50506795299551843</v>
      </c>
      <c r="AH195" s="268">
        <f t="shared" si="213"/>
        <v>0.5303213506452944</v>
      </c>
      <c r="AI195" s="268">
        <f t="shared" si="215"/>
        <v>0.55683741817755916</v>
      </c>
      <c r="AJ195" s="268">
        <f t="shared" si="217"/>
        <v>0.58467928908643718</v>
      </c>
      <c r="AK195" s="268">
        <f t="shared" si="219"/>
        <v>0.6139132535407591</v>
      </c>
      <c r="AL195" s="268">
        <f t="shared" si="221"/>
        <v>0.64460891621779703</v>
      </c>
      <c r="AM195" s="268">
        <f t="shared" si="223"/>
        <v>0.67683936202868689</v>
      </c>
      <c r="AN195" s="268">
        <f t="shared" si="225"/>
        <v>0.71068133013012125</v>
      </c>
      <c r="AO195" s="268">
        <f t="shared" si="227"/>
        <v>0.74621539663662739</v>
      </c>
      <c r="AP195" s="268">
        <f t="shared" si="229"/>
        <v>0.78352616646845885</v>
      </c>
      <c r="AQ195" s="268">
        <f t="shared" si="231"/>
        <v>0.82270247479188185</v>
      </c>
      <c r="AR195" s="268">
        <f t="shared" si="233"/>
        <v>0.86383759853147601</v>
      </c>
      <c r="AS195" s="268">
        <f t="shared" si="235"/>
        <v>0.90702947845804982</v>
      </c>
      <c r="AT195" s="268">
        <f t="shared" ref="AT195:AT200" si="237">AU195/(1+P$17)</f>
        <v>0.95238095238095233</v>
      </c>
      <c r="AU195" s="260">
        <v>1</v>
      </c>
      <c r="AV195" s="301">
        <f>AU195*(1+R$17)</f>
        <v>1.05</v>
      </c>
      <c r="AW195" s="301">
        <f>AV195*(1+S$17)</f>
        <v>1.1025</v>
      </c>
      <c r="AX195" s="301">
        <f>AW195*(1+T$17)</f>
        <v>1.1576250000000001</v>
      </c>
      <c r="AY195" s="301">
        <f>AX195*(1+U$17)</f>
        <v>1.2155062500000002</v>
      </c>
      <c r="AZ195" s="301">
        <f>AY195*(1+V$17)</f>
        <v>1.2762815625000004</v>
      </c>
    </row>
    <row r="196" spans="28:56" ht="14.25" customHeight="1">
      <c r="AB196" s="258">
        <v>182</v>
      </c>
      <c r="AC196" s="371"/>
      <c r="AD196" s="267" t="s">
        <v>2388</v>
      </c>
      <c r="AF196" s="268">
        <f t="shared" si="209"/>
        <v>0.45811152199139993</v>
      </c>
      <c r="AG196" s="268">
        <f t="shared" si="211"/>
        <v>0.48101709809096993</v>
      </c>
      <c r="AH196" s="268">
        <f t="shared" si="213"/>
        <v>0.50506795299551843</v>
      </c>
      <c r="AI196" s="268">
        <f t="shared" si="215"/>
        <v>0.5303213506452944</v>
      </c>
      <c r="AJ196" s="268">
        <f t="shared" si="217"/>
        <v>0.55683741817755916</v>
      </c>
      <c r="AK196" s="268">
        <f t="shared" si="219"/>
        <v>0.58467928908643718</v>
      </c>
      <c r="AL196" s="268">
        <f t="shared" si="221"/>
        <v>0.6139132535407591</v>
      </c>
      <c r="AM196" s="268">
        <f t="shared" si="223"/>
        <v>0.64460891621779703</v>
      </c>
      <c r="AN196" s="268">
        <f t="shared" si="225"/>
        <v>0.67683936202868689</v>
      </c>
      <c r="AO196" s="268">
        <f t="shared" si="227"/>
        <v>0.71068133013012125</v>
      </c>
      <c r="AP196" s="268">
        <f t="shared" si="229"/>
        <v>0.74621539663662739</v>
      </c>
      <c r="AQ196" s="268">
        <f t="shared" si="231"/>
        <v>0.78352616646845885</v>
      </c>
      <c r="AR196" s="268">
        <f t="shared" si="233"/>
        <v>0.82270247479188185</v>
      </c>
      <c r="AS196" s="268">
        <f t="shared" si="235"/>
        <v>0.86383759853147601</v>
      </c>
      <c r="AT196" s="268">
        <f t="shared" si="237"/>
        <v>0.90702947845804982</v>
      </c>
      <c r="AU196" s="268">
        <f>AV196/(1+Q$17)</f>
        <v>0.95238095238095233</v>
      </c>
      <c r="AV196" s="260">
        <v>1</v>
      </c>
      <c r="AW196" s="301">
        <f>AV196*(1+S$17)</f>
        <v>1.05</v>
      </c>
      <c r="AX196" s="301">
        <f>AW196*(1+T$17)</f>
        <v>1.1025</v>
      </c>
      <c r="AY196" s="301">
        <f>AX196*(1+U$17)</f>
        <v>1.1576250000000001</v>
      </c>
      <c r="AZ196" s="301">
        <f>AY196*(1+V$17)</f>
        <v>1.2155062500000002</v>
      </c>
    </row>
    <row r="197" spans="28:56" ht="14.25" customHeight="1">
      <c r="AB197" s="258">
        <v>183</v>
      </c>
      <c r="AC197" s="371"/>
      <c r="AD197" s="267" t="s">
        <v>2389</v>
      </c>
      <c r="AF197" s="268">
        <f t="shared" si="209"/>
        <v>0.43629668761085705</v>
      </c>
      <c r="AG197" s="268">
        <f t="shared" si="211"/>
        <v>0.45811152199139993</v>
      </c>
      <c r="AH197" s="268">
        <f t="shared" si="213"/>
        <v>0.48101709809096993</v>
      </c>
      <c r="AI197" s="268">
        <f t="shared" si="215"/>
        <v>0.50506795299551843</v>
      </c>
      <c r="AJ197" s="268">
        <f t="shared" si="217"/>
        <v>0.5303213506452944</v>
      </c>
      <c r="AK197" s="268">
        <f t="shared" si="219"/>
        <v>0.55683741817755916</v>
      </c>
      <c r="AL197" s="268">
        <f t="shared" si="221"/>
        <v>0.58467928908643718</v>
      </c>
      <c r="AM197" s="268">
        <f t="shared" si="223"/>
        <v>0.6139132535407591</v>
      </c>
      <c r="AN197" s="268">
        <f t="shared" si="225"/>
        <v>0.64460891621779703</v>
      </c>
      <c r="AO197" s="268">
        <f t="shared" si="227"/>
        <v>0.67683936202868689</v>
      </c>
      <c r="AP197" s="268">
        <f t="shared" si="229"/>
        <v>0.71068133013012125</v>
      </c>
      <c r="AQ197" s="268">
        <f t="shared" si="231"/>
        <v>0.74621539663662739</v>
      </c>
      <c r="AR197" s="268">
        <f t="shared" si="233"/>
        <v>0.78352616646845885</v>
      </c>
      <c r="AS197" s="268">
        <f t="shared" si="235"/>
        <v>0.82270247479188185</v>
      </c>
      <c r="AT197" s="268">
        <f t="shared" si="237"/>
        <v>0.86383759853147601</v>
      </c>
      <c r="AU197" s="268">
        <f>AV197/(1+Q$17)</f>
        <v>0.90702947845804982</v>
      </c>
      <c r="AV197" s="268">
        <f>AW197/(1+R$17)</f>
        <v>0.95238095238095233</v>
      </c>
      <c r="AW197" s="260">
        <v>1</v>
      </c>
      <c r="AX197" s="301">
        <f>AW197*(1+T$17)</f>
        <v>1.05</v>
      </c>
      <c r="AY197" s="301">
        <f>AX197*(1+U$17)</f>
        <v>1.1025</v>
      </c>
      <c r="AZ197" s="301">
        <f>AY197*(1+V$17)</f>
        <v>1.1576250000000001</v>
      </c>
    </row>
    <row r="198" spans="28:56" ht="14.25" customHeight="1">
      <c r="AB198" s="258">
        <v>184</v>
      </c>
      <c r="AC198" s="371"/>
      <c r="AD198" s="267" t="s">
        <v>2390</v>
      </c>
      <c r="AF198" s="268">
        <f t="shared" si="209"/>
        <v>0.41552065486748291</v>
      </c>
      <c r="AG198" s="268">
        <f t="shared" si="211"/>
        <v>0.43629668761085705</v>
      </c>
      <c r="AH198" s="268">
        <f t="shared" si="213"/>
        <v>0.45811152199139993</v>
      </c>
      <c r="AI198" s="268">
        <f t="shared" si="215"/>
        <v>0.48101709809096993</v>
      </c>
      <c r="AJ198" s="268">
        <f t="shared" si="217"/>
        <v>0.50506795299551843</v>
      </c>
      <c r="AK198" s="268">
        <f t="shared" si="219"/>
        <v>0.5303213506452944</v>
      </c>
      <c r="AL198" s="268">
        <f t="shared" si="221"/>
        <v>0.55683741817755916</v>
      </c>
      <c r="AM198" s="268">
        <f t="shared" si="223"/>
        <v>0.58467928908643718</v>
      </c>
      <c r="AN198" s="268">
        <f t="shared" si="225"/>
        <v>0.6139132535407591</v>
      </c>
      <c r="AO198" s="268">
        <f t="shared" si="227"/>
        <v>0.64460891621779703</v>
      </c>
      <c r="AP198" s="268">
        <f t="shared" si="229"/>
        <v>0.67683936202868689</v>
      </c>
      <c r="AQ198" s="268">
        <f t="shared" si="231"/>
        <v>0.71068133013012125</v>
      </c>
      <c r="AR198" s="268">
        <f t="shared" si="233"/>
        <v>0.74621539663662739</v>
      </c>
      <c r="AS198" s="268">
        <f t="shared" si="235"/>
        <v>0.78352616646845885</v>
      </c>
      <c r="AT198" s="268">
        <f t="shared" si="237"/>
        <v>0.82270247479188185</v>
      </c>
      <c r="AU198" s="268">
        <f>AV198/(1+Q$17)</f>
        <v>0.86383759853147601</v>
      </c>
      <c r="AV198" s="268">
        <f>AW198/(1+R$17)</f>
        <v>0.90702947845804982</v>
      </c>
      <c r="AW198" s="268">
        <f>AX198/(1+S$17)</f>
        <v>0.95238095238095233</v>
      </c>
      <c r="AX198" s="260">
        <v>1</v>
      </c>
      <c r="AY198" s="301">
        <f>AX198*(1+U$17)</f>
        <v>1.05</v>
      </c>
      <c r="AZ198" s="301">
        <f>AY198*(1+V$17)</f>
        <v>1.1025</v>
      </c>
    </row>
    <row r="199" spans="28:56" ht="14.25" customHeight="1">
      <c r="AB199" s="258">
        <v>185</v>
      </c>
      <c r="AC199" s="371"/>
      <c r="AD199" s="267" t="s">
        <v>2391</v>
      </c>
      <c r="AF199" s="286">
        <f t="shared" si="209"/>
        <v>0.39573395701665037</v>
      </c>
      <c r="AG199" s="286">
        <f t="shared" si="211"/>
        <v>0.41552065486748291</v>
      </c>
      <c r="AH199" s="286">
        <f t="shared" si="213"/>
        <v>0.43629668761085705</v>
      </c>
      <c r="AI199" s="286">
        <f t="shared" si="215"/>
        <v>0.45811152199139993</v>
      </c>
      <c r="AJ199" s="286">
        <f t="shared" si="217"/>
        <v>0.48101709809096993</v>
      </c>
      <c r="AK199" s="286">
        <f t="shared" si="219"/>
        <v>0.50506795299551843</v>
      </c>
      <c r="AL199" s="286">
        <f t="shared" si="221"/>
        <v>0.5303213506452944</v>
      </c>
      <c r="AM199" s="286">
        <f t="shared" si="223"/>
        <v>0.55683741817755916</v>
      </c>
      <c r="AN199" s="286">
        <f t="shared" si="225"/>
        <v>0.58467928908643718</v>
      </c>
      <c r="AO199" s="286">
        <f t="shared" si="227"/>
        <v>0.6139132535407591</v>
      </c>
      <c r="AP199" s="286">
        <f t="shared" si="229"/>
        <v>0.64460891621779703</v>
      </c>
      <c r="AQ199" s="286">
        <f t="shared" si="231"/>
        <v>0.67683936202868689</v>
      </c>
      <c r="AR199" s="286">
        <f t="shared" si="233"/>
        <v>0.71068133013012125</v>
      </c>
      <c r="AS199" s="286">
        <f t="shared" si="235"/>
        <v>0.74621539663662739</v>
      </c>
      <c r="AT199" s="286">
        <f t="shared" si="237"/>
        <v>0.78352616646845885</v>
      </c>
      <c r="AU199" s="286">
        <f>AV199/(1+Q$17)</f>
        <v>0.82270247479188185</v>
      </c>
      <c r="AV199" s="286">
        <f>AW199/(1+R$17)</f>
        <v>0.86383759853147601</v>
      </c>
      <c r="AW199" s="286">
        <f>AX199/(1+S$17)</f>
        <v>0.90702947845804982</v>
      </c>
      <c r="AX199" s="286">
        <f>AY199/(1+T$17)</f>
        <v>0.95238095238095233</v>
      </c>
      <c r="AY199" s="287">
        <v>1</v>
      </c>
      <c r="AZ199" s="301">
        <f>AY199*(1+V$17)</f>
        <v>1.05</v>
      </c>
    </row>
    <row r="200" spans="28:56" ht="15" customHeight="1">
      <c r="AB200" s="258">
        <v>186</v>
      </c>
      <c r="AC200" s="371"/>
      <c r="AD200" s="291" t="s">
        <v>2392</v>
      </c>
      <c r="AF200" s="292">
        <f t="shared" si="209"/>
        <v>0.37688948287300034</v>
      </c>
      <c r="AG200" s="292">
        <f t="shared" si="211"/>
        <v>0.39573395701665037</v>
      </c>
      <c r="AH200" s="292">
        <f t="shared" si="213"/>
        <v>0.41552065486748291</v>
      </c>
      <c r="AI200" s="292">
        <f t="shared" si="215"/>
        <v>0.43629668761085705</v>
      </c>
      <c r="AJ200" s="292">
        <f t="shared" si="217"/>
        <v>0.45811152199139993</v>
      </c>
      <c r="AK200" s="292">
        <f t="shared" si="219"/>
        <v>0.48101709809096993</v>
      </c>
      <c r="AL200" s="292">
        <f t="shared" si="221"/>
        <v>0.50506795299551843</v>
      </c>
      <c r="AM200" s="292">
        <f t="shared" si="223"/>
        <v>0.5303213506452944</v>
      </c>
      <c r="AN200" s="292">
        <f t="shared" si="225"/>
        <v>0.55683741817755916</v>
      </c>
      <c r="AO200" s="292">
        <f t="shared" si="227"/>
        <v>0.58467928908643718</v>
      </c>
      <c r="AP200" s="292">
        <f t="shared" si="229"/>
        <v>0.6139132535407591</v>
      </c>
      <c r="AQ200" s="292">
        <f t="shared" si="231"/>
        <v>0.64460891621779703</v>
      </c>
      <c r="AR200" s="292">
        <f t="shared" si="233"/>
        <v>0.67683936202868689</v>
      </c>
      <c r="AS200" s="292">
        <f t="shared" si="235"/>
        <v>0.71068133013012125</v>
      </c>
      <c r="AT200" s="292">
        <f t="shared" si="237"/>
        <v>0.74621539663662739</v>
      </c>
      <c r="AU200" s="292">
        <f>AV200/(1+Q$17)</f>
        <v>0.78352616646845885</v>
      </c>
      <c r="AV200" s="292">
        <f>AW200/(1+R$17)</f>
        <v>0.82270247479188185</v>
      </c>
      <c r="AW200" s="292">
        <f>AX200/(1+S$17)</f>
        <v>0.86383759853147601</v>
      </c>
      <c r="AX200" s="292">
        <f>AY200/(1+T$17)</f>
        <v>0.90702947845804982</v>
      </c>
      <c r="AY200" s="292">
        <f>AZ200/(1+U$17)</f>
        <v>0.95238095238095233</v>
      </c>
      <c r="AZ200" s="293">
        <v>1</v>
      </c>
    </row>
    <row r="201" spans="28:56" ht="14.25" customHeight="1">
      <c r="AB201" s="258">
        <v>187</v>
      </c>
      <c r="AC201" s="371" t="s">
        <v>2532</v>
      </c>
      <c r="AD201" s="259" t="s">
        <v>2372</v>
      </c>
      <c r="AF201" s="295">
        <v>1</v>
      </c>
      <c r="AG201" s="301">
        <f t="shared" ref="AG201:BD201" si="238">AF201*(1+C$19)</f>
        <v>1.0149999999999999</v>
      </c>
      <c r="AH201" s="301">
        <f t="shared" si="238"/>
        <v>1.0302249999999997</v>
      </c>
      <c r="AI201" s="301">
        <f t="shared" si="238"/>
        <v>1.0456783749999996</v>
      </c>
      <c r="AJ201" s="301">
        <f t="shared" si="238"/>
        <v>1.0613635506249994</v>
      </c>
      <c r="AK201" s="301">
        <f t="shared" si="238"/>
        <v>1.0772840038843743</v>
      </c>
      <c r="AL201" s="301">
        <f t="shared" si="238"/>
        <v>1.0934432639426397</v>
      </c>
      <c r="AM201" s="301">
        <f t="shared" si="238"/>
        <v>1.1098449129017791</v>
      </c>
      <c r="AN201" s="301">
        <f t="shared" si="238"/>
        <v>1.1264925865953057</v>
      </c>
      <c r="AO201" s="301">
        <f t="shared" si="238"/>
        <v>1.1433899753942351</v>
      </c>
      <c r="AP201" s="301">
        <f t="shared" si="238"/>
        <v>1.1605408250251485</v>
      </c>
      <c r="AQ201" s="301">
        <f t="shared" si="238"/>
        <v>1.1779489374005256</v>
      </c>
      <c r="AR201" s="301">
        <f t="shared" si="238"/>
        <v>1.1956181714615335</v>
      </c>
      <c r="AS201" s="301">
        <f t="shared" si="238"/>
        <v>1.2135524440334564</v>
      </c>
      <c r="AT201" s="301">
        <f t="shared" si="238"/>
        <v>1.2317557306939582</v>
      </c>
      <c r="AU201" s="301">
        <f t="shared" si="238"/>
        <v>1.2502320666543674</v>
      </c>
      <c r="AV201" s="301">
        <f t="shared" si="238"/>
        <v>1.2689855476541827</v>
      </c>
      <c r="AW201" s="301">
        <f t="shared" si="238"/>
        <v>1.2880203308689953</v>
      </c>
      <c r="AX201" s="301">
        <f t="shared" si="238"/>
        <v>1.3073406358320301</v>
      </c>
      <c r="AY201" s="301">
        <f t="shared" si="238"/>
        <v>1.3269507453695104</v>
      </c>
      <c r="AZ201" s="301">
        <f t="shared" si="238"/>
        <v>1.3468550065500529</v>
      </c>
      <c r="BA201" s="301">
        <f t="shared" si="238"/>
        <v>1.3670578316483035</v>
      </c>
      <c r="BB201" s="301">
        <f t="shared" si="238"/>
        <v>1.387563699123028</v>
      </c>
      <c r="BC201" s="301">
        <f t="shared" si="238"/>
        <v>1.4083771546098733</v>
      </c>
      <c r="BD201" s="301">
        <f t="shared" si="238"/>
        <v>1.4083771546098733</v>
      </c>
    </row>
    <row r="202" spans="28:56" ht="14.25" customHeight="1">
      <c r="AB202" s="258">
        <v>188</v>
      </c>
      <c r="AC202" s="371"/>
      <c r="AD202" s="243" t="s">
        <v>2373</v>
      </c>
      <c r="AF202" s="268">
        <f t="shared" ref="AF202:AF221" si="239">AG202/(1+B$19)</f>
        <v>0.98522167487684742</v>
      </c>
      <c r="AG202" s="295">
        <v>1</v>
      </c>
      <c r="AH202" s="301">
        <f t="shared" ref="AH202:AZ202" si="240">AG202*(1+D$19)</f>
        <v>1.0149999999999999</v>
      </c>
      <c r="AI202" s="301">
        <f t="shared" si="240"/>
        <v>1.0302249999999997</v>
      </c>
      <c r="AJ202" s="301">
        <f t="shared" si="240"/>
        <v>1.0456783749999996</v>
      </c>
      <c r="AK202" s="301">
        <f t="shared" si="240"/>
        <v>1.0613635506249994</v>
      </c>
      <c r="AL202" s="301">
        <f t="shared" si="240"/>
        <v>1.0772840038843743</v>
      </c>
      <c r="AM202" s="301">
        <f t="shared" si="240"/>
        <v>1.0934432639426397</v>
      </c>
      <c r="AN202" s="301">
        <f t="shared" si="240"/>
        <v>1.1098449129017791</v>
      </c>
      <c r="AO202" s="301">
        <f t="shared" si="240"/>
        <v>1.1264925865953057</v>
      </c>
      <c r="AP202" s="301">
        <f t="shared" si="240"/>
        <v>1.1433899753942351</v>
      </c>
      <c r="AQ202" s="301">
        <f t="shared" si="240"/>
        <v>1.1605408250251485</v>
      </c>
      <c r="AR202" s="301">
        <f t="shared" si="240"/>
        <v>1.1779489374005256</v>
      </c>
      <c r="AS202" s="301">
        <f t="shared" si="240"/>
        <v>1.1956181714615335</v>
      </c>
      <c r="AT202" s="301">
        <f t="shared" si="240"/>
        <v>1.2135524440334564</v>
      </c>
      <c r="AU202" s="301">
        <f t="shared" si="240"/>
        <v>1.2317557306939582</v>
      </c>
      <c r="AV202" s="301">
        <f t="shared" si="240"/>
        <v>1.2502320666543674</v>
      </c>
      <c r="AW202" s="301">
        <f t="shared" si="240"/>
        <v>1.2689855476541827</v>
      </c>
      <c r="AX202" s="301">
        <f t="shared" si="240"/>
        <v>1.2880203308689953</v>
      </c>
      <c r="AY202" s="301">
        <f t="shared" si="240"/>
        <v>1.3073406358320301</v>
      </c>
      <c r="AZ202" s="301">
        <f t="shared" si="240"/>
        <v>1.3269507453695104</v>
      </c>
    </row>
    <row r="203" spans="28:56" ht="14.25" customHeight="1">
      <c r="AB203" s="258">
        <v>189</v>
      </c>
      <c r="AC203" s="371"/>
      <c r="AD203" s="267" t="s">
        <v>2374</v>
      </c>
      <c r="AF203" s="268">
        <f t="shared" si="239"/>
        <v>0.97066174864714039</v>
      </c>
      <c r="AG203" s="268">
        <f t="shared" ref="AG203:AG221" si="241">AH203/(1+C$19)</f>
        <v>0.98522167487684742</v>
      </c>
      <c r="AH203" s="260">
        <v>1</v>
      </c>
      <c r="AI203" s="301">
        <f t="shared" ref="AI203:AZ203" si="242">AH203*(1+E$19)</f>
        <v>1.0149999999999999</v>
      </c>
      <c r="AJ203" s="301">
        <f t="shared" si="242"/>
        <v>1.0302249999999997</v>
      </c>
      <c r="AK203" s="301">
        <f t="shared" si="242"/>
        <v>1.0456783749999996</v>
      </c>
      <c r="AL203" s="301">
        <f t="shared" si="242"/>
        <v>1.0613635506249994</v>
      </c>
      <c r="AM203" s="301">
        <f t="shared" si="242"/>
        <v>1.0772840038843743</v>
      </c>
      <c r="AN203" s="301">
        <f t="shared" si="242"/>
        <v>1.0934432639426397</v>
      </c>
      <c r="AO203" s="301">
        <f t="shared" si="242"/>
        <v>1.1098449129017791</v>
      </c>
      <c r="AP203" s="301">
        <f t="shared" si="242"/>
        <v>1.1264925865953057</v>
      </c>
      <c r="AQ203" s="301">
        <f t="shared" si="242"/>
        <v>1.1433899753942351</v>
      </c>
      <c r="AR203" s="301">
        <f t="shared" si="242"/>
        <v>1.1605408250251485</v>
      </c>
      <c r="AS203" s="301">
        <f t="shared" si="242"/>
        <v>1.1779489374005256</v>
      </c>
      <c r="AT203" s="301">
        <f t="shared" si="242"/>
        <v>1.1956181714615335</v>
      </c>
      <c r="AU203" s="301">
        <f t="shared" si="242"/>
        <v>1.2135524440334564</v>
      </c>
      <c r="AV203" s="301">
        <f t="shared" si="242"/>
        <v>1.2317557306939582</v>
      </c>
      <c r="AW203" s="301">
        <f t="shared" si="242"/>
        <v>1.2502320666543674</v>
      </c>
      <c r="AX203" s="301">
        <f t="shared" si="242"/>
        <v>1.2689855476541827</v>
      </c>
      <c r="AY203" s="301">
        <f t="shared" si="242"/>
        <v>1.2880203308689953</v>
      </c>
      <c r="AZ203" s="301">
        <f t="shared" si="242"/>
        <v>1.3073406358320301</v>
      </c>
    </row>
    <row r="204" spans="28:56" ht="14.25" customHeight="1">
      <c r="AB204" s="258">
        <v>190</v>
      </c>
      <c r="AC204" s="371"/>
      <c r="AD204" s="267" t="s">
        <v>2375</v>
      </c>
      <c r="AF204" s="268">
        <f t="shared" si="239"/>
        <v>0.95631699374102508</v>
      </c>
      <c r="AG204" s="268">
        <f t="shared" si="241"/>
        <v>0.97066174864714039</v>
      </c>
      <c r="AH204" s="268">
        <f t="shared" ref="AH204:AH221" si="243">AI204/(1+D$19)</f>
        <v>0.98522167487684742</v>
      </c>
      <c r="AI204" s="260">
        <v>1</v>
      </c>
      <c r="AJ204" s="301">
        <f t="shared" ref="AJ204:AZ204" si="244">AI204*(1+F$19)</f>
        <v>1.0149999999999999</v>
      </c>
      <c r="AK204" s="301">
        <f t="shared" si="244"/>
        <v>1.0302249999999997</v>
      </c>
      <c r="AL204" s="301">
        <f t="shared" si="244"/>
        <v>1.0456783749999996</v>
      </c>
      <c r="AM204" s="301">
        <f t="shared" si="244"/>
        <v>1.0613635506249994</v>
      </c>
      <c r="AN204" s="301">
        <f t="shared" si="244"/>
        <v>1.0772840038843743</v>
      </c>
      <c r="AO204" s="301">
        <f t="shared" si="244"/>
        <v>1.0934432639426397</v>
      </c>
      <c r="AP204" s="301">
        <f t="shared" si="244"/>
        <v>1.1098449129017791</v>
      </c>
      <c r="AQ204" s="301">
        <f t="shared" si="244"/>
        <v>1.1264925865953057</v>
      </c>
      <c r="AR204" s="301">
        <f t="shared" si="244"/>
        <v>1.1433899753942351</v>
      </c>
      <c r="AS204" s="301">
        <f t="shared" si="244"/>
        <v>1.1605408250251485</v>
      </c>
      <c r="AT204" s="301">
        <f t="shared" si="244"/>
        <v>1.1779489374005256</v>
      </c>
      <c r="AU204" s="301">
        <f t="shared" si="244"/>
        <v>1.1956181714615335</v>
      </c>
      <c r="AV204" s="301">
        <f t="shared" si="244"/>
        <v>1.2135524440334564</v>
      </c>
      <c r="AW204" s="301">
        <f t="shared" si="244"/>
        <v>1.2317557306939582</v>
      </c>
      <c r="AX204" s="301">
        <f t="shared" si="244"/>
        <v>1.2502320666543674</v>
      </c>
      <c r="AY204" s="301">
        <f t="shared" si="244"/>
        <v>1.2689855476541827</v>
      </c>
      <c r="AZ204" s="301">
        <f t="shared" si="244"/>
        <v>1.2880203308689953</v>
      </c>
    </row>
    <row r="205" spans="28:56" ht="14.25" customHeight="1">
      <c r="AB205" s="258">
        <v>191</v>
      </c>
      <c r="AC205" s="371"/>
      <c r="AD205" s="267" t="s">
        <v>2376</v>
      </c>
      <c r="AF205" s="268">
        <f t="shared" si="239"/>
        <v>0.94218423028672427</v>
      </c>
      <c r="AG205" s="268">
        <f t="shared" si="241"/>
        <v>0.95631699374102508</v>
      </c>
      <c r="AH205" s="268">
        <f t="shared" si="243"/>
        <v>0.97066174864714039</v>
      </c>
      <c r="AI205" s="268">
        <f t="shared" ref="AI205:AI221" si="245">AJ205/(1+E$19)</f>
        <v>0.98522167487684742</v>
      </c>
      <c r="AJ205" s="260">
        <v>1</v>
      </c>
      <c r="AK205" s="301">
        <f t="shared" ref="AK205:AZ205" si="246">AJ205*(1+G$19)</f>
        <v>1.0149999999999999</v>
      </c>
      <c r="AL205" s="301">
        <f t="shared" si="246"/>
        <v>1.0302249999999997</v>
      </c>
      <c r="AM205" s="301">
        <f t="shared" si="246"/>
        <v>1.0456783749999996</v>
      </c>
      <c r="AN205" s="301">
        <f t="shared" si="246"/>
        <v>1.0613635506249994</v>
      </c>
      <c r="AO205" s="301">
        <f t="shared" si="246"/>
        <v>1.0772840038843743</v>
      </c>
      <c r="AP205" s="301">
        <f t="shared" si="246"/>
        <v>1.0934432639426397</v>
      </c>
      <c r="AQ205" s="301">
        <f t="shared" si="246"/>
        <v>1.1098449129017791</v>
      </c>
      <c r="AR205" s="301">
        <f t="shared" si="246"/>
        <v>1.1264925865953057</v>
      </c>
      <c r="AS205" s="301">
        <f t="shared" si="246"/>
        <v>1.1433899753942351</v>
      </c>
      <c r="AT205" s="301">
        <f t="shared" si="246"/>
        <v>1.1605408250251485</v>
      </c>
      <c r="AU205" s="301">
        <f t="shared" si="246"/>
        <v>1.1779489374005256</v>
      </c>
      <c r="AV205" s="301">
        <f t="shared" si="246"/>
        <v>1.1956181714615335</v>
      </c>
      <c r="AW205" s="301">
        <f t="shared" si="246"/>
        <v>1.2135524440334564</v>
      </c>
      <c r="AX205" s="301">
        <f t="shared" si="246"/>
        <v>1.2317557306939582</v>
      </c>
      <c r="AY205" s="301">
        <f t="shared" si="246"/>
        <v>1.2502320666543674</v>
      </c>
      <c r="AZ205" s="301">
        <f t="shared" si="246"/>
        <v>1.2689855476541827</v>
      </c>
    </row>
    <row r="206" spans="28:56" ht="14.25" customHeight="1">
      <c r="AB206" s="258">
        <v>192</v>
      </c>
      <c r="AC206" s="371"/>
      <c r="AD206" s="267" t="s">
        <v>2377</v>
      </c>
      <c r="AF206" s="268">
        <f t="shared" si="239"/>
        <v>0.92826032540563974</v>
      </c>
      <c r="AG206" s="268">
        <f t="shared" si="241"/>
        <v>0.94218423028672427</v>
      </c>
      <c r="AH206" s="268">
        <f t="shared" si="243"/>
        <v>0.95631699374102508</v>
      </c>
      <c r="AI206" s="268">
        <f t="shared" si="245"/>
        <v>0.97066174864714039</v>
      </c>
      <c r="AJ206" s="268">
        <f t="shared" ref="AJ206:AJ221" si="247">AK206/(1+F$19)</f>
        <v>0.98522167487684742</v>
      </c>
      <c r="AK206" s="260">
        <v>1</v>
      </c>
      <c r="AL206" s="301">
        <f t="shared" ref="AL206:AZ206" si="248">AK206*(1+H$19)</f>
        <v>1.0149999999999999</v>
      </c>
      <c r="AM206" s="301">
        <f t="shared" si="248"/>
        <v>1.0302249999999997</v>
      </c>
      <c r="AN206" s="301">
        <f t="shared" si="248"/>
        <v>1.0456783749999996</v>
      </c>
      <c r="AO206" s="301">
        <f t="shared" si="248"/>
        <v>1.0613635506249994</v>
      </c>
      <c r="AP206" s="301">
        <f t="shared" si="248"/>
        <v>1.0772840038843743</v>
      </c>
      <c r="AQ206" s="301">
        <f t="shared" si="248"/>
        <v>1.0934432639426397</v>
      </c>
      <c r="AR206" s="301">
        <f t="shared" si="248"/>
        <v>1.1098449129017791</v>
      </c>
      <c r="AS206" s="301">
        <f t="shared" si="248"/>
        <v>1.1264925865953057</v>
      </c>
      <c r="AT206" s="301">
        <f t="shared" si="248"/>
        <v>1.1433899753942351</v>
      </c>
      <c r="AU206" s="301">
        <f t="shared" si="248"/>
        <v>1.1605408250251485</v>
      </c>
      <c r="AV206" s="301">
        <f t="shared" si="248"/>
        <v>1.1779489374005256</v>
      </c>
      <c r="AW206" s="301">
        <f t="shared" si="248"/>
        <v>1.1956181714615335</v>
      </c>
      <c r="AX206" s="301">
        <f t="shared" si="248"/>
        <v>1.2135524440334564</v>
      </c>
      <c r="AY206" s="301">
        <f t="shared" si="248"/>
        <v>1.2317557306939582</v>
      </c>
      <c r="AZ206" s="301">
        <f t="shared" si="248"/>
        <v>1.2502320666543674</v>
      </c>
    </row>
    <row r="207" spans="28:56" ht="14.25" customHeight="1">
      <c r="AB207" s="258">
        <v>193</v>
      </c>
      <c r="AC207" s="371"/>
      <c r="AD207" s="267" t="s">
        <v>2378</v>
      </c>
      <c r="AF207" s="268">
        <f t="shared" si="239"/>
        <v>0.91454219251787172</v>
      </c>
      <c r="AG207" s="268">
        <f t="shared" si="241"/>
        <v>0.92826032540563974</v>
      </c>
      <c r="AH207" s="268">
        <f t="shared" si="243"/>
        <v>0.94218423028672427</v>
      </c>
      <c r="AI207" s="268">
        <f t="shared" si="245"/>
        <v>0.95631699374102508</v>
      </c>
      <c r="AJ207" s="268">
        <f t="shared" si="247"/>
        <v>0.97066174864714039</v>
      </c>
      <c r="AK207" s="268">
        <f t="shared" ref="AK207:AK221" si="249">AL207/(1+G$19)</f>
        <v>0.98522167487684742</v>
      </c>
      <c r="AL207" s="260">
        <v>1</v>
      </c>
      <c r="AM207" s="301">
        <f t="shared" ref="AM207:AZ207" si="250">AL207*(1+I$19)</f>
        <v>1.0149999999999999</v>
      </c>
      <c r="AN207" s="301">
        <f t="shared" si="250"/>
        <v>1.0302249999999997</v>
      </c>
      <c r="AO207" s="301">
        <f t="shared" si="250"/>
        <v>1.0456783749999996</v>
      </c>
      <c r="AP207" s="301">
        <f t="shared" si="250"/>
        <v>1.0613635506249994</v>
      </c>
      <c r="AQ207" s="301">
        <f t="shared" si="250"/>
        <v>1.0772840038843743</v>
      </c>
      <c r="AR207" s="301">
        <f t="shared" si="250"/>
        <v>1.0934432639426397</v>
      </c>
      <c r="AS207" s="301">
        <f t="shared" si="250"/>
        <v>1.1098449129017791</v>
      </c>
      <c r="AT207" s="301">
        <f t="shared" si="250"/>
        <v>1.1264925865953057</v>
      </c>
      <c r="AU207" s="301">
        <f t="shared" si="250"/>
        <v>1.1433899753942351</v>
      </c>
      <c r="AV207" s="301">
        <f t="shared" si="250"/>
        <v>1.1605408250251485</v>
      </c>
      <c r="AW207" s="301">
        <f t="shared" si="250"/>
        <v>1.1779489374005256</v>
      </c>
      <c r="AX207" s="301">
        <f t="shared" si="250"/>
        <v>1.1956181714615335</v>
      </c>
      <c r="AY207" s="301">
        <f t="shared" si="250"/>
        <v>1.2135524440334564</v>
      </c>
      <c r="AZ207" s="301">
        <f t="shared" si="250"/>
        <v>1.2317557306939582</v>
      </c>
    </row>
    <row r="208" spans="28:56" ht="14.25" customHeight="1">
      <c r="AB208" s="258">
        <v>194</v>
      </c>
      <c r="AC208" s="371"/>
      <c r="AD208" s="267" t="s">
        <v>2379</v>
      </c>
      <c r="AF208" s="268">
        <f t="shared" si="239"/>
        <v>0.90102679065800173</v>
      </c>
      <c r="AG208" s="268">
        <f t="shared" si="241"/>
        <v>0.91454219251787172</v>
      </c>
      <c r="AH208" s="268">
        <f t="shared" si="243"/>
        <v>0.92826032540563974</v>
      </c>
      <c r="AI208" s="268">
        <f t="shared" si="245"/>
        <v>0.94218423028672427</v>
      </c>
      <c r="AJ208" s="268">
        <f t="shared" si="247"/>
        <v>0.95631699374102508</v>
      </c>
      <c r="AK208" s="268">
        <f t="shared" si="249"/>
        <v>0.97066174864714039</v>
      </c>
      <c r="AL208" s="268">
        <f t="shared" ref="AL208:AL221" si="251">AM208/(1+H$19)</f>
        <v>0.98522167487684742</v>
      </c>
      <c r="AM208" s="260">
        <v>1</v>
      </c>
      <c r="AN208" s="301">
        <f t="shared" ref="AN208:AZ208" si="252">AM208*(1+J$19)</f>
        <v>1.0149999999999999</v>
      </c>
      <c r="AO208" s="301">
        <f t="shared" si="252"/>
        <v>1.0302249999999997</v>
      </c>
      <c r="AP208" s="301">
        <f t="shared" si="252"/>
        <v>1.0456783749999996</v>
      </c>
      <c r="AQ208" s="301">
        <f t="shared" si="252"/>
        <v>1.0613635506249994</v>
      </c>
      <c r="AR208" s="301">
        <f t="shared" si="252"/>
        <v>1.0772840038843743</v>
      </c>
      <c r="AS208" s="301">
        <f t="shared" si="252"/>
        <v>1.0934432639426397</v>
      </c>
      <c r="AT208" s="301">
        <f t="shared" si="252"/>
        <v>1.1098449129017791</v>
      </c>
      <c r="AU208" s="301">
        <f t="shared" si="252"/>
        <v>1.1264925865953057</v>
      </c>
      <c r="AV208" s="301">
        <f t="shared" si="252"/>
        <v>1.1433899753942351</v>
      </c>
      <c r="AW208" s="301">
        <f t="shared" si="252"/>
        <v>1.1605408250251485</v>
      </c>
      <c r="AX208" s="301">
        <f t="shared" si="252"/>
        <v>1.1779489374005256</v>
      </c>
      <c r="AY208" s="301">
        <f t="shared" si="252"/>
        <v>1.1956181714615335</v>
      </c>
      <c r="AZ208" s="301">
        <f t="shared" si="252"/>
        <v>1.2135524440334564</v>
      </c>
    </row>
    <row r="209" spans="28:52" ht="14.25" customHeight="1">
      <c r="AB209" s="258">
        <v>195</v>
      </c>
      <c r="AC209" s="371"/>
      <c r="AD209" s="267" t="s">
        <v>2380</v>
      </c>
      <c r="AF209" s="268">
        <f t="shared" si="239"/>
        <v>0.88771112380098705</v>
      </c>
      <c r="AG209" s="268">
        <f t="shared" si="241"/>
        <v>0.90102679065800173</v>
      </c>
      <c r="AH209" s="268">
        <f t="shared" si="243"/>
        <v>0.91454219251787172</v>
      </c>
      <c r="AI209" s="268">
        <f t="shared" si="245"/>
        <v>0.92826032540563974</v>
      </c>
      <c r="AJ209" s="268">
        <f t="shared" si="247"/>
        <v>0.94218423028672427</v>
      </c>
      <c r="AK209" s="268">
        <f t="shared" si="249"/>
        <v>0.95631699374102508</v>
      </c>
      <c r="AL209" s="268">
        <f t="shared" si="251"/>
        <v>0.97066174864714039</v>
      </c>
      <c r="AM209" s="268">
        <f t="shared" ref="AM209:AM221" si="253">AN209/(1+I$19)</f>
        <v>0.98522167487684742</v>
      </c>
      <c r="AN209" s="260">
        <v>1</v>
      </c>
      <c r="AO209" s="301">
        <f t="shared" ref="AO209:AZ209" si="254">AN209*(1+K$19)</f>
        <v>1.0149999999999999</v>
      </c>
      <c r="AP209" s="301">
        <f t="shared" si="254"/>
        <v>1.0302249999999997</v>
      </c>
      <c r="AQ209" s="301">
        <f t="shared" si="254"/>
        <v>1.0456783749999996</v>
      </c>
      <c r="AR209" s="301">
        <f t="shared" si="254"/>
        <v>1.0613635506249994</v>
      </c>
      <c r="AS209" s="301">
        <f t="shared" si="254"/>
        <v>1.0772840038843743</v>
      </c>
      <c r="AT209" s="301">
        <f t="shared" si="254"/>
        <v>1.0934432639426397</v>
      </c>
      <c r="AU209" s="301">
        <f t="shared" si="254"/>
        <v>1.1098449129017791</v>
      </c>
      <c r="AV209" s="301">
        <f t="shared" si="254"/>
        <v>1.1264925865953057</v>
      </c>
      <c r="AW209" s="301">
        <f t="shared" si="254"/>
        <v>1.1433899753942351</v>
      </c>
      <c r="AX209" s="301">
        <f t="shared" si="254"/>
        <v>1.1605408250251485</v>
      </c>
      <c r="AY209" s="301">
        <f t="shared" si="254"/>
        <v>1.1779489374005256</v>
      </c>
      <c r="AZ209" s="301">
        <f t="shared" si="254"/>
        <v>1.1956181714615335</v>
      </c>
    </row>
    <row r="210" spans="28:52" ht="14.25" customHeight="1">
      <c r="AB210" s="258">
        <v>196</v>
      </c>
      <c r="AC210" s="371"/>
      <c r="AD210" s="267" t="s">
        <v>2381</v>
      </c>
      <c r="AF210" s="268">
        <f t="shared" si="239"/>
        <v>0.87459224019801685</v>
      </c>
      <c r="AG210" s="268">
        <f t="shared" si="241"/>
        <v>0.88771112380098705</v>
      </c>
      <c r="AH210" s="268">
        <f t="shared" si="243"/>
        <v>0.90102679065800173</v>
      </c>
      <c r="AI210" s="268">
        <f t="shared" si="245"/>
        <v>0.91454219251787172</v>
      </c>
      <c r="AJ210" s="268">
        <f t="shared" si="247"/>
        <v>0.92826032540563974</v>
      </c>
      <c r="AK210" s="268">
        <f t="shared" si="249"/>
        <v>0.94218423028672427</v>
      </c>
      <c r="AL210" s="268">
        <f t="shared" si="251"/>
        <v>0.95631699374102508</v>
      </c>
      <c r="AM210" s="268">
        <f t="shared" si="253"/>
        <v>0.97066174864714039</v>
      </c>
      <c r="AN210" s="268">
        <f t="shared" ref="AN210:AN221" si="255">AO210/(1+J$19)</f>
        <v>0.98522167487684742</v>
      </c>
      <c r="AO210" s="260">
        <v>1</v>
      </c>
      <c r="AP210" s="301">
        <f t="shared" ref="AP210:AZ210" si="256">AO210*(1+L$19)</f>
        <v>1.0149999999999999</v>
      </c>
      <c r="AQ210" s="301">
        <f t="shared" si="256"/>
        <v>1.0302249999999997</v>
      </c>
      <c r="AR210" s="301">
        <f t="shared" si="256"/>
        <v>1.0456783749999996</v>
      </c>
      <c r="AS210" s="301">
        <f t="shared" si="256"/>
        <v>1.0613635506249994</v>
      </c>
      <c r="AT210" s="301">
        <f t="shared" si="256"/>
        <v>1.0772840038843743</v>
      </c>
      <c r="AU210" s="301">
        <f t="shared" si="256"/>
        <v>1.0934432639426397</v>
      </c>
      <c r="AV210" s="301">
        <f t="shared" si="256"/>
        <v>1.1098449129017791</v>
      </c>
      <c r="AW210" s="301">
        <f t="shared" si="256"/>
        <v>1.1264925865953057</v>
      </c>
      <c r="AX210" s="301">
        <f t="shared" si="256"/>
        <v>1.1433899753942351</v>
      </c>
      <c r="AY210" s="301">
        <f t="shared" si="256"/>
        <v>1.1605408250251485</v>
      </c>
      <c r="AZ210" s="301">
        <f t="shared" si="256"/>
        <v>1.1779489374005256</v>
      </c>
    </row>
    <row r="211" spans="28:52" ht="14.25" customHeight="1">
      <c r="AB211" s="258">
        <v>197</v>
      </c>
      <c r="AC211" s="371"/>
      <c r="AD211" s="267" t="s">
        <v>2382</v>
      </c>
      <c r="AF211" s="268">
        <f t="shared" si="239"/>
        <v>0.86166723172218418</v>
      </c>
      <c r="AG211" s="268">
        <f t="shared" si="241"/>
        <v>0.87459224019801685</v>
      </c>
      <c r="AH211" s="268">
        <f t="shared" si="243"/>
        <v>0.88771112380098705</v>
      </c>
      <c r="AI211" s="268">
        <f t="shared" si="245"/>
        <v>0.90102679065800173</v>
      </c>
      <c r="AJ211" s="268">
        <f t="shared" si="247"/>
        <v>0.91454219251787172</v>
      </c>
      <c r="AK211" s="268">
        <f t="shared" si="249"/>
        <v>0.92826032540563974</v>
      </c>
      <c r="AL211" s="268">
        <f t="shared" si="251"/>
        <v>0.94218423028672427</v>
      </c>
      <c r="AM211" s="268">
        <f t="shared" si="253"/>
        <v>0.95631699374102508</v>
      </c>
      <c r="AN211" s="268">
        <f t="shared" si="255"/>
        <v>0.97066174864714039</v>
      </c>
      <c r="AO211" s="268">
        <f t="shared" ref="AO211:AO221" si="257">AP211/(1+K$19)</f>
        <v>0.98522167487684742</v>
      </c>
      <c r="AP211" s="260">
        <v>1</v>
      </c>
      <c r="AQ211" s="301">
        <f t="shared" ref="AQ211:AZ211" si="258">AP211*(1+M$19)</f>
        <v>1.0149999999999999</v>
      </c>
      <c r="AR211" s="301">
        <f t="shared" si="258"/>
        <v>1.0302249999999997</v>
      </c>
      <c r="AS211" s="301">
        <f t="shared" si="258"/>
        <v>1.0456783749999996</v>
      </c>
      <c r="AT211" s="301">
        <f t="shared" si="258"/>
        <v>1.0613635506249994</v>
      </c>
      <c r="AU211" s="301">
        <f t="shared" si="258"/>
        <v>1.0772840038843743</v>
      </c>
      <c r="AV211" s="301">
        <f t="shared" si="258"/>
        <v>1.0934432639426397</v>
      </c>
      <c r="AW211" s="301">
        <f t="shared" si="258"/>
        <v>1.1098449129017791</v>
      </c>
      <c r="AX211" s="301">
        <f t="shared" si="258"/>
        <v>1.1264925865953057</v>
      </c>
      <c r="AY211" s="301">
        <f t="shared" si="258"/>
        <v>1.1433899753942351</v>
      </c>
      <c r="AZ211" s="301">
        <f t="shared" si="258"/>
        <v>1.1605408250251485</v>
      </c>
    </row>
    <row r="212" spans="28:52" ht="14.25" customHeight="1">
      <c r="AB212" s="258">
        <v>198</v>
      </c>
      <c r="AC212" s="371"/>
      <c r="AD212" s="267" t="s">
        <v>2383</v>
      </c>
      <c r="AF212" s="268">
        <f t="shared" si="239"/>
        <v>0.84893323322382686</v>
      </c>
      <c r="AG212" s="268">
        <f t="shared" si="241"/>
        <v>0.86166723172218418</v>
      </c>
      <c r="AH212" s="268">
        <f t="shared" si="243"/>
        <v>0.87459224019801685</v>
      </c>
      <c r="AI212" s="268">
        <f t="shared" si="245"/>
        <v>0.88771112380098705</v>
      </c>
      <c r="AJ212" s="268">
        <f t="shared" si="247"/>
        <v>0.90102679065800173</v>
      </c>
      <c r="AK212" s="268">
        <f t="shared" si="249"/>
        <v>0.91454219251787172</v>
      </c>
      <c r="AL212" s="268">
        <f t="shared" si="251"/>
        <v>0.92826032540563974</v>
      </c>
      <c r="AM212" s="268">
        <f t="shared" si="253"/>
        <v>0.94218423028672427</v>
      </c>
      <c r="AN212" s="268">
        <f t="shared" si="255"/>
        <v>0.95631699374102508</v>
      </c>
      <c r="AO212" s="268">
        <f t="shared" si="257"/>
        <v>0.97066174864714039</v>
      </c>
      <c r="AP212" s="268">
        <f t="shared" ref="AP212:AP221" si="259">AQ212/(1+L$19)</f>
        <v>0.98522167487684742</v>
      </c>
      <c r="AQ212" s="260">
        <v>1</v>
      </c>
      <c r="AR212" s="301">
        <f t="shared" ref="AR212:AZ212" si="260">AQ212*(1+N$19)</f>
        <v>1.0149999999999999</v>
      </c>
      <c r="AS212" s="301">
        <f t="shared" si="260"/>
        <v>1.0302249999999997</v>
      </c>
      <c r="AT212" s="301">
        <f t="shared" si="260"/>
        <v>1.0456783749999996</v>
      </c>
      <c r="AU212" s="301">
        <f t="shared" si="260"/>
        <v>1.0613635506249994</v>
      </c>
      <c r="AV212" s="301">
        <f t="shared" si="260"/>
        <v>1.0772840038843743</v>
      </c>
      <c r="AW212" s="301">
        <f t="shared" si="260"/>
        <v>1.0934432639426397</v>
      </c>
      <c r="AX212" s="301">
        <f t="shared" si="260"/>
        <v>1.1098449129017791</v>
      </c>
      <c r="AY212" s="301">
        <f t="shared" si="260"/>
        <v>1.1264925865953057</v>
      </c>
      <c r="AZ212" s="301">
        <f t="shared" si="260"/>
        <v>1.1433899753942351</v>
      </c>
    </row>
    <row r="213" spans="28:52" ht="14.25" customHeight="1">
      <c r="AB213" s="258">
        <v>199</v>
      </c>
      <c r="AC213" s="371"/>
      <c r="AD213" s="267" t="s">
        <v>2384</v>
      </c>
      <c r="AF213" s="268">
        <f t="shared" si="239"/>
        <v>0.83638742189539594</v>
      </c>
      <c r="AG213" s="268">
        <f t="shared" si="241"/>
        <v>0.84893323322382686</v>
      </c>
      <c r="AH213" s="268">
        <f t="shared" si="243"/>
        <v>0.86166723172218418</v>
      </c>
      <c r="AI213" s="268">
        <f t="shared" si="245"/>
        <v>0.87459224019801685</v>
      </c>
      <c r="AJ213" s="268">
        <f t="shared" si="247"/>
        <v>0.88771112380098705</v>
      </c>
      <c r="AK213" s="268">
        <f t="shared" si="249"/>
        <v>0.90102679065800173</v>
      </c>
      <c r="AL213" s="268">
        <f t="shared" si="251"/>
        <v>0.91454219251787172</v>
      </c>
      <c r="AM213" s="268">
        <f t="shared" si="253"/>
        <v>0.92826032540563974</v>
      </c>
      <c r="AN213" s="268">
        <f t="shared" si="255"/>
        <v>0.94218423028672427</v>
      </c>
      <c r="AO213" s="268">
        <f t="shared" si="257"/>
        <v>0.95631699374102508</v>
      </c>
      <c r="AP213" s="268">
        <f t="shared" si="259"/>
        <v>0.97066174864714039</v>
      </c>
      <c r="AQ213" s="268">
        <f t="shared" ref="AQ213:AQ221" si="261">AR213/(1+M$19)</f>
        <v>0.98522167487684742</v>
      </c>
      <c r="AR213" s="260">
        <v>1</v>
      </c>
      <c r="AS213" s="301">
        <f t="shared" ref="AS213:AZ213" si="262">AR213*(1+O$19)</f>
        <v>1.0149999999999999</v>
      </c>
      <c r="AT213" s="301">
        <f t="shared" si="262"/>
        <v>1.0302249999999997</v>
      </c>
      <c r="AU213" s="301">
        <f t="shared" si="262"/>
        <v>1.0456783749999996</v>
      </c>
      <c r="AV213" s="301">
        <f t="shared" si="262"/>
        <v>1.0613635506249994</v>
      </c>
      <c r="AW213" s="301">
        <f t="shared" si="262"/>
        <v>1.0772840038843743</v>
      </c>
      <c r="AX213" s="301">
        <f t="shared" si="262"/>
        <v>1.0934432639426397</v>
      </c>
      <c r="AY213" s="301">
        <f t="shared" si="262"/>
        <v>1.1098449129017791</v>
      </c>
      <c r="AZ213" s="301">
        <f t="shared" si="262"/>
        <v>1.1264925865953057</v>
      </c>
    </row>
    <row r="214" spans="28:52" ht="14.25" customHeight="1">
      <c r="AB214" s="258">
        <v>200</v>
      </c>
      <c r="AC214" s="371"/>
      <c r="AD214" s="267" t="s">
        <v>2385</v>
      </c>
      <c r="AF214" s="268">
        <f t="shared" si="239"/>
        <v>0.82402701664571032</v>
      </c>
      <c r="AG214" s="268">
        <f t="shared" si="241"/>
        <v>0.83638742189539594</v>
      </c>
      <c r="AH214" s="268">
        <f t="shared" si="243"/>
        <v>0.84893323322382686</v>
      </c>
      <c r="AI214" s="268">
        <f t="shared" si="245"/>
        <v>0.86166723172218418</v>
      </c>
      <c r="AJ214" s="268">
        <f t="shared" si="247"/>
        <v>0.87459224019801685</v>
      </c>
      <c r="AK214" s="268">
        <f t="shared" si="249"/>
        <v>0.88771112380098705</v>
      </c>
      <c r="AL214" s="268">
        <f t="shared" si="251"/>
        <v>0.90102679065800173</v>
      </c>
      <c r="AM214" s="268">
        <f t="shared" si="253"/>
        <v>0.91454219251787172</v>
      </c>
      <c r="AN214" s="268">
        <f t="shared" si="255"/>
        <v>0.92826032540563974</v>
      </c>
      <c r="AO214" s="268">
        <f t="shared" si="257"/>
        <v>0.94218423028672427</v>
      </c>
      <c r="AP214" s="268">
        <f t="shared" si="259"/>
        <v>0.95631699374102508</v>
      </c>
      <c r="AQ214" s="268">
        <f t="shared" si="261"/>
        <v>0.97066174864714039</v>
      </c>
      <c r="AR214" s="268">
        <f t="shared" ref="AR214:AR221" si="263">AS214/(1+N$19)</f>
        <v>0.98522167487684742</v>
      </c>
      <c r="AS214" s="260">
        <v>1</v>
      </c>
      <c r="AT214" s="301">
        <f t="shared" ref="AT214:AZ214" si="264">AS214*(1+P$19)</f>
        <v>1.0149999999999999</v>
      </c>
      <c r="AU214" s="301">
        <f t="shared" si="264"/>
        <v>1.0302249999999997</v>
      </c>
      <c r="AV214" s="301">
        <f t="shared" si="264"/>
        <v>1.0456783749999996</v>
      </c>
      <c r="AW214" s="301">
        <f t="shared" si="264"/>
        <v>1.0613635506249994</v>
      </c>
      <c r="AX214" s="301">
        <f t="shared" si="264"/>
        <v>1.0772840038843743</v>
      </c>
      <c r="AY214" s="301">
        <f t="shared" si="264"/>
        <v>1.0934432639426397</v>
      </c>
      <c r="AZ214" s="301">
        <f t="shared" si="264"/>
        <v>1.1098449129017791</v>
      </c>
    </row>
    <row r="215" spans="28:52" ht="14.25" customHeight="1">
      <c r="AB215" s="258">
        <v>201</v>
      </c>
      <c r="AC215" s="371"/>
      <c r="AD215" s="267" t="s">
        <v>2386</v>
      </c>
      <c r="AF215" s="268">
        <f t="shared" si="239"/>
        <v>0.81184927748345848</v>
      </c>
      <c r="AG215" s="268">
        <f t="shared" si="241"/>
        <v>0.82402701664571032</v>
      </c>
      <c r="AH215" s="268">
        <f t="shared" si="243"/>
        <v>0.83638742189539594</v>
      </c>
      <c r="AI215" s="268">
        <f t="shared" si="245"/>
        <v>0.84893323322382686</v>
      </c>
      <c r="AJ215" s="268">
        <f t="shared" si="247"/>
        <v>0.86166723172218418</v>
      </c>
      <c r="AK215" s="268">
        <f t="shared" si="249"/>
        <v>0.87459224019801685</v>
      </c>
      <c r="AL215" s="268">
        <f t="shared" si="251"/>
        <v>0.88771112380098705</v>
      </c>
      <c r="AM215" s="268">
        <f t="shared" si="253"/>
        <v>0.90102679065800173</v>
      </c>
      <c r="AN215" s="268">
        <f t="shared" si="255"/>
        <v>0.91454219251787172</v>
      </c>
      <c r="AO215" s="268">
        <f t="shared" si="257"/>
        <v>0.92826032540563974</v>
      </c>
      <c r="AP215" s="268">
        <f t="shared" si="259"/>
        <v>0.94218423028672427</v>
      </c>
      <c r="AQ215" s="268">
        <f t="shared" si="261"/>
        <v>0.95631699374102508</v>
      </c>
      <c r="AR215" s="268">
        <f t="shared" si="263"/>
        <v>0.97066174864714039</v>
      </c>
      <c r="AS215" s="268">
        <f t="shared" ref="AS215:AS221" si="265">AT215/(1+O$19)</f>
        <v>0.98522167487684742</v>
      </c>
      <c r="AT215" s="260">
        <v>1</v>
      </c>
      <c r="AU215" s="301">
        <f t="shared" ref="AU215:AZ215" si="266">AT215*(1+Q$19)</f>
        <v>1.0149999999999999</v>
      </c>
      <c r="AV215" s="301">
        <f t="shared" si="266"/>
        <v>1.0302249999999997</v>
      </c>
      <c r="AW215" s="301">
        <f t="shared" si="266"/>
        <v>1.0456783749999996</v>
      </c>
      <c r="AX215" s="301">
        <f t="shared" si="266"/>
        <v>1.0613635506249994</v>
      </c>
      <c r="AY215" s="301">
        <f t="shared" si="266"/>
        <v>1.0772840038843743</v>
      </c>
      <c r="AZ215" s="301">
        <f t="shared" si="266"/>
        <v>1.0934432639426397</v>
      </c>
    </row>
    <row r="216" spans="28:52" ht="14.25" customHeight="1">
      <c r="AB216" s="258">
        <v>202</v>
      </c>
      <c r="AC216" s="371"/>
      <c r="AD216" s="267" t="s">
        <v>2387</v>
      </c>
      <c r="AF216" s="268">
        <f t="shared" si="239"/>
        <v>0.79985150490981138</v>
      </c>
      <c r="AG216" s="268">
        <f t="shared" si="241"/>
        <v>0.81184927748345848</v>
      </c>
      <c r="AH216" s="268">
        <f t="shared" si="243"/>
        <v>0.82402701664571032</v>
      </c>
      <c r="AI216" s="268">
        <f t="shared" si="245"/>
        <v>0.83638742189539594</v>
      </c>
      <c r="AJ216" s="268">
        <f t="shared" si="247"/>
        <v>0.84893323322382686</v>
      </c>
      <c r="AK216" s="268">
        <f t="shared" si="249"/>
        <v>0.86166723172218418</v>
      </c>
      <c r="AL216" s="268">
        <f t="shared" si="251"/>
        <v>0.87459224019801685</v>
      </c>
      <c r="AM216" s="268">
        <f t="shared" si="253"/>
        <v>0.88771112380098705</v>
      </c>
      <c r="AN216" s="268">
        <f t="shared" si="255"/>
        <v>0.90102679065800173</v>
      </c>
      <c r="AO216" s="268">
        <f t="shared" si="257"/>
        <v>0.91454219251787172</v>
      </c>
      <c r="AP216" s="268">
        <f t="shared" si="259"/>
        <v>0.92826032540563974</v>
      </c>
      <c r="AQ216" s="268">
        <f t="shared" si="261"/>
        <v>0.94218423028672427</v>
      </c>
      <c r="AR216" s="268">
        <f t="shared" si="263"/>
        <v>0.95631699374102508</v>
      </c>
      <c r="AS216" s="268">
        <f t="shared" si="265"/>
        <v>0.97066174864714039</v>
      </c>
      <c r="AT216" s="268">
        <f t="shared" ref="AT216:AT221" si="267">AU216/(1+P$19)</f>
        <v>0.98522167487684742</v>
      </c>
      <c r="AU216" s="260">
        <v>1</v>
      </c>
      <c r="AV216" s="301">
        <f>AU216*(1+R$19)</f>
        <v>1.0149999999999999</v>
      </c>
      <c r="AW216" s="301">
        <f>AV216*(1+S$19)</f>
        <v>1.0302249999999997</v>
      </c>
      <c r="AX216" s="301">
        <f>AW216*(1+T$19)</f>
        <v>1.0456783749999996</v>
      </c>
      <c r="AY216" s="301">
        <f>AX216*(1+U$19)</f>
        <v>1.0613635506249994</v>
      </c>
      <c r="AZ216" s="301">
        <f>AY216*(1+V$19)</f>
        <v>1.0772840038843743</v>
      </c>
    </row>
    <row r="217" spans="28:52" ht="14.25" customHeight="1">
      <c r="AB217" s="258">
        <v>203</v>
      </c>
      <c r="AC217" s="371"/>
      <c r="AD217" s="267" t="s">
        <v>2388</v>
      </c>
      <c r="AF217" s="268">
        <f t="shared" si="239"/>
        <v>0.78803103932001128</v>
      </c>
      <c r="AG217" s="268">
        <f t="shared" si="241"/>
        <v>0.79985150490981138</v>
      </c>
      <c r="AH217" s="268">
        <f t="shared" si="243"/>
        <v>0.81184927748345848</v>
      </c>
      <c r="AI217" s="268">
        <f t="shared" si="245"/>
        <v>0.82402701664571032</v>
      </c>
      <c r="AJ217" s="268">
        <f t="shared" si="247"/>
        <v>0.83638742189539594</v>
      </c>
      <c r="AK217" s="268">
        <f t="shared" si="249"/>
        <v>0.84893323322382686</v>
      </c>
      <c r="AL217" s="268">
        <f t="shared" si="251"/>
        <v>0.86166723172218418</v>
      </c>
      <c r="AM217" s="268">
        <f t="shared" si="253"/>
        <v>0.87459224019801685</v>
      </c>
      <c r="AN217" s="268">
        <f t="shared" si="255"/>
        <v>0.88771112380098705</v>
      </c>
      <c r="AO217" s="268">
        <f t="shared" si="257"/>
        <v>0.90102679065800173</v>
      </c>
      <c r="AP217" s="268">
        <f t="shared" si="259"/>
        <v>0.91454219251787172</v>
      </c>
      <c r="AQ217" s="268">
        <f t="shared" si="261"/>
        <v>0.92826032540563974</v>
      </c>
      <c r="AR217" s="268">
        <f t="shared" si="263"/>
        <v>0.94218423028672427</v>
      </c>
      <c r="AS217" s="268">
        <f t="shared" si="265"/>
        <v>0.95631699374102508</v>
      </c>
      <c r="AT217" s="268">
        <f t="shared" si="267"/>
        <v>0.97066174864714039</v>
      </c>
      <c r="AU217" s="268">
        <f>AV217/(1+Q$19)</f>
        <v>0.98522167487684742</v>
      </c>
      <c r="AV217" s="260">
        <v>1</v>
      </c>
      <c r="AW217" s="301">
        <f>AV217*(1+S$19)</f>
        <v>1.0149999999999999</v>
      </c>
      <c r="AX217" s="301">
        <f>AW217*(1+T$19)</f>
        <v>1.0302249999999997</v>
      </c>
      <c r="AY217" s="301">
        <f>AX217*(1+U$19)</f>
        <v>1.0456783749999996</v>
      </c>
      <c r="AZ217" s="301">
        <f>AY217*(1+V$19)</f>
        <v>1.0613635506249994</v>
      </c>
    </row>
    <row r="218" spans="28:52" ht="14.25" customHeight="1">
      <c r="AB218" s="258">
        <v>204</v>
      </c>
      <c r="AC218" s="371"/>
      <c r="AD218" s="267" t="s">
        <v>2389</v>
      </c>
      <c r="AF218" s="268">
        <f t="shared" si="239"/>
        <v>0.77638526041380429</v>
      </c>
      <c r="AG218" s="268">
        <f t="shared" si="241"/>
        <v>0.78803103932001128</v>
      </c>
      <c r="AH218" s="268">
        <f t="shared" si="243"/>
        <v>0.79985150490981138</v>
      </c>
      <c r="AI218" s="268">
        <f t="shared" si="245"/>
        <v>0.81184927748345848</v>
      </c>
      <c r="AJ218" s="268">
        <f t="shared" si="247"/>
        <v>0.82402701664571032</v>
      </c>
      <c r="AK218" s="268">
        <f t="shared" si="249"/>
        <v>0.83638742189539594</v>
      </c>
      <c r="AL218" s="268">
        <f t="shared" si="251"/>
        <v>0.84893323322382686</v>
      </c>
      <c r="AM218" s="268">
        <f t="shared" si="253"/>
        <v>0.86166723172218418</v>
      </c>
      <c r="AN218" s="268">
        <f t="shared" si="255"/>
        <v>0.87459224019801685</v>
      </c>
      <c r="AO218" s="268">
        <f t="shared" si="257"/>
        <v>0.88771112380098705</v>
      </c>
      <c r="AP218" s="268">
        <f t="shared" si="259"/>
        <v>0.90102679065800173</v>
      </c>
      <c r="AQ218" s="268">
        <f t="shared" si="261"/>
        <v>0.91454219251787172</v>
      </c>
      <c r="AR218" s="268">
        <f t="shared" si="263"/>
        <v>0.92826032540563974</v>
      </c>
      <c r="AS218" s="268">
        <f t="shared" si="265"/>
        <v>0.94218423028672427</v>
      </c>
      <c r="AT218" s="268">
        <f t="shared" si="267"/>
        <v>0.95631699374102508</v>
      </c>
      <c r="AU218" s="268">
        <f>AV218/(1+Q$19)</f>
        <v>0.97066174864714039</v>
      </c>
      <c r="AV218" s="268">
        <f>AW218/(1+R$19)</f>
        <v>0.98522167487684742</v>
      </c>
      <c r="AW218" s="260">
        <v>1</v>
      </c>
      <c r="AX218" s="301">
        <f>AW218*(1+T$19)</f>
        <v>1.0149999999999999</v>
      </c>
      <c r="AY218" s="301">
        <f>AX218*(1+U$19)</f>
        <v>1.0302249999999997</v>
      </c>
      <c r="AZ218" s="301">
        <f>AY218*(1+V$19)</f>
        <v>1.0456783749999996</v>
      </c>
    </row>
    <row r="219" spans="28:52" ht="14.25" customHeight="1">
      <c r="AB219" s="258">
        <v>205</v>
      </c>
      <c r="AC219" s="371"/>
      <c r="AD219" s="267" t="s">
        <v>2390</v>
      </c>
      <c r="AF219" s="268">
        <f t="shared" si="239"/>
        <v>0.76491158661458558</v>
      </c>
      <c r="AG219" s="268">
        <f t="shared" si="241"/>
        <v>0.77638526041380429</v>
      </c>
      <c r="AH219" s="268">
        <f t="shared" si="243"/>
        <v>0.78803103932001128</v>
      </c>
      <c r="AI219" s="268">
        <f t="shared" si="245"/>
        <v>0.79985150490981138</v>
      </c>
      <c r="AJ219" s="268">
        <f t="shared" si="247"/>
        <v>0.81184927748345848</v>
      </c>
      <c r="AK219" s="268">
        <f t="shared" si="249"/>
        <v>0.82402701664571032</v>
      </c>
      <c r="AL219" s="268">
        <f t="shared" si="251"/>
        <v>0.83638742189539594</v>
      </c>
      <c r="AM219" s="268">
        <f t="shared" si="253"/>
        <v>0.84893323322382686</v>
      </c>
      <c r="AN219" s="268">
        <f t="shared" si="255"/>
        <v>0.86166723172218418</v>
      </c>
      <c r="AO219" s="268">
        <f t="shared" si="257"/>
        <v>0.87459224019801685</v>
      </c>
      <c r="AP219" s="268">
        <f t="shared" si="259"/>
        <v>0.88771112380098705</v>
      </c>
      <c r="AQ219" s="268">
        <f t="shared" si="261"/>
        <v>0.90102679065800173</v>
      </c>
      <c r="AR219" s="268">
        <f t="shared" si="263"/>
        <v>0.91454219251787172</v>
      </c>
      <c r="AS219" s="268">
        <f t="shared" si="265"/>
        <v>0.92826032540563974</v>
      </c>
      <c r="AT219" s="268">
        <f t="shared" si="267"/>
        <v>0.94218423028672427</v>
      </c>
      <c r="AU219" s="268">
        <f>AV219/(1+Q$19)</f>
        <v>0.95631699374102508</v>
      </c>
      <c r="AV219" s="268">
        <f>AW219/(1+R$19)</f>
        <v>0.97066174864714039</v>
      </c>
      <c r="AW219" s="268">
        <f>AX219/(1+S$19)</f>
        <v>0.98522167487684742</v>
      </c>
      <c r="AX219" s="260">
        <v>1</v>
      </c>
      <c r="AY219" s="301">
        <f>AX219*(1+U$19)</f>
        <v>1.0149999999999999</v>
      </c>
      <c r="AZ219" s="301">
        <f>AY219*(1+V$19)</f>
        <v>1.0302249999999997</v>
      </c>
    </row>
    <row r="220" spans="28:52" ht="14.25" customHeight="1">
      <c r="AB220" s="258">
        <v>206</v>
      </c>
      <c r="AC220" s="371"/>
      <c r="AD220" s="267" t="s">
        <v>2391</v>
      </c>
      <c r="AF220" s="286">
        <f t="shared" si="239"/>
        <v>0.75360747449712873</v>
      </c>
      <c r="AG220" s="286">
        <f t="shared" si="241"/>
        <v>0.76491158661458558</v>
      </c>
      <c r="AH220" s="286">
        <f t="shared" si="243"/>
        <v>0.77638526041380429</v>
      </c>
      <c r="AI220" s="286">
        <f t="shared" si="245"/>
        <v>0.78803103932001128</v>
      </c>
      <c r="AJ220" s="286">
        <f t="shared" si="247"/>
        <v>0.79985150490981138</v>
      </c>
      <c r="AK220" s="286">
        <f t="shared" si="249"/>
        <v>0.81184927748345848</v>
      </c>
      <c r="AL220" s="286">
        <f t="shared" si="251"/>
        <v>0.82402701664571032</v>
      </c>
      <c r="AM220" s="286">
        <f t="shared" si="253"/>
        <v>0.83638742189539594</v>
      </c>
      <c r="AN220" s="286">
        <f t="shared" si="255"/>
        <v>0.84893323322382686</v>
      </c>
      <c r="AO220" s="286">
        <f t="shared" si="257"/>
        <v>0.86166723172218418</v>
      </c>
      <c r="AP220" s="286">
        <f t="shared" si="259"/>
        <v>0.87459224019801685</v>
      </c>
      <c r="AQ220" s="286">
        <f t="shared" si="261"/>
        <v>0.88771112380098705</v>
      </c>
      <c r="AR220" s="286">
        <f t="shared" si="263"/>
        <v>0.90102679065800173</v>
      </c>
      <c r="AS220" s="286">
        <f t="shared" si="265"/>
        <v>0.91454219251787172</v>
      </c>
      <c r="AT220" s="286">
        <f t="shared" si="267"/>
        <v>0.92826032540563974</v>
      </c>
      <c r="AU220" s="286">
        <f>AV220/(1+Q$19)</f>
        <v>0.94218423028672427</v>
      </c>
      <c r="AV220" s="286">
        <f>AW220/(1+R$19)</f>
        <v>0.95631699374102508</v>
      </c>
      <c r="AW220" s="286">
        <f>AX220/(1+S$19)</f>
        <v>0.97066174864714039</v>
      </c>
      <c r="AX220" s="286">
        <f>AY220/(1+T$19)</f>
        <v>0.98522167487684742</v>
      </c>
      <c r="AY220" s="287">
        <v>1</v>
      </c>
      <c r="AZ220" s="301">
        <f>AY220*(1+V$19)</f>
        <v>1.0149999999999999</v>
      </c>
    </row>
    <row r="221" spans="28:52" ht="15" customHeight="1">
      <c r="AB221" s="258">
        <v>207</v>
      </c>
      <c r="AC221" s="371"/>
      <c r="AD221" s="291" t="s">
        <v>2392</v>
      </c>
      <c r="AF221" s="292">
        <f t="shared" si="239"/>
        <v>0.74247041822377224</v>
      </c>
      <c r="AG221" s="292">
        <f t="shared" si="241"/>
        <v>0.75360747449712873</v>
      </c>
      <c r="AH221" s="292">
        <f t="shared" si="243"/>
        <v>0.76491158661458558</v>
      </c>
      <c r="AI221" s="292">
        <f t="shared" si="245"/>
        <v>0.77638526041380429</v>
      </c>
      <c r="AJ221" s="292">
        <f t="shared" si="247"/>
        <v>0.78803103932001128</v>
      </c>
      <c r="AK221" s="292">
        <f t="shared" si="249"/>
        <v>0.79985150490981138</v>
      </c>
      <c r="AL221" s="292">
        <f t="shared" si="251"/>
        <v>0.81184927748345848</v>
      </c>
      <c r="AM221" s="292">
        <f t="shared" si="253"/>
        <v>0.82402701664571032</v>
      </c>
      <c r="AN221" s="292">
        <f t="shared" si="255"/>
        <v>0.83638742189539594</v>
      </c>
      <c r="AO221" s="292">
        <f t="shared" si="257"/>
        <v>0.84893323322382686</v>
      </c>
      <c r="AP221" s="292">
        <f t="shared" si="259"/>
        <v>0.86166723172218418</v>
      </c>
      <c r="AQ221" s="292">
        <f t="shared" si="261"/>
        <v>0.87459224019801685</v>
      </c>
      <c r="AR221" s="292">
        <f t="shared" si="263"/>
        <v>0.88771112380098705</v>
      </c>
      <c r="AS221" s="292">
        <f t="shared" si="265"/>
        <v>0.90102679065800173</v>
      </c>
      <c r="AT221" s="292">
        <f t="shared" si="267"/>
        <v>0.91454219251787172</v>
      </c>
      <c r="AU221" s="292">
        <f>AV221/(1+Q$19)</f>
        <v>0.92826032540563974</v>
      </c>
      <c r="AV221" s="292">
        <f>AW221/(1+R$19)</f>
        <v>0.94218423028672427</v>
      </c>
      <c r="AW221" s="292">
        <f>AX221/(1+S$19)</f>
        <v>0.95631699374102508</v>
      </c>
      <c r="AX221" s="292">
        <f>AY221/(1+T$19)</f>
        <v>0.97066174864714039</v>
      </c>
      <c r="AY221" s="292">
        <f>AZ221/(1+U$19)</f>
        <v>0.98522167487684742</v>
      </c>
      <c r="AZ221" s="293">
        <v>1</v>
      </c>
    </row>
    <row r="222" spans="28:52" ht="12" customHeight="1">
      <c r="AB222" s="258">
        <v>208</v>
      </c>
      <c r="AC222" s="372">
        <v>0.08</v>
      </c>
      <c r="AD222" s="259" t="s">
        <v>2372</v>
      </c>
      <c r="AF222" s="295">
        <v>1</v>
      </c>
      <c r="AG222" s="301">
        <f t="shared" ref="AG222:AZ222" si="268">AF222*(1+C$20)</f>
        <v>1.08</v>
      </c>
      <c r="AH222" s="301">
        <f t="shared" si="268"/>
        <v>1.1664000000000001</v>
      </c>
      <c r="AI222" s="301">
        <f t="shared" si="268"/>
        <v>1.2363840000000001</v>
      </c>
      <c r="AJ222" s="301">
        <f t="shared" si="268"/>
        <v>1.3105670400000002</v>
      </c>
      <c r="AK222" s="301">
        <f t="shared" si="268"/>
        <v>1.3892010624000004</v>
      </c>
      <c r="AL222" s="301">
        <f t="shared" si="268"/>
        <v>1.4725531261440006</v>
      </c>
      <c r="AM222" s="301">
        <f t="shared" si="268"/>
        <v>1.5609063137126407</v>
      </c>
      <c r="AN222" s="301">
        <f t="shared" si="268"/>
        <v>1.6545606925353993</v>
      </c>
      <c r="AO222" s="301">
        <f t="shared" si="268"/>
        <v>1.7538343340875233</v>
      </c>
      <c r="AP222" s="301">
        <f t="shared" si="268"/>
        <v>1.8590643941327749</v>
      </c>
      <c r="AQ222" s="301">
        <f t="shared" si="268"/>
        <v>1.9706082577807416</v>
      </c>
      <c r="AR222" s="301">
        <f t="shared" si="268"/>
        <v>2.088844753247586</v>
      </c>
      <c r="AS222" s="301">
        <f t="shared" si="268"/>
        <v>2.2141754384424415</v>
      </c>
      <c r="AT222" s="301">
        <f t="shared" si="268"/>
        <v>2.3470259647489882</v>
      </c>
      <c r="AU222" s="301">
        <f t="shared" si="268"/>
        <v>2.4878475226339276</v>
      </c>
      <c r="AV222" s="301">
        <f t="shared" si="268"/>
        <v>2.6371183739919632</v>
      </c>
      <c r="AW222" s="301">
        <f t="shared" si="268"/>
        <v>2.7953454764314811</v>
      </c>
      <c r="AX222" s="301">
        <f t="shared" si="268"/>
        <v>2.9630662050173702</v>
      </c>
      <c r="AY222" s="301">
        <f t="shared" si="268"/>
        <v>3.1408501773184123</v>
      </c>
      <c r="AZ222" s="301">
        <f t="shared" si="268"/>
        <v>3.3293011879575172</v>
      </c>
    </row>
    <row r="223" spans="28:52" ht="14.25" customHeight="1">
      <c r="AB223" s="258">
        <v>209</v>
      </c>
      <c r="AC223" s="372"/>
      <c r="AD223" s="243" t="s">
        <v>2373</v>
      </c>
      <c r="AF223" s="268">
        <f t="shared" ref="AF223:AF242" si="269">AG223/(1+B$20)</f>
        <v>0.92592592592592582</v>
      </c>
      <c r="AG223" s="295">
        <v>1</v>
      </c>
      <c r="AH223" s="301">
        <f t="shared" ref="AH223:AZ223" si="270">AG223*(1+D$20)</f>
        <v>1.08</v>
      </c>
      <c r="AI223" s="301">
        <f t="shared" si="270"/>
        <v>1.1448</v>
      </c>
      <c r="AJ223" s="301">
        <f t="shared" si="270"/>
        <v>1.2134880000000001</v>
      </c>
      <c r="AK223" s="301">
        <f t="shared" si="270"/>
        <v>1.2862972800000001</v>
      </c>
      <c r="AL223" s="301">
        <f t="shared" si="270"/>
        <v>1.3634751168000001</v>
      </c>
      <c r="AM223" s="301">
        <f t="shared" si="270"/>
        <v>1.4452836238080002</v>
      </c>
      <c r="AN223" s="301">
        <f t="shared" si="270"/>
        <v>1.5320006412364804</v>
      </c>
      <c r="AO223" s="301">
        <f t="shared" si="270"/>
        <v>1.6239206797106693</v>
      </c>
      <c r="AP223" s="301">
        <f t="shared" si="270"/>
        <v>1.7213559204933095</v>
      </c>
      <c r="AQ223" s="301">
        <f t="shared" si="270"/>
        <v>1.8246372757229081</v>
      </c>
      <c r="AR223" s="301">
        <f t="shared" si="270"/>
        <v>1.9341155122662828</v>
      </c>
      <c r="AS223" s="301">
        <f t="shared" si="270"/>
        <v>2.05016244300226</v>
      </c>
      <c r="AT223" s="301">
        <f t="shared" si="270"/>
        <v>2.1731721895823957</v>
      </c>
      <c r="AU223" s="301">
        <f t="shared" si="270"/>
        <v>2.3035625209573394</v>
      </c>
      <c r="AV223" s="301">
        <f t="shared" si="270"/>
        <v>2.44177627221478</v>
      </c>
      <c r="AW223" s="301">
        <f t="shared" si="270"/>
        <v>2.5882828485476668</v>
      </c>
      <c r="AX223" s="301">
        <f t="shared" si="270"/>
        <v>2.743579819460527</v>
      </c>
      <c r="AY223" s="301">
        <f t="shared" si="270"/>
        <v>2.9081946086281589</v>
      </c>
      <c r="AZ223" s="301">
        <f t="shared" si="270"/>
        <v>3.0826862851458485</v>
      </c>
    </row>
    <row r="224" spans="28:52" ht="14.25" customHeight="1">
      <c r="AB224" s="258">
        <v>210</v>
      </c>
      <c r="AC224" s="372"/>
      <c r="AD224" s="267" t="s">
        <v>2374</v>
      </c>
      <c r="AF224" s="268">
        <f t="shared" si="269"/>
        <v>0.8573388203017831</v>
      </c>
      <c r="AG224" s="268">
        <f t="shared" ref="AG224:AG242" si="271">AH224/(1+C$20)</f>
        <v>0.92592592592592582</v>
      </c>
      <c r="AH224" s="260">
        <v>1</v>
      </c>
      <c r="AI224" s="301">
        <f t="shared" ref="AI224:AZ224" si="272">AH224*(1+E$20)</f>
        <v>1.06</v>
      </c>
      <c r="AJ224" s="301">
        <f t="shared" si="272"/>
        <v>1.1236000000000002</v>
      </c>
      <c r="AK224" s="301">
        <f t="shared" si="272"/>
        <v>1.1910160000000003</v>
      </c>
      <c r="AL224" s="301">
        <f t="shared" si="272"/>
        <v>1.2624769600000003</v>
      </c>
      <c r="AM224" s="301">
        <f t="shared" si="272"/>
        <v>1.3382255776000005</v>
      </c>
      <c r="AN224" s="301">
        <f t="shared" si="272"/>
        <v>1.4185191122560006</v>
      </c>
      <c r="AO224" s="301">
        <f t="shared" si="272"/>
        <v>1.5036302589913606</v>
      </c>
      <c r="AP224" s="301">
        <f t="shared" si="272"/>
        <v>1.5938480745308423</v>
      </c>
      <c r="AQ224" s="301">
        <f t="shared" si="272"/>
        <v>1.6894789590026928</v>
      </c>
      <c r="AR224" s="301">
        <f t="shared" si="272"/>
        <v>1.7908476965428546</v>
      </c>
      <c r="AS224" s="301">
        <f t="shared" si="272"/>
        <v>1.8982985583354259</v>
      </c>
      <c r="AT224" s="301">
        <f t="shared" si="272"/>
        <v>2.0121964718355514</v>
      </c>
      <c r="AU224" s="301">
        <f t="shared" si="272"/>
        <v>2.1329282601456847</v>
      </c>
      <c r="AV224" s="301">
        <f t="shared" si="272"/>
        <v>2.2609039557544257</v>
      </c>
      <c r="AW224" s="301">
        <f t="shared" si="272"/>
        <v>2.3965581930996915</v>
      </c>
      <c r="AX224" s="301">
        <f t="shared" si="272"/>
        <v>2.5403516846856733</v>
      </c>
      <c r="AY224" s="301">
        <f t="shared" si="272"/>
        <v>2.692772785766814</v>
      </c>
      <c r="AZ224" s="301">
        <f t="shared" si="272"/>
        <v>2.8543391529128228</v>
      </c>
    </row>
    <row r="225" spans="28:52" ht="14.25" customHeight="1">
      <c r="AB225" s="258">
        <v>211</v>
      </c>
      <c r="AC225" s="372"/>
      <c r="AD225" s="267" t="s">
        <v>2375</v>
      </c>
      <c r="AF225" s="268">
        <f t="shared" si="269"/>
        <v>0.79383224102016947</v>
      </c>
      <c r="AG225" s="268">
        <f t="shared" si="271"/>
        <v>0.8573388203017831</v>
      </c>
      <c r="AH225" s="268">
        <f t="shared" ref="AH225:AH242" si="273">AI225/(1+D$20)</f>
        <v>0.92592592592592582</v>
      </c>
      <c r="AI225" s="260">
        <v>1</v>
      </c>
      <c r="AJ225" s="301">
        <f t="shared" ref="AJ225:AZ225" si="274">AI225*(1+F$20)</f>
        <v>1.06</v>
      </c>
      <c r="AK225" s="301">
        <f t="shared" si="274"/>
        <v>1.1236000000000002</v>
      </c>
      <c r="AL225" s="301">
        <f t="shared" si="274"/>
        <v>1.1910160000000003</v>
      </c>
      <c r="AM225" s="301">
        <f t="shared" si="274"/>
        <v>1.2624769600000003</v>
      </c>
      <c r="AN225" s="301">
        <f t="shared" si="274"/>
        <v>1.3382255776000005</v>
      </c>
      <c r="AO225" s="301">
        <f t="shared" si="274"/>
        <v>1.4185191122560006</v>
      </c>
      <c r="AP225" s="301">
        <f t="shared" si="274"/>
        <v>1.5036302589913606</v>
      </c>
      <c r="AQ225" s="301">
        <f t="shared" si="274"/>
        <v>1.5938480745308423</v>
      </c>
      <c r="AR225" s="301">
        <f t="shared" si="274"/>
        <v>1.6894789590026928</v>
      </c>
      <c r="AS225" s="301">
        <f t="shared" si="274"/>
        <v>1.7908476965428546</v>
      </c>
      <c r="AT225" s="301">
        <f t="shared" si="274"/>
        <v>1.8982985583354259</v>
      </c>
      <c r="AU225" s="301">
        <f t="shared" si="274"/>
        <v>2.0121964718355514</v>
      </c>
      <c r="AV225" s="301">
        <f t="shared" si="274"/>
        <v>2.1329282601456847</v>
      </c>
      <c r="AW225" s="301">
        <f t="shared" si="274"/>
        <v>2.2609039557544257</v>
      </c>
      <c r="AX225" s="301">
        <f t="shared" si="274"/>
        <v>2.3965581930996915</v>
      </c>
      <c r="AY225" s="301">
        <f t="shared" si="274"/>
        <v>2.5403516846856733</v>
      </c>
      <c r="AZ225" s="301">
        <f t="shared" si="274"/>
        <v>2.692772785766814</v>
      </c>
    </row>
    <row r="226" spans="28:52" ht="14.25" customHeight="1">
      <c r="AB226" s="258">
        <v>212</v>
      </c>
      <c r="AC226" s="372"/>
      <c r="AD226" s="267" t="s">
        <v>2376</v>
      </c>
      <c r="AF226" s="268">
        <f t="shared" si="269"/>
        <v>0.74889834058506555</v>
      </c>
      <c r="AG226" s="268">
        <f t="shared" si="271"/>
        <v>0.80881020783187085</v>
      </c>
      <c r="AH226" s="268">
        <f t="shared" si="273"/>
        <v>0.87351502445842055</v>
      </c>
      <c r="AI226" s="268">
        <f t="shared" ref="AI226:AI242" si="275">AJ226/(1+E$20)</f>
        <v>0.94339622641509424</v>
      </c>
      <c r="AJ226" s="260">
        <v>1</v>
      </c>
      <c r="AK226" s="301">
        <f t="shared" ref="AK226:AZ226" si="276">AJ226*(1+G$20)</f>
        <v>1.06</v>
      </c>
      <c r="AL226" s="301">
        <f t="shared" si="276"/>
        <v>1.1236000000000002</v>
      </c>
      <c r="AM226" s="301">
        <f t="shared" si="276"/>
        <v>1.1910160000000003</v>
      </c>
      <c r="AN226" s="301">
        <f t="shared" si="276"/>
        <v>1.2624769600000003</v>
      </c>
      <c r="AO226" s="301">
        <f t="shared" si="276"/>
        <v>1.3382255776000005</v>
      </c>
      <c r="AP226" s="301">
        <f t="shared" si="276"/>
        <v>1.4185191122560006</v>
      </c>
      <c r="AQ226" s="301">
        <f t="shared" si="276"/>
        <v>1.5036302589913606</v>
      </c>
      <c r="AR226" s="301">
        <f t="shared" si="276"/>
        <v>1.5938480745308423</v>
      </c>
      <c r="AS226" s="301">
        <f t="shared" si="276"/>
        <v>1.6894789590026928</v>
      </c>
      <c r="AT226" s="301">
        <f t="shared" si="276"/>
        <v>1.7908476965428546</v>
      </c>
      <c r="AU226" s="301">
        <f t="shared" si="276"/>
        <v>1.8982985583354259</v>
      </c>
      <c r="AV226" s="301">
        <f t="shared" si="276"/>
        <v>2.0121964718355514</v>
      </c>
      <c r="AW226" s="301">
        <f t="shared" si="276"/>
        <v>2.1329282601456847</v>
      </c>
      <c r="AX226" s="301">
        <f t="shared" si="276"/>
        <v>2.2609039557544257</v>
      </c>
      <c r="AY226" s="301">
        <f t="shared" si="276"/>
        <v>2.3965581930996915</v>
      </c>
      <c r="AZ226" s="301">
        <f t="shared" si="276"/>
        <v>2.5403516846856733</v>
      </c>
    </row>
    <row r="227" spans="28:52" ht="14.25" customHeight="1">
      <c r="AB227" s="258">
        <v>213</v>
      </c>
      <c r="AC227" s="372"/>
      <c r="AD227" s="267" t="s">
        <v>2377</v>
      </c>
      <c r="AF227" s="268">
        <f t="shared" si="269"/>
        <v>0.70650786847647684</v>
      </c>
      <c r="AG227" s="268">
        <f t="shared" si="271"/>
        <v>0.76302849795459504</v>
      </c>
      <c r="AH227" s="268">
        <f t="shared" si="273"/>
        <v>0.82407077779096272</v>
      </c>
      <c r="AI227" s="268">
        <f t="shared" si="275"/>
        <v>0.88999644001423983</v>
      </c>
      <c r="AJ227" s="268">
        <f t="shared" ref="AJ227:AJ242" si="277">AK227/(1+F$20)</f>
        <v>0.94339622641509424</v>
      </c>
      <c r="AK227" s="260">
        <v>1</v>
      </c>
      <c r="AL227" s="301">
        <f t="shared" ref="AL227:AZ227" si="278">AK227*(1+H$20)</f>
        <v>1.06</v>
      </c>
      <c r="AM227" s="301">
        <f t="shared" si="278"/>
        <v>1.1236000000000002</v>
      </c>
      <c r="AN227" s="301">
        <f t="shared" si="278"/>
        <v>1.1910160000000003</v>
      </c>
      <c r="AO227" s="301">
        <f t="shared" si="278"/>
        <v>1.2624769600000003</v>
      </c>
      <c r="AP227" s="301">
        <f t="shared" si="278"/>
        <v>1.3382255776000005</v>
      </c>
      <c r="AQ227" s="301">
        <f t="shared" si="278"/>
        <v>1.4185191122560006</v>
      </c>
      <c r="AR227" s="301">
        <f t="shared" si="278"/>
        <v>1.5036302589913606</v>
      </c>
      <c r="AS227" s="301">
        <f t="shared" si="278"/>
        <v>1.5938480745308423</v>
      </c>
      <c r="AT227" s="301">
        <f t="shared" si="278"/>
        <v>1.6894789590026928</v>
      </c>
      <c r="AU227" s="301">
        <f t="shared" si="278"/>
        <v>1.7908476965428546</v>
      </c>
      <c r="AV227" s="301">
        <f t="shared" si="278"/>
        <v>1.8982985583354259</v>
      </c>
      <c r="AW227" s="301">
        <f t="shared" si="278"/>
        <v>2.0121964718355514</v>
      </c>
      <c r="AX227" s="301">
        <f t="shared" si="278"/>
        <v>2.1329282601456847</v>
      </c>
      <c r="AY227" s="301">
        <f t="shared" si="278"/>
        <v>2.2609039557544257</v>
      </c>
      <c r="AZ227" s="301">
        <f t="shared" si="278"/>
        <v>2.3965581930996915</v>
      </c>
    </row>
    <row r="228" spans="28:52" ht="14.25" customHeight="1">
      <c r="AB228" s="258">
        <v>214</v>
      </c>
      <c r="AC228" s="372"/>
      <c r="AD228" s="267" t="s">
        <v>2378</v>
      </c>
      <c r="AF228" s="268">
        <f t="shared" si="269"/>
        <v>0.66651685705328012</v>
      </c>
      <c r="AG228" s="268">
        <f t="shared" si="271"/>
        <v>0.71983820561754253</v>
      </c>
      <c r="AH228" s="268">
        <f t="shared" si="273"/>
        <v>0.77742526206694595</v>
      </c>
      <c r="AI228" s="268">
        <f t="shared" si="275"/>
        <v>0.83961928303230171</v>
      </c>
      <c r="AJ228" s="268">
        <f t="shared" si="277"/>
        <v>0.88999644001423983</v>
      </c>
      <c r="AK228" s="268">
        <f t="shared" ref="AK228:AK242" si="279">AL228/(1+G$20)</f>
        <v>0.94339622641509424</v>
      </c>
      <c r="AL228" s="260">
        <v>1</v>
      </c>
      <c r="AM228" s="301">
        <f t="shared" ref="AM228:AZ228" si="280">AL228*(1+I$20)</f>
        <v>1.06</v>
      </c>
      <c r="AN228" s="301">
        <f t="shared" si="280"/>
        <v>1.1236000000000002</v>
      </c>
      <c r="AO228" s="301">
        <f t="shared" si="280"/>
        <v>1.1910160000000003</v>
      </c>
      <c r="AP228" s="301">
        <f t="shared" si="280"/>
        <v>1.2624769600000003</v>
      </c>
      <c r="AQ228" s="301">
        <f t="shared" si="280"/>
        <v>1.3382255776000005</v>
      </c>
      <c r="AR228" s="301">
        <f t="shared" si="280"/>
        <v>1.4185191122560006</v>
      </c>
      <c r="AS228" s="301">
        <f t="shared" si="280"/>
        <v>1.5036302589913606</v>
      </c>
      <c r="AT228" s="301">
        <f t="shared" si="280"/>
        <v>1.5938480745308423</v>
      </c>
      <c r="AU228" s="301">
        <f t="shared" si="280"/>
        <v>1.6894789590026928</v>
      </c>
      <c r="AV228" s="301">
        <f t="shared" si="280"/>
        <v>1.7908476965428546</v>
      </c>
      <c r="AW228" s="301">
        <f t="shared" si="280"/>
        <v>1.8982985583354259</v>
      </c>
      <c r="AX228" s="301">
        <f t="shared" si="280"/>
        <v>2.0121964718355514</v>
      </c>
      <c r="AY228" s="301">
        <f t="shared" si="280"/>
        <v>2.1329282601456847</v>
      </c>
      <c r="AZ228" s="301">
        <f t="shared" si="280"/>
        <v>2.2609039557544257</v>
      </c>
    </row>
    <row r="229" spans="28:52" ht="14.25" customHeight="1">
      <c r="AB229" s="258">
        <v>215</v>
      </c>
      <c r="AC229" s="372"/>
      <c r="AD229" s="267" t="s">
        <v>2379</v>
      </c>
      <c r="AF229" s="268">
        <f t="shared" si="269"/>
        <v>0.62878948778611332</v>
      </c>
      <c r="AG229" s="268">
        <f t="shared" si="271"/>
        <v>0.67909264680900239</v>
      </c>
      <c r="AH229" s="268">
        <f t="shared" si="273"/>
        <v>0.73342005855372261</v>
      </c>
      <c r="AI229" s="268">
        <f t="shared" si="275"/>
        <v>0.79209366323802044</v>
      </c>
      <c r="AJ229" s="268">
        <f t="shared" si="277"/>
        <v>0.83961928303230171</v>
      </c>
      <c r="AK229" s="268">
        <f t="shared" si="279"/>
        <v>0.88999644001423983</v>
      </c>
      <c r="AL229" s="268">
        <f t="shared" ref="AL229:AL242" si="281">AM229/(1+H$20)</f>
        <v>0.94339622641509424</v>
      </c>
      <c r="AM229" s="260">
        <v>1</v>
      </c>
      <c r="AN229" s="301">
        <f t="shared" ref="AN229:AZ229" si="282">AM229*(1+J$20)</f>
        <v>1.06</v>
      </c>
      <c r="AO229" s="301">
        <f t="shared" si="282"/>
        <v>1.1236000000000002</v>
      </c>
      <c r="AP229" s="301">
        <f t="shared" si="282"/>
        <v>1.1910160000000003</v>
      </c>
      <c r="AQ229" s="301">
        <f t="shared" si="282"/>
        <v>1.2624769600000003</v>
      </c>
      <c r="AR229" s="301">
        <f t="shared" si="282"/>
        <v>1.3382255776000005</v>
      </c>
      <c r="AS229" s="301">
        <f t="shared" si="282"/>
        <v>1.4185191122560006</v>
      </c>
      <c r="AT229" s="301">
        <f t="shared" si="282"/>
        <v>1.5036302589913606</v>
      </c>
      <c r="AU229" s="301">
        <f t="shared" si="282"/>
        <v>1.5938480745308423</v>
      </c>
      <c r="AV229" s="301">
        <f t="shared" si="282"/>
        <v>1.6894789590026928</v>
      </c>
      <c r="AW229" s="301">
        <f t="shared" si="282"/>
        <v>1.7908476965428546</v>
      </c>
      <c r="AX229" s="301">
        <f t="shared" si="282"/>
        <v>1.8982985583354259</v>
      </c>
      <c r="AY229" s="301">
        <f t="shared" si="282"/>
        <v>2.0121964718355514</v>
      </c>
      <c r="AZ229" s="301">
        <f t="shared" si="282"/>
        <v>2.1329282601456847</v>
      </c>
    </row>
    <row r="230" spans="28:52" ht="14.25" customHeight="1">
      <c r="AB230" s="258">
        <v>216</v>
      </c>
      <c r="AC230" s="372"/>
      <c r="AD230" s="267" t="s">
        <v>2380</v>
      </c>
      <c r="AF230" s="268">
        <f t="shared" si="269"/>
        <v>0.59319762998689929</v>
      </c>
      <c r="AG230" s="268">
        <f t="shared" si="271"/>
        <v>0.64065344038585126</v>
      </c>
      <c r="AH230" s="268">
        <f t="shared" si="273"/>
        <v>0.69190571561671943</v>
      </c>
      <c r="AI230" s="268">
        <f t="shared" si="275"/>
        <v>0.747258172866057</v>
      </c>
      <c r="AJ230" s="268">
        <f t="shared" si="277"/>
        <v>0.79209366323802044</v>
      </c>
      <c r="AK230" s="268">
        <f t="shared" si="279"/>
        <v>0.83961928303230171</v>
      </c>
      <c r="AL230" s="268">
        <f t="shared" si="281"/>
        <v>0.88999644001423983</v>
      </c>
      <c r="AM230" s="268">
        <f t="shared" ref="AM230:AM242" si="283">AN230/(1+I$20)</f>
        <v>0.94339622641509424</v>
      </c>
      <c r="AN230" s="260">
        <v>1</v>
      </c>
      <c r="AO230" s="301">
        <f t="shared" ref="AO230:AZ230" si="284">AN230*(1+K$20)</f>
        <v>1.06</v>
      </c>
      <c r="AP230" s="301">
        <f t="shared" si="284"/>
        <v>1.1236000000000002</v>
      </c>
      <c r="AQ230" s="301">
        <f t="shared" si="284"/>
        <v>1.1910160000000003</v>
      </c>
      <c r="AR230" s="301">
        <f t="shared" si="284"/>
        <v>1.2624769600000003</v>
      </c>
      <c r="AS230" s="301">
        <f t="shared" si="284"/>
        <v>1.3382255776000005</v>
      </c>
      <c r="AT230" s="301">
        <f t="shared" si="284"/>
        <v>1.4185191122560006</v>
      </c>
      <c r="AU230" s="301">
        <f t="shared" si="284"/>
        <v>1.5036302589913606</v>
      </c>
      <c r="AV230" s="301">
        <f t="shared" si="284"/>
        <v>1.5938480745308423</v>
      </c>
      <c r="AW230" s="301">
        <f t="shared" si="284"/>
        <v>1.6894789590026928</v>
      </c>
      <c r="AX230" s="301">
        <f t="shared" si="284"/>
        <v>1.7908476965428546</v>
      </c>
      <c r="AY230" s="301">
        <f t="shared" si="284"/>
        <v>1.8982985583354259</v>
      </c>
      <c r="AZ230" s="301">
        <f t="shared" si="284"/>
        <v>2.0121964718355514</v>
      </c>
    </row>
    <row r="231" spans="28:52" ht="14.25" customHeight="1">
      <c r="AB231" s="258">
        <v>217</v>
      </c>
      <c r="AC231" s="372"/>
      <c r="AD231" s="267" t="s">
        <v>2381</v>
      </c>
      <c r="AF231" s="268">
        <f t="shared" si="269"/>
        <v>0.55962040564801818</v>
      </c>
      <c r="AG231" s="268">
        <f t="shared" si="271"/>
        <v>0.60439003809985969</v>
      </c>
      <c r="AH231" s="268">
        <f t="shared" si="273"/>
        <v>0.65274124114784848</v>
      </c>
      <c r="AI231" s="268">
        <f t="shared" si="275"/>
        <v>0.70496054043967638</v>
      </c>
      <c r="AJ231" s="268">
        <f t="shared" si="277"/>
        <v>0.747258172866057</v>
      </c>
      <c r="AK231" s="268">
        <f t="shared" si="279"/>
        <v>0.79209366323802044</v>
      </c>
      <c r="AL231" s="268">
        <f t="shared" si="281"/>
        <v>0.83961928303230171</v>
      </c>
      <c r="AM231" s="268">
        <f t="shared" si="283"/>
        <v>0.88999644001423983</v>
      </c>
      <c r="AN231" s="268">
        <f t="shared" ref="AN231:AN242" si="285">AO231/(1+J$20)</f>
        <v>0.94339622641509424</v>
      </c>
      <c r="AO231" s="260">
        <v>1</v>
      </c>
      <c r="AP231" s="301">
        <f t="shared" ref="AP231:AZ231" si="286">AO231*(1+L$20)</f>
        <v>1.06</v>
      </c>
      <c r="AQ231" s="301">
        <f t="shared" si="286"/>
        <v>1.1236000000000002</v>
      </c>
      <c r="AR231" s="301">
        <f t="shared" si="286"/>
        <v>1.1910160000000003</v>
      </c>
      <c r="AS231" s="301">
        <f t="shared" si="286"/>
        <v>1.2624769600000003</v>
      </c>
      <c r="AT231" s="301">
        <f t="shared" si="286"/>
        <v>1.3382255776000005</v>
      </c>
      <c r="AU231" s="301">
        <f t="shared" si="286"/>
        <v>1.4185191122560006</v>
      </c>
      <c r="AV231" s="301">
        <f t="shared" si="286"/>
        <v>1.5036302589913606</v>
      </c>
      <c r="AW231" s="301">
        <f t="shared" si="286"/>
        <v>1.5938480745308423</v>
      </c>
      <c r="AX231" s="301">
        <f t="shared" si="286"/>
        <v>1.6894789590026928</v>
      </c>
      <c r="AY231" s="301">
        <f t="shared" si="286"/>
        <v>1.7908476965428546</v>
      </c>
      <c r="AZ231" s="301">
        <f t="shared" si="286"/>
        <v>1.8982985583354259</v>
      </c>
    </row>
    <row r="232" spans="28:52" ht="14.25" customHeight="1">
      <c r="AB232" s="258">
        <v>218</v>
      </c>
      <c r="AC232" s="372"/>
      <c r="AD232" s="267" t="s">
        <v>2382</v>
      </c>
      <c r="AF232" s="268">
        <f t="shared" si="269"/>
        <v>0.52794377891322464</v>
      </c>
      <c r="AG232" s="268">
        <f t="shared" si="271"/>
        <v>0.5701792812262827</v>
      </c>
      <c r="AH232" s="268">
        <f t="shared" si="273"/>
        <v>0.6157936237243854</v>
      </c>
      <c r="AI232" s="268">
        <f t="shared" si="275"/>
        <v>0.66505711362233622</v>
      </c>
      <c r="AJ232" s="268">
        <f t="shared" si="277"/>
        <v>0.70496054043967638</v>
      </c>
      <c r="AK232" s="268">
        <f t="shared" si="279"/>
        <v>0.747258172866057</v>
      </c>
      <c r="AL232" s="268">
        <f t="shared" si="281"/>
        <v>0.79209366323802044</v>
      </c>
      <c r="AM232" s="268">
        <f t="shared" si="283"/>
        <v>0.83961928303230171</v>
      </c>
      <c r="AN232" s="268">
        <f t="shared" si="285"/>
        <v>0.88999644001423983</v>
      </c>
      <c r="AO232" s="268">
        <f t="shared" ref="AO232:AO242" si="287">AP232/(1+K$20)</f>
        <v>0.94339622641509424</v>
      </c>
      <c r="AP232" s="260">
        <v>1</v>
      </c>
      <c r="AQ232" s="301">
        <f t="shared" ref="AQ232:AZ232" si="288">AP232*(1+M$20)</f>
        <v>1.06</v>
      </c>
      <c r="AR232" s="301">
        <f t="shared" si="288"/>
        <v>1.1236000000000002</v>
      </c>
      <c r="AS232" s="301">
        <f t="shared" si="288"/>
        <v>1.1910160000000003</v>
      </c>
      <c r="AT232" s="301">
        <f t="shared" si="288"/>
        <v>1.2624769600000003</v>
      </c>
      <c r="AU232" s="301">
        <f t="shared" si="288"/>
        <v>1.3382255776000005</v>
      </c>
      <c r="AV232" s="301">
        <f t="shared" si="288"/>
        <v>1.4185191122560006</v>
      </c>
      <c r="AW232" s="301">
        <f t="shared" si="288"/>
        <v>1.5036302589913606</v>
      </c>
      <c r="AX232" s="301">
        <f t="shared" si="288"/>
        <v>1.5938480745308423</v>
      </c>
      <c r="AY232" s="301">
        <f t="shared" si="288"/>
        <v>1.6894789590026928</v>
      </c>
      <c r="AZ232" s="301">
        <f t="shared" si="288"/>
        <v>1.7908476965428546</v>
      </c>
    </row>
    <row r="233" spans="28:52" ht="14.25" customHeight="1">
      <c r="AB233" s="258">
        <v>219</v>
      </c>
      <c r="AC233" s="372"/>
      <c r="AD233" s="267" t="s">
        <v>2383</v>
      </c>
      <c r="AF233" s="268">
        <f t="shared" si="269"/>
        <v>0.49806016878606096</v>
      </c>
      <c r="AG233" s="268">
        <f t="shared" si="271"/>
        <v>0.5379049822889459</v>
      </c>
      <c r="AH233" s="268">
        <f t="shared" si="273"/>
        <v>0.58093738087206159</v>
      </c>
      <c r="AI233" s="268">
        <f t="shared" si="275"/>
        <v>0.62741237134182659</v>
      </c>
      <c r="AJ233" s="268">
        <f t="shared" si="277"/>
        <v>0.66505711362233622</v>
      </c>
      <c r="AK233" s="268">
        <f t="shared" si="279"/>
        <v>0.70496054043967638</v>
      </c>
      <c r="AL233" s="268">
        <f t="shared" si="281"/>
        <v>0.747258172866057</v>
      </c>
      <c r="AM233" s="268">
        <f t="shared" si="283"/>
        <v>0.79209366323802044</v>
      </c>
      <c r="AN233" s="268">
        <f t="shared" si="285"/>
        <v>0.83961928303230171</v>
      </c>
      <c r="AO233" s="268">
        <f t="shared" si="287"/>
        <v>0.88999644001423983</v>
      </c>
      <c r="AP233" s="268">
        <f t="shared" ref="AP233:AP242" si="289">AQ233/(1+L$20)</f>
        <v>0.94339622641509424</v>
      </c>
      <c r="AQ233" s="260">
        <v>1</v>
      </c>
      <c r="AR233" s="301">
        <f t="shared" ref="AR233:AZ233" si="290">AQ233*(1+N$20)</f>
        <v>1.06</v>
      </c>
      <c r="AS233" s="301">
        <f t="shared" si="290"/>
        <v>1.1236000000000002</v>
      </c>
      <c r="AT233" s="301">
        <f t="shared" si="290"/>
        <v>1.1910160000000003</v>
      </c>
      <c r="AU233" s="301">
        <f t="shared" si="290"/>
        <v>1.2624769600000003</v>
      </c>
      <c r="AV233" s="301">
        <f t="shared" si="290"/>
        <v>1.3382255776000005</v>
      </c>
      <c r="AW233" s="301">
        <f t="shared" si="290"/>
        <v>1.4185191122560006</v>
      </c>
      <c r="AX233" s="301">
        <f t="shared" si="290"/>
        <v>1.5036302589913606</v>
      </c>
      <c r="AY233" s="301">
        <f t="shared" si="290"/>
        <v>1.5938480745308423</v>
      </c>
      <c r="AZ233" s="301">
        <f t="shared" si="290"/>
        <v>1.6894789590026928</v>
      </c>
    </row>
    <row r="234" spans="28:52" ht="14.25" customHeight="1">
      <c r="AB234" s="258">
        <v>220</v>
      </c>
      <c r="AC234" s="372"/>
      <c r="AD234" s="267" t="s">
        <v>2384</v>
      </c>
      <c r="AF234" s="268">
        <f t="shared" si="269"/>
        <v>0.46986808376043482</v>
      </c>
      <c r="AG234" s="268">
        <f t="shared" si="271"/>
        <v>0.50745753046126962</v>
      </c>
      <c r="AH234" s="268">
        <f t="shared" si="273"/>
        <v>0.54805413289817129</v>
      </c>
      <c r="AI234" s="268">
        <f t="shared" si="275"/>
        <v>0.59189846353002507</v>
      </c>
      <c r="AJ234" s="268">
        <f t="shared" si="277"/>
        <v>0.62741237134182659</v>
      </c>
      <c r="AK234" s="268">
        <f t="shared" si="279"/>
        <v>0.66505711362233622</v>
      </c>
      <c r="AL234" s="268">
        <f t="shared" si="281"/>
        <v>0.70496054043967638</v>
      </c>
      <c r="AM234" s="268">
        <f t="shared" si="283"/>
        <v>0.747258172866057</v>
      </c>
      <c r="AN234" s="268">
        <f t="shared" si="285"/>
        <v>0.79209366323802044</v>
      </c>
      <c r="AO234" s="268">
        <f t="shared" si="287"/>
        <v>0.83961928303230171</v>
      </c>
      <c r="AP234" s="268">
        <f t="shared" si="289"/>
        <v>0.88999644001423983</v>
      </c>
      <c r="AQ234" s="268">
        <f t="shared" ref="AQ234:AQ242" si="291">AR234/(1+M$20)</f>
        <v>0.94339622641509424</v>
      </c>
      <c r="AR234" s="260">
        <v>1</v>
      </c>
      <c r="AS234" s="301">
        <f t="shared" ref="AS234:AZ234" si="292">AR234*(1+O$20)</f>
        <v>1.06</v>
      </c>
      <c r="AT234" s="301">
        <f t="shared" si="292"/>
        <v>1.1236000000000002</v>
      </c>
      <c r="AU234" s="301">
        <f t="shared" si="292"/>
        <v>1.1910160000000003</v>
      </c>
      <c r="AV234" s="301">
        <f t="shared" si="292"/>
        <v>1.2624769600000003</v>
      </c>
      <c r="AW234" s="301">
        <f t="shared" si="292"/>
        <v>1.3382255776000005</v>
      </c>
      <c r="AX234" s="301">
        <f t="shared" si="292"/>
        <v>1.4185191122560006</v>
      </c>
      <c r="AY234" s="301">
        <f t="shared" si="292"/>
        <v>1.5036302589913606</v>
      </c>
      <c r="AZ234" s="301">
        <f t="shared" si="292"/>
        <v>1.5938480745308423</v>
      </c>
    </row>
    <row r="235" spans="28:52" ht="14.25" customHeight="1">
      <c r="AB235" s="258">
        <v>221</v>
      </c>
      <c r="AC235" s="372"/>
      <c r="AD235" s="267" t="s">
        <v>2385</v>
      </c>
      <c r="AF235" s="268">
        <f t="shared" si="269"/>
        <v>0.44327177713248567</v>
      </c>
      <c r="AG235" s="268">
        <f t="shared" si="271"/>
        <v>0.47873351930308455</v>
      </c>
      <c r="AH235" s="268">
        <f t="shared" si="273"/>
        <v>0.51703220084733137</v>
      </c>
      <c r="AI235" s="268">
        <f t="shared" si="275"/>
        <v>0.55839477691511796</v>
      </c>
      <c r="AJ235" s="268">
        <f t="shared" si="277"/>
        <v>0.59189846353002507</v>
      </c>
      <c r="AK235" s="268">
        <f t="shared" si="279"/>
        <v>0.62741237134182659</v>
      </c>
      <c r="AL235" s="268">
        <f t="shared" si="281"/>
        <v>0.66505711362233622</v>
      </c>
      <c r="AM235" s="268">
        <f t="shared" si="283"/>
        <v>0.70496054043967638</v>
      </c>
      <c r="AN235" s="268">
        <f t="shared" si="285"/>
        <v>0.747258172866057</v>
      </c>
      <c r="AO235" s="268">
        <f t="shared" si="287"/>
        <v>0.79209366323802044</v>
      </c>
      <c r="AP235" s="268">
        <f t="shared" si="289"/>
        <v>0.83961928303230171</v>
      </c>
      <c r="AQ235" s="268">
        <f t="shared" si="291"/>
        <v>0.88999644001423983</v>
      </c>
      <c r="AR235" s="268">
        <f t="shared" ref="AR235:AR242" si="293">AS235/(1+N$20)</f>
        <v>0.94339622641509424</v>
      </c>
      <c r="AS235" s="260">
        <v>1</v>
      </c>
      <c r="AT235" s="301">
        <f t="shared" ref="AT235:AZ235" si="294">AS235*(1+P$20)</f>
        <v>1.06</v>
      </c>
      <c r="AU235" s="301">
        <f t="shared" si="294"/>
        <v>1.1236000000000002</v>
      </c>
      <c r="AV235" s="301">
        <f t="shared" si="294"/>
        <v>1.1910160000000003</v>
      </c>
      <c r="AW235" s="301">
        <f t="shared" si="294"/>
        <v>1.2624769600000003</v>
      </c>
      <c r="AX235" s="301">
        <f t="shared" si="294"/>
        <v>1.3382255776000005</v>
      </c>
      <c r="AY235" s="301">
        <f t="shared" si="294"/>
        <v>1.4185191122560006</v>
      </c>
      <c r="AZ235" s="301">
        <f t="shared" si="294"/>
        <v>1.5036302589913606</v>
      </c>
    </row>
    <row r="236" spans="28:52" ht="14.25" customHeight="1">
      <c r="AB236" s="258">
        <v>222</v>
      </c>
      <c r="AC236" s="372"/>
      <c r="AD236" s="267" t="s">
        <v>2386</v>
      </c>
      <c r="AF236" s="268">
        <f t="shared" si="269"/>
        <v>0.41818092182309974</v>
      </c>
      <c r="AG236" s="268">
        <f t="shared" si="271"/>
        <v>0.45163539556894772</v>
      </c>
      <c r="AH236" s="268">
        <f t="shared" si="273"/>
        <v>0.48776622721446355</v>
      </c>
      <c r="AI236" s="268">
        <f t="shared" si="275"/>
        <v>0.52678752539162066</v>
      </c>
      <c r="AJ236" s="268">
        <f t="shared" si="277"/>
        <v>0.55839477691511796</v>
      </c>
      <c r="AK236" s="268">
        <f t="shared" si="279"/>
        <v>0.59189846353002507</v>
      </c>
      <c r="AL236" s="268">
        <f t="shared" si="281"/>
        <v>0.62741237134182659</v>
      </c>
      <c r="AM236" s="268">
        <f t="shared" si="283"/>
        <v>0.66505711362233622</v>
      </c>
      <c r="AN236" s="268">
        <f t="shared" si="285"/>
        <v>0.70496054043967638</v>
      </c>
      <c r="AO236" s="268">
        <f t="shared" si="287"/>
        <v>0.747258172866057</v>
      </c>
      <c r="AP236" s="268">
        <f t="shared" si="289"/>
        <v>0.79209366323802044</v>
      </c>
      <c r="AQ236" s="268">
        <f t="shared" si="291"/>
        <v>0.83961928303230171</v>
      </c>
      <c r="AR236" s="268">
        <f t="shared" si="293"/>
        <v>0.88999644001423983</v>
      </c>
      <c r="AS236" s="268">
        <f t="shared" ref="AS236:AS242" si="295">AT236/(1+O$20)</f>
        <v>0.94339622641509424</v>
      </c>
      <c r="AT236" s="260">
        <v>1</v>
      </c>
      <c r="AU236" s="301">
        <f t="shared" ref="AU236:AZ236" si="296">AT236*(1+Q$20)</f>
        <v>1.06</v>
      </c>
      <c r="AV236" s="301">
        <f t="shared" si="296"/>
        <v>1.1236000000000002</v>
      </c>
      <c r="AW236" s="301">
        <f t="shared" si="296"/>
        <v>1.1910160000000003</v>
      </c>
      <c r="AX236" s="301">
        <f t="shared" si="296"/>
        <v>1.2624769600000003</v>
      </c>
      <c r="AY236" s="301">
        <f t="shared" si="296"/>
        <v>1.3382255776000005</v>
      </c>
      <c r="AZ236" s="301">
        <f t="shared" si="296"/>
        <v>1.4185191122560006</v>
      </c>
    </row>
    <row r="237" spans="28:52" ht="14.25" customHeight="1">
      <c r="AB237" s="258">
        <v>223</v>
      </c>
      <c r="AC237" s="372"/>
      <c r="AD237" s="267" t="s">
        <v>2387</v>
      </c>
      <c r="AF237" s="268">
        <f t="shared" si="269"/>
        <v>0.39451030360669781</v>
      </c>
      <c r="AG237" s="268">
        <f t="shared" si="271"/>
        <v>0.42607112789523366</v>
      </c>
      <c r="AH237" s="268">
        <f t="shared" si="273"/>
        <v>0.46015681812685238</v>
      </c>
      <c r="AI237" s="268">
        <f t="shared" si="275"/>
        <v>0.49696936357700061</v>
      </c>
      <c r="AJ237" s="268">
        <f t="shared" si="277"/>
        <v>0.52678752539162066</v>
      </c>
      <c r="AK237" s="268">
        <f t="shared" si="279"/>
        <v>0.55839477691511796</v>
      </c>
      <c r="AL237" s="268">
        <f t="shared" si="281"/>
        <v>0.59189846353002507</v>
      </c>
      <c r="AM237" s="268">
        <f t="shared" si="283"/>
        <v>0.62741237134182659</v>
      </c>
      <c r="AN237" s="268">
        <f t="shared" si="285"/>
        <v>0.66505711362233622</v>
      </c>
      <c r="AO237" s="268">
        <f t="shared" si="287"/>
        <v>0.70496054043967638</v>
      </c>
      <c r="AP237" s="268">
        <f t="shared" si="289"/>
        <v>0.747258172866057</v>
      </c>
      <c r="AQ237" s="268">
        <f t="shared" si="291"/>
        <v>0.79209366323802044</v>
      </c>
      <c r="AR237" s="268">
        <f t="shared" si="293"/>
        <v>0.83961928303230171</v>
      </c>
      <c r="AS237" s="268">
        <f t="shared" si="295"/>
        <v>0.88999644001423983</v>
      </c>
      <c r="AT237" s="268">
        <f t="shared" ref="AT237:AT242" si="297">AU237/(1+P$20)</f>
        <v>0.94339622641509424</v>
      </c>
      <c r="AU237" s="260">
        <v>1</v>
      </c>
      <c r="AV237" s="301">
        <f>AU237*(1+R$20)</f>
        <v>1.06</v>
      </c>
      <c r="AW237" s="301">
        <f>AV237*(1+S$20)</f>
        <v>1.1236000000000002</v>
      </c>
      <c r="AX237" s="301">
        <f>AW237*(1+T$20)</f>
        <v>1.1910160000000003</v>
      </c>
      <c r="AY237" s="301">
        <f>AX237*(1+U$20)</f>
        <v>1.2624769600000003</v>
      </c>
      <c r="AZ237" s="301">
        <f>AY237*(1+V$20)</f>
        <v>1.3382255776000005</v>
      </c>
    </row>
    <row r="238" spans="28:52" ht="14.25" customHeight="1">
      <c r="AB238" s="258">
        <v>224</v>
      </c>
      <c r="AC238" s="372"/>
      <c r="AD238" s="267" t="s">
        <v>2388</v>
      </c>
      <c r="AF238" s="268">
        <f t="shared" si="269"/>
        <v>0.37217953170443185</v>
      </c>
      <c r="AG238" s="268">
        <f t="shared" si="271"/>
        <v>0.40195389424078642</v>
      </c>
      <c r="AH238" s="268">
        <f t="shared" si="273"/>
        <v>0.43411020578004939</v>
      </c>
      <c r="AI238" s="268">
        <f t="shared" si="275"/>
        <v>0.46883902224245338</v>
      </c>
      <c r="AJ238" s="268">
        <f t="shared" si="277"/>
        <v>0.49696936357700061</v>
      </c>
      <c r="AK238" s="268">
        <f t="shared" si="279"/>
        <v>0.52678752539162066</v>
      </c>
      <c r="AL238" s="268">
        <f t="shared" si="281"/>
        <v>0.55839477691511796</v>
      </c>
      <c r="AM238" s="268">
        <f t="shared" si="283"/>
        <v>0.59189846353002507</v>
      </c>
      <c r="AN238" s="268">
        <f t="shared" si="285"/>
        <v>0.62741237134182659</v>
      </c>
      <c r="AO238" s="268">
        <f t="shared" si="287"/>
        <v>0.66505711362233622</v>
      </c>
      <c r="AP238" s="268">
        <f t="shared" si="289"/>
        <v>0.70496054043967638</v>
      </c>
      <c r="AQ238" s="268">
        <f t="shared" si="291"/>
        <v>0.747258172866057</v>
      </c>
      <c r="AR238" s="268">
        <f t="shared" si="293"/>
        <v>0.79209366323802044</v>
      </c>
      <c r="AS238" s="268">
        <f t="shared" si="295"/>
        <v>0.83961928303230171</v>
      </c>
      <c r="AT238" s="268">
        <f t="shared" si="297"/>
        <v>0.88999644001423983</v>
      </c>
      <c r="AU238" s="268">
        <f>AV238/(1+Q$20)</f>
        <v>0.94339622641509424</v>
      </c>
      <c r="AV238" s="260">
        <v>1</v>
      </c>
      <c r="AW238" s="301">
        <f>AV238*(1+S$20)</f>
        <v>1.06</v>
      </c>
      <c r="AX238" s="301">
        <f>AW238*(1+T$20)</f>
        <v>1.1236000000000002</v>
      </c>
      <c r="AY238" s="301">
        <f>AX238*(1+U$20)</f>
        <v>1.1910160000000003</v>
      </c>
      <c r="AZ238" s="301">
        <f>AY238*(1+V$20)</f>
        <v>1.2624769600000003</v>
      </c>
    </row>
    <row r="239" spans="28:52" ht="14.25" customHeight="1">
      <c r="AB239" s="258">
        <v>225</v>
      </c>
      <c r="AC239" s="372"/>
      <c r="AD239" s="267" t="s">
        <v>2389</v>
      </c>
      <c r="AF239" s="268">
        <f t="shared" si="269"/>
        <v>0.35111276575889794</v>
      </c>
      <c r="AG239" s="268">
        <f t="shared" si="271"/>
        <v>0.37920178701960983</v>
      </c>
      <c r="AH239" s="268">
        <f t="shared" si="273"/>
        <v>0.40953792998117866</v>
      </c>
      <c r="AI239" s="268">
        <f t="shared" si="275"/>
        <v>0.44230096437967298</v>
      </c>
      <c r="AJ239" s="268">
        <f t="shared" si="277"/>
        <v>0.46883902224245338</v>
      </c>
      <c r="AK239" s="268">
        <f t="shared" si="279"/>
        <v>0.49696936357700061</v>
      </c>
      <c r="AL239" s="268">
        <f t="shared" si="281"/>
        <v>0.52678752539162066</v>
      </c>
      <c r="AM239" s="268">
        <f t="shared" si="283"/>
        <v>0.55839477691511796</v>
      </c>
      <c r="AN239" s="268">
        <f t="shared" si="285"/>
        <v>0.59189846353002507</v>
      </c>
      <c r="AO239" s="268">
        <f t="shared" si="287"/>
        <v>0.62741237134182659</v>
      </c>
      <c r="AP239" s="268">
        <f t="shared" si="289"/>
        <v>0.66505711362233622</v>
      </c>
      <c r="AQ239" s="268">
        <f t="shared" si="291"/>
        <v>0.70496054043967638</v>
      </c>
      <c r="AR239" s="268">
        <f t="shared" si="293"/>
        <v>0.747258172866057</v>
      </c>
      <c r="AS239" s="268">
        <f t="shared" si="295"/>
        <v>0.79209366323802044</v>
      </c>
      <c r="AT239" s="268">
        <f t="shared" si="297"/>
        <v>0.83961928303230171</v>
      </c>
      <c r="AU239" s="268">
        <f>AV239/(1+Q$20)</f>
        <v>0.88999644001423983</v>
      </c>
      <c r="AV239" s="268">
        <f>AW239/(1+R$20)</f>
        <v>0.94339622641509424</v>
      </c>
      <c r="AW239" s="260">
        <v>1</v>
      </c>
      <c r="AX239" s="301">
        <f>AW239*(1+T$20)</f>
        <v>1.06</v>
      </c>
      <c r="AY239" s="301">
        <f>AX239*(1+U$20)</f>
        <v>1.1236000000000002</v>
      </c>
      <c r="AZ239" s="301">
        <f>AY239*(1+V$20)</f>
        <v>1.1910160000000003</v>
      </c>
    </row>
    <row r="240" spans="28:52" ht="14.25" customHeight="1">
      <c r="AB240" s="258">
        <v>226</v>
      </c>
      <c r="AC240" s="372"/>
      <c r="AD240" s="267" t="s">
        <v>2390</v>
      </c>
      <c r="AF240" s="268">
        <f t="shared" si="269"/>
        <v>0.33123845826311127</v>
      </c>
      <c r="AG240" s="268">
        <f t="shared" si="271"/>
        <v>0.35773753492416022</v>
      </c>
      <c r="AH240" s="268">
        <f t="shared" si="273"/>
        <v>0.38635653771809308</v>
      </c>
      <c r="AI240" s="268">
        <f t="shared" si="275"/>
        <v>0.41726506073554054</v>
      </c>
      <c r="AJ240" s="268">
        <f t="shared" si="277"/>
        <v>0.44230096437967298</v>
      </c>
      <c r="AK240" s="268">
        <f t="shared" si="279"/>
        <v>0.46883902224245338</v>
      </c>
      <c r="AL240" s="268">
        <f t="shared" si="281"/>
        <v>0.49696936357700061</v>
      </c>
      <c r="AM240" s="268">
        <f t="shared" si="283"/>
        <v>0.52678752539162066</v>
      </c>
      <c r="AN240" s="268">
        <f t="shared" si="285"/>
        <v>0.55839477691511796</v>
      </c>
      <c r="AO240" s="268">
        <f t="shared" si="287"/>
        <v>0.59189846353002507</v>
      </c>
      <c r="AP240" s="268">
        <f t="shared" si="289"/>
        <v>0.62741237134182659</v>
      </c>
      <c r="AQ240" s="268">
        <f t="shared" si="291"/>
        <v>0.66505711362233622</v>
      </c>
      <c r="AR240" s="268">
        <f t="shared" si="293"/>
        <v>0.70496054043967638</v>
      </c>
      <c r="AS240" s="268">
        <f t="shared" si="295"/>
        <v>0.747258172866057</v>
      </c>
      <c r="AT240" s="268">
        <f t="shared" si="297"/>
        <v>0.79209366323802044</v>
      </c>
      <c r="AU240" s="268">
        <f>AV240/(1+Q$20)</f>
        <v>0.83961928303230171</v>
      </c>
      <c r="AV240" s="268">
        <f>AW240/(1+R$20)</f>
        <v>0.88999644001423983</v>
      </c>
      <c r="AW240" s="268">
        <f>AX240/(1+S$20)</f>
        <v>0.94339622641509424</v>
      </c>
      <c r="AX240" s="260">
        <v>1</v>
      </c>
      <c r="AY240" s="301">
        <f>AX240*(1+U$20)</f>
        <v>1.06</v>
      </c>
      <c r="AZ240" s="301">
        <f>AY240*(1+V$20)</f>
        <v>1.1236000000000002</v>
      </c>
    </row>
    <row r="241" spans="28:52" ht="14.25" customHeight="1">
      <c r="AB241" s="258">
        <v>227</v>
      </c>
      <c r="AC241" s="372"/>
      <c r="AD241" s="267" t="s">
        <v>2391</v>
      </c>
      <c r="AF241" s="286">
        <f t="shared" si="269"/>
        <v>0.31248911156897285</v>
      </c>
      <c r="AG241" s="286">
        <f t="shared" si="271"/>
        <v>0.33748824049449072</v>
      </c>
      <c r="AH241" s="286">
        <f t="shared" si="273"/>
        <v>0.36448729973405003</v>
      </c>
      <c r="AI241" s="286">
        <f t="shared" si="275"/>
        <v>0.39364628371277405</v>
      </c>
      <c r="AJ241" s="286">
        <f t="shared" si="277"/>
        <v>0.41726506073554054</v>
      </c>
      <c r="AK241" s="286">
        <f t="shared" si="279"/>
        <v>0.44230096437967298</v>
      </c>
      <c r="AL241" s="286">
        <f t="shared" si="281"/>
        <v>0.46883902224245338</v>
      </c>
      <c r="AM241" s="286">
        <f t="shared" si="283"/>
        <v>0.49696936357700061</v>
      </c>
      <c r="AN241" s="286">
        <f t="shared" si="285"/>
        <v>0.52678752539162066</v>
      </c>
      <c r="AO241" s="286">
        <f t="shared" si="287"/>
        <v>0.55839477691511796</v>
      </c>
      <c r="AP241" s="286">
        <f t="shared" si="289"/>
        <v>0.59189846353002507</v>
      </c>
      <c r="AQ241" s="286">
        <f t="shared" si="291"/>
        <v>0.62741237134182659</v>
      </c>
      <c r="AR241" s="286">
        <f t="shared" si="293"/>
        <v>0.66505711362233622</v>
      </c>
      <c r="AS241" s="286">
        <f t="shared" si="295"/>
        <v>0.70496054043967638</v>
      </c>
      <c r="AT241" s="286">
        <f t="shared" si="297"/>
        <v>0.747258172866057</v>
      </c>
      <c r="AU241" s="286">
        <f>AV241/(1+Q$20)</f>
        <v>0.79209366323802044</v>
      </c>
      <c r="AV241" s="286">
        <f>AW241/(1+R$20)</f>
        <v>0.83961928303230171</v>
      </c>
      <c r="AW241" s="286">
        <f>AX241/(1+S$20)</f>
        <v>0.88999644001423983</v>
      </c>
      <c r="AX241" s="286">
        <f>AY241/(1+T$20)</f>
        <v>0.94339622641509424</v>
      </c>
      <c r="AY241" s="287">
        <v>1</v>
      </c>
      <c r="AZ241" s="301">
        <f>AY241*(1+V$20)</f>
        <v>1.06</v>
      </c>
    </row>
    <row r="242" spans="28:52" ht="15" customHeight="1">
      <c r="AB242" s="258">
        <v>228</v>
      </c>
      <c r="AC242" s="372"/>
      <c r="AD242" s="291" t="s">
        <v>2392</v>
      </c>
      <c r="AF242" s="292">
        <f t="shared" si="269"/>
        <v>0.29480104864997442</v>
      </c>
      <c r="AG242" s="292">
        <f t="shared" si="271"/>
        <v>0.31838513254197237</v>
      </c>
      <c r="AH242" s="292">
        <f t="shared" si="273"/>
        <v>0.34385594314533019</v>
      </c>
      <c r="AI242" s="292">
        <f t="shared" si="275"/>
        <v>0.37136441859695662</v>
      </c>
      <c r="AJ242" s="292">
        <f t="shared" si="277"/>
        <v>0.39364628371277405</v>
      </c>
      <c r="AK242" s="292">
        <f t="shared" si="279"/>
        <v>0.41726506073554054</v>
      </c>
      <c r="AL242" s="292">
        <f t="shared" si="281"/>
        <v>0.44230096437967298</v>
      </c>
      <c r="AM242" s="292">
        <f t="shared" si="283"/>
        <v>0.46883902224245338</v>
      </c>
      <c r="AN242" s="292">
        <f t="shared" si="285"/>
        <v>0.49696936357700061</v>
      </c>
      <c r="AO242" s="292">
        <f t="shared" si="287"/>
        <v>0.52678752539162066</v>
      </c>
      <c r="AP242" s="292">
        <f t="shared" si="289"/>
        <v>0.55839477691511796</v>
      </c>
      <c r="AQ242" s="292">
        <f t="shared" si="291"/>
        <v>0.59189846353002507</v>
      </c>
      <c r="AR242" s="292">
        <f t="shared" si="293"/>
        <v>0.62741237134182659</v>
      </c>
      <c r="AS242" s="292">
        <f t="shared" si="295"/>
        <v>0.66505711362233622</v>
      </c>
      <c r="AT242" s="292">
        <f t="shared" si="297"/>
        <v>0.70496054043967638</v>
      </c>
      <c r="AU242" s="292">
        <f>AV242/(1+Q$20)</f>
        <v>0.747258172866057</v>
      </c>
      <c r="AV242" s="292">
        <f>AW242/(1+R$20)</f>
        <v>0.79209366323802044</v>
      </c>
      <c r="AW242" s="292">
        <f>AX242/(1+S$20)</f>
        <v>0.83961928303230171</v>
      </c>
      <c r="AX242" s="292">
        <f>AY242/(1+T$20)</f>
        <v>0.88999644001423983</v>
      </c>
      <c r="AY242" s="292">
        <f>AZ242/(1+U$20)</f>
        <v>0.94339622641509424</v>
      </c>
      <c r="AZ242" s="293">
        <v>1</v>
      </c>
    </row>
    <row r="243" spans="28:52" ht="15" customHeight="1">
      <c r="AB243" s="314">
        <v>229</v>
      </c>
      <c r="AC243" s="315" t="s">
        <v>2533</v>
      </c>
      <c r="AD243" s="267" t="s">
        <v>2372</v>
      </c>
      <c r="AF243" s="316">
        <f>BP17</f>
        <v>1.0197913619966901</v>
      </c>
      <c r="AG243" s="316">
        <f>BP18</f>
        <v>1.0544169356369899</v>
      </c>
      <c r="AH243" s="316">
        <f>BP19</f>
        <v>1.12710759515667</v>
      </c>
      <c r="AI243" s="316">
        <f>BP20</f>
        <v>1.1744741995524799</v>
      </c>
      <c r="AJ243" s="316">
        <f>BP21</f>
        <v>1.2023563906546499</v>
      </c>
      <c r="AK243" s="316">
        <f>BP22</f>
        <v>1.2271999752221201</v>
      </c>
      <c r="AL243" s="316">
        <f>BP23</f>
        <v>1.2527841202158501</v>
      </c>
      <c r="AM243" s="317">
        <f>BP24</f>
        <v>1.27819169259149</v>
      </c>
      <c r="AN243" s="316">
        <f>BP25</f>
        <v>1.30223716798167</v>
      </c>
      <c r="AO243" s="316">
        <f>BP26</f>
        <v>1.3296739984532799</v>
      </c>
      <c r="AP243" s="316">
        <f>BP27</f>
        <v>1.3573630228371001</v>
      </c>
      <c r="AQ243" s="316">
        <f>BP28</f>
        <v>1.38551357331134</v>
      </c>
      <c r="AR243" s="316">
        <f>BP29</f>
        <v>1.41424036800049</v>
      </c>
      <c r="AS243" s="316">
        <f>BP30</f>
        <v>1.4437590631306201</v>
      </c>
      <c r="AT243" s="316">
        <f>BP31</f>
        <v>1.4736734341672499</v>
      </c>
      <c r="AU243" s="316">
        <f>BP32</f>
        <v>1.50430377489571</v>
      </c>
      <c r="AV243" s="316">
        <f>BP33</f>
        <v>1.53555892658055</v>
      </c>
      <c r="AW243" s="316">
        <f>BP34</f>
        <v>1.5674521183974699</v>
      </c>
      <c r="AX243" s="316">
        <f>BP35</f>
        <v>1.59999685520096</v>
      </c>
      <c r="AY243" s="316">
        <f>BP36</f>
        <v>1.63320692208983</v>
      </c>
      <c r="AZ243" s="316">
        <f>BP36</f>
        <v>1.63320692208983</v>
      </c>
    </row>
    <row r="244" spans="28:52" ht="12" customHeight="1">
      <c r="AD244" s="318"/>
    </row>
  </sheetData>
  <mergeCells count="6">
    <mergeCell ref="AC222:AC242"/>
    <mergeCell ref="A1:B1"/>
    <mergeCell ref="BG15:BJ15"/>
    <mergeCell ref="AC159:AC179"/>
    <mergeCell ref="AC180:AC200"/>
    <mergeCell ref="AC201:AC221"/>
  </mergeCells>
  <conditionalFormatting sqref="A10:A13">
    <cfRule type="duplicateValues" dxfId="13" priority="3"/>
  </conditionalFormatting>
  <conditionalFormatting sqref="A14">
    <cfRule type="duplicateValues" dxfId="12" priority="2"/>
  </conditionalFormatting>
  <hyperlinks>
    <hyperlink ref="A1" location="'Table of contents'!A1" display="` Table of Contents" xr:uid="{00000000-0004-0000-1200-000000000000}"/>
  </hyperlinks>
  <pageMargins left="0.7" right="0.7" top="0.75" bottom="0.75" header="0.3" footer="0.511811023622047"/>
  <pageSetup orientation="portrait" horizontalDpi="300" verticalDpi="300"/>
  <headerFooter>
    <oddHeader>&amp;R&amp;"arial,Regular"&amp;1 &amp;Kff0000PROTÉGÉ B / PROTECTED B#</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E14"/>
  <sheetViews>
    <sheetView zoomScaleNormal="100" workbookViewId="0">
      <selection activeCell="B5" sqref="B5"/>
    </sheetView>
  </sheetViews>
  <sheetFormatPr defaultColWidth="8.7109375" defaultRowHeight="15"/>
  <sheetData>
    <row r="1" spans="1:5" ht="14.25" customHeight="1">
      <c r="A1" s="4" t="s">
        <v>56</v>
      </c>
      <c r="B1" s="4"/>
    </row>
    <row r="3" spans="1:5" ht="30.75" customHeight="1">
      <c r="A3" s="18" t="s">
        <v>2534</v>
      </c>
      <c r="B3" s="44"/>
      <c r="C3" s="20"/>
      <c r="D3" s="20"/>
      <c r="E3" s="20"/>
    </row>
    <row r="4" spans="1:5" ht="14.25" customHeight="1">
      <c r="A4" t="s">
        <v>504</v>
      </c>
      <c r="B4" s="17"/>
    </row>
    <row r="5" spans="1:5" ht="14.25" customHeight="1">
      <c r="B5" t="s">
        <v>2535</v>
      </c>
    </row>
    <row r="10" spans="1:5" ht="14.25" customHeight="1">
      <c r="B10" t="s">
        <v>2536</v>
      </c>
    </row>
    <row r="11" spans="1:5" ht="14.25" customHeight="1">
      <c r="B11" t="s">
        <v>2537</v>
      </c>
    </row>
    <row r="13" spans="1:5" ht="14.25" customHeight="1">
      <c r="B13" t="s">
        <v>2538</v>
      </c>
    </row>
    <row r="14" spans="1:5" ht="14.25" customHeight="1">
      <c r="B14" t="s">
        <v>2539</v>
      </c>
    </row>
  </sheetData>
  <mergeCells count="1">
    <mergeCell ref="A1:B1"/>
  </mergeCells>
  <conditionalFormatting sqref="A3:E3 B4:E4">
    <cfRule type="expression" dxfId="11" priority="2">
      <formula>IF($B3="Subsystem", 1, 0)</formula>
    </cfRule>
    <cfRule type="expression" dxfId="10" priority="3">
      <formula>IF($B3="Assembly", 1, 0)</formula>
    </cfRule>
    <cfRule type="expression" dxfId="9" priority="4">
      <formula>IF($B3="System", 1, 0)</formula>
    </cfRule>
    <cfRule type="expression" dxfId="8" priority="5">
      <formula>IF($B3="SoS", 1, 0)</formula>
    </cfRule>
    <cfRule type="expression" dxfId="7" priority="6">
      <formula>IF($B3="Segment", 1, 0)</formula>
    </cfRule>
    <cfRule type="expression" dxfId="6" priority="7">
      <formula>IF($B3="SEITPM", 1, 0)</formula>
    </cfRule>
  </conditionalFormatting>
  <hyperlinks>
    <hyperlink ref="A1" location="'Table of contents'!A1" display="` Table of Contents" xr:uid="{00000000-0004-0000-1300-000000000000}"/>
  </hyperlink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A1:B11"/>
  <sheetViews>
    <sheetView zoomScale="107" zoomScaleNormal="107" workbookViewId="0">
      <selection activeCell="Q34" sqref="Q34"/>
    </sheetView>
  </sheetViews>
  <sheetFormatPr defaultColWidth="8.7109375" defaultRowHeight="15"/>
  <sheetData>
    <row r="1" spans="1:2" ht="14.25" customHeight="1">
      <c r="A1" s="4" t="s">
        <v>56</v>
      </c>
      <c r="B1" s="4"/>
    </row>
    <row r="2" spans="1:2" ht="14.25" customHeight="1">
      <c r="A2" s="43"/>
      <c r="B2" s="43"/>
    </row>
    <row r="4" spans="1:2" ht="30.75" customHeight="1">
      <c r="A4" s="18" t="s">
        <v>2540</v>
      </c>
    </row>
    <row r="5" spans="1:2" ht="14.25" customHeight="1">
      <c r="A5" t="s">
        <v>504</v>
      </c>
    </row>
    <row r="6" spans="1:2" ht="14.25" customHeight="1">
      <c r="B6" t="s">
        <v>2541</v>
      </c>
    </row>
    <row r="10" spans="1:2" ht="15" customHeight="1">
      <c r="A10" s="233" t="s">
        <v>49</v>
      </c>
    </row>
    <row r="11" spans="1:2" ht="14.25" customHeight="1">
      <c r="A11" t="s">
        <v>2542</v>
      </c>
    </row>
  </sheetData>
  <mergeCells count="1">
    <mergeCell ref="A1:B1"/>
  </mergeCells>
  <hyperlinks>
    <hyperlink ref="A1" location="'Table of contents'!A1" display="` Table of Contents" xr:uid="{00000000-0004-0000-1400-000000000000}"/>
  </hyperlinks>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Z103"/>
  <sheetViews>
    <sheetView topLeftCell="A40" zoomScale="80" zoomScaleNormal="80" workbookViewId="0">
      <selection activeCell="I86" sqref="I86"/>
    </sheetView>
  </sheetViews>
  <sheetFormatPr defaultColWidth="8.7109375" defaultRowHeight="15"/>
  <cols>
    <col min="2" max="2" width="22.7109375" customWidth="1"/>
    <col min="3" max="4" width="12.85546875" customWidth="1"/>
    <col min="17" max="22" width="9.85546875" customWidth="1"/>
  </cols>
  <sheetData>
    <row r="1" spans="1:2" ht="14.25" customHeight="1">
      <c r="A1" s="4" t="s">
        <v>56</v>
      </c>
      <c r="B1" s="4"/>
    </row>
    <row r="3" spans="1:2" ht="31.5" customHeight="1">
      <c r="A3" s="18" t="s">
        <v>2543</v>
      </c>
      <c r="B3" s="44"/>
    </row>
    <row r="4" spans="1:2" ht="14.25" customHeight="1">
      <c r="A4" t="s">
        <v>504</v>
      </c>
      <c r="B4" s="17"/>
    </row>
    <row r="5" spans="1:2" ht="14.25" customHeight="1">
      <c r="B5" t="s">
        <v>2544</v>
      </c>
    </row>
    <row r="6" spans="1:2" ht="14.25" customHeight="1">
      <c r="B6" t="s">
        <v>2545</v>
      </c>
    </row>
    <row r="27" spans="2:50" ht="14.25" customHeight="1">
      <c r="C27" s="319" t="s">
        <v>2546</v>
      </c>
      <c r="D27" s="319" t="s">
        <v>2547</v>
      </c>
      <c r="E27" s="320">
        <v>2015</v>
      </c>
      <c r="F27" s="320">
        <v>2016</v>
      </c>
      <c r="G27" s="320">
        <v>2017</v>
      </c>
      <c r="H27" s="320">
        <v>2018</v>
      </c>
      <c r="I27" s="320">
        <v>2019</v>
      </c>
      <c r="J27" s="320">
        <v>2020</v>
      </c>
      <c r="K27" s="320">
        <v>2021</v>
      </c>
      <c r="L27" s="320">
        <v>2022</v>
      </c>
      <c r="M27" s="320">
        <v>2023</v>
      </c>
      <c r="N27" s="320">
        <v>2024</v>
      </c>
      <c r="O27" s="320">
        <v>2025</v>
      </c>
      <c r="P27" s="320">
        <v>2026</v>
      </c>
      <c r="Q27" s="320">
        <v>2027</v>
      </c>
      <c r="R27" s="320">
        <v>2028</v>
      </c>
      <c r="S27" s="320">
        <v>2029</v>
      </c>
      <c r="T27" s="320">
        <v>2030</v>
      </c>
      <c r="U27" s="320">
        <v>2031</v>
      </c>
      <c r="V27" s="320">
        <v>2032</v>
      </c>
      <c r="W27" s="320">
        <v>2033</v>
      </c>
      <c r="X27" s="320">
        <v>2034</v>
      </c>
      <c r="Y27" s="320">
        <v>2035</v>
      </c>
      <c r="Z27" s="320">
        <v>2036</v>
      </c>
      <c r="AA27" s="320">
        <v>2037</v>
      </c>
      <c r="AB27" s="320">
        <v>2038</v>
      </c>
      <c r="AC27" s="320">
        <v>2039</v>
      </c>
      <c r="AD27" s="320">
        <v>2040</v>
      </c>
      <c r="AE27" s="320">
        <v>2041</v>
      </c>
      <c r="AF27" s="320">
        <v>2042</v>
      </c>
      <c r="AG27" s="320">
        <v>2043</v>
      </c>
      <c r="AH27" s="320">
        <v>2044</v>
      </c>
      <c r="AI27" s="320">
        <v>2045</v>
      </c>
      <c r="AJ27" s="320">
        <v>2046</v>
      </c>
      <c r="AK27" s="320">
        <v>2047</v>
      </c>
      <c r="AL27" s="320">
        <v>2048</v>
      </c>
      <c r="AM27" s="320">
        <v>2049</v>
      </c>
      <c r="AN27" s="320">
        <v>2050</v>
      </c>
      <c r="AO27" s="320">
        <v>2051</v>
      </c>
      <c r="AP27" s="320">
        <v>2052</v>
      </c>
      <c r="AQ27" s="320">
        <v>2053</v>
      </c>
      <c r="AR27" s="320">
        <v>2054</v>
      </c>
      <c r="AS27" s="320">
        <v>2055</v>
      </c>
      <c r="AT27" s="320">
        <v>2056</v>
      </c>
      <c r="AU27" s="320">
        <v>2057</v>
      </c>
      <c r="AV27" s="320">
        <v>2058</v>
      </c>
      <c r="AW27" s="320">
        <v>2059</v>
      </c>
      <c r="AX27" s="320">
        <v>2060</v>
      </c>
    </row>
    <row r="28" spans="2:50" ht="14.25" customHeight="1">
      <c r="B28" s="321" t="s">
        <v>2231</v>
      </c>
      <c r="C28" s="60">
        <v>45292</v>
      </c>
      <c r="D28" s="60">
        <v>45657</v>
      </c>
      <c r="E28" s="188">
        <f t="shared" ref="E28:N38" si="0">MAX(MIN($D28,DATE(E$27,3,31))-MAX($C28,DATE(E$27-1,4,1))+1,0)/365*12</f>
        <v>0</v>
      </c>
      <c r="F28" s="188">
        <f t="shared" si="0"/>
        <v>0</v>
      </c>
      <c r="G28" s="188">
        <f t="shared" si="0"/>
        <v>0</v>
      </c>
      <c r="H28" s="188">
        <f t="shared" si="0"/>
        <v>0</v>
      </c>
      <c r="I28" s="188">
        <f t="shared" si="0"/>
        <v>0</v>
      </c>
      <c r="J28" s="188">
        <f t="shared" si="0"/>
        <v>0</v>
      </c>
      <c r="K28" s="188">
        <f t="shared" si="0"/>
        <v>0</v>
      </c>
      <c r="L28" s="188">
        <f t="shared" si="0"/>
        <v>0</v>
      </c>
      <c r="M28" s="188">
        <f t="shared" si="0"/>
        <v>0</v>
      </c>
      <c r="N28" s="188">
        <f t="shared" si="0"/>
        <v>2.9917808219178084</v>
      </c>
      <c r="O28" s="188">
        <f t="shared" ref="O28:X38" si="1">MAX(MIN($D28,DATE(O$27,3,31))-MAX($C28,DATE(O$27-1,4,1))+1,0)/365*12</f>
        <v>9.0410958904109595</v>
      </c>
      <c r="P28" s="188">
        <f t="shared" si="1"/>
        <v>0</v>
      </c>
      <c r="Q28" s="188">
        <f t="shared" si="1"/>
        <v>0</v>
      </c>
      <c r="R28" s="188">
        <f t="shared" si="1"/>
        <v>0</v>
      </c>
      <c r="S28" s="188">
        <f t="shared" si="1"/>
        <v>0</v>
      </c>
      <c r="T28" s="188">
        <f t="shared" si="1"/>
        <v>0</v>
      </c>
      <c r="U28" s="188">
        <f t="shared" si="1"/>
        <v>0</v>
      </c>
      <c r="V28" s="188">
        <f t="shared" si="1"/>
        <v>0</v>
      </c>
      <c r="W28" s="188">
        <f t="shared" si="1"/>
        <v>0</v>
      </c>
      <c r="X28" s="188">
        <f t="shared" si="1"/>
        <v>0</v>
      </c>
      <c r="Y28" s="188">
        <f t="shared" ref="Y28:AH38" si="2">MAX(MIN($D28,DATE(Y$27,3,31))-MAX($C28,DATE(Y$27-1,4,1))+1,0)/365*12</f>
        <v>0</v>
      </c>
      <c r="Z28" s="188">
        <f t="shared" si="2"/>
        <v>0</v>
      </c>
      <c r="AA28" s="188">
        <f t="shared" si="2"/>
        <v>0</v>
      </c>
      <c r="AB28" s="188">
        <f t="shared" si="2"/>
        <v>0</v>
      </c>
      <c r="AC28" s="188">
        <f t="shared" si="2"/>
        <v>0</v>
      </c>
      <c r="AD28" s="188">
        <f t="shared" si="2"/>
        <v>0</v>
      </c>
      <c r="AE28" s="188">
        <f t="shared" si="2"/>
        <v>0</v>
      </c>
      <c r="AF28" s="188">
        <f t="shared" si="2"/>
        <v>0</v>
      </c>
      <c r="AG28" s="188">
        <f t="shared" si="2"/>
        <v>0</v>
      </c>
      <c r="AH28" s="188">
        <f t="shared" si="2"/>
        <v>0</v>
      </c>
      <c r="AI28" s="188">
        <f t="shared" ref="AI28:AS38" si="3">MAX(MIN($D28,DATE(AI$27,3,31))-MAX($C28,DATE(AI$27-1,4,1))+1,0)/365*12</f>
        <v>0</v>
      </c>
      <c r="AJ28" s="188">
        <f t="shared" si="3"/>
        <v>0</v>
      </c>
      <c r="AK28" s="188">
        <f t="shared" si="3"/>
        <v>0</v>
      </c>
      <c r="AL28" s="188">
        <f t="shared" si="3"/>
        <v>0</v>
      </c>
      <c r="AM28" s="188">
        <f t="shared" si="3"/>
        <v>0</v>
      </c>
      <c r="AN28" s="188">
        <f t="shared" si="3"/>
        <v>0</v>
      </c>
      <c r="AO28" s="188">
        <f t="shared" si="3"/>
        <v>0</v>
      </c>
      <c r="AP28" s="188">
        <f t="shared" si="3"/>
        <v>0</v>
      </c>
      <c r="AQ28" s="188">
        <f t="shared" si="3"/>
        <v>0</v>
      </c>
      <c r="AR28" s="188">
        <f t="shared" si="3"/>
        <v>0</v>
      </c>
      <c r="AS28" s="188">
        <f t="shared" si="3"/>
        <v>0</v>
      </c>
    </row>
    <row r="29" spans="2:50" ht="14.25" customHeight="1">
      <c r="B29" s="321" t="s">
        <v>2241</v>
      </c>
      <c r="C29" s="60">
        <v>45658</v>
      </c>
      <c r="D29" s="60">
        <v>46022</v>
      </c>
      <c r="E29" s="188">
        <f t="shared" si="0"/>
        <v>0</v>
      </c>
      <c r="F29" s="188">
        <f t="shared" si="0"/>
        <v>0</v>
      </c>
      <c r="G29" s="188">
        <f t="shared" si="0"/>
        <v>0</v>
      </c>
      <c r="H29" s="188">
        <f t="shared" si="0"/>
        <v>0</v>
      </c>
      <c r="I29" s="188">
        <f t="shared" si="0"/>
        <v>0</v>
      </c>
      <c r="J29" s="188">
        <f t="shared" si="0"/>
        <v>0</v>
      </c>
      <c r="K29" s="188">
        <f t="shared" si="0"/>
        <v>0</v>
      </c>
      <c r="L29" s="188">
        <f t="shared" si="0"/>
        <v>0</v>
      </c>
      <c r="M29" s="188">
        <f t="shared" si="0"/>
        <v>0</v>
      </c>
      <c r="N29" s="188">
        <f t="shared" si="0"/>
        <v>0</v>
      </c>
      <c r="O29" s="188">
        <f t="shared" si="1"/>
        <v>2.9589041095890409</v>
      </c>
      <c r="P29" s="188">
        <f t="shared" si="1"/>
        <v>9.0410958904109595</v>
      </c>
      <c r="Q29" s="188">
        <f t="shared" si="1"/>
        <v>0</v>
      </c>
      <c r="R29" s="188">
        <f t="shared" si="1"/>
        <v>0</v>
      </c>
      <c r="S29" s="188">
        <f t="shared" si="1"/>
        <v>0</v>
      </c>
      <c r="T29" s="188">
        <f t="shared" si="1"/>
        <v>0</v>
      </c>
      <c r="U29" s="188">
        <f t="shared" si="1"/>
        <v>0</v>
      </c>
      <c r="V29" s="188">
        <f t="shared" si="1"/>
        <v>0</v>
      </c>
      <c r="W29" s="188">
        <f t="shared" si="1"/>
        <v>0</v>
      </c>
      <c r="X29" s="188">
        <f t="shared" si="1"/>
        <v>0</v>
      </c>
      <c r="Y29" s="188">
        <f t="shared" si="2"/>
        <v>0</v>
      </c>
      <c r="Z29" s="188">
        <f t="shared" si="2"/>
        <v>0</v>
      </c>
      <c r="AA29" s="188">
        <f t="shared" si="2"/>
        <v>0</v>
      </c>
      <c r="AB29" s="188">
        <f t="shared" si="2"/>
        <v>0</v>
      </c>
      <c r="AC29" s="188">
        <f t="shared" si="2"/>
        <v>0</v>
      </c>
      <c r="AD29" s="188">
        <f t="shared" si="2"/>
        <v>0</v>
      </c>
      <c r="AE29" s="188">
        <f t="shared" si="2"/>
        <v>0</v>
      </c>
      <c r="AF29" s="188">
        <f t="shared" si="2"/>
        <v>0</v>
      </c>
      <c r="AG29" s="188">
        <f t="shared" si="2"/>
        <v>0</v>
      </c>
      <c r="AH29" s="188">
        <f t="shared" si="2"/>
        <v>0</v>
      </c>
      <c r="AI29" s="188">
        <f t="shared" si="3"/>
        <v>0</v>
      </c>
      <c r="AJ29" s="188">
        <f t="shared" si="3"/>
        <v>0</v>
      </c>
      <c r="AK29" s="188">
        <f t="shared" si="3"/>
        <v>0</v>
      </c>
      <c r="AL29" s="188">
        <f t="shared" si="3"/>
        <v>0</v>
      </c>
      <c r="AM29" s="188">
        <f t="shared" si="3"/>
        <v>0</v>
      </c>
      <c r="AN29" s="188">
        <f t="shared" si="3"/>
        <v>0</v>
      </c>
      <c r="AO29" s="188">
        <f t="shared" si="3"/>
        <v>0</v>
      </c>
      <c r="AP29" s="188">
        <f t="shared" si="3"/>
        <v>0</v>
      </c>
      <c r="AQ29" s="188">
        <f t="shared" si="3"/>
        <v>0</v>
      </c>
      <c r="AR29" s="188">
        <f t="shared" si="3"/>
        <v>0</v>
      </c>
      <c r="AS29" s="188">
        <f t="shared" si="3"/>
        <v>0</v>
      </c>
    </row>
    <row r="30" spans="2:50" ht="14.25" customHeight="1">
      <c r="B30" s="321" t="s">
        <v>1056</v>
      </c>
      <c r="C30" s="60">
        <v>46023</v>
      </c>
      <c r="D30" s="60">
        <v>46752</v>
      </c>
      <c r="E30" s="188">
        <f t="shared" si="0"/>
        <v>0</v>
      </c>
      <c r="F30" s="188">
        <f t="shared" si="0"/>
        <v>0</v>
      </c>
      <c r="G30" s="188">
        <f t="shared" si="0"/>
        <v>0</v>
      </c>
      <c r="H30" s="188">
        <f t="shared" si="0"/>
        <v>0</v>
      </c>
      <c r="I30" s="188">
        <f t="shared" si="0"/>
        <v>0</v>
      </c>
      <c r="J30" s="188">
        <f t="shared" si="0"/>
        <v>0</v>
      </c>
      <c r="K30" s="188">
        <f t="shared" si="0"/>
        <v>0</v>
      </c>
      <c r="L30" s="188">
        <f t="shared" si="0"/>
        <v>0</v>
      </c>
      <c r="M30" s="188">
        <f t="shared" si="0"/>
        <v>0</v>
      </c>
      <c r="N30" s="188">
        <f t="shared" si="0"/>
        <v>0</v>
      </c>
      <c r="O30" s="188">
        <f t="shared" si="1"/>
        <v>0</v>
      </c>
      <c r="P30" s="188">
        <f t="shared" si="1"/>
        <v>2.9589041095890409</v>
      </c>
      <c r="Q30" s="188">
        <f t="shared" si="1"/>
        <v>12</v>
      </c>
      <c r="R30" s="188">
        <f t="shared" si="1"/>
        <v>9.0410958904109595</v>
      </c>
      <c r="S30" s="188">
        <f t="shared" si="1"/>
        <v>0</v>
      </c>
      <c r="T30" s="188">
        <f t="shared" si="1"/>
        <v>0</v>
      </c>
      <c r="U30" s="188">
        <f t="shared" si="1"/>
        <v>0</v>
      </c>
      <c r="V30" s="188">
        <f t="shared" si="1"/>
        <v>0</v>
      </c>
      <c r="W30" s="188">
        <f t="shared" si="1"/>
        <v>0</v>
      </c>
      <c r="X30" s="188">
        <f t="shared" si="1"/>
        <v>0</v>
      </c>
      <c r="Y30" s="188">
        <f t="shared" si="2"/>
        <v>0</v>
      </c>
      <c r="Z30" s="188">
        <f t="shared" si="2"/>
        <v>0</v>
      </c>
      <c r="AA30" s="188">
        <f t="shared" si="2"/>
        <v>0</v>
      </c>
      <c r="AB30" s="188">
        <f t="shared" si="2"/>
        <v>0</v>
      </c>
      <c r="AC30" s="188">
        <f t="shared" si="2"/>
        <v>0</v>
      </c>
      <c r="AD30" s="188">
        <f t="shared" si="2"/>
        <v>0</v>
      </c>
      <c r="AE30" s="188">
        <f t="shared" si="2"/>
        <v>0</v>
      </c>
      <c r="AF30" s="188">
        <f t="shared" si="2"/>
        <v>0</v>
      </c>
      <c r="AG30" s="188">
        <f t="shared" si="2"/>
        <v>0</v>
      </c>
      <c r="AH30" s="188">
        <f t="shared" si="2"/>
        <v>0</v>
      </c>
      <c r="AI30" s="188">
        <f t="shared" si="3"/>
        <v>0</v>
      </c>
      <c r="AJ30" s="188">
        <f t="shared" si="3"/>
        <v>0</v>
      </c>
      <c r="AK30" s="188">
        <f t="shared" si="3"/>
        <v>0</v>
      </c>
      <c r="AL30" s="188">
        <f t="shared" si="3"/>
        <v>0</v>
      </c>
      <c r="AM30" s="188">
        <f t="shared" si="3"/>
        <v>0</v>
      </c>
      <c r="AN30" s="188">
        <f t="shared" si="3"/>
        <v>0</v>
      </c>
      <c r="AO30" s="188">
        <f t="shared" si="3"/>
        <v>0</v>
      </c>
      <c r="AP30" s="188">
        <f t="shared" si="3"/>
        <v>0</v>
      </c>
      <c r="AQ30" s="188">
        <f t="shared" si="3"/>
        <v>0</v>
      </c>
      <c r="AR30" s="188">
        <f t="shared" si="3"/>
        <v>0</v>
      </c>
      <c r="AS30" s="188">
        <f t="shared" si="3"/>
        <v>0</v>
      </c>
    </row>
    <row r="31" spans="2:50" ht="14.25" customHeight="1">
      <c r="B31" s="321" t="s">
        <v>429</v>
      </c>
      <c r="C31" s="60">
        <v>46753</v>
      </c>
      <c r="D31" s="60">
        <v>47483</v>
      </c>
      <c r="E31" s="188">
        <f t="shared" si="0"/>
        <v>0</v>
      </c>
      <c r="F31" s="188">
        <f t="shared" si="0"/>
        <v>0</v>
      </c>
      <c r="G31" s="188">
        <f t="shared" si="0"/>
        <v>0</v>
      </c>
      <c r="H31" s="188">
        <f t="shared" si="0"/>
        <v>0</v>
      </c>
      <c r="I31" s="188">
        <f t="shared" si="0"/>
        <v>0</v>
      </c>
      <c r="J31" s="188">
        <f t="shared" si="0"/>
        <v>0</v>
      </c>
      <c r="K31" s="188">
        <f t="shared" si="0"/>
        <v>0</v>
      </c>
      <c r="L31" s="188">
        <f t="shared" si="0"/>
        <v>0</v>
      </c>
      <c r="M31" s="188">
        <f t="shared" si="0"/>
        <v>0</v>
      </c>
      <c r="N31" s="188">
        <f t="shared" si="0"/>
        <v>0</v>
      </c>
      <c r="O31" s="188">
        <f t="shared" si="1"/>
        <v>0</v>
      </c>
      <c r="P31" s="188">
        <f t="shared" si="1"/>
        <v>0</v>
      </c>
      <c r="Q31" s="188">
        <f t="shared" si="1"/>
        <v>0</v>
      </c>
      <c r="R31" s="188">
        <f t="shared" si="1"/>
        <v>2.9917808219178084</v>
      </c>
      <c r="S31" s="188">
        <f t="shared" si="1"/>
        <v>12</v>
      </c>
      <c r="T31" s="188">
        <f t="shared" si="1"/>
        <v>9.0410958904109595</v>
      </c>
      <c r="U31" s="188">
        <f t="shared" si="1"/>
        <v>0</v>
      </c>
      <c r="V31" s="188">
        <f t="shared" si="1"/>
        <v>0</v>
      </c>
      <c r="W31" s="188">
        <f t="shared" si="1"/>
        <v>0</v>
      </c>
      <c r="X31" s="188">
        <f t="shared" si="1"/>
        <v>0</v>
      </c>
      <c r="Y31" s="188">
        <f t="shared" si="2"/>
        <v>0</v>
      </c>
      <c r="Z31" s="188">
        <f t="shared" si="2"/>
        <v>0</v>
      </c>
      <c r="AA31" s="188">
        <f t="shared" si="2"/>
        <v>0</v>
      </c>
      <c r="AB31" s="188">
        <f t="shared" si="2"/>
        <v>0</v>
      </c>
      <c r="AC31" s="188">
        <f t="shared" si="2"/>
        <v>0</v>
      </c>
      <c r="AD31" s="188">
        <f t="shared" si="2"/>
        <v>0</v>
      </c>
      <c r="AE31" s="188">
        <f t="shared" si="2"/>
        <v>0</v>
      </c>
      <c r="AF31" s="188">
        <f t="shared" si="2"/>
        <v>0</v>
      </c>
      <c r="AG31" s="188">
        <f t="shared" si="2"/>
        <v>0</v>
      </c>
      <c r="AH31" s="188">
        <f t="shared" si="2"/>
        <v>0</v>
      </c>
      <c r="AI31" s="188">
        <f t="shared" si="3"/>
        <v>0</v>
      </c>
      <c r="AJ31" s="188">
        <f t="shared" si="3"/>
        <v>0</v>
      </c>
      <c r="AK31" s="188">
        <f t="shared" si="3"/>
        <v>0</v>
      </c>
      <c r="AL31" s="188">
        <f t="shared" si="3"/>
        <v>0</v>
      </c>
      <c r="AM31" s="188">
        <f t="shared" si="3"/>
        <v>0</v>
      </c>
      <c r="AN31" s="188">
        <f t="shared" si="3"/>
        <v>0</v>
      </c>
      <c r="AO31" s="188">
        <f t="shared" si="3"/>
        <v>0</v>
      </c>
      <c r="AP31" s="188">
        <f t="shared" si="3"/>
        <v>0</v>
      </c>
      <c r="AQ31" s="188">
        <f t="shared" si="3"/>
        <v>0</v>
      </c>
      <c r="AR31" s="188">
        <f t="shared" si="3"/>
        <v>0</v>
      </c>
      <c r="AS31" s="188">
        <f t="shared" si="3"/>
        <v>0</v>
      </c>
    </row>
    <row r="32" spans="2:50" ht="14.25" customHeight="1">
      <c r="B32" s="321" t="s">
        <v>206</v>
      </c>
      <c r="C32" s="60">
        <v>47484</v>
      </c>
      <c r="D32" s="60">
        <v>48213</v>
      </c>
      <c r="E32" s="188">
        <f t="shared" si="0"/>
        <v>0</v>
      </c>
      <c r="F32" s="188">
        <f t="shared" si="0"/>
        <v>0</v>
      </c>
      <c r="G32" s="188">
        <f t="shared" si="0"/>
        <v>0</v>
      </c>
      <c r="H32" s="188">
        <f t="shared" si="0"/>
        <v>0</v>
      </c>
      <c r="I32" s="188">
        <f t="shared" si="0"/>
        <v>0</v>
      </c>
      <c r="J32" s="188">
        <f t="shared" si="0"/>
        <v>0</v>
      </c>
      <c r="K32" s="188">
        <f t="shared" si="0"/>
        <v>0</v>
      </c>
      <c r="L32" s="188">
        <f t="shared" si="0"/>
        <v>0</v>
      </c>
      <c r="M32" s="188">
        <f t="shared" si="0"/>
        <v>0</v>
      </c>
      <c r="N32" s="188">
        <f t="shared" si="0"/>
        <v>0</v>
      </c>
      <c r="O32" s="188">
        <f t="shared" si="1"/>
        <v>0</v>
      </c>
      <c r="P32" s="188">
        <f t="shared" si="1"/>
        <v>0</v>
      </c>
      <c r="Q32" s="188">
        <f t="shared" si="1"/>
        <v>0</v>
      </c>
      <c r="R32" s="188">
        <f t="shared" si="1"/>
        <v>0</v>
      </c>
      <c r="S32" s="188">
        <f t="shared" si="1"/>
        <v>0</v>
      </c>
      <c r="T32" s="188">
        <f t="shared" si="1"/>
        <v>2.9589041095890409</v>
      </c>
      <c r="U32" s="188">
        <f t="shared" si="1"/>
        <v>12</v>
      </c>
      <c r="V32" s="188">
        <f t="shared" si="1"/>
        <v>9.0410958904109595</v>
      </c>
      <c r="W32" s="188">
        <f t="shared" si="1"/>
        <v>0</v>
      </c>
      <c r="X32" s="188">
        <f t="shared" si="1"/>
        <v>0</v>
      </c>
      <c r="Y32" s="188">
        <f t="shared" si="2"/>
        <v>0</v>
      </c>
      <c r="Z32" s="188">
        <f t="shared" si="2"/>
        <v>0</v>
      </c>
      <c r="AA32" s="188">
        <f t="shared" si="2"/>
        <v>0</v>
      </c>
      <c r="AB32" s="188">
        <f t="shared" si="2"/>
        <v>0</v>
      </c>
      <c r="AC32" s="188">
        <f t="shared" si="2"/>
        <v>0</v>
      </c>
      <c r="AD32" s="188">
        <f t="shared" si="2"/>
        <v>0</v>
      </c>
      <c r="AE32" s="188">
        <f t="shared" si="2"/>
        <v>0</v>
      </c>
      <c r="AF32" s="188">
        <f t="shared" si="2"/>
        <v>0</v>
      </c>
      <c r="AG32" s="188">
        <f t="shared" si="2"/>
        <v>0</v>
      </c>
      <c r="AH32" s="188">
        <f t="shared" si="2"/>
        <v>0</v>
      </c>
      <c r="AI32" s="188">
        <f t="shared" si="3"/>
        <v>0</v>
      </c>
      <c r="AJ32" s="188">
        <f t="shared" si="3"/>
        <v>0</v>
      </c>
      <c r="AK32" s="188">
        <f t="shared" si="3"/>
        <v>0</v>
      </c>
      <c r="AL32" s="188">
        <f t="shared" si="3"/>
        <v>0</v>
      </c>
      <c r="AM32" s="188">
        <f t="shared" si="3"/>
        <v>0</v>
      </c>
      <c r="AN32" s="188">
        <f t="shared" si="3"/>
        <v>0</v>
      </c>
      <c r="AO32" s="188">
        <f t="shared" si="3"/>
        <v>0</v>
      </c>
      <c r="AP32" s="188">
        <f t="shared" si="3"/>
        <v>0</v>
      </c>
      <c r="AQ32" s="188">
        <f t="shared" si="3"/>
        <v>0</v>
      </c>
      <c r="AR32" s="188">
        <f t="shared" si="3"/>
        <v>0</v>
      </c>
      <c r="AS32" s="188">
        <f t="shared" si="3"/>
        <v>0</v>
      </c>
    </row>
    <row r="33" spans="2:52" ht="14.25" customHeight="1">
      <c r="B33" s="321" t="s">
        <v>171</v>
      </c>
      <c r="C33" s="60">
        <v>48214</v>
      </c>
      <c r="D33" s="60">
        <v>48944</v>
      </c>
      <c r="E33" s="188">
        <f t="shared" si="0"/>
        <v>0</v>
      </c>
      <c r="F33" s="188">
        <f t="shared" si="0"/>
        <v>0</v>
      </c>
      <c r="G33" s="188">
        <f t="shared" si="0"/>
        <v>0</v>
      </c>
      <c r="H33" s="188">
        <f t="shared" si="0"/>
        <v>0</v>
      </c>
      <c r="I33" s="188">
        <f t="shared" si="0"/>
        <v>0</v>
      </c>
      <c r="J33" s="188">
        <f t="shared" si="0"/>
        <v>0</v>
      </c>
      <c r="K33" s="188">
        <f t="shared" si="0"/>
        <v>0</v>
      </c>
      <c r="L33" s="188">
        <f t="shared" si="0"/>
        <v>0</v>
      </c>
      <c r="M33" s="188">
        <f t="shared" si="0"/>
        <v>0</v>
      </c>
      <c r="N33" s="188">
        <f t="shared" si="0"/>
        <v>0</v>
      </c>
      <c r="O33" s="188">
        <f t="shared" si="1"/>
        <v>0</v>
      </c>
      <c r="P33" s="188">
        <f t="shared" si="1"/>
        <v>0</v>
      </c>
      <c r="Q33" s="188">
        <f t="shared" si="1"/>
        <v>0</v>
      </c>
      <c r="R33" s="188">
        <f t="shared" si="1"/>
        <v>0</v>
      </c>
      <c r="S33" s="188">
        <f t="shared" si="1"/>
        <v>0</v>
      </c>
      <c r="T33" s="188">
        <f t="shared" si="1"/>
        <v>0</v>
      </c>
      <c r="U33" s="188">
        <f t="shared" si="1"/>
        <v>0</v>
      </c>
      <c r="V33" s="188">
        <f t="shared" si="1"/>
        <v>2.9917808219178084</v>
      </c>
      <c r="W33" s="188">
        <f t="shared" si="1"/>
        <v>12</v>
      </c>
      <c r="X33" s="188">
        <f t="shared" si="1"/>
        <v>9.0410958904109595</v>
      </c>
      <c r="Y33" s="188">
        <f t="shared" si="2"/>
        <v>0</v>
      </c>
      <c r="Z33" s="188">
        <f t="shared" si="2"/>
        <v>0</v>
      </c>
      <c r="AA33" s="188">
        <f t="shared" si="2"/>
        <v>0</v>
      </c>
      <c r="AB33" s="188">
        <f t="shared" si="2"/>
        <v>0</v>
      </c>
      <c r="AC33" s="188">
        <f t="shared" si="2"/>
        <v>0</v>
      </c>
      <c r="AD33" s="188">
        <f t="shared" si="2"/>
        <v>0</v>
      </c>
      <c r="AE33" s="188">
        <f t="shared" si="2"/>
        <v>0</v>
      </c>
      <c r="AF33" s="188">
        <f t="shared" si="2"/>
        <v>0</v>
      </c>
      <c r="AG33" s="188">
        <f t="shared" si="2"/>
        <v>0</v>
      </c>
      <c r="AH33" s="188">
        <f t="shared" si="2"/>
        <v>0</v>
      </c>
      <c r="AI33" s="188">
        <f t="shared" si="3"/>
        <v>0</v>
      </c>
      <c r="AJ33" s="188">
        <f t="shared" si="3"/>
        <v>0</v>
      </c>
      <c r="AK33" s="188">
        <f t="shared" si="3"/>
        <v>0</v>
      </c>
      <c r="AL33" s="188">
        <f t="shared" si="3"/>
        <v>0</v>
      </c>
      <c r="AM33" s="188">
        <f t="shared" si="3"/>
        <v>0</v>
      </c>
      <c r="AN33" s="188">
        <f t="shared" si="3"/>
        <v>0</v>
      </c>
      <c r="AO33" s="188">
        <f t="shared" si="3"/>
        <v>0</v>
      </c>
      <c r="AP33" s="188">
        <f t="shared" si="3"/>
        <v>0</v>
      </c>
      <c r="AQ33" s="188">
        <f t="shared" si="3"/>
        <v>0</v>
      </c>
      <c r="AR33" s="188">
        <f t="shared" si="3"/>
        <v>0</v>
      </c>
      <c r="AS33" s="188">
        <f t="shared" si="3"/>
        <v>0</v>
      </c>
    </row>
    <row r="34" spans="2:52" ht="14.25" customHeight="1">
      <c r="B34" s="321" t="s">
        <v>431</v>
      </c>
      <c r="C34" s="60">
        <v>48945</v>
      </c>
      <c r="D34" s="60">
        <v>50586</v>
      </c>
      <c r="E34" s="188">
        <f t="shared" si="0"/>
        <v>0</v>
      </c>
      <c r="F34" s="188">
        <f t="shared" si="0"/>
        <v>0</v>
      </c>
      <c r="G34" s="188">
        <f t="shared" si="0"/>
        <v>0</v>
      </c>
      <c r="H34" s="188">
        <f t="shared" si="0"/>
        <v>0</v>
      </c>
      <c r="I34" s="188">
        <f t="shared" si="0"/>
        <v>0</v>
      </c>
      <c r="J34" s="188">
        <f t="shared" si="0"/>
        <v>0</v>
      </c>
      <c r="K34" s="188">
        <f t="shared" si="0"/>
        <v>0</v>
      </c>
      <c r="L34" s="188">
        <f t="shared" si="0"/>
        <v>0</v>
      </c>
      <c r="M34" s="188">
        <f t="shared" si="0"/>
        <v>0</v>
      </c>
      <c r="N34" s="188">
        <f t="shared" si="0"/>
        <v>0</v>
      </c>
      <c r="O34" s="188">
        <f t="shared" si="1"/>
        <v>0</v>
      </c>
      <c r="P34" s="188">
        <f t="shared" si="1"/>
        <v>0</v>
      </c>
      <c r="Q34" s="188">
        <f t="shared" si="1"/>
        <v>0</v>
      </c>
      <c r="R34" s="188">
        <f t="shared" si="1"/>
        <v>0</v>
      </c>
      <c r="S34" s="188">
        <f t="shared" si="1"/>
        <v>0</v>
      </c>
      <c r="T34" s="188">
        <f t="shared" si="1"/>
        <v>0</v>
      </c>
      <c r="U34" s="188">
        <f t="shared" si="1"/>
        <v>0</v>
      </c>
      <c r="V34" s="188">
        <f t="shared" si="1"/>
        <v>0</v>
      </c>
      <c r="W34" s="188">
        <f t="shared" si="1"/>
        <v>0</v>
      </c>
      <c r="X34" s="188">
        <f t="shared" si="1"/>
        <v>2.9589041095890409</v>
      </c>
      <c r="Y34" s="188">
        <f t="shared" si="2"/>
        <v>12</v>
      </c>
      <c r="Z34" s="188">
        <f t="shared" si="2"/>
        <v>12.032876712328768</v>
      </c>
      <c r="AA34" s="188">
        <f t="shared" si="2"/>
        <v>12</v>
      </c>
      <c r="AB34" s="188">
        <f t="shared" si="2"/>
        <v>12</v>
      </c>
      <c r="AC34" s="188">
        <f t="shared" si="2"/>
        <v>2.9917808219178084</v>
      </c>
      <c r="AD34" s="188">
        <f t="shared" si="2"/>
        <v>0</v>
      </c>
      <c r="AE34" s="188">
        <f t="shared" si="2"/>
        <v>0</v>
      </c>
      <c r="AF34" s="188">
        <f t="shared" si="2"/>
        <v>0</v>
      </c>
      <c r="AG34" s="188">
        <f t="shared" si="2"/>
        <v>0</v>
      </c>
      <c r="AH34" s="188">
        <f t="shared" si="2"/>
        <v>0</v>
      </c>
      <c r="AI34" s="188">
        <f t="shared" si="3"/>
        <v>0</v>
      </c>
      <c r="AJ34" s="188">
        <f t="shared" si="3"/>
        <v>0</v>
      </c>
      <c r="AK34" s="188">
        <f t="shared" si="3"/>
        <v>0</v>
      </c>
      <c r="AL34" s="188">
        <f t="shared" si="3"/>
        <v>0</v>
      </c>
      <c r="AM34" s="188">
        <f t="shared" si="3"/>
        <v>0</v>
      </c>
      <c r="AN34" s="188">
        <f t="shared" si="3"/>
        <v>0</v>
      </c>
      <c r="AO34" s="188">
        <f t="shared" si="3"/>
        <v>0</v>
      </c>
      <c r="AP34" s="188">
        <f t="shared" si="3"/>
        <v>0</v>
      </c>
      <c r="AQ34" s="188">
        <f t="shared" si="3"/>
        <v>0</v>
      </c>
      <c r="AR34" s="188">
        <f t="shared" si="3"/>
        <v>0</v>
      </c>
      <c r="AS34" s="188">
        <f t="shared" si="3"/>
        <v>0</v>
      </c>
    </row>
    <row r="35" spans="2:52" ht="14.25" customHeight="1">
      <c r="B35" s="321" t="s">
        <v>432</v>
      </c>
      <c r="C35" s="60">
        <v>50587</v>
      </c>
      <c r="D35" s="60">
        <v>51409</v>
      </c>
      <c r="E35" s="188">
        <f t="shared" si="0"/>
        <v>0</v>
      </c>
      <c r="F35" s="188">
        <f t="shared" si="0"/>
        <v>0</v>
      </c>
      <c r="G35" s="188">
        <f t="shared" si="0"/>
        <v>0</v>
      </c>
      <c r="H35" s="188">
        <f t="shared" si="0"/>
        <v>0</v>
      </c>
      <c r="I35" s="188">
        <f t="shared" si="0"/>
        <v>0</v>
      </c>
      <c r="J35" s="188">
        <f t="shared" si="0"/>
        <v>0</v>
      </c>
      <c r="K35" s="188">
        <f t="shared" si="0"/>
        <v>0</v>
      </c>
      <c r="L35" s="188">
        <f t="shared" si="0"/>
        <v>0</v>
      </c>
      <c r="M35" s="188">
        <f t="shared" si="0"/>
        <v>0</v>
      </c>
      <c r="N35" s="188">
        <f t="shared" si="0"/>
        <v>0</v>
      </c>
      <c r="O35" s="188">
        <f t="shared" si="1"/>
        <v>0</v>
      </c>
      <c r="P35" s="188">
        <f t="shared" si="1"/>
        <v>0</v>
      </c>
      <c r="Q35" s="188">
        <f t="shared" si="1"/>
        <v>0</v>
      </c>
      <c r="R35" s="188">
        <f t="shared" si="1"/>
        <v>0</v>
      </c>
      <c r="S35" s="188">
        <f t="shared" si="1"/>
        <v>0</v>
      </c>
      <c r="T35" s="188">
        <f t="shared" si="1"/>
        <v>0</v>
      </c>
      <c r="U35" s="188">
        <f t="shared" si="1"/>
        <v>0</v>
      </c>
      <c r="V35" s="188">
        <f t="shared" si="1"/>
        <v>0</v>
      </c>
      <c r="W35" s="188">
        <f t="shared" si="1"/>
        <v>0</v>
      </c>
      <c r="X35" s="188">
        <f t="shared" si="1"/>
        <v>0</v>
      </c>
      <c r="Y35" s="188">
        <f t="shared" si="2"/>
        <v>0</v>
      </c>
      <c r="Z35" s="188">
        <f t="shared" si="2"/>
        <v>0</v>
      </c>
      <c r="AA35" s="188">
        <f t="shared" si="2"/>
        <v>0</v>
      </c>
      <c r="AB35" s="188">
        <f t="shared" si="2"/>
        <v>0</v>
      </c>
      <c r="AC35" s="188">
        <f t="shared" si="2"/>
        <v>9.008219178082193</v>
      </c>
      <c r="AD35" s="188">
        <f t="shared" si="2"/>
        <v>12.032876712328768</v>
      </c>
      <c r="AE35" s="188">
        <f t="shared" si="2"/>
        <v>6.0164383561643842</v>
      </c>
      <c r="AF35" s="188">
        <f t="shared" si="2"/>
        <v>0</v>
      </c>
      <c r="AG35" s="188">
        <f t="shared" si="2"/>
        <v>0</v>
      </c>
      <c r="AH35" s="188">
        <f t="shared" si="2"/>
        <v>0</v>
      </c>
      <c r="AI35" s="188">
        <f t="shared" si="3"/>
        <v>0</v>
      </c>
      <c r="AJ35" s="188">
        <f t="shared" si="3"/>
        <v>0</v>
      </c>
      <c r="AK35" s="188">
        <f t="shared" si="3"/>
        <v>0</v>
      </c>
      <c r="AL35" s="188">
        <f t="shared" si="3"/>
        <v>0</v>
      </c>
      <c r="AM35" s="188">
        <f t="shared" si="3"/>
        <v>0</v>
      </c>
      <c r="AN35" s="188">
        <f t="shared" si="3"/>
        <v>0</v>
      </c>
      <c r="AO35" s="188">
        <f t="shared" si="3"/>
        <v>0</v>
      </c>
      <c r="AP35" s="188">
        <f t="shared" si="3"/>
        <v>0</v>
      </c>
      <c r="AQ35" s="188">
        <f t="shared" si="3"/>
        <v>0</v>
      </c>
      <c r="AR35" s="188">
        <f t="shared" si="3"/>
        <v>0</v>
      </c>
      <c r="AS35" s="188">
        <f t="shared" si="3"/>
        <v>0</v>
      </c>
    </row>
    <row r="36" spans="2:52" ht="14.25" customHeight="1">
      <c r="B36" s="321" t="s">
        <v>433</v>
      </c>
      <c r="C36" s="60">
        <v>51410</v>
      </c>
      <c r="D36" s="60">
        <v>51501</v>
      </c>
      <c r="E36" s="188">
        <f t="shared" si="0"/>
        <v>0</v>
      </c>
      <c r="F36" s="188">
        <f t="shared" si="0"/>
        <v>0</v>
      </c>
      <c r="G36" s="188">
        <f t="shared" si="0"/>
        <v>0</v>
      </c>
      <c r="H36" s="188">
        <f t="shared" si="0"/>
        <v>0</v>
      </c>
      <c r="I36" s="188">
        <f t="shared" si="0"/>
        <v>0</v>
      </c>
      <c r="J36" s="188">
        <f t="shared" si="0"/>
        <v>0</v>
      </c>
      <c r="K36" s="188">
        <f t="shared" si="0"/>
        <v>0</v>
      </c>
      <c r="L36" s="188">
        <f t="shared" si="0"/>
        <v>0</v>
      </c>
      <c r="M36" s="188">
        <f t="shared" si="0"/>
        <v>0</v>
      </c>
      <c r="N36" s="188">
        <f t="shared" si="0"/>
        <v>0</v>
      </c>
      <c r="O36" s="188">
        <f t="shared" si="1"/>
        <v>0</v>
      </c>
      <c r="P36" s="188">
        <f t="shared" si="1"/>
        <v>0</v>
      </c>
      <c r="Q36" s="188">
        <f t="shared" si="1"/>
        <v>0</v>
      </c>
      <c r="R36" s="188">
        <f t="shared" si="1"/>
        <v>0</v>
      </c>
      <c r="S36" s="188">
        <f t="shared" si="1"/>
        <v>0</v>
      </c>
      <c r="T36" s="188">
        <f t="shared" si="1"/>
        <v>0</v>
      </c>
      <c r="U36" s="188">
        <f t="shared" si="1"/>
        <v>0</v>
      </c>
      <c r="V36" s="188">
        <f t="shared" si="1"/>
        <v>0</v>
      </c>
      <c r="W36" s="188">
        <f t="shared" si="1"/>
        <v>0</v>
      </c>
      <c r="X36" s="188">
        <f t="shared" si="1"/>
        <v>0</v>
      </c>
      <c r="Y36" s="188">
        <f t="shared" si="2"/>
        <v>0</v>
      </c>
      <c r="Z36" s="188">
        <f t="shared" si="2"/>
        <v>0</v>
      </c>
      <c r="AA36" s="188">
        <f t="shared" si="2"/>
        <v>0</v>
      </c>
      <c r="AB36" s="188">
        <f t="shared" si="2"/>
        <v>0</v>
      </c>
      <c r="AC36" s="188">
        <f t="shared" si="2"/>
        <v>0</v>
      </c>
      <c r="AD36" s="188">
        <f t="shared" si="2"/>
        <v>0</v>
      </c>
      <c r="AE36" s="188">
        <f t="shared" si="2"/>
        <v>3.0246575342465754</v>
      </c>
      <c r="AF36" s="188">
        <f t="shared" si="2"/>
        <v>0</v>
      </c>
      <c r="AG36" s="188">
        <f t="shared" si="2"/>
        <v>0</v>
      </c>
      <c r="AH36" s="188">
        <f t="shared" si="2"/>
        <v>0</v>
      </c>
      <c r="AI36" s="188">
        <f t="shared" si="3"/>
        <v>0</v>
      </c>
      <c r="AJ36" s="188">
        <f t="shared" si="3"/>
        <v>0</v>
      </c>
      <c r="AK36" s="188">
        <f t="shared" si="3"/>
        <v>0</v>
      </c>
      <c r="AL36" s="188">
        <f t="shared" si="3"/>
        <v>0</v>
      </c>
      <c r="AM36" s="188">
        <f t="shared" si="3"/>
        <v>0</v>
      </c>
      <c r="AN36" s="188">
        <f t="shared" si="3"/>
        <v>0</v>
      </c>
      <c r="AO36" s="188">
        <f t="shared" si="3"/>
        <v>0</v>
      </c>
      <c r="AP36" s="188">
        <f t="shared" si="3"/>
        <v>0</v>
      </c>
      <c r="AQ36" s="188">
        <f t="shared" si="3"/>
        <v>0</v>
      </c>
      <c r="AR36" s="188">
        <f t="shared" si="3"/>
        <v>0</v>
      </c>
      <c r="AS36" s="188">
        <f t="shared" si="3"/>
        <v>0</v>
      </c>
    </row>
    <row r="37" spans="2:52" ht="14.25" customHeight="1">
      <c r="B37" s="321" t="s">
        <v>1074</v>
      </c>
      <c r="C37" s="60">
        <v>51502</v>
      </c>
      <c r="D37" s="60">
        <v>56979</v>
      </c>
      <c r="E37" s="188">
        <f t="shared" si="0"/>
        <v>0</v>
      </c>
      <c r="F37" s="188">
        <f t="shared" si="0"/>
        <v>0</v>
      </c>
      <c r="G37" s="188">
        <f t="shared" si="0"/>
        <v>0</v>
      </c>
      <c r="H37" s="188">
        <f t="shared" si="0"/>
        <v>0</v>
      </c>
      <c r="I37" s="188">
        <f t="shared" si="0"/>
        <v>0</v>
      </c>
      <c r="J37" s="188">
        <f t="shared" si="0"/>
        <v>0</v>
      </c>
      <c r="K37" s="188">
        <f t="shared" si="0"/>
        <v>0</v>
      </c>
      <c r="L37" s="188">
        <f t="shared" si="0"/>
        <v>0</v>
      </c>
      <c r="M37" s="188">
        <f t="shared" si="0"/>
        <v>0</v>
      </c>
      <c r="N37" s="188">
        <f t="shared" si="0"/>
        <v>0</v>
      </c>
      <c r="O37" s="188">
        <f t="shared" si="1"/>
        <v>0</v>
      </c>
      <c r="P37" s="188">
        <f t="shared" si="1"/>
        <v>0</v>
      </c>
      <c r="Q37" s="188">
        <f t="shared" si="1"/>
        <v>0</v>
      </c>
      <c r="R37" s="188">
        <f t="shared" si="1"/>
        <v>0</v>
      </c>
      <c r="S37" s="188">
        <f t="shared" si="1"/>
        <v>0</v>
      </c>
      <c r="T37" s="188">
        <f t="shared" si="1"/>
        <v>0</v>
      </c>
      <c r="U37" s="188">
        <f t="shared" si="1"/>
        <v>0</v>
      </c>
      <c r="V37" s="188">
        <f t="shared" si="1"/>
        <v>0</v>
      </c>
      <c r="W37" s="188">
        <f t="shared" si="1"/>
        <v>0</v>
      </c>
      <c r="X37" s="188">
        <f t="shared" si="1"/>
        <v>0</v>
      </c>
      <c r="Y37" s="188">
        <f t="shared" si="2"/>
        <v>0</v>
      </c>
      <c r="Z37" s="188">
        <f t="shared" si="2"/>
        <v>0</v>
      </c>
      <c r="AA37" s="188">
        <f t="shared" si="2"/>
        <v>0</v>
      </c>
      <c r="AB37" s="188">
        <f t="shared" si="2"/>
        <v>0</v>
      </c>
      <c r="AC37" s="188">
        <f t="shared" si="2"/>
        <v>0</v>
      </c>
      <c r="AD37" s="188">
        <f t="shared" si="2"/>
        <v>0</v>
      </c>
      <c r="AE37" s="188">
        <f t="shared" si="2"/>
        <v>2.9589041095890409</v>
      </c>
      <c r="AF37" s="188">
        <f t="shared" si="2"/>
        <v>12</v>
      </c>
      <c r="AG37" s="188">
        <f t="shared" si="2"/>
        <v>12</v>
      </c>
      <c r="AH37" s="188">
        <f t="shared" si="2"/>
        <v>12.032876712328768</v>
      </c>
      <c r="AI37" s="188">
        <f t="shared" si="3"/>
        <v>12</v>
      </c>
      <c r="AJ37" s="188">
        <f t="shared" si="3"/>
        <v>12</v>
      </c>
      <c r="AK37" s="188">
        <f t="shared" si="3"/>
        <v>12</v>
      </c>
      <c r="AL37" s="188">
        <f t="shared" si="3"/>
        <v>12.032876712328768</v>
      </c>
      <c r="AM37" s="188">
        <f t="shared" si="3"/>
        <v>12</v>
      </c>
      <c r="AN37" s="188">
        <f t="shared" si="3"/>
        <v>12</v>
      </c>
      <c r="AO37" s="188">
        <f t="shared" si="3"/>
        <v>12</v>
      </c>
      <c r="AP37" s="188">
        <f t="shared" si="3"/>
        <v>12.032876712328768</v>
      </c>
      <c r="AQ37" s="188">
        <f t="shared" si="3"/>
        <v>12</v>
      </c>
      <c r="AR37" s="188">
        <f t="shared" si="3"/>
        <v>12</v>
      </c>
      <c r="AS37" s="188">
        <f t="shared" si="3"/>
        <v>12</v>
      </c>
    </row>
    <row r="38" spans="2:52" ht="14.25" customHeight="1">
      <c r="B38" s="321" t="s">
        <v>1077</v>
      </c>
      <c r="C38" s="60">
        <v>56980</v>
      </c>
      <c r="D38" s="60">
        <v>58256</v>
      </c>
      <c r="E38" s="188">
        <f t="shared" si="0"/>
        <v>0</v>
      </c>
      <c r="F38" s="188">
        <f t="shared" si="0"/>
        <v>0</v>
      </c>
      <c r="G38" s="188">
        <f t="shared" si="0"/>
        <v>0</v>
      </c>
      <c r="H38" s="188">
        <f t="shared" si="0"/>
        <v>0</v>
      </c>
      <c r="I38" s="188">
        <f t="shared" si="0"/>
        <v>0</v>
      </c>
      <c r="J38" s="188">
        <f t="shared" si="0"/>
        <v>0</v>
      </c>
      <c r="K38" s="188">
        <f t="shared" si="0"/>
        <v>0</v>
      </c>
      <c r="L38" s="188">
        <f t="shared" si="0"/>
        <v>0</v>
      </c>
      <c r="M38" s="188">
        <f t="shared" si="0"/>
        <v>0</v>
      </c>
      <c r="N38" s="188">
        <f t="shared" si="0"/>
        <v>0</v>
      </c>
      <c r="O38" s="188">
        <f t="shared" si="1"/>
        <v>0</v>
      </c>
      <c r="P38" s="188">
        <f t="shared" si="1"/>
        <v>0</v>
      </c>
      <c r="Q38" s="188">
        <f t="shared" si="1"/>
        <v>0</v>
      </c>
      <c r="R38" s="188">
        <f t="shared" si="1"/>
        <v>0</v>
      </c>
      <c r="S38" s="188">
        <f t="shared" si="1"/>
        <v>0</v>
      </c>
      <c r="T38" s="188">
        <f t="shared" si="1"/>
        <v>0</v>
      </c>
      <c r="U38" s="188">
        <f t="shared" si="1"/>
        <v>0</v>
      </c>
      <c r="V38" s="188">
        <f t="shared" si="1"/>
        <v>0</v>
      </c>
      <c r="W38" s="188">
        <f t="shared" si="1"/>
        <v>0</v>
      </c>
      <c r="X38" s="188">
        <f t="shared" si="1"/>
        <v>0</v>
      </c>
      <c r="Y38" s="188">
        <f t="shared" si="2"/>
        <v>0</v>
      </c>
      <c r="Z38" s="188">
        <f t="shared" si="2"/>
        <v>0</v>
      </c>
      <c r="AA38" s="188">
        <f t="shared" si="2"/>
        <v>0</v>
      </c>
      <c r="AB38" s="188">
        <f t="shared" si="2"/>
        <v>0</v>
      </c>
      <c r="AC38" s="188">
        <f t="shared" si="2"/>
        <v>0</v>
      </c>
      <c r="AD38" s="188">
        <f t="shared" si="2"/>
        <v>0</v>
      </c>
      <c r="AE38" s="188">
        <f t="shared" si="2"/>
        <v>0</v>
      </c>
      <c r="AF38" s="188">
        <f t="shared" si="2"/>
        <v>0</v>
      </c>
      <c r="AG38" s="188">
        <f t="shared" si="2"/>
        <v>0</v>
      </c>
      <c r="AH38" s="188">
        <f t="shared" si="2"/>
        <v>0</v>
      </c>
      <c r="AI38" s="188">
        <f t="shared" si="3"/>
        <v>0</v>
      </c>
      <c r="AJ38" s="188">
        <f t="shared" si="3"/>
        <v>0</v>
      </c>
      <c r="AK38" s="188">
        <f t="shared" si="3"/>
        <v>0</v>
      </c>
      <c r="AL38" s="188">
        <f t="shared" si="3"/>
        <v>0</v>
      </c>
      <c r="AM38" s="188">
        <f t="shared" si="3"/>
        <v>0</v>
      </c>
      <c r="AN38" s="188">
        <f t="shared" si="3"/>
        <v>0</v>
      </c>
      <c r="AO38" s="188">
        <f t="shared" si="3"/>
        <v>0</v>
      </c>
      <c r="AP38" s="188">
        <f t="shared" si="3"/>
        <v>0</v>
      </c>
      <c r="AQ38" s="188">
        <f t="shared" si="3"/>
        <v>0</v>
      </c>
      <c r="AR38" s="188">
        <f t="shared" si="3"/>
        <v>0</v>
      </c>
      <c r="AS38" s="188">
        <f t="shared" si="3"/>
        <v>0</v>
      </c>
    </row>
    <row r="39" spans="2:52" ht="14.25" customHeight="1">
      <c r="B39" s="321"/>
      <c r="C39" s="322"/>
      <c r="D39" s="322"/>
      <c r="E39" s="188"/>
      <c r="F39" s="188"/>
      <c r="G39" s="188"/>
      <c r="H39" s="188"/>
      <c r="I39" s="188"/>
      <c r="J39" s="188"/>
      <c r="K39" s="188"/>
      <c r="L39" s="188"/>
      <c r="M39" s="188"/>
      <c r="N39" s="188"/>
      <c r="O39" s="188"/>
      <c r="P39" s="188"/>
      <c r="Q39" s="188"/>
      <c r="R39" s="188"/>
      <c r="S39" s="188"/>
      <c r="T39" s="188"/>
      <c r="U39" s="188"/>
      <c r="V39" s="188"/>
      <c r="W39" s="188"/>
      <c r="X39" s="188"/>
      <c r="Y39" s="188"/>
      <c r="Z39" s="188"/>
      <c r="AA39" s="188"/>
      <c r="AB39" s="188"/>
      <c r="AC39" s="188"/>
      <c r="AD39" s="188"/>
      <c r="AE39" s="188"/>
      <c r="AF39" s="188"/>
      <c r="AG39" s="188"/>
      <c r="AH39" s="188"/>
      <c r="AI39" s="188"/>
      <c r="AJ39" s="188"/>
      <c r="AK39" s="188"/>
      <c r="AL39" s="188"/>
      <c r="AM39" s="188"/>
      <c r="AN39" s="188"/>
      <c r="AO39" s="188"/>
      <c r="AP39" s="188"/>
      <c r="AQ39" s="188"/>
      <c r="AR39" s="188"/>
      <c r="AS39" s="188"/>
    </row>
    <row r="40" spans="2:52" ht="14.25" customHeight="1">
      <c r="B40" s="321"/>
      <c r="C40" s="322"/>
      <c r="D40" s="322"/>
      <c r="E40" s="188"/>
      <c r="F40" s="188"/>
      <c r="G40" s="188"/>
      <c r="H40" s="188"/>
      <c r="I40" s="188"/>
      <c r="J40" s="188"/>
      <c r="K40" s="188"/>
      <c r="L40" s="188"/>
      <c r="M40" s="188"/>
      <c r="N40" s="188"/>
      <c r="O40" s="188"/>
      <c r="P40" s="188"/>
      <c r="Q40" s="188"/>
      <c r="R40" s="188"/>
      <c r="S40" s="188"/>
      <c r="T40" s="188"/>
      <c r="U40" s="188"/>
      <c r="V40" s="188"/>
      <c r="W40" s="188"/>
      <c r="X40" s="188"/>
      <c r="Y40" s="188"/>
      <c r="Z40" s="188"/>
      <c r="AA40" s="188"/>
      <c r="AB40" s="188"/>
      <c r="AC40" s="188"/>
      <c r="AD40" s="188"/>
      <c r="AE40" s="188"/>
      <c r="AF40" s="188"/>
      <c r="AG40" s="188"/>
      <c r="AH40" s="188"/>
      <c r="AI40" s="188"/>
      <c r="AJ40" s="188"/>
      <c r="AK40" s="188"/>
      <c r="AL40" s="188"/>
      <c r="AM40" s="188"/>
      <c r="AN40" s="188"/>
      <c r="AO40" s="188"/>
      <c r="AP40" s="188"/>
      <c r="AQ40" s="188"/>
      <c r="AR40" s="188"/>
      <c r="AS40" s="188"/>
    </row>
    <row r="41" spans="2:52" ht="14.25" customHeight="1">
      <c r="B41" s="321"/>
      <c r="C41" s="322"/>
      <c r="D41" s="322"/>
      <c r="E41" s="188"/>
      <c r="F41" s="188"/>
      <c r="G41" s="188"/>
      <c r="H41" s="188"/>
      <c r="I41" s="188"/>
      <c r="J41" s="188"/>
      <c r="K41" s="188"/>
      <c r="L41" s="188"/>
      <c r="M41" s="188"/>
      <c r="N41" s="188"/>
      <c r="O41" s="188"/>
      <c r="P41" s="188"/>
      <c r="Q41" s="188"/>
      <c r="R41" s="188"/>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row>
    <row r="46" spans="2:52" ht="14.25" customHeight="1">
      <c r="C46" s="323" t="s">
        <v>2548</v>
      </c>
      <c r="D46" s="323"/>
      <c r="E46" s="320">
        <f t="shared" ref="E46:AX46" si="4">E$27</f>
        <v>2015</v>
      </c>
      <c r="F46" s="320">
        <f t="shared" si="4"/>
        <v>2016</v>
      </c>
      <c r="G46" s="320">
        <f t="shared" si="4"/>
        <v>2017</v>
      </c>
      <c r="H46" s="320">
        <f t="shared" si="4"/>
        <v>2018</v>
      </c>
      <c r="I46" s="320">
        <f t="shared" si="4"/>
        <v>2019</v>
      </c>
      <c r="J46" s="320">
        <f t="shared" si="4"/>
        <v>2020</v>
      </c>
      <c r="K46" s="320">
        <f t="shared" si="4"/>
        <v>2021</v>
      </c>
      <c r="L46" s="320">
        <f t="shared" si="4"/>
        <v>2022</v>
      </c>
      <c r="M46" s="320">
        <f t="shared" si="4"/>
        <v>2023</v>
      </c>
      <c r="N46" s="320">
        <f t="shared" si="4"/>
        <v>2024</v>
      </c>
      <c r="O46" s="320">
        <f t="shared" si="4"/>
        <v>2025</v>
      </c>
      <c r="P46" s="320">
        <f t="shared" si="4"/>
        <v>2026</v>
      </c>
      <c r="Q46" s="320">
        <f t="shared" si="4"/>
        <v>2027</v>
      </c>
      <c r="R46" s="320">
        <f t="shared" si="4"/>
        <v>2028</v>
      </c>
      <c r="S46" s="320">
        <f t="shared" si="4"/>
        <v>2029</v>
      </c>
      <c r="T46" s="320">
        <f t="shared" si="4"/>
        <v>2030</v>
      </c>
      <c r="U46" s="320">
        <f t="shared" si="4"/>
        <v>2031</v>
      </c>
      <c r="V46" s="320">
        <f t="shared" si="4"/>
        <v>2032</v>
      </c>
      <c r="W46" s="320">
        <f t="shared" si="4"/>
        <v>2033</v>
      </c>
      <c r="X46" s="320">
        <f t="shared" si="4"/>
        <v>2034</v>
      </c>
      <c r="Y46" s="320">
        <f t="shared" si="4"/>
        <v>2035</v>
      </c>
      <c r="Z46" s="320">
        <f t="shared" si="4"/>
        <v>2036</v>
      </c>
      <c r="AA46" s="320">
        <f t="shared" si="4"/>
        <v>2037</v>
      </c>
      <c r="AB46" s="320">
        <f t="shared" si="4"/>
        <v>2038</v>
      </c>
      <c r="AC46" s="320">
        <f t="shared" si="4"/>
        <v>2039</v>
      </c>
      <c r="AD46" s="320">
        <f t="shared" si="4"/>
        <v>2040</v>
      </c>
      <c r="AE46" s="320">
        <f t="shared" si="4"/>
        <v>2041</v>
      </c>
      <c r="AF46" s="320">
        <f t="shared" si="4"/>
        <v>2042</v>
      </c>
      <c r="AG46" s="320">
        <f t="shared" si="4"/>
        <v>2043</v>
      </c>
      <c r="AH46" s="320">
        <f t="shared" si="4"/>
        <v>2044</v>
      </c>
      <c r="AI46" s="320">
        <f t="shared" si="4"/>
        <v>2045</v>
      </c>
      <c r="AJ46" s="320">
        <f t="shared" si="4"/>
        <v>2046</v>
      </c>
      <c r="AK46" s="320">
        <f t="shared" si="4"/>
        <v>2047</v>
      </c>
      <c r="AL46" s="320">
        <f t="shared" si="4"/>
        <v>2048</v>
      </c>
      <c r="AM46" s="320">
        <f t="shared" si="4"/>
        <v>2049</v>
      </c>
      <c r="AN46" s="320">
        <f t="shared" si="4"/>
        <v>2050</v>
      </c>
      <c r="AO46" s="320">
        <f t="shared" si="4"/>
        <v>2051</v>
      </c>
      <c r="AP46" s="320">
        <f t="shared" si="4"/>
        <v>2052</v>
      </c>
      <c r="AQ46" s="320">
        <f t="shared" si="4"/>
        <v>2053</v>
      </c>
      <c r="AR46" s="320">
        <f t="shared" si="4"/>
        <v>2054</v>
      </c>
      <c r="AS46" s="320">
        <f t="shared" si="4"/>
        <v>2055</v>
      </c>
      <c r="AT46" s="324">
        <f t="shared" si="4"/>
        <v>2056</v>
      </c>
      <c r="AU46" s="324">
        <f t="shared" si="4"/>
        <v>2057</v>
      </c>
      <c r="AV46" s="324">
        <f t="shared" si="4"/>
        <v>2058</v>
      </c>
      <c r="AW46" s="324">
        <f t="shared" si="4"/>
        <v>2059</v>
      </c>
      <c r="AX46" s="324">
        <f t="shared" si="4"/>
        <v>2060</v>
      </c>
    </row>
    <row r="47" spans="2:52" ht="14.25" customHeight="1">
      <c r="B47" s="321" t="s">
        <v>959</v>
      </c>
      <c r="C47" s="325">
        <v>11000000</v>
      </c>
      <c r="D47" s="26"/>
      <c r="E47" s="326">
        <f t="shared" ref="E47:AX47" si="5">$C47/$AZ$47*(SUM(E30:E38))</f>
        <v>0</v>
      </c>
      <c r="F47" s="326">
        <f t="shared" si="5"/>
        <v>0</v>
      </c>
      <c r="G47" s="326">
        <f t="shared" si="5"/>
        <v>0</v>
      </c>
      <c r="H47" s="326">
        <f t="shared" si="5"/>
        <v>0</v>
      </c>
      <c r="I47" s="326">
        <f t="shared" si="5"/>
        <v>0</v>
      </c>
      <c r="J47" s="326">
        <f t="shared" si="5"/>
        <v>0</v>
      </c>
      <c r="K47" s="326">
        <f t="shared" si="5"/>
        <v>0</v>
      </c>
      <c r="L47" s="326">
        <f t="shared" si="5"/>
        <v>0</v>
      </c>
      <c r="M47" s="326">
        <f t="shared" si="5"/>
        <v>0</v>
      </c>
      <c r="N47" s="326">
        <f t="shared" si="5"/>
        <v>0</v>
      </c>
      <c r="O47" s="326">
        <f t="shared" si="5"/>
        <v>0</v>
      </c>
      <c r="P47" s="326">
        <f t="shared" si="5"/>
        <v>92679.273544280091</v>
      </c>
      <c r="Q47" s="326">
        <f t="shared" si="5"/>
        <v>375865.94270735816</v>
      </c>
      <c r="R47" s="326">
        <f t="shared" si="5"/>
        <v>376895.71241340577</v>
      </c>
      <c r="S47" s="326">
        <f t="shared" si="5"/>
        <v>375865.94270735816</v>
      </c>
      <c r="T47" s="326">
        <f t="shared" si="5"/>
        <v>375865.94270735816</v>
      </c>
      <c r="U47" s="326">
        <f t="shared" si="5"/>
        <v>375865.94270735816</v>
      </c>
      <c r="V47" s="326">
        <f t="shared" si="5"/>
        <v>376895.71241340577</v>
      </c>
      <c r="W47" s="326">
        <f t="shared" si="5"/>
        <v>375865.94270735816</v>
      </c>
      <c r="X47" s="326">
        <f t="shared" si="5"/>
        <v>375865.94270735816</v>
      </c>
      <c r="Y47" s="326">
        <f t="shared" si="5"/>
        <v>375865.94270735816</v>
      </c>
      <c r="Z47" s="326">
        <f t="shared" si="5"/>
        <v>376895.71241340577</v>
      </c>
      <c r="AA47" s="326">
        <f t="shared" si="5"/>
        <v>375865.94270735816</v>
      </c>
      <c r="AB47" s="326">
        <f t="shared" si="5"/>
        <v>375865.94270735816</v>
      </c>
      <c r="AC47" s="326">
        <f t="shared" si="5"/>
        <v>375865.94270735822</v>
      </c>
      <c r="AD47" s="326">
        <f t="shared" si="5"/>
        <v>376895.71241340577</v>
      </c>
      <c r="AE47" s="326">
        <f t="shared" si="5"/>
        <v>375865.94270735816</v>
      </c>
      <c r="AF47" s="326">
        <f t="shared" si="5"/>
        <v>375865.94270735816</v>
      </c>
      <c r="AG47" s="326">
        <f t="shared" si="5"/>
        <v>375865.94270735816</v>
      </c>
      <c r="AH47" s="326">
        <f t="shared" si="5"/>
        <v>376895.71241340577</v>
      </c>
      <c r="AI47" s="326">
        <f t="shared" si="5"/>
        <v>375865.94270735816</v>
      </c>
      <c r="AJ47" s="326">
        <f t="shared" si="5"/>
        <v>375865.94270735816</v>
      </c>
      <c r="AK47" s="326">
        <f t="shared" si="5"/>
        <v>375865.94270735816</v>
      </c>
      <c r="AL47" s="326">
        <f t="shared" si="5"/>
        <v>376895.71241340577</v>
      </c>
      <c r="AM47" s="326">
        <f t="shared" si="5"/>
        <v>375865.94270735816</v>
      </c>
      <c r="AN47" s="326">
        <f t="shared" si="5"/>
        <v>375865.94270735816</v>
      </c>
      <c r="AO47" s="326">
        <f t="shared" si="5"/>
        <v>375865.94270735816</v>
      </c>
      <c r="AP47" s="326">
        <f t="shared" si="5"/>
        <v>376895.71241340577</v>
      </c>
      <c r="AQ47" s="326">
        <f t="shared" si="5"/>
        <v>375865.94270735816</v>
      </c>
      <c r="AR47" s="326">
        <f t="shared" si="5"/>
        <v>375865.94270735816</v>
      </c>
      <c r="AS47" s="326">
        <f t="shared" si="5"/>
        <v>375865.94270735816</v>
      </c>
      <c r="AT47" s="327">
        <f t="shared" si="5"/>
        <v>0</v>
      </c>
      <c r="AU47" s="327">
        <f t="shared" si="5"/>
        <v>0</v>
      </c>
      <c r="AV47" s="327">
        <f t="shared" si="5"/>
        <v>0</v>
      </c>
      <c r="AW47" s="327">
        <f t="shared" si="5"/>
        <v>0</v>
      </c>
      <c r="AX47" s="327">
        <f t="shared" si="5"/>
        <v>0</v>
      </c>
      <c r="AY47" t="s">
        <v>2549</v>
      </c>
      <c r="AZ47">
        <f>SUM(E30:AX38)</f>
        <v>351.18904109589039</v>
      </c>
    </row>
    <row r="48" spans="2:52" ht="14.25" customHeight="1">
      <c r="B48" s="321" t="s">
        <v>2550</v>
      </c>
      <c r="C48" s="325">
        <v>7000000</v>
      </c>
      <c r="D48" s="26"/>
      <c r="E48" s="326">
        <f t="shared" ref="E48:AX48" si="6">$C48/$AZ$48*(SUM(E30:E38))</f>
        <v>0</v>
      </c>
      <c r="F48" s="326">
        <f t="shared" si="6"/>
        <v>0</v>
      </c>
      <c r="G48" s="326">
        <f t="shared" si="6"/>
        <v>0</v>
      </c>
      <c r="H48" s="326">
        <f t="shared" si="6"/>
        <v>0</v>
      </c>
      <c r="I48" s="326">
        <f t="shared" si="6"/>
        <v>0</v>
      </c>
      <c r="J48" s="326">
        <f t="shared" si="6"/>
        <v>0</v>
      </c>
      <c r="K48" s="326">
        <f t="shared" si="6"/>
        <v>0</v>
      </c>
      <c r="L48" s="326">
        <f t="shared" si="6"/>
        <v>0</v>
      </c>
      <c r="M48" s="326">
        <f t="shared" si="6"/>
        <v>0</v>
      </c>
      <c r="N48" s="326">
        <f t="shared" si="6"/>
        <v>0</v>
      </c>
      <c r="O48" s="326">
        <f t="shared" si="6"/>
        <v>0</v>
      </c>
      <c r="P48" s="326">
        <f t="shared" si="6"/>
        <v>58977.719528178241</v>
      </c>
      <c r="Q48" s="326">
        <f t="shared" si="6"/>
        <v>239187.41808650066</v>
      </c>
      <c r="R48" s="326">
        <f t="shared" si="6"/>
        <v>239842.72608125821</v>
      </c>
      <c r="S48" s="326">
        <f t="shared" si="6"/>
        <v>239187.41808650066</v>
      </c>
      <c r="T48" s="326">
        <f t="shared" si="6"/>
        <v>239187.41808650066</v>
      </c>
      <c r="U48" s="326">
        <f t="shared" si="6"/>
        <v>239187.41808650066</v>
      </c>
      <c r="V48" s="326">
        <f t="shared" si="6"/>
        <v>239842.72608125821</v>
      </c>
      <c r="W48" s="326">
        <f t="shared" si="6"/>
        <v>239187.41808650066</v>
      </c>
      <c r="X48" s="326">
        <f t="shared" si="6"/>
        <v>239187.41808650066</v>
      </c>
      <c r="Y48" s="326">
        <f t="shared" si="6"/>
        <v>239187.41808650066</v>
      </c>
      <c r="Z48" s="326">
        <f t="shared" si="6"/>
        <v>239842.72608125821</v>
      </c>
      <c r="AA48" s="326">
        <f t="shared" si="6"/>
        <v>239187.41808650066</v>
      </c>
      <c r="AB48" s="326">
        <f t="shared" si="6"/>
        <v>239187.41808650066</v>
      </c>
      <c r="AC48" s="326">
        <f t="shared" si="6"/>
        <v>239187.41808650069</v>
      </c>
      <c r="AD48" s="326">
        <f t="shared" si="6"/>
        <v>239842.72608125821</v>
      </c>
      <c r="AE48" s="326">
        <f t="shared" si="6"/>
        <v>239187.41808650066</v>
      </c>
      <c r="AF48" s="326">
        <f t="shared" si="6"/>
        <v>239187.41808650066</v>
      </c>
      <c r="AG48" s="326">
        <f t="shared" si="6"/>
        <v>239187.41808650066</v>
      </c>
      <c r="AH48" s="326">
        <f t="shared" si="6"/>
        <v>239842.72608125821</v>
      </c>
      <c r="AI48" s="326">
        <f t="shared" si="6"/>
        <v>239187.41808650066</v>
      </c>
      <c r="AJ48" s="326">
        <f t="shared" si="6"/>
        <v>239187.41808650066</v>
      </c>
      <c r="AK48" s="326">
        <f t="shared" si="6"/>
        <v>239187.41808650066</v>
      </c>
      <c r="AL48" s="326">
        <f t="shared" si="6"/>
        <v>239842.72608125821</v>
      </c>
      <c r="AM48" s="326">
        <f t="shared" si="6"/>
        <v>239187.41808650066</v>
      </c>
      <c r="AN48" s="326">
        <f t="shared" si="6"/>
        <v>239187.41808650066</v>
      </c>
      <c r="AO48" s="326">
        <f t="shared" si="6"/>
        <v>239187.41808650066</v>
      </c>
      <c r="AP48" s="326">
        <f t="shared" si="6"/>
        <v>239842.72608125821</v>
      </c>
      <c r="AQ48" s="326">
        <f t="shared" si="6"/>
        <v>239187.41808650066</v>
      </c>
      <c r="AR48" s="326">
        <f t="shared" si="6"/>
        <v>239187.41808650066</v>
      </c>
      <c r="AS48" s="326">
        <f t="shared" si="6"/>
        <v>239187.41808650066</v>
      </c>
      <c r="AT48" s="327">
        <f t="shared" si="6"/>
        <v>0</v>
      </c>
      <c r="AU48" s="327">
        <f t="shared" si="6"/>
        <v>0</v>
      </c>
      <c r="AV48" s="327">
        <f t="shared" si="6"/>
        <v>0</v>
      </c>
      <c r="AW48" s="327">
        <f t="shared" si="6"/>
        <v>0</v>
      </c>
      <c r="AX48" s="327">
        <f t="shared" si="6"/>
        <v>0</v>
      </c>
      <c r="AY48" t="s">
        <v>2549</v>
      </c>
      <c r="AZ48">
        <f>SUM(E30:AX38)</f>
        <v>351.18904109589039</v>
      </c>
    </row>
    <row r="49" spans="2:52" ht="14.25" customHeight="1">
      <c r="B49" s="321" t="s">
        <v>2247</v>
      </c>
      <c r="C49" s="325">
        <v>19000000</v>
      </c>
      <c r="D49" s="26"/>
      <c r="E49" s="326">
        <f t="shared" ref="E49:AX49" si="7">$C49/$AZ$49*(SUM(E30:E33))</f>
        <v>0</v>
      </c>
      <c r="F49" s="326">
        <f t="shared" si="7"/>
        <v>0</v>
      </c>
      <c r="G49" s="326">
        <f t="shared" si="7"/>
        <v>0</v>
      </c>
      <c r="H49" s="326">
        <f t="shared" si="7"/>
        <v>0</v>
      </c>
      <c r="I49" s="326">
        <f t="shared" si="7"/>
        <v>0</v>
      </c>
      <c r="J49" s="326">
        <f t="shared" si="7"/>
        <v>0</v>
      </c>
      <c r="K49" s="326">
        <f t="shared" si="7"/>
        <v>0</v>
      </c>
      <c r="L49" s="326">
        <f t="shared" si="7"/>
        <v>0</v>
      </c>
      <c r="M49" s="326">
        <f t="shared" si="7"/>
        <v>0</v>
      </c>
      <c r="N49" s="326">
        <f t="shared" si="7"/>
        <v>0</v>
      </c>
      <c r="O49" s="326">
        <f t="shared" si="7"/>
        <v>0</v>
      </c>
      <c r="P49" s="326">
        <f t="shared" si="7"/>
        <v>585215.6057494866</v>
      </c>
      <c r="Q49" s="326">
        <f t="shared" si="7"/>
        <v>2373374.4010951403</v>
      </c>
      <c r="R49" s="326">
        <f t="shared" si="7"/>
        <v>2379876.7967145792</v>
      </c>
      <c r="S49" s="326">
        <f t="shared" si="7"/>
        <v>2373374.4010951403</v>
      </c>
      <c r="T49" s="326">
        <f t="shared" si="7"/>
        <v>2373374.4010951403</v>
      </c>
      <c r="U49" s="326">
        <f t="shared" si="7"/>
        <v>2373374.4010951403</v>
      </c>
      <c r="V49" s="326">
        <f t="shared" si="7"/>
        <v>2379876.7967145792</v>
      </c>
      <c r="W49" s="326">
        <f t="shared" si="7"/>
        <v>2373374.4010951403</v>
      </c>
      <c r="X49" s="326">
        <f t="shared" si="7"/>
        <v>1788158.7953456535</v>
      </c>
      <c r="Y49" s="326">
        <f t="shared" si="7"/>
        <v>0</v>
      </c>
      <c r="Z49" s="326">
        <f t="shared" si="7"/>
        <v>0</v>
      </c>
      <c r="AA49" s="326">
        <f t="shared" si="7"/>
        <v>0</v>
      </c>
      <c r="AB49" s="326">
        <f t="shared" si="7"/>
        <v>0</v>
      </c>
      <c r="AC49" s="326">
        <f t="shared" si="7"/>
        <v>0</v>
      </c>
      <c r="AD49" s="326">
        <f t="shared" si="7"/>
        <v>0</v>
      </c>
      <c r="AE49" s="326">
        <f t="shared" si="7"/>
        <v>0</v>
      </c>
      <c r="AF49" s="326">
        <f t="shared" si="7"/>
        <v>0</v>
      </c>
      <c r="AG49" s="326">
        <f t="shared" si="7"/>
        <v>0</v>
      </c>
      <c r="AH49" s="326">
        <f t="shared" si="7"/>
        <v>0</v>
      </c>
      <c r="AI49" s="326">
        <f t="shared" si="7"/>
        <v>0</v>
      </c>
      <c r="AJ49" s="326">
        <f t="shared" si="7"/>
        <v>0</v>
      </c>
      <c r="AK49" s="326">
        <f t="shared" si="7"/>
        <v>0</v>
      </c>
      <c r="AL49" s="326">
        <f t="shared" si="7"/>
        <v>0</v>
      </c>
      <c r="AM49" s="326">
        <f t="shared" si="7"/>
        <v>0</v>
      </c>
      <c r="AN49" s="326">
        <f t="shared" si="7"/>
        <v>0</v>
      </c>
      <c r="AO49" s="326">
        <f t="shared" si="7"/>
        <v>0</v>
      </c>
      <c r="AP49" s="326">
        <f t="shared" si="7"/>
        <v>0</v>
      </c>
      <c r="AQ49" s="326">
        <f t="shared" si="7"/>
        <v>0</v>
      </c>
      <c r="AR49" s="326">
        <f t="shared" si="7"/>
        <v>0</v>
      </c>
      <c r="AS49" s="326">
        <f t="shared" si="7"/>
        <v>0</v>
      </c>
      <c r="AT49" s="327">
        <f t="shared" si="7"/>
        <v>0</v>
      </c>
      <c r="AU49" s="327">
        <f t="shared" si="7"/>
        <v>0</v>
      </c>
      <c r="AV49" s="327">
        <f t="shared" si="7"/>
        <v>0</v>
      </c>
      <c r="AW49" s="327">
        <f t="shared" si="7"/>
        <v>0</v>
      </c>
      <c r="AX49" s="327">
        <f t="shared" si="7"/>
        <v>0</v>
      </c>
      <c r="AY49" t="s">
        <v>2549</v>
      </c>
      <c r="AZ49">
        <f>SUM(E30:AX33)</f>
        <v>96.065753424657544</v>
      </c>
    </row>
    <row r="50" spans="2:52" ht="14.25" customHeight="1">
      <c r="B50" s="321" t="s">
        <v>2551</v>
      </c>
      <c r="C50" s="325">
        <v>155000000</v>
      </c>
      <c r="D50" s="26"/>
      <c r="E50" s="326">
        <f t="shared" ref="E50:AX50" si="8">$C50/$AZ$50*(SUM(E34:E35))</f>
        <v>0</v>
      </c>
      <c r="F50" s="326">
        <f t="shared" si="8"/>
        <v>0</v>
      </c>
      <c r="G50" s="326">
        <f t="shared" si="8"/>
        <v>0</v>
      </c>
      <c r="H50" s="326">
        <f t="shared" si="8"/>
        <v>0</v>
      </c>
      <c r="I50" s="326">
        <f t="shared" si="8"/>
        <v>0</v>
      </c>
      <c r="J50" s="326">
        <f t="shared" si="8"/>
        <v>0</v>
      </c>
      <c r="K50" s="326">
        <f t="shared" si="8"/>
        <v>0</v>
      </c>
      <c r="L50" s="326">
        <f t="shared" si="8"/>
        <v>0</v>
      </c>
      <c r="M50" s="326">
        <f t="shared" si="8"/>
        <v>0</v>
      </c>
      <c r="N50" s="326">
        <f t="shared" si="8"/>
        <v>0</v>
      </c>
      <c r="O50" s="326">
        <f t="shared" si="8"/>
        <v>0</v>
      </c>
      <c r="P50" s="326">
        <f t="shared" si="8"/>
        <v>0</v>
      </c>
      <c r="Q50" s="326">
        <f t="shared" si="8"/>
        <v>0</v>
      </c>
      <c r="R50" s="326">
        <f t="shared" si="8"/>
        <v>0</v>
      </c>
      <c r="S50" s="326">
        <f t="shared" si="8"/>
        <v>0</v>
      </c>
      <c r="T50" s="326">
        <f t="shared" si="8"/>
        <v>0</v>
      </c>
      <c r="U50" s="326">
        <f t="shared" si="8"/>
        <v>0</v>
      </c>
      <c r="V50" s="326">
        <f t="shared" si="8"/>
        <v>0</v>
      </c>
      <c r="W50" s="326">
        <f t="shared" si="8"/>
        <v>0</v>
      </c>
      <c r="X50" s="326">
        <f t="shared" si="8"/>
        <v>5659229.2089249492</v>
      </c>
      <c r="Y50" s="326">
        <f t="shared" si="8"/>
        <v>22951318.458417851</v>
      </c>
      <c r="Z50" s="326">
        <f t="shared" si="8"/>
        <v>23014198.782961462</v>
      </c>
      <c r="AA50" s="326">
        <f t="shared" si="8"/>
        <v>22951318.458417851</v>
      </c>
      <c r="AB50" s="326">
        <f t="shared" si="8"/>
        <v>22951318.458417851</v>
      </c>
      <c r="AC50" s="326">
        <f t="shared" si="8"/>
        <v>22951318.458417855</v>
      </c>
      <c r="AD50" s="326">
        <f t="shared" si="8"/>
        <v>23014198.782961462</v>
      </c>
      <c r="AE50" s="326">
        <f t="shared" si="8"/>
        <v>11507099.391480731</v>
      </c>
      <c r="AF50" s="326">
        <f t="shared" si="8"/>
        <v>0</v>
      </c>
      <c r="AG50" s="326">
        <f t="shared" si="8"/>
        <v>0</v>
      </c>
      <c r="AH50" s="326">
        <f t="shared" si="8"/>
        <v>0</v>
      </c>
      <c r="AI50" s="326">
        <f t="shared" si="8"/>
        <v>0</v>
      </c>
      <c r="AJ50" s="326">
        <f t="shared" si="8"/>
        <v>0</v>
      </c>
      <c r="AK50" s="326">
        <f t="shared" si="8"/>
        <v>0</v>
      </c>
      <c r="AL50" s="326">
        <f t="shared" si="8"/>
        <v>0</v>
      </c>
      <c r="AM50" s="326">
        <f t="shared" si="8"/>
        <v>0</v>
      </c>
      <c r="AN50" s="326">
        <f t="shared" si="8"/>
        <v>0</v>
      </c>
      <c r="AO50" s="326">
        <f t="shared" si="8"/>
        <v>0</v>
      </c>
      <c r="AP50" s="326">
        <f t="shared" si="8"/>
        <v>0</v>
      </c>
      <c r="AQ50" s="326">
        <f t="shared" si="8"/>
        <v>0</v>
      </c>
      <c r="AR50" s="326">
        <f t="shared" si="8"/>
        <v>0</v>
      </c>
      <c r="AS50" s="326">
        <f t="shared" si="8"/>
        <v>0</v>
      </c>
      <c r="AT50" s="327">
        <f t="shared" si="8"/>
        <v>0</v>
      </c>
      <c r="AU50" s="327">
        <f t="shared" si="8"/>
        <v>0</v>
      </c>
      <c r="AV50" s="327">
        <f t="shared" si="8"/>
        <v>0</v>
      </c>
      <c r="AW50" s="327">
        <f t="shared" si="8"/>
        <v>0</v>
      </c>
      <c r="AX50" s="327">
        <f t="shared" si="8"/>
        <v>0</v>
      </c>
      <c r="AY50" t="s">
        <v>2549</v>
      </c>
      <c r="AZ50">
        <f>SUM(E34:AX35)</f>
        <v>81.041095890410958</v>
      </c>
    </row>
    <row r="51" spans="2:52" ht="14.25" customHeight="1">
      <c r="B51" s="321" t="s">
        <v>2552</v>
      </c>
      <c r="C51" s="325">
        <v>9000000</v>
      </c>
      <c r="D51" s="26"/>
      <c r="E51" s="326">
        <f t="shared" ref="E51:AX51" si="9">$C51/$AZ$51*(SUM(E32:E34))</f>
        <v>0</v>
      </c>
      <c r="F51" s="326">
        <f t="shared" si="9"/>
        <v>0</v>
      </c>
      <c r="G51" s="326">
        <f t="shared" si="9"/>
        <v>0</v>
      </c>
      <c r="H51" s="326">
        <f t="shared" si="9"/>
        <v>0</v>
      </c>
      <c r="I51" s="326">
        <f t="shared" si="9"/>
        <v>0</v>
      </c>
      <c r="J51" s="326">
        <f t="shared" si="9"/>
        <v>0</v>
      </c>
      <c r="K51" s="326">
        <f t="shared" si="9"/>
        <v>0</v>
      </c>
      <c r="L51" s="326">
        <f t="shared" si="9"/>
        <v>0</v>
      </c>
      <c r="M51" s="326">
        <f t="shared" si="9"/>
        <v>0</v>
      </c>
      <c r="N51" s="326">
        <f t="shared" si="9"/>
        <v>0</v>
      </c>
      <c r="O51" s="326">
        <f t="shared" si="9"/>
        <v>0</v>
      </c>
      <c r="P51" s="326">
        <f t="shared" si="9"/>
        <v>0</v>
      </c>
      <c r="Q51" s="326">
        <f t="shared" si="9"/>
        <v>0</v>
      </c>
      <c r="R51" s="326">
        <f t="shared" si="9"/>
        <v>0</v>
      </c>
      <c r="S51" s="326">
        <f t="shared" si="9"/>
        <v>0</v>
      </c>
      <c r="T51" s="326">
        <f t="shared" si="9"/>
        <v>261037.70544634224</v>
      </c>
      <c r="U51" s="326">
        <f t="shared" si="9"/>
        <v>1058652.916532388</v>
      </c>
      <c r="V51" s="326">
        <f t="shared" si="9"/>
        <v>1061553.335481792</v>
      </c>
      <c r="W51" s="326">
        <f t="shared" si="9"/>
        <v>1058652.916532388</v>
      </c>
      <c r="X51" s="326">
        <f t="shared" si="9"/>
        <v>1058652.916532388</v>
      </c>
      <c r="Y51" s="326">
        <f t="shared" si="9"/>
        <v>1058652.916532388</v>
      </c>
      <c r="Z51" s="326">
        <f t="shared" si="9"/>
        <v>1061553.335481792</v>
      </c>
      <c r="AA51" s="326">
        <f t="shared" si="9"/>
        <v>1058652.916532388</v>
      </c>
      <c r="AB51" s="326">
        <f t="shared" si="9"/>
        <v>1058652.916532388</v>
      </c>
      <c r="AC51" s="326">
        <f t="shared" si="9"/>
        <v>263938.1243957461</v>
      </c>
      <c r="AD51" s="326">
        <f t="shared" si="9"/>
        <v>0</v>
      </c>
      <c r="AE51" s="326">
        <f t="shared" si="9"/>
        <v>0</v>
      </c>
      <c r="AF51" s="326">
        <f t="shared" si="9"/>
        <v>0</v>
      </c>
      <c r="AG51" s="326">
        <f t="shared" si="9"/>
        <v>0</v>
      </c>
      <c r="AH51" s="326">
        <f t="shared" si="9"/>
        <v>0</v>
      </c>
      <c r="AI51" s="326">
        <f t="shared" si="9"/>
        <v>0</v>
      </c>
      <c r="AJ51" s="326">
        <f t="shared" si="9"/>
        <v>0</v>
      </c>
      <c r="AK51" s="326">
        <f t="shared" si="9"/>
        <v>0</v>
      </c>
      <c r="AL51" s="326">
        <f t="shared" si="9"/>
        <v>0</v>
      </c>
      <c r="AM51" s="326">
        <f t="shared" si="9"/>
        <v>0</v>
      </c>
      <c r="AN51" s="326">
        <f t="shared" si="9"/>
        <v>0</v>
      </c>
      <c r="AO51" s="326">
        <f t="shared" si="9"/>
        <v>0</v>
      </c>
      <c r="AP51" s="326">
        <f t="shared" si="9"/>
        <v>0</v>
      </c>
      <c r="AQ51" s="326">
        <f t="shared" si="9"/>
        <v>0</v>
      </c>
      <c r="AR51" s="326">
        <f t="shared" si="9"/>
        <v>0</v>
      </c>
      <c r="AS51" s="326">
        <f t="shared" si="9"/>
        <v>0</v>
      </c>
      <c r="AT51" s="327">
        <f t="shared" si="9"/>
        <v>0</v>
      </c>
      <c r="AU51" s="327">
        <f t="shared" si="9"/>
        <v>0</v>
      </c>
      <c r="AV51" s="327">
        <f t="shared" si="9"/>
        <v>0</v>
      </c>
      <c r="AW51" s="327">
        <f t="shared" si="9"/>
        <v>0</v>
      </c>
      <c r="AX51" s="327">
        <f t="shared" si="9"/>
        <v>0</v>
      </c>
      <c r="AY51" t="s">
        <v>2549</v>
      </c>
      <c r="AZ51">
        <f>SUM(E32:AX34)</f>
        <v>102.01643835616439</v>
      </c>
    </row>
    <row r="52" spans="2:52" ht="14.25" customHeight="1">
      <c r="B52" s="321" t="s">
        <v>478</v>
      </c>
      <c r="C52" s="325">
        <v>13000000</v>
      </c>
      <c r="D52" s="26"/>
      <c r="E52" s="326">
        <f t="shared" ref="E52:AX52" si="10">$C52/$AZ$52*(SUM(E34:E35)+E37)</f>
        <v>0</v>
      </c>
      <c r="F52" s="326">
        <f t="shared" si="10"/>
        <v>0</v>
      </c>
      <c r="G52" s="326">
        <f t="shared" si="10"/>
        <v>0</v>
      </c>
      <c r="H52" s="326">
        <f t="shared" si="10"/>
        <v>0</v>
      </c>
      <c r="I52" s="326">
        <f t="shared" si="10"/>
        <v>0</v>
      </c>
      <c r="J52" s="326">
        <f t="shared" si="10"/>
        <v>0</v>
      </c>
      <c r="K52" s="326">
        <f t="shared" si="10"/>
        <v>0</v>
      </c>
      <c r="L52" s="326">
        <f t="shared" si="10"/>
        <v>0</v>
      </c>
      <c r="M52" s="326">
        <f t="shared" si="10"/>
        <v>0</v>
      </c>
      <c r="N52" s="326">
        <f t="shared" si="10"/>
        <v>0</v>
      </c>
      <c r="O52" s="326">
        <f t="shared" si="10"/>
        <v>0</v>
      </c>
      <c r="P52" s="326">
        <f t="shared" si="10"/>
        <v>0</v>
      </c>
      <c r="Q52" s="326">
        <f t="shared" si="10"/>
        <v>0</v>
      </c>
      <c r="R52" s="326">
        <f t="shared" si="10"/>
        <v>0</v>
      </c>
      <c r="S52" s="326">
        <f t="shared" si="10"/>
        <v>0</v>
      </c>
      <c r="T52" s="326">
        <f t="shared" si="10"/>
        <v>0</v>
      </c>
      <c r="U52" s="326">
        <f t="shared" si="10"/>
        <v>0</v>
      </c>
      <c r="V52" s="326">
        <f t="shared" si="10"/>
        <v>0</v>
      </c>
      <c r="W52" s="326">
        <f t="shared" si="10"/>
        <v>0</v>
      </c>
      <c r="X52" s="326">
        <f t="shared" si="10"/>
        <v>152582.15962441312</v>
      </c>
      <c r="Y52" s="326">
        <f t="shared" si="10"/>
        <v>618805.42514345329</v>
      </c>
      <c r="Z52" s="326">
        <f t="shared" si="10"/>
        <v>620500.78247261338</v>
      </c>
      <c r="AA52" s="326">
        <f t="shared" si="10"/>
        <v>618805.42514345329</v>
      </c>
      <c r="AB52" s="326">
        <f t="shared" si="10"/>
        <v>618805.42514345329</v>
      </c>
      <c r="AC52" s="326">
        <f t="shared" si="10"/>
        <v>618805.42514345329</v>
      </c>
      <c r="AD52" s="326">
        <f t="shared" si="10"/>
        <v>620500.78247261338</v>
      </c>
      <c r="AE52" s="326">
        <f t="shared" si="10"/>
        <v>462832.55086071981</v>
      </c>
      <c r="AF52" s="326">
        <f t="shared" si="10"/>
        <v>618805.42514345329</v>
      </c>
      <c r="AG52" s="326">
        <f t="shared" si="10"/>
        <v>618805.42514345329</v>
      </c>
      <c r="AH52" s="326">
        <f t="shared" si="10"/>
        <v>620500.78247261338</v>
      </c>
      <c r="AI52" s="326">
        <f t="shared" si="10"/>
        <v>618805.42514345329</v>
      </c>
      <c r="AJ52" s="326">
        <f t="shared" si="10"/>
        <v>618805.42514345329</v>
      </c>
      <c r="AK52" s="326">
        <f t="shared" si="10"/>
        <v>618805.42514345329</v>
      </c>
      <c r="AL52" s="326">
        <f t="shared" si="10"/>
        <v>620500.78247261338</v>
      </c>
      <c r="AM52" s="326">
        <f t="shared" si="10"/>
        <v>618805.42514345329</v>
      </c>
      <c r="AN52" s="326">
        <f t="shared" si="10"/>
        <v>618805.42514345329</v>
      </c>
      <c r="AO52" s="326">
        <f t="shared" si="10"/>
        <v>618805.42514345329</v>
      </c>
      <c r="AP52" s="326">
        <f t="shared" si="10"/>
        <v>620500.78247261338</v>
      </c>
      <c r="AQ52" s="326">
        <f t="shared" si="10"/>
        <v>618805.42514345329</v>
      </c>
      <c r="AR52" s="326">
        <f t="shared" si="10"/>
        <v>618805.42514345329</v>
      </c>
      <c r="AS52" s="326">
        <f t="shared" si="10"/>
        <v>618805.42514345329</v>
      </c>
      <c r="AT52" s="327">
        <f t="shared" si="10"/>
        <v>0</v>
      </c>
      <c r="AU52" s="327">
        <f t="shared" si="10"/>
        <v>0</v>
      </c>
      <c r="AV52" s="327">
        <f t="shared" si="10"/>
        <v>0</v>
      </c>
      <c r="AW52" s="327">
        <f t="shared" si="10"/>
        <v>0</v>
      </c>
      <c r="AX52" s="327">
        <f t="shared" si="10"/>
        <v>0</v>
      </c>
      <c r="AY52" t="s">
        <v>2549</v>
      </c>
      <c r="AZ52">
        <f>SUM(E34:AX35)+SUM(E37:AX37)</f>
        <v>252.09863013698632</v>
      </c>
    </row>
    <row r="53" spans="2:52" ht="14.25" customHeight="1">
      <c r="B53" s="321" t="s">
        <v>556</v>
      </c>
      <c r="C53" s="325">
        <v>34000000</v>
      </c>
      <c r="D53" s="26"/>
      <c r="E53" s="326">
        <f t="shared" ref="E53:AX53" si="11">$C53/$AZ$53*(SUM(E36:E38))</f>
        <v>0</v>
      </c>
      <c r="F53" s="326">
        <f t="shared" si="11"/>
        <v>0</v>
      </c>
      <c r="G53" s="326">
        <f t="shared" si="11"/>
        <v>0</v>
      </c>
      <c r="H53" s="326">
        <f t="shared" si="11"/>
        <v>0</v>
      </c>
      <c r="I53" s="326">
        <f t="shared" si="11"/>
        <v>0</v>
      </c>
      <c r="J53" s="326">
        <f t="shared" si="11"/>
        <v>0</v>
      </c>
      <c r="K53" s="326">
        <f t="shared" si="11"/>
        <v>0</v>
      </c>
      <c r="L53" s="326">
        <f t="shared" si="11"/>
        <v>0</v>
      </c>
      <c r="M53" s="326">
        <f t="shared" si="11"/>
        <v>0</v>
      </c>
      <c r="N53" s="326">
        <f t="shared" si="11"/>
        <v>0</v>
      </c>
      <c r="O53" s="326">
        <f t="shared" si="11"/>
        <v>0</v>
      </c>
      <c r="P53" s="326">
        <f t="shared" si="11"/>
        <v>0</v>
      </c>
      <c r="Q53" s="326">
        <f t="shared" si="11"/>
        <v>0</v>
      </c>
      <c r="R53" s="326">
        <f t="shared" si="11"/>
        <v>0</v>
      </c>
      <c r="S53" s="326">
        <f t="shared" si="11"/>
        <v>0</v>
      </c>
      <c r="T53" s="326">
        <f t="shared" si="11"/>
        <v>0</v>
      </c>
      <c r="U53" s="326">
        <f t="shared" si="11"/>
        <v>0</v>
      </c>
      <c r="V53" s="326">
        <f t="shared" si="11"/>
        <v>0</v>
      </c>
      <c r="W53" s="326">
        <f t="shared" si="11"/>
        <v>0</v>
      </c>
      <c r="X53" s="326">
        <f t="shared" si="11"/>
        <v>0</v>
      </c>
      <c r="Y53" s="326">
        <f t="shared" si="11"/>
        <v>0</v>
      </c>
      <c r="Z53" s="326">
        <f t="shared" si="11"/>
        <v>0</v>
      </c>
      <c r="AA53" s="326">
        <f t="shared" si="11"/>
        <v>0</v>
      </c>
      <c r="AB53" s="326">
        <f t="shared" si="11"/>
        <v>0</v>
      </c>
      <c r="AC53" s="326">
        <f t="shared" si="11"/>
        <v>0</v>
      </c>
      <c r="AD53" s="326">
        <f t="shared" si="11"/>
        <v>0</v>
      </c>
      <c r="AE53" s="326">
        <f t="shared" si="11"/>
        <v>1168649.6694995277</v>
      </c>
      <c r="AF53" s="326">
        <f t="shared" si="11"/>
        <v>2343720.4910292728</v>
      </c>
      <c r="AG53" s="326">
        <f t="shared" si="11"/>
        <v>2343720.4910292728</v>
      </c>
      <c r="AH53" s="326">
        <f t="shared" si="11"/>
        <v>2350141.6430594902</v>
      </c>
      <c r="AI53" s="326">
        <f t="shared" si="11"/>
        <v>2343720.4910292728</v>
      </c>
      <c r="AJ53" s="326">
        <f t="shared" si="11"/>
        <v>2343720.4910292728</v>
      </c>
      <c r="AK53" s="326">
        <f t="shared" si="11"/>
        <v>2343720.4910292728</v>
      </c>
      <c r="AL53" s="326">
        <f t="shared" si="11"/>
        <v>2350141.6430594902</v>
      </c>
      <c r="AM53" s="326">
        <f t="shared" si="11"/>
        <v>2343720.4910292728</v>
      </c>
      <c r="AN53" s="326">
        <f t="shared" si="11"/>
        <v>2343720.4910292728</v>
      </c>
      <c r="AO53" s="326">
        <f t="shared" si="11"/>
        <v>2343720.4910292728</v>
      </c>
      <c r="AP53" s="326">
        <f t="shared" si="11"/>
        <v>2350141.6430594902</v>
      </c>
      <c r="AQ53" s="326">
        <f t="shared" si="11"/>
        <v>2343720.4910292728</v>
      </c>
      <c r="AR53" s="326">
        <f t="shared" si="11"/>
        <v>2343720.4910292728</v>
      </c>
      <c r="AS53" s="326">
        <f t="shared" si="11"/>
        <v>2343720.4910292728</v>
      </c>
      <c r="AT53" s="327">
        <f t="shared" si="11"/>
        <v>0</v>
      </c>
      <c r="AU53" s="327">
        <f t="shared" si="11"/>
        <v>0</v>
      </c>
      <c r="AV53" s="327">
        <f t="shared" si="11"/>
        <v>0</v>
      </c>
      <c r="AW53" s="327">
        <f t="shared" si="11"/>
        <v>0</v>
      </c>
      <c r="AX53" s="327">
        <f t="shared" si="11"/>
        <v>0</v>
      </c>
      <c r="AY53" t="s">
        <v>2549</v>
      </c>
      <c r="AZ53">
        <f>SUM(E36:AX38)</f>
        <v>174.08219178082192</v>
      </c>
    </row>
    <row r="54" spans="2:52" ht="14.25" customHeight="1">
      <c r="B54" s="321" t="s">
        <v>559</v>
      </c>
      <c r="C54" s="325">
        <v>16000000</v>
      </c>
      <c r="D54" s="26"/>
      <c r="E54" s="326">
        <f t="shared" ref="E54:AX54" si="12">$C54/$AZ$54*(SUM(E30:E33)+SUM(E37:E38))</f>
        <v>0</v>
      </c>
      <c r="F54" s="326">
        <f t="shared" si="12"/>
        <v>0</v>
      </c>
      <c r="G54" s="326">
        <f t="shared" si="12"/>
        <v>0</v>
      </c>
      <c r="H54" s="326">
        <f t="shared" si="12"/>
        <v>0</v>
      </c>
      <c r="I54" s="326">
        <f t="shared" si="12"/>
        <v>0</v>
      </c>
      <c r="J54" s="326">
        <f t="shared" si="12"/>
        <v>0</v>
      </c>
      <c r="K54" s="326">
        <f t="shared" si="12"/>
        <v>0</v>
      </c>
      <c r="L54" s="326">
        <f t="shared" si="12"/>
        <v>0</v>
      </c>
      <c r="M54" s="326">
        <f t="shared" si="12"/>
        <v>0</v>
      </c>
      <c r="N54" s="326">
        <f t="shared" si="12"/>
        <v>0</v>
      </c>
      <c r="O54" s="326">
        <f t="shared" si="12"/>
        <v>0</v>
      </c>
      <c r="P54" s="326">
        <f t="shared" si="12"/>
        <v>177230.76923076919</v>
      </c>
      <c r="Q54" s="326">
        <f t="shared" si="12"/>
        <v>718769.23076923075</v>
      </c>
      <c r="R54" s="326">
        <f t="shared" si="12"/>
        <v>720738.4615384615</v>
      </c>
      <c r="S54" s="326">
        <f t="shared" si="12"/>
        <v>718769.23076923075</v>
      </c>
      <c r="T54" s="326">
        <f t="shared" si="12"/>
        <v>718769.23076923075</v>
      </c>
      <c r="U54" s="326">
        <f t="shared" si="12"/>
        <v>718769.23076923075</v>
      </c>
      <c r="V54" s="326">
        <f t="shared" si="12"/>
        <v>720738.4615384615</v>
      </c>
      <c r="W54" s="326">
        <f t="shared" si="12"/>
        <v>718769.23076923075</v>
      </c>
      <c r="X54" s="326">
        <f t="shared" si="12"/>
        <v>541538.4615384615</v>
      </c>
      <c r="Y54" s="326">
        <f t="shared" si="12"/>
        <v>0</v>
      </c>
      <c r="Z54" s="326">
        <f t="shared" si="12"/>
        <v>0</v>
      </c>
      <c r="AA54" s="326">
        <f t="shared" si="12"/>
        <v>0</v>
      </c>
      <c r="AB54" s="326">
        <f t="shared" si="12"/>
        <v>0</v>
      </c>
      <c r="AC54" s="326">
        <f t="shared" si="12"/>
        <v>0</v>
      </c>
      <c r="AD54" s="326">
        <f t="shared" si="12"/>
        <v>0</v>
      </c>
      <c r="AE54" s="326">
        <f t="shared" si="12"/>
        <v>177230.76923076919</v>
      </c>
      <c r="AF54" s="326">
        <f t="shared" si="12"/>
        <v>718769.23076923075</v>
      </c>
      <c r="AG54" s="326">
        <f t="shared" si="12"/>
        <v>718769.23076923075</v>
      </c>
      <c r="AH54" s="326">
        <f t="shared" si="12"/>
        <v>720738.4615384615</v>
      </c>
      <c r="AI54" s="326">
        <f t="shared" si="12"/>
        <v>718769.23076923075</v>
      </c>
      <c r="AJ54" s="326">
        <f t="shared" si="12"/>
        <v>718769.23076923075</v>
      </c>
      <c r="AK54" s="326">
        <f t="shared" si="12"/>
        <v>718769.23076923075</v>
      </c>
      <c r="AL54" s="326">
        <f t="shared" si="12"/>
        <v>720738.4615384615</v>
      </c>
      <c r="AM54" s="326">
        <f t="shared" si="12"/>
        <v>718769.23076923075</v>
      </c>
      <c r="AN54" s="326">
        <f t="shared" si="12"/>
        <v>718769.23076923075</v>
      </c>
      <c r="AO54" s="326">
        <f t="shared" si="12"/>
        <v>718769.23076923075</v>
      </c>
      <c r="AP54" s="326">
        <f t="shared" si="12"/>
        <v>720738.4615384615</v>
      </c>
      <c r="AQ54" s="326">
        <f t="shared" si="12"/>
        <v>718769.23076923075</v>
      </c>
      <c r="AR54" s="326">
        <f t="shared" si="12"/>
        <v>718769.23076923075</v>
      </c>
      <c r="AS54" s="326">
        <f t="shared" si="12"/>
        <v>718769.23076923075</v>
      </c>
      <c r="AT54" s="327">
        <f t="shared" si="12"/>
        <v>0</v>
      </c>
      <c r="AU54" s="327">
        <f t="shared" si="12"/>
        <v>0</v>
      </c>
      <c r="AV54" s="327">
        <f t="shared" si="12"/>
        <v>0</v>
      </c>
      <c r="AW54" s="327">
        <f t="shared" si="12"/>
        <v>0</v>
      </c>
      <c r="AX54" s="327">
        <f t="shared" si="12"/>
        <v>0</v>
      </c>
      <c r="AY54" t="s">
        <v>2549</v>
      </c>
      <c r="AZ54">
        <f>SUM(E30:AX33)+SUM(E37:AX38)</f>
        <v>267.1232876712329</v>
      </c>
    </row>
    <row r="56" spans="2:52" ht="14.25" customHeight="1">
      <c r="B56" s="105" t="s">
        <v>2553</v>
      </c>
    </row>
    <row r="57" spans="2:52" ht="14.25" customHeight="1">
      <c r="B57" s="328" t="s">
        <v>2417</v>
      </c>
      <c r="C57" s="328" t="s">
        <v>2554</v>
      </c>
      <c r="D57" s="328" t="s">
        <v>2555</v>
      </c>
    </row>
    <row r="58" spans="2:52" ht="14.25" customHeight="1">
      <c r="B58" s="329">
        <f>E$27</f>
        <v>2015</v>
      </c>
      <c r="C58" s="330">
        <f>SUM(E$47:E$54)/1000000</f>
        <v>0</v>
      </c>
      <c r="D58" s="331">
        <f>C58</f>
        <v>0</v>
      </c>
    </row>
    <row r="59" spans="2:52" ht="14.25" customHeight="1">
      <c r="B59" s="329">
        <f>F$27</f>
        <v>2016</v>
      </c>
      <c r="C59" s="330">
        <f>SUM(F$47:F$54)/1000000</f>
        <v>0</v>
      </c>
      <c r="D59" s="331">
        <f t="shared" ref="D59:D103" si="13">D58+C59</f>
        <v>0</v>
      </c>
    </row>
    <row r="60" spans="2:52" ht="14.25" customHeight="1">
      <c r="B60" s="329">
        <f>G$27</f>
        <v>2017</v>
      </c>
      <c r="C60" s="330">
        <f>SUM(G$47:G$54)/1000000</f>
        <v>0</v>
      </c>
      <c r="D60" s="331">
        <f t="shared" si="13"/>
        <v>0</v>
      </c>
    </row>
    <row r="61" spans="2:52" ht="14.25" customHeight="1">
      <c r="B61" s="329">
        <f>H$27</f>
        <v>2018</v>
      </c>
      <c r="C61" s="330">
        <f>SUM(H$47:H$54)/1000000</f>
        <v>0</v>
      </c>
      <c r="D61" s="331">
        <f t="shared" si="13"/>
        <v>0</v>
      </c>
    </row>
    <row r="62" spans="2:52" ht="14.25" customHeight="1">
      <c r="B62" s="329">
        <f>I$27</f>
        <v>2019</v>
      </c>
      <c r="C62" s="330">
        <f>SUM(I$47:I$54)/1000000</f>
        <v>0</v>
      </c>
      <c r="D62" s="331">
        <f t="shared" si="13"/>
        <v>0</v>
      </c>
    </row>
    <row r="63" spans="2:52" ht="14.25" customHeight="1">
      <c r="B63" s="329">
        <f>J$27</f>
        <v>2020</v>
      </c>
      <c r="C63" s="330">
        <f>SUM(J$47:J$54)/1000000</f>
        <v>0</v>
      </c>
      <c r="D63" s="331">
        <f t="shared" si="13"/>
        <v>0</v>
      </c>
    </row>
    <row r="64" spans="2:52" ht="14.25" customHeight="1">
      <c r="B64" s="329">
        <f>K$27</f>
        <v>2021</v>
      </c>
      <c r="C64" s="330">
        <f>SUM(K$47:K$54)/1000000</f>
        <v>0</v>
      </c>
      <c r="D64" s="331">
        <f t="shared" si="13"/>
        <v>0</v>
      </c>
    </row>
    <row r="65" spans="2:4" ht="14.25" customHeight="1">
      <c r="B65" s="329">
        <f>L$27</f>
        <v>2022</v>
      </c>
      <c r="C65" s="330">
        <f>SUM(L$47:L$54)/1000000</f>
        <v>0</v>
      </c>
      <c r="D65" s="331">
        <f t="shared" si="13"/>
        <v>0</v>
      </c>
    </row>
    <row r="66" spans="2:4" ht="14.25" customHeight="1">
      <c r="B66" s="329">
        <f>M$27</f>
        <v>2023</v>
      </c>
      <c r="C66" s="330">
        <f>SUM(M$47:M$54)/1000000</f>
        <v>0</v>
      </c>
      <c r="D66" s="331">
        <f t="shared" si="13"/>
        <v>0</v>
      </c>
    </row>
    <row r="67" spans="2:4" ht="14.25" customHeight="1">
      <c r="B67" s="329">
        <f>N$27</f>
        <v>2024</v>
      </c>
      <c r="C67" s="330">
        <f>SUM(N$47:N$54)/1000000</f>
        <v>0</v>
      </c>
      <c r="D67" s="331">
        <f t="shared" si="13"/>
        <v>0</v>
      </c>
    </row>
    <row r="68" spans="2:4" ht="14.25" customHeight="1">
      <c r="B68" s="329">
        <f>O$27</f>
        <v>2025</v>
      </c>
      <c r="C68" s="330">
        <f>SUM(O$47:O$54)/1000000</f>
        <v>0</v>
      </c>
      <c r="D68" s="331">
        <f t="shared" si="13"/>
        <v>0</v>
      </c>
    </row>
    <row r="69" spans="2:4" ht="14.25" customHeight="1">
      <c r="B69" s="329">
        <f>P$27</f>
        <v>2026</v>
      </c>
      <c r="C69" s="330">
        <f>SUM(P$47:P$54)/1000000</f>
        <v>0.91410336805271408</v>
      </c>
      <c r="D69" s="331">
        <f t="shared" si="13"/>
        <v>0.91410336805271408</v>
      </c>
    </row>
    <row r="70" spans="2:4" ht="14.25" customHeight="1">
      <c r="B70" s="329">
        <f>Q$27</f>
        <v>2027</v>
      </c>
      <c r="C70" s="330">
        <f>SUM(Q$47:Q$54)/1000000</f>
        <v>3.7071969926582296</v>
      </c>
      <c r="D70" s="331">
        <f t="shared" si="13"/>
        <v>4.6213003607109435</v>
      </c>
    </row>
    <row r="71" spans="2:4" ht="14.25" customHeight="1">
      <c r="B71" s="329">
        <f>R$27</f>
        <v>2028</v>
      </c>
      <c r="C71" s="330">
        <f>SUM(R$47:R$54)/1000000</f>
        <v>3.717353696747705</v>
      </c>
      <c r="D71" s="331">
        <f t="shared" si="13"/>
        <v>8.3386540574586476</v>
      </c>
    </row>
    <row r="72" spans="2:4" ht="14.25" customHeight="1">
      <c r="B72" s="329">
        <f>S$27</f>
        <v>2029</v>
      </c>
      <c r="C72" s="330">
        <f>SUM(S$47:S$54)/1000000</f>
        <v>3.7071969926582296</v>
      </c>
      <c r="D72" s="331">
        <f t="shared" si="13"/>
        <v>12.045851050116877</v>
      </c>
    </row>
    <row r="73" spans="2:4" ht="14.25" customHeight="1">
      <c r="B73" s="329">
        <f>T$27</f>
        <v>2030</v>
      </c>
      <c r="C73" s="330">
        <f>SUM(T$47:T$54)/1000000</f>
        <v>3.9682346981045726</v>
      </c>
      <c r="D73" s="331">
        <f t="shared" si="13"/>
        <v>16.014085748221451</v>
      </c>
    </row>
    <row r="74" spans="2:4" ht="14.25" customHeight="1">
      <c r="B74" s="329">
        <f>U$27</f>
        <v>2031</v>
      </c>
      <c r="C74" s="330">
        <f>SUM(U$47:U$54)/1000000</f>
        <v>4.7658499091906172</v>
      </c>
      <c r="D74" s="331">
        <f t="shared" si="13"/>
        <v>20.779935657412068</v>
      </c>
    </row>
    <row r="75" spans="2:4" ht="14.25" customHeight="1">
      <c r="B75" s="329">
        <f>V$27</f>
        <v>2032</v>
      </c>
      <c r="C75" s="330">
        <f>SUM(V$47:V$54)/1000000</f>
        <v>4.7789070322294958</v>
      </c>
      <c r="D75" s="331">
        <f t="shared" si="13"/>
        <v>25.558842689641565</v>
      </c>
    </row>
    <row r="76" spans="2:4" ht="14.25" customHeight="1">
      <c r="B76" s="329">
        <f>W$27</f>
        <v>2033</v>
      </c>
      <c r="C76" s="330">
        <f>SUM(W$47:W$54)/1000000</f>
        <v>4.7658499091906172</v>
      </c>
      <c r="D76" s="331">
        <f t="shared" si="13"/>
        <v>30.324692598832183</v>
      </c>
    </row>
    <row r="77" spans="2:4" ht="14.25" customHeight="1">
      <c r="B77" s="329">
        <f>X$27</f>
        <v>2034</v>
      </c>
      <c r="C77" s="330">
        <f>SUM(X$47:X$54)/1000000</f>
        <v>9.8152149027597257</v>
      </c>
      <c r="D77" s="331">
        <f t="shared" si="13"/>
        <v>40.139907501591907</v>
      </c>
    </row>
    <row r="78" spans="2:4" ht="14.25" customHeight="1">
      <c r="B78" s="329">
        <f>Y$27</f>
        <v>2035</v>
      </c>
      <c r="C78" s="330">
        <f>SUM(Y$47:Y$54)/1000000</f>
        <v>25.243830160887551</v>
      </c>
      <c r="D78" s="331">
        <f t="shared" si="13"/>
        <v>65.383737662479462</v>
      </c>
    </row>
    <row r="79" spans="2:4" ht="14.25" customHeight="1">
      <c r="B79" s="329">
        <f>Z$27</f>
        <v>2036</v>
      </c>
      <c r="C79" s="330">
        <f>SUM(Z$47:Z$54)/1000000</f>
        <v>25.312991339410534</v>
      </c>
      <c r="D79" s="331">
        <f t="shared" si="13"/>
        <v>90.696729001889992</v>
      </c>
    </row>
    <row r="80" spans="2:4" ht="14.25" customHeight="1">
      <c r="B80" s="329">
        <f>AA$27</f>
        <v>2037</v>
      </c>
      <c r="C80" s="330">
        <f>SUM(AA$47:AA$54)/1000000</f>
        <v>25.243830160887551</v>
      </c>
      <c r="D80" s="331">
        <f t="shared" si="13"/>
        <v>115.94055916277755</v>
      </c>
    </row>
    <row r="81" spans="2:4" ht="14.25" customHeight="1">
      <c r="B81" s="329">
        <f>AB$27</f>
        <v>2038</v>
      </c>
      <c r="C81" s="330">
        <f>SUM(AB$47:AB$54)/1000000</f>
        <v>25.243830160887551</v>
      </c>
      <c r="D81" s="331">
        <f t="shared" si="13"/>
        <v>141.1843893236651</v>
      </c>
    </row>
    <row r="82" spans="2:4" ht="14.25" customHeight="1">
      <c r="B82" s="329">
        <f>AC$27</f>
        <v>2039</v>
      </c>
      <c r="C82" s="330">
        <f>SUM(AC$47:AC$54)/1000000</f>
        <v>24.449115368750913</v>
      </c>
      <c r="D82" s="331">
        <f t="shared" si="13"/>
        <v>165.63350469241601</v>
      </c>
    </row>
    <row r="83" spans="2:4" ht="14.25" customHeight="1">
      <c r="B83" s="329">
        <f>AD$27</f>
        <v>2040</v>
      </c>
      <c r="C83" s="330">
        <f>SUM(AD$47:AD$54)/1000000</f>
        <v>24.25143800392874</v>
      </c>
      <c r="D83" s="331">
        <f t="shared" si="13"/>
        <v>189.88494269634475</v>
      </c>
    </row>
    <row r="84" spans="2:4" ht="14.25" customHeight="1">
      <c r="B84" s="329">
        <f>AE$27</f>
        <v>2041</v>
      </c>
      <c r="C84" s="330">
        <f>SUM(AE$47:AE$54)/1000000</f>
        <v>13.930865741865606</v>
      </c>
      <c r="D84" s="331">
        <f t="shared" si="13"/>
        <v>203.81580843821035</v>
      </c>
    </row>
    <row r="85" spans="2:4" ht="14.25" customHeight="1">
      <c r="B85" s="329">
        <f>AF$27</f>
        <v>2042</v>
      </c>
      <c r="C85" s="330">
        <f>SUM(AF$47:AF$54)/1000000</f>
        <v>4.2963485077358161</v>
      </c>
      <c r="D85" s="331">
        <f t="shared" si="13"/>
        <v>208.11215694594617</v>
      </c>
    </row>
    <row r="86" spans="2:4" ht="14.25" customHeight="1">
      <c r="B86" s="329">
        <f>AG$27</f>
        <v>2043</v>
      </c>
      <c r="C86" s="330">
        <f>SUM(AG$47:AG$54)/1000000</f>
        <v>4.2963485077358161</v>
      </c>
      <c r="D86" s="331">
        <f t="shared" si="13"/>
        <v>212.40850545368198</v>
      </c>
    </row>
    <row r="87" spans="2:4" ht="14.25" customHeight="1">
      <c r="B87" s="329">
        <f>AH$27</f>
        <v>2044</v>
      </c>
      <c r="C87" s="330">
        <f>SUM(AH$47:AH$54)/1000000</f>
        <v>4.3081193255652295</v>
      </c>
      <c r="D87" s="331">
        <f t="shared" si="13"/>
        <v>216.71662477924721</v>
      </c>
    </row>
    <row r="88" spans="2:4" ht="14.25" customHeight="1">
      <c r="B88" s="329">
        <f>AI$27</f>
        <v>2045</v>
      </c>
      <c r="C88" s="330">
        <f>SUM(AI$47:AI$54)/1000000</f>
        <v>4.2963485077358161</v>
      </c>
      <c r="D88" s="331">
        <f t="shared" si="13"/>
        <v>221.01297328698303</v>
      </c>
    </row>
    <row r="89" spans="2:4" ht="14.25" customHeight="1">
      <c r="B89" s="329">
        <f>AJ$27</f>
        <v>2046</v>
      </c>
      <c r="C89" s="330">
        <f>SUM(AJ$47:AJ$54)/1000000</f>
        <v>4.2963485077358161</v>
      </c>
      <c r="D89" s="331">
        <f t="shared" si="13"/>
        <v>225.30932179471884</v>
      </c>
    </row>
    <row r="90" spans="2:4" ht="14.25" customHeight="1">
      <c r="B90" s="329">
        <f>AK$27</f>
        <v>2047</v>
      </c>
      <c r="C90" s="330">
        <f>SUM(AK$47:AK$54)/1000000</f>
        <v>4.2963485077358161</v>
      </c>
      <c r="D90" s="331">
        <f t="shared" si="13"/>
        <v>229.60567030245466</v>
      </c>
    </row>
    <row r="91" spans="2:4" ht="14.25" customHeight="1">
      <c r="B91" s="329">
        <f>AL$27</f>
        <v>2048</v>
      </c>
      <c r="C91" s="330">
        <f>SUM(AL$47:AL$54)/1000000</f>
        <v>4.3081193255652295</v>
      </c>
      <c r="D91" s="331">
        <f t="shared" si="13"/>
        <v>233.91378962801988</v>
      </c>
    </row>
    <row r="92" spans="2:4" ht="14.25" customHeight="1">
      <c r="B92" s="329">
        <f>AM$27</f>
        <v>2049</v>
      </c>
      <c r="C92" s="330">
        <f>SUM(AM$47:AM$54)/1000000</f>
        <v>4.2963485077358161</v>
      </c>
      <c r="D92" s="331">
        <f t="shared" si="13"/>
        <v>238.2101381357557</v>
      </c>
    </row>
    <row r="93" spans="2:4" ht="14.25" customHeight="1">
      <c r="B93" s="329">
        <f>AN$27</f>
        <v>2050</v>
      </c>
      <c r="C93" s="330">
        <f>SUM(AN$47:AN$54)/1000000</f>
        <v>4.2963485077358161</v>
      </c>
      <c r="D93" s="331">
        <f t="shared" si="13"/>
        <v>242.50648664349151</v>
      </c>
    </row>
    <row r="94" spans="2:4" ht="14.25" customHeight="1">
      <c r="B94" s="329">
        <f>AO$27</f>
        <v>2051</v>
      </c>
      <c r="C94" s="330">
        <f>SUM(AO$47:AO$54)/1000000</f>
        <v>4.2963485077358161</v>
      </c>
      <c r="D94" s="331">
        <f t="shared" si="13"/>
        <v>246.80283515122733</v>
      </c>
    </row>
    <row r="95" spans="2:4" ht="14.25" customHeight="1">
      <c r="B95" s="329">
        <f>AP$27</f>
        <v>2052</v>
      </c>
      <c r="C95" s="330">
        <f>SUM(AP$47:AP$54)/1000000</f>
        <v>4.3081193255652295</v>
      </c>
      <c r="D95" s="331">
        <f t="shared" si="13"/>
        <v>251.11095447679256</v>
      </c>
    </row>
    <row r="96" spans="2:4" ht="14.25" customHeight="1">
      <c r="B96" s="329">
        <f>AQ$27</f>
        <v>2053</v>
      </c>
      <c r="C96" s="330">
        <f>SUM(AQ$47:AQ$54)/1000000</f>
        <v>4.2963485077358161</v>
      </c>
      <c r="D96" s="331">
        <f t="shared" si="13"/>
        <v>255.40730298452837</v>
      </c>
    </row>
    <row r="97" spans="2:4" ht="14.25" customHeight="1">
      <c r="B97" s="329">
        <f>AR$27</f>
        <v>2054</v>
      </c>
      <c r="C97" s="330">
        <f>SUM(AR$47:AR$54)/1000000</f>
        <v>4.2963485077358161</v>
      </c>
      <c r="D97" s="331">
        <f t="shared" si="13"/>
        <v>259.70365149226421</v>
      </c>
    </row>
    <row r="98" spans="2:4" ht="14.25" customHeight="1">
      <c r="B98" s="329">
        <f>AS$27</f>
        <v>2055</v>
      </c>
      <c r="C98" s="330">
        <f>SUM(AS$47:AS$54)/1000000</f>
        <v>4.2963485077358161</v>
      </c>
      <c r="D98" s="331">
        <f t="shared" si="13"/>
        <v>264.00000000000006</v>
      </c>
    </row>
    <row r="99" spans="2:4" ht="14.25" customHeight="1">
      <c r="B99" s="329">
        <f>AT$27</f>
        <v>2056</v>
      </c>
      <c r="C99" s="330">
        <f>SUM(AT$47:AT$54)/1000000</f>
        <v>0</v>
      </c>
      <c r="D99" s="331">
        <f t="shared" si="13"/>
        <v>264.00000000000006</v>
      </c>
    </row>
    <row r="100" spans="2:4" ht="14.25" customHeight="1">
      <c r="B100" s="329">
        <f>AU$27</f>
        <v>2057</v>
      </c>
      <c r="C100" s="330">
        <f>SUM(AU$47:AU$54)/1000000</f>
        <v>0</v>
      </c>
      <c r="D100" s="331">
        <f t="shared" si="13"/>
        <v>264.00000000000006</v>
      </c>
    </row>
    <row r="101" spans="2:4" ht="14.25" customHeight="1">
      <c r="B101" s="329">
        <f>AV$27</f>
        <v>2058</v>
      </c>
      <c r="C101" s="330">
        <f>SUM(AV$47:AV$54)/1000000</f>
        <v>0</v>
      </c>
      <c r="D101" s="331">
        <f t="shared" si="13"/>
        <v>264.00000000000006</v>
      </c>
    </row>
    <row r="102" spans="2:4" ht="14.25" customHeight="1">
      <c r="B102" s="329">
        <f>AW$27</f>
        <v>2059</v>
      </c>
      <c r="C102" s="330">
        <f>SUM(AW$47:AW$54)/1000000</f>
        <v>0</v>
      </c>
      <c r="D102" s="331">
        <f t="shared" si="13"/>
        <v>264.00000000000006</v>
      </c>
    </row>
    <row r="103" spans="2:4" ht="14.25" customHeight="1">
      <c r="B103" s="329">
        <f>AX$27</f>
        <v>2060</v>
      </c>
      <c r="C103" s="330">
        <f>SUM(AX$47:AX$54)/1000000</f>
        <v>0</v>
      </c>
      <c r="D103" s="331">
        <f t="shared" si="13"/>
        <v>264.00000000000006</v>
      </c>
    </row>
  </sheetData>
  <mergeCells count="1">
    <mergeCell ref="A1:B1"/>
  </mergeCells>
  <conditionalFormatting sqref="A3:B3 B4">
    <cfRule type="expression" dxfId="5" priority="2">
      <formula>IF($B3="Subsystem", 1, 0)</formula>
    </cfRule>
    <cfRule type="expression" dxfId="4" priority="3">
      <formula>IF($B3="Assembly", 1, 0)</formula>
    </cfRule>
    <cfRule type="expression" dxfId="3" priority="4">
      <formula>IF($B3="System", 1, 0)</formula>
    </cfRule>
    <cfRule type="expression" dxfId="2" priority="5">
      <formula>IF($B3="SoS", 1, 0)</formula>
    </cfRule>
    <cfRule type="expression" dxfId="1" priority="6">
      <formula>IF($B3="Segment", 1, 0)</formula>
    </cfRule>
    <cfRule type="expression" dxfId="0" priority="7">
      <formula>IF($B3="SEITPM", 1, 0)</formula>
    </cfRule>
  </conditionalFormatting>
  <hyperlinks>
    <hyperlink ref="A1" location="'Table of contents'!A1" display="` Table of Contents" xr:uid="{00000000-0004-0000-1500-000000000000}"/>
  </hyperlinks>
  <pageMargins left="0.7" right="0.7" top="0.75" bottom="0.75" header="0.511811023622047" footer="0.511811023622047"/>
  <pageSetup paperSize="9" orientation="portrait" horizontalDpi="300" verticalDpi="30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49"/>
  <sheetViews>
    <sheetView topLeftCell="A18" zoomScaleNormal="100" workbookViewId="0">
      <selection activeCell="P25" sqref="P25"/>
    </sheetView>
  </sheetViews>
  <sheetFormatPr defaultColWidth="8.7109375" defaultRowHeight="15"/>
  <cols>
    <col min="2" max="2" width="20.85546875" customWidth="1"/>
    <col min="3" max="3" width="25" customWidth="1"/>
    <col min="5" max="5" width="6.85546875" customWidth="1"/>
    <col min="6" max="6" width="9.7109375" customWidth="1"/>
    <col min="7" max="7" width="20.28515625" customWidth="1"/>
    <col min="8" max="8" width="8" customWidth="1"/>
    <col min="9" max="10" width="7.85546875" customWidth="1"/>
    <col min="11" max="12" width="9" customWidth="1"/>
    <col min="13" max="13" width="5.42578125" customWidth="1"/>
    <col min="14" max="14" width="17.42578125" customWidth="1"/>
    <col min="15" max="15" width="12.7109375" customWidth="1"/>
    <col min="16" max="16" width="7.7109375" customWidth="1"/>
    <col min="17" max="17" width="8" customWidth="1"/>
    <col min="20" max="20" width="55.7109375" customWidth="1"/>
    <col min="21" max="21" width="15.28515625" customWidth="1"/>
    <col min="22" max="22" width="19.42578125" customWidth="1"/>
    <col min="23" max="23" width="22.5703125" customWidth="1"/>
    <col min="24" max="24" width="107" customWidth="1"/>
  </cols>
  <sheetData>
    <row r="1" spans="1:23" ht="14.25" customHeight="1">
      <c r="A1" s="4" t="s">
        <v>56</v>
      </c>
      <c r="B1" s="4"/>
    </row>
    <row r="3" spans="1:23" ht="31.5" customHeight="1">
      <c r="A3" s="18" t="s">
        <v>2556</v>
      </c>
    </row>
    <row r="4" spans="1:23" ht="14.25" customHeight="1">
      <c r="A4" t="s">
        <v>504</v>
      </c>
    </row>
    <row r="5" spans="1:23" ht="14.25" customHeight="1">
      <c r="B5" t="s">
        <v>2557</v>
      </c>
    </row>
    <row r="6" spans="1:23" ht="14.25" customHeight="1">
      <c r="B6" s="201" t="s">
        <v>2558</v>
      </c>
    </row>
    <row r="8" spans="1:23" ht="14.25" customHeight="1">
      <c r="T8" t="s">
        <v>2559</v>
      </c>
    </row>
    <row r="9" spans="1:23" ht="14.25" customHeight="1">
      <c r="C9" s="319" t="s">
        <v>1049</v>
      </c>
      <c r="D9" s="319" t="s">
        <v>1054</v>
      </c>
      <c r="E9" s="319" t="s">
        <v>1056</v>
      </c>
      <c r="F9" s="319" t="s">
        <v>429</v>
      </c>
      <c r="G9" s="319" t="s">
        <v>206</v>
      </c>
      <c r="H9" s="319" t="s">
        <v>171</v>
      </c>
      <c r="I9" s="319" t="s">
        <v>2560</v>
      </c>
      <c r="J9" s="319" t="s">
        <v>2561</v>
      </c>
      <c r="K9" s="319" t="s">
        <v>433</v>
      </c>
      <c r="L9" s="319" t="s">
        <v>2562</v>
      </c>
      <c r="M9" s="319" t="s">
        <v>1076</v>
      </c>
      <c r="N9" s="319" t="s">
        <v>1079</v>
      </c>
      <c r="O9" s="319" t="s">
        <v>1081</v>
      </c>
    </row>
    <row r="10" spans="1:23" ht="14.25" customHeight="1">
      <c r="B10" s="171" t="s">
        <v>959</v>
      </c>
      <c r="C10" s="3" t="s">
        <v>2563</v>
      </c>
      <c r="D10" s="3"/>
      <c r="E10" s="3"/>
      <c r="F10" s="3"/>
      <c r="G10" s="3"/>
      <c r="H10" s="3"/>
      <c r="I10" s="3"/>
      <c r="J10" s="3"/>
      <c r="K10" s="3"/>
      <c r="L10" s="3"/>
      <c r="M10" s="3"/>
      <c r="N10" s="3"/>
      <c r="O10" s="3"/>
    </row>
    <row r="11" spans="1:23" ht="14.25" customHeight="1">
      <c r="B11" s="171" t="s">
        <v>2564</v>
      </c>
      <c r="C11" s="373" t="s">
        <v>2565</v>
      </c>
      <c r="D11" s="373"/>
      <c r="E11" s="373"/>
      <c r="F11" s="373"/>
      <c r="G11" s="373"/>
      <c r="H11" s="373"/>
      <c r="I11" s="373"/>
      <c r="J11" s="373"/>
      <c r="K11" s="373"/>
      <c r="L11" s="373"/>
      <c r="M11" s="373"/>
      <c r="N11" s="373"/>
      <c r="O11" s="373"/>
    </row>
    <row r="12" spans="1:23" ht="14.25" customHeight="1">
      <c r="B12" s="171" t="s">
        <v>2247</v>
      </c>
      <c r="C12" s="374" t="s">
        <v>2566</v>
      </c>
      <c r="D12" s="374"/>
      <c r="E12" s="374"/>
      <c r="F12" s="374"/>
      <c r="G12" s="374"/>
      <c r="H12" s="374"/>
      <c r="I12" s="374"/>
      <c r="J12" s="374"/>
      <c r="T12" s="200" t="s">
        <v>2567</v>
      </c>
      <c r="U12" s="200" t="s">
        <v>2568</v>
      </c>
      <c r="V12" s="200" t="s">
        <v>2569</v>
      </c>
      <c r="W12" s="200" t="s">
        <v>2570</v>
      </c>
    </row>
    <row r="13" spans="1:23" ht="14.25" customHeight="1">
      <c r="B13" s="171" t="s">
        <v>549</v>
      </c>
      <c r="C13" s="374" t="s">
        <v>2571</v>
      </c>
      <c r="D13" s="374"/>
      <c r="E13" s="374"/>
      <c r="F13" s="374"/>
      <c r="G13" s="375" t="s">
        <v>2572</v>
      </c>
      <c r="H13" s="375"/>
      <c r="I13" s="375"/>
      <c r="J13" s="375"/>
      <c r="T13" s="333" t="s">
        <v>2573</v>
      </c>
      <c r="U13" s="334">
        <v>2.5376414993070899E-5</v>
      </c>
      <c r="V13" s="335">
        <v>7.2764165869486296E-6</v>
      </c>
      <c r="W13" s="376">
        <v>3.7400000000000002E-6</v>
      </c>
    </row>
    <row r="14" spans="1:23" ht="14.25" customHeight="1">
      <c r="B14" s="171" t="s">
        <v>551</v>
      </c>
      <c r="K14" s="51" t="s">
        <v>2574</v>
      </c>
      <c r="T14" s="120" t="s">
        <v>2575</v>
      </c>
      <c r="U14" s="334">
        <v>9.4968112403593092E-6</v>
      </c>
      <c r="V14" s="335">
        <v>7.6984399956086408E-6</v>
      </c>
      <c r="W14" s="376"/>
    </row>
    <row r="15" spans="1:23" ht="14.25" customHeight="1">
      <c r="B15" s="171" t="s">
        <v>478</v>
      </c>
      <c r="C15" s="374" t="s">
        <v>2571</v>
      </c>
      <c r="D15" s="374"/>
      <c r="E15" s="374"/>
      <c r="F15" s="374"/>
      <c r="G15" s="375" t="s">
        <v>2576</v>
      </c>
      <c r="H15" s="375"/>
      <c r="I15" s="375"/>
      <c r="J15" s="375"/>
      <c r="T15" s="210" t="s">
        <v>2577</v>
      </c>
      <c r="U15" s="336">
        <v>7.5586148604691301E-6</v>
      </c>
      <c r="V15" s="337">
        <v>6.3698607020570203E-6</v>
      </c>
      <c r="W15" s="26">
        <v>7.5100000000000001E-6</v>
      </c>
    </row>
    <row r="16" spans="1:23" ht="14.25" customHeight="1">
      <c r="B16" s="171" t="s">
        <v>556</v>
      </c>
      <c r="L16" s="373" t="s">
        <v>2578</v>
      </c>
      <c r="M16" s="373"/>
      <c r="T16" s="26" t="s">
        <v>2579</v>
      </c>
      <c r="U16" s="336">
        <v>1.03047254526719E-5</v>
      </c>
      <c r="V16" s="337">
        <v>2.2753338280295999E-6</v>
      </c>
      <c r="W16" s="26">
        <v>5.6000000000000004E-7</v>
      </c>
    </row>
    <row r="17" spans="2:24" ht="14.25" customHeight="1">
      <c r="B17" s="171" t="s">
        <v>559</v>
      </c>
      <c r="C17" s="377" t="s">
        <v>2580</v>
      </c>
      <c r="D17" s="377"/>
      <c r="E17" s="377"/>
      <c r="F17" s="377"/>
      <c r="G17" s="377"/>
      <c r="H17" s="377"/>
      <c r="I17" s="377"/>
      <c r="J17" s="377"/>
      <c r="K17" s="377"/>
      <c r="L17" s="377"/>
      <c r="M17" s="377"/>
      <c r="N17" s="377"/>
      <c r="O17" s="377"/>
      <c r="T17" s="26" t="s">
        <v>2578</v>
      </c>
      <c r="U17" s="336">
        <v>1.6101962160162101E-5</v>
      </c>
      <c r="V17" s="337">
        <v>6.9867464419242101E-6</v>
      </c>
      <c r="W17" s="26">
        <v>3.7799999999999998E-6</v>
      </c>
    </row>
    <row r="18" spans="2:24" ht="14.25" customHeight="1">
      <c r="T18" s="210" t="s">
        <v>2581</v>
      </c>
      <c r="U18" s="336">
        <v>1.6094289981575501E-5</v>
      </c>
      <c r="V18" s="337">
        <v>4.0555656060965801E-6</v>
      </c>
      <c r="W18" s="26">
        <v>1.95E-6</v>
      </c>
    </row>
    <row r="19" spans="2:24" ht="14.25" customHeight="1">
      <c r="T19" s="145" t="s">
        <v>2582</v>
      </c>
      <c r="U19" s="145">
        <v>4.8109999999999998E-5</v>
      </c>
      <c r="V19" s="145">
        <v>4.8109999999999998E-5</v>
      </c>
    </row>
    <row r="20" spans="2:24" ht="14.25" customHeight="1">
      <c r="B20" s="105" t="s">
        <v>2583</v>
      </c>
    </row>
    <row r="21" spans="2:24" ht="57.75" customHeight="1">
      <c r="B21" s="338" t="s">
        <v>531</v>
      </c>
      <c r="C21" s="338" t="s">
        <v>2584</v>
      </c>
      <c r="D21" s="338" t="s">
        <v>2585</v>
      </c>
      <c r="E21" s="338" t="s">
        <v>2586</v>
      </c>
      <c r="F21" s="338" t="s">
        <v>2587</v>
      </c>
      <c r="G21" s="338" t="s">
        <v>514</v>
      </c>
    </row>
    <row r="22" spans="2:24" ht="28.5" customHeight="1">
      <c r="B22" s="211" t="s">
        <v>959</v>
      </c>
      <c r="C22" s="211" t="s">
        <v>2588</v>
      </c>
      <c r="D22" s="339">
        <f>'18 - Cost Density Curve'!$C$47/1000000</f>
        <v>11</v>
      </c>
      <c r="E22" s="340">
        <v>0</v>
      </c>
      <c r="F22" s="341">
        <f t="shared" ref="F22:F29" si="0">ROUND(D22*E22,0)</f>
        <v>0</v>
      </c>
      <c r="G22" s="211" t="s">
        <v>2589</v>
      </c>
    </row>
    <row r="23" spans="2:24" ht="28.5" customHeight="1">
      <c r="B23" s="211" t="s">
        <v>2550</v>
      </c>
      <c r="C23" s="211" t="s">
        <v>2590</v>
      </c>
      <c r="D23" s="339">
        <f>'18 - Cost Density Curve'!$C$48/1000000</f>
        <v>7</v>
      </c>
      <c r="E23" s="340">
        <v>0</v>
      </c>
      <c r="F23" s="341">
        <f t="shared" si="0"/>
        <v>0</v>
      </c>
      <c r="G23" s="211" t="s">
        <v>2591</v>
      </c>
    </row>
    <row r="24" spans="2:24" ht="28.5" customHeight="1">
      <c r="B24" s="211" t="s">
        <v>2247</v>
      </c>
      <c r="C24" s="211" t="s">
        <v>2571</v>
      </c>
      <c r="D24" s="339">
        <f>'18 - Cost Density Curve'!$C$49/1000000</f>
        <v>19</v>
      </c>
      <c r="E24" s="340">
        <v>6.37</v>
      </c>
      <c r="F24" s="341">
        <f t="shared" si="0"/>
        <v>121</v>
      </c>
      <c r="G24" s="211" t="s">
        <v>2592</v>
      </c>
    </row>
    <row r="25" spans="2:24" ht="57.75" customHeight="1">
      <c r="B25" s="211" t="s">
        <v>2551</v>
      </c>
      <c r="C25" s="211" t="s">
        <v>2593</v>
      </c>
      <c r="D25" s="339">
        <f>'18 - Cost Density Curve'!$C$50/1000000</f>
        <v>155</v>
      </c>
      <c r="E25" s="340">
        <v>7.7</v>
      </c>
      <c r="F25" s="341">
        <f t="shared" si="0"/>
        <v>1194</v>
      </c>
      <c r="G25" s="211" t="s">
        <v>2594</v>
      </c>
      <c r="T25" s="53" t="s">
        <v>2595</v>
      </c>
      <c r="U25" s="196" t="s">
        <v>2596</v>
      </c>
      <c r="V25" s="196" t="s">
        <v>2597</v>
      </c>
      <c r="W25" s="342" t="s">
        <v>2598</v>
      </c>
    </row>
    <row r="26" spans="2:24" ht="57.75" customHeight="1">
      <c r="B26" s="211" t="s">
        <v>2552</v>
      </c>
      <c r="C26" s="211" t="s">
        <v>2599</v>
      </c>
      <c r="D26" s="339">
        <f>'18 - Cost Density Curve'!$C$51/1000000</f>
        <v>9</v>
      </c>
      <c r="E26" s="340">
        <v>7.56</v>
      </c>
      <c r="F26" s="341">
        <f t="shared" si="0"/>
        <v>68</v>
      </c>
      <c r="G26" s="211" t="s">
        <v>2600</v>
      </c>
      <c r="T26" s="26" t="s">
        <v>2580</v>
      </c>
      <c r="U26" s="332" t="s">
        <v>2601</v>
      </c>
      <c r="V26" s="343">
        <f>U19</f>
        <v>4.8109999999999998E-5</v>
      </c>
      <c r="W26" s="344">
        <f t="shared" ref="W26:W41" si="1">V26*1000000</f>
        <v>48.11</v>
      </c>
    </row>
    <row r="27" spans="2:24" ht="28.5" customHeight="1">
      <c r="B27" s="211" t="s">
        <v>478</v>
      </c>
      <c r="C27" s="211" t="s">
        <v>2602</v>
      </c>
      <c r="D27" s="339">
        <f>'18 - Cost Density Curve'!$C$52/1000000</f>
        <v>13</v>
      </c>
      <c r="E27" s="340">
        <v>7.28</v>
      </c>
      <c r="F27" s="341">
        <f t="shared" si="0"/>
        <v>95</v>
      </c>
      <c r="G27" s="211" t="s">
        <v>1000</v>
      </c>
      <c r="T27" s="26" t="s">
        <v>2603</v>
      </c>
      <c r="U27" s="332" t="s">
        <v>2604</v>
      </c>
      <c r="V27" s="343">
        <f>V15</f>
        <v>6.3698607020570203E-6</v>
      </c>
      <c r="W27" s="344">
        <f t="shared" si="1"/>
        <v>6.3698607020570206</v>
      </c>
    </row>
    <row r="28" spans="2:24" ht="28.5" customHeight="1">
      <c r="B28" s="211" t="s">
        <v>556</v>
      </c>
      <c r="C28" s="211" t="s">
        <v>2605</v>
      </c>
      <c r="D28" s="339">
        <f>'18 - Cost Density Curve'!$C$53/1000000</f>
        <v>34</v>
      </c>
      <c r="E28" s="340">
        <v>2.2799999999999998</v>
      </c>
      <c r="F28" s="341">
        <f t="shared" si="0"/>
        <v>78</v>
      </c>
      <c r="G28" s="211" t="s">
        <v>2606</v>
      </c>
      <c r="T28" s="26" t="s">
        <v>2607</v>
      </c>
      <c r="U28" s="332" t="s">
        <v>2608</v>
      </c>
      <c r="V28" s="343">
        <f>U15</f>
        <v>7.5586148604691301E-6</v>
      </c>
      <c r="W28" s="344">
        <f t="shared" si="1"/>
        <v>7.5586148604691301</v>
      </c>
    </row>
    <row r="29" spans="2:24" ht="43.5" customHeight="1">
      <c r="B29" s="211" t="s">
        <v>559</v>
      </c>
      <c r="C29" s="211" t="s">
        <v>2580</v>
      </c>
      <c r="D29" s="339">
        <f>'18 - Cost Density Curve'!$C$54/1000000</f>
        <v>16</v>
      </c>
      <c r="E29" s="340">
        <v>48.11</v>
      </c>
      <c r="F29" s="341">
        <f t="shared" si="0"/>
        <v>770</v>
      </c>
      <c r="G29" s="211" t="s">
        <v>2609</v>
      </c>
      <c r="T29" s="26" t="s">
        <v>2575</v>
      </c>
      <c r="U29" s="332" t="s">
        <v>2610</v>
      </c>
      <c r="V29" s="343">
        <f>V14</f>
        <v>7.6984399956086408E-6</v>
      </c>
      <c r="W29" s="344">
        <f t="shared" si="1"/>
        <v>7.6984399956086405</v>
      </c>
    </row>
    <row r="30" spans="2:24" ht="14.25" customHeight="1">
      <c r="B30" s="345" t="s">
        <v>2611</v>
      </c>
      <c r="C30" s="26"/>
      <c r="D30" s="26"/>
      <c r="E30" s="26"/>
      <c r="F30" s="346">
        <f>SUM(F22:F29)</f>
        <v>2326</v>
      </c>
      <c r="G30" s="26"/>
      <c r="T30" s="26" t="s">
        <v>2612</v>
      </c>
      <c r="U30" s="332" t="s">
        <v>2613</v>
      </c>
      <c r="V30" s="343">
        <f>U14</f>
        <v>9.4968112403593092E-6</v>
      </c>
      <c r="W30" s="344">
        <f t="shared" si="1"/>
        <v>9.4968112403593086</v>
      </c>
    </row>
    <row r="31" spans="2:24" ht="14.25" customHeight="1">
      <c r="B31" s="345" t="s">
        <v>2614</v>
      </c>
      <c r="C31" s="26"/>
      <c r="D31" s="26"/>
      <c r="E31" s="26"/>
      <c r="F31" s="347">
        <v>2.17</v>
      </c>
      <c r="G31" s="26"/>
      <c r="T31" s="26" t="s">
        <v>2615</v>
      </c>
      <c r="U31" s="332" t="s">
        <v>2616</v>
      </c>
      <c r="V31" s="343">
        <f>V13</f>
        <v>7.2764165869486296E-6</v>
      </c>
      <c r="W31" s="344">
        <f t="shared" si="1"/>
        <v>7.2764165869486295</v>
      </c>
    </row>
    <row r="32" spans="2:24" ht="14.25" customHeight="1">
      <c r="B32" s="345" t="s">
        <v>2617</v>
      </c>
      <c r="C32" s="26"/>
      <c r="D32" s="26"/>
      <c r="E32" s="26"/>
      <c r="F32" s="346">
        <f>F30*F31</f>
        <v>5047.42</v>
      </c>
      <c r="G32" s="26"/>
      <c r="T32" s="26" t="s">
        <v>2618</v>
      </c>
      <c r="U32" s="332" t="s">
        <v>2619</v>
      </c>
      <c r="V32" s="343">
        <f>U13</f>
        <v>2.5376414993070899E-5</v>
      </c>
      <c r="W32" s="344">
        <f t="shared" si="1"/>
        <v>25.376414993070899</v>
      </c>
      <c r="X32" t="s">
        <v>2620</v>
      </c>
    </row>
    <row r="33" spans="20:24" ht="14.25" customHeight="1">
      <c r="T33" s="348" t="s">
        <v>2621</v>
      </c>
      <c r="U33" s="332" t="s">
        <v>2622</v>
      </c>
      <c r="V33" s="343">
        <f>V16</f>
        <v>2.2753338280295999E-6</v>
      </c>
      <c r="W33" s="344">
        <f t="shared" si="1"/>
        <v>2.2753338280295998</v>
      </c>
    </row>
    <row r="34" spans="20:24" ht="14.25" customHeight="1">
      <c r="T34" s="348" t="s">
        <v>2623</v>
      </c>
      <c r="U34" s="332" t="s">
        <v>2624</v>
      </c>
      <c r="V34" s="343">
        <f>U16</f>
        <v>1.03047254526719E-5</v>
      </c>
      <c r="W34" s="344">
        <f t="shared" si="1"/>
        <v>10.304725452671899</v>
      </c>
    </row>
    <row r="35" spans="20:24" ht="14.25" customHeight="1">
      <c r="T35" s="26" t="s">
        <v>2578</v>
      </c>
      <c r="U35" s="332" t="s">
        <v>2625</v>
      </c>
      <c r="V35" s="343">
        <f>V17</f>
        <v>6.9867464419242101E-6</v>
      </c>
      <c r="W35" s="344">
        <f t="shared" si="1"/>
        <v>6.9867464419242102</v>
      </c>
    </row>
    <row r="36" spans="20:24" ht="14.25" customHeight="1">
      <c r="T36" s="26" t="s">
        <v>2626</v>
      </c>
      <c r="U36" s="332" t="s">
        <v>2627</v>
      </c>
      <c r="V36" s="343">
        <f>U17</f>
        <v>1.6101962160162101E-5</v>
      </c>
      <c r="W36" s="344">
        <f t="shared" si="1"/>
        <v>16.101962160162103</v>
      </c>
    </row>
    <row r="37" spans="20:24" ht="14.25" customHeight="1">
      <c r="T37" s="26" t="s">
        <v>2628</v>
      </c>
      <c r="U37" s="332" t="s">
        <v>2629</v>
      </c>
      <c r="V37" s="343">
        <f>V18</f>
        <v>4.0555656060965801E-6</v>
      </c>
      <c r="W37" s="344">
        <f t="shared" si="1"/>
        <v>4.0555656060965797</v>
      </c>
    </row>
    <row r="38" spans="20:24" ht="14.25" customHeight="1">
      <c r="T38" s="26" t="s">
        <v>2630</v>
      </c>
      <c r="U38" s="332" t="s">
        <v>2631</v>
      </c>
      <c r="V38" s="343">
        <f>U18</f>
        <v>1.6094289981575501E-5</v>
      </c>
      <c r="W38" s="344">
        <f t="shared" si="1"/>
        <v>16.0942899815755</v>
      </c>
      <c r="X38" t="s">
        <v>2632</v>
      </c>
    </row>
    <row r="39" spans="20:24" ht="14.25" customHeight="1">
      <c r="T39" s="26" t="s">
        <v>2633</v>
      </c>
      <c r="U39" s="332" t="s">
        <v>2634</v>
      </c>
      <c r="V39" s="343">
        <v>0</v>
      </c>
      <c r="W39" s="344">
        <f t="shared" si="1"/>
        <v>0</v>
      </c>
    </row>
    <row r="40" spans="20:24" ht="14.25" customHeight="1">
      <c r="T40" s="348" t="s">
        <v>2635</v>
      </c>
      <c r="U40" s="332" t="s">
        <v>2636</v>
      </c>
      <c r="V40" s="343">
        <v>0</v>
      </c>
      <c r="W40" s="344">
        <f t="shared" si="1"/>
        <v>0</v>
      </c>
    </row>
    <row r="41" spans="20:24" ht="14.25" customHeight="1">
      <c r="T41" s="349" t="s">
        <v>484</v>
      </c>
      <c r="U41" s="350" t="s">
        <v>2637</v>
      </c>
      <c r="V41" s="351">
        <v>4.0555656060965801E-6</v>
      </c>
      <c r="W41" s="344">
        <f t="shared" si="1"/>
        <v>4.0555656060965797</v>
      </c>
      <c r="X41" t="s">
        <v>2638</v>
      </c>
    </row>
    <row r="42" spans="20:24" ht="14.25" customHeight="1">
      <c r="T42" s="115" t="s">
        <v>2639</v>
      </c>
      <c r="U42" s="332" t="s">
        <v>2640</v>
      </c>
      <c r="V42" s="352">
        <v>2.17</v>
      </c>
    </row>
    <row r="43" spans="20:24" ht="14.25" customHeight="1"/>
    <row r="44" spans="20:24" ht="14.25" customHeight="1"/>
    <row r="45" spans="20:24" ht="14.25" customHeight="1"/>
    <row r="46" spans="20:24" ht="14.25" customHeight="1"/>
    <row r="47" spans="20:24" ht="14.25" customHeight="1"/>
    <row r="48" spans="20:24" ht="14.25" customHeight="1"/>
    <row r="49" ht="14.25" customHeight="1"/>
  </sheetData>
  <mergeCells count="11">
    <mergeCell ref="W13:W14"/>
    <mergeCell ref="C15:F15"/>
    <mergeCell ref="G15:J15"/>
    <mergeCell ref="L16:M16"/>
    <mergeCell ref="C17:O17"/>
    <mergeCell ref="A1:B1"/>
    <mergeCell ref="C10:O10"/>
    <mergeCell ref="C11:O11"/>
    <mergeCell ref="C12:J12"/>
    <mergeCell ref="C13:F13"/>
    <mergeCell ref="G13:J13"/>
  </mergeCells>
  <hyperlinks>
    <hyperlink ref="A1" location="'Table of contents'!A1" display="` Table of Contents" xr:uid="{00000000-0004-0000-1600-000000000000}"/>
  </hyperlinks>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8"/>
  <sheetViews>
    <sheetView topLeftCell="A15" zoomScaleNormal="100" workbookViewId="0">
      <selection sqref="A1:B1"/>
    </sheetView>
  </sheetViews>
  <sheetFormatPr defaultColWidth="8.7109375" defaultRowHeight="15"/>
  <cols>
    <col min="4" max="4" width="11.140625" customWidth="1"/>
    <col min="5" max="5" width="8.85546875" customWidth="1"/>
    <col min="6" max="6" width="19.85546875" customWidth="1"/>
    <col min="7" max="7" width="26.140625" customWidth="1"/>
    <col min="8" max="8" width="14.7109375" customWidth="1"/>
    <col min="9" max="9" width="35.5703125" customWidth="1"/>
  </cols>
  <sheetData>
    <row r="1" spans="1:9" ht="14.25" customHeight="1">
      <c r="A1" s="4" t="s">
        <v>56</v>
      </c>
      <c r="B1" s="4"/>
    </row>
    <row r="3" spans="1:9" ht="31.5" customHeight="1">
      <c r="A3" s="18" t="s">
        <v>2641</v>
      </c>
    </row>
    <row r="4" spans="1:9" ht="14.25" customHeight="1">
      <c r="A4" t="s">
        <v>504</v>
      </c>
    </row>
    <row r="7" spans="1:9" ht="14.25" customHeight="1">
      <c r="A7" t="s">
        <v>2642</v>
      </c>
      <c r="B7" s="201" t="s">
        <v>2643</v>
      </c>
    </row>
    <row r="8" spans="1:9" ht="14.25" customHeight="1">
      <c r="A8" t="s">
        <v>2644</v>
      </c>
      <c r="B8" s="201" t="s">
        <v>2645</v>
      </c>
    </row>
    <row r="10" spans="1:9" ht="14.25" customHeight="1">
      <c r="D10" s="26" t="s">
        <v>1111</v>
      </c>
      <c r="E10" s="26" t="s">
        <v>93</v>
      </c>
      <c r="F10" s="26" t="s">
        <v>1416</v>
      </c>
      <c r="G10" s="26" t="s">
        <v>2646</v>
      </c>
      <c r="H10" s="26" t="s">
        <v>2647</v>
      </c>
      <c r="I10" s="26" t="s">
        <v>2648</v>
      </c>
    </row>
    <row r="11" spans="1:9" ht="87" customHeight="1">
      <c r="D11" s="211" t="s">
        <v>2649</v>
      </c>
      <c r="E11" s="211" t="s">
        <v>2650</v>
      </c>
      <c r="F11" s="211" t="s">
        <v>2651</v>
      </c>
      <c r="G11" s="211" t="s">
        <v>2652</v>
      </c>
      <c r="H11" s="211" t="s">
        <v>2653</v>
      </c>
      <c r="I11" s="211" t="s">
        <v>2654</v>
      </c>
    </row>
    <row r="12" spans="1:9" ht="87" customHeight="1">
      <c r="D12" s="211" t="s">
        <v>2655</v>
      </c>
      <c r="E12" s="211" t="s">
        <v>2656</v>
      </c>
      <c r="F12" s="211" t="s">
        <v>2657</v>
      </c>
      <c r="G12" s="211" t="s">
        <v>2658</v>
      </c>
      <c r="H12" s="211" t="s">
        <v>2659</v>
      </c>
      <c r="I12" s="211" t="s">
        <v>2660</v>
      </c>
    </row>
    <row r="13" spans="1:9" ht="72" customHeight="1">
      <c r="D13" s="211" t="s">
        <v>2661</v>
      </c>
      <c r="E13" s="211" t="s">
        <v>2662</v>
      </c>
      <c r="F13" s="211" t="s">
        <v>2663</v>
      </c>
      <c r="G13" s="211" t="s">
        <v>2664</v>
      </c>
      <c r="H13" s="211" t="s">
        <v>2665</v>
      </c>
      <c r="I13" s="211" t="s">
        <v>2666</v>
      </c>
    </row>
    <row r="14" spans="1:9" ht="87" customHeight="1">
      <c r="D14" s="211" t="s">
        <v>2667</v>
      </c>
      <c r="E14" s="211" t="s">
        <v>2668</v>
      </c>
      <c r="F14" s="211" t="s">
        <v>2669</v>
      </c>
      <c r="G14" s="211" t="s">
        <v>2670</v>
      </c>
      <c r="H14" s="211" t="s">
        <v>2671</v>
      </c>
      <c r="I14" s="211" t="s">
        <v>2672</v>
      </c>
    </row>
    <row r="15" spans="1:9" ht="72" customHeight="1">
      <c r="D15" s="211" t="s">
        <v>2673</v>
      </c>
      <c r="E15" s="211" t="s">
        <v>2674</v>
      </c>
      <c r="F15" s="211" t="s">
        <v>2675</v>
      </c>
      <c r="G15" s="211" t="s">
        <v>2676</v>
      </c>
      <c r="H15" s="211" t="s">
        <v>2677</v>
      </c>
      <c r="I15" s="211" t="s">
        <v>2678</v>
      </c>
    </row>
    <row r="16" spans="1:9" ht="72" customHeight="1">
      <c r="D16" s="211" t="s">
        <v>2679</v>
      </c>
      <c r="E16" s="211" t="s">
        <v>2406</v>
      </c>
      <c r="F16" s="211" t="s">
        <v>2680</v>
      </c>
      <c r="G16" s="211" t="s">
        <v>2681</v>
      </c>
      <c r="H16" s="211" t="s">
        <v>2682</v>
      </c>
      <c r="I16" s="211" t="s">
        <v>2683</v>
      </c>
    </row>
    <row r="17" spans="4:9" ht="87" customHeight="1">
      <c r="D17" s="211" t="s">
        <v>2684</v>
      </c>
      <c r="E17" s="211" t="s">
        <v>167</v>
      </c>
      <c r="F17" s="211" t="s">
        <v>2685</v>
      </c>
      <c r="G17" s="211" t="s">
        <v>2686</v>
      </c>
      <c r="H17" s="211" t="s">
        <v>2687</v>
      </c>
      <c r="I17" s="211" t="s">
        <v>2688</v>
      </c>
    </row>
    <row r="18" spans="4:9" ht="87" customHeight="1">
      <c r="D18" s="211" t="s">
        <v>2689</v>
      </c>
      <c r="E18" s="211" t="s">
        <v>2690</v>
      </c>
      <c r="F18" s="211" t="s">
        <v>2691</v>
      </c>
      <c r="G18" s="211" t="s">
        <v>2692</v>
      </c>
      <c r="H18" s="211" t="s">
        <v>2693</v>
      </c>
      <c r="I18" s="211" t="s">
        <v>2694</v>
      </c>
    </row>
  </sheetData>
  <mergeCells count="1">
    <mergeCell ref="A1:B1"/>
  </mergeCells>
  <hyperlinks>
    <hyperlink ref="A1" location="'Table of contents'!A1" display="` Table of Contents" xr:uid="{00000000-0004-0000-1700-00000000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4</vt:i4>
      </vt:variant>
    </vt:vector>
  </HeadingPairs>
  <TitlesOfParts>
    <vt:vector size="28" baseType="lpstr">
      <vt:lpstr>Cover Page</vt:lpstr>
      <vt:lpstr>Table of contents</vt:lpstr>
      <vt:lpstr>1 - Change history</vt:lpstr>
      <vt:lpstr>2 - CM </vt:lpstr>
      <vt:lpstr>3 - Taxon</vt:lpstr>
      <vt:lpstr>4- WBS Mapping</vt:lpstr>
      <vt:lpstr>4d - CBS in JS format</vt:lpstr>
      <vt:lpstr>5- OBS</vt:lpstr>
      <vt:lpstr>6 - Phase Name</vt:lpstr>
      <vt:lpstr>7 - Phase Durations</vt:lpstr>
      <vt:lpstr>8 -  Milestones </vt:lpstr>
      <vt:lpstr>9 - Sched Dependencies</vt:lpstr>
      <vt:lpstr>GR&amp;A</vt:lpstr>
      <vt:lpstr>10 - Strategies</vt:lpstr>
      <vt:lpstr>11 - DDDD</vt:lpstr>
      <vt:lpstr>12 - Procurement Plan </vt:lpstr>
      <vt:lpstr>13 - Govt Overhead</vt:lpstr>
      <vt:lpstr>14 - Constants </vt:lpstr>
      <vt:lpstr>15 - Inflation</vt:lpstr>
      <vt:lpstr>16 - Math Models</vt:lpstr>
      <vt:lpstr>17 - Neighbors</vt:lpstr>
      <vt:lpstr>18 - Cost Density Curve</vt:lpstr>
      <vt:lpstr>19 - Jobs</vt:lpstr>
      <vt:lpstr>20 - Lessons Learned</vt:lpstr>
      <vt:lpstr>'6 - Phase Name'!Costing_Phases</vt:lpstr>
      <vt:lpstr>'6 - Phase Name'!Costing_Phases_PM</vt:lpstr>
      <vt:lpstr>'4- WBS Mapping'!Print_Area</vt:lpstr>
      <vt:lpstr>'7 - Phase Durations'!Print_Area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Mireille Bedirian</dc:creator>
  <dc:description/>
  <cp:lastModifiedBy>Vaibhav, Vaibhav (ASC/CSA)</cp:lastModifiedBy>
  <cp:revision>22</cp:revision>
  <dcterms:created xsi:type="dcterms:W3CDTF">2025-03-21T19:01:03Z</dcterms:created>
  <dcterms:modified xsi:type="dcterms:W3CDTF">2026-09-25T15:26:00Z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58a8773-bcd3-476c-8adc-f986a36f2c00_ActionId">
    <vt:lpwstr>94a9cdcd-8848-4587-81a8-0b8a7490100b</vt:lpwstr>
  </property>
  <property fmtid="{D5CDD505-2E9C-101B-9397-08002B2CF9AE}" pid="3" name="MSIP_Label_658a8773-bcd3-476c-8adc-f986a36f2c00_ContentBits">
    <vt:lpwstr>0</vt:lpwstr>
  </property>
  <property fmtid="{D5CDD505-2E9C-101B-9397-08002B2CF9AE}" pid="4" name="MSIP_Label_658a8773-bcd3-476c-8adc-f986a36f2c00_Enabled">
    <vt:lpwstr>true</vt:lpwstr>
  </property>
  <property fmtid="{D5CDD505-2E9C-101B-9397-08002B2CF9AE}" pid="5" name="MSIP_Label_658a8773-bcd3-476c-8adc-f986a36f2c00_Method">
    <vt:lpwstr>Privileged</vt:lpwstr>
  </property>
  <property fmtid="{D5CDD505-2E9C-101B-9397-08002B2CF9AE}" pid="6" name="MSIP_Label_658a8773-bcd3-476c-8adc-f986a36f2c00_Name">
    <vt:lpwstr>NON-CLASSIFIÉ NON VISIBLE - UNCLASSIFIED NOT VISIBLE</vt:lpwstr>
  </property>
  <property fmtid="{D5CDD505-2E9C-101B-9397-08002B2CF9AE}" pid="7" name="MSIP_Label_658a8773-bcd3-476c-8adc-f986a36f2c00_SetDate">
    <vt:lpwstr>2025-03-21T19:47:03Z</vt:lpwstr>
  </property>
  <property fmtid="{D5CDD505-2E9C-101B-9397-08002B2CF9AE}" pid="8" name="MSIP_Label_658a8773-bcd3-476c-8adc-f986a36f2c00_SiteId">
    <vt:lpwstr>ea59922f-ea3d-4e45-ba97-caf826fb9335</vt:lpwstr>
  </property>
</Properties>
</file>