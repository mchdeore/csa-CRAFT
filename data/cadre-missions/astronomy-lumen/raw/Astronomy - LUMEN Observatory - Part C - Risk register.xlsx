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bedirian\Downloads\Lumen\"/>
    </mc:Choice>
  </mc:AlternateContent>
  <xr:revisionPtr revIDLastSave="0" documentId="13_ncr:1_{336A831D-65FB-42C1-8F0A-C11C01CFC4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isk Regi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8" i="1" l="1"/>
  <c r="I207" i="1"/>
  <c r="I206" i="1"/>
  <c r="I205" i="1"/>
  <c r="I204" i="1"/>
  <c r="I203" i="1"/>
  <c r="I202" i="1"/>
  <c r="I201" i="1"/>
  <c r="I200" i="1"/>
  <c r="I199" i="1"/>
  <c r="I198" i="1"/>
  <c r="K198" i="1" s="1"/>
  <c r="I197" i="1"/>
  <c r="K197" i="1" s="1"/>
  <c r="I196" i="1"/>
  <c r="K196" i="1" s="1"/>
  <c r="I195" i="1"/>
  <c r="K195" i="1" s="1"/>
  <c r="I194" i="1"/>
  <c r="I193" i="1"/>
  <c r="I192" i="1"/>
  <c r="I191" i="1"/>
  <c r="I190" i="1"/>
  <c r="I189" i="1"/>
  <c r="I188" i="1"/>
  <c r="I187" i="1"/>
  <c r="I186" i="1"/>
  <c r="I185" i="1"/>
  <c r="I184" i="1"/>
  <c r="K184" i="1" s="1"/>
  <c r="I183" i="1"/>
  <c r="K183" i="1" s="1"/>
  <c r="I182" i="1"/>
  <c r="K182" i="1" s="1"/>
  <c r="I181" i="1"/>
  <c r="K181" i="1" s="1"/>
  <c r="I180" i="1"/>
  <c r="I179" i="1"/>
  <c r="I178" i="1"/>
  <c r="I177" i="1"/>
  <c r="I176" i="1"/>
  <c r="I175" i="1"/>
  <c r="I174" i="1"/>
  <c r="I173" i="1"/>
  <c r="I172" i="1"/>
  <c r="I171" i="1"/>
  <c r="I170" i="1"/>
  <c r="K170" i="1" s="1"/>
  <c r="I169" i="1"/>
  <c r="K169" i="1" s="1"/>
  <c r="I168" i="1"/>
  <c r="K168" i="1" s="1"/>
  <c r="I167" i="1"/>
  <c r="K167" i="1" s="1"/>
  <c r="I166" i="1"/>
  <c r="I165" i="1"/>
  <c r="I164" i="1"/>
  <c r="I163" i="1"/>
  <c r="I162" i="1"/>
  <c r="I161" i="1"/>
  <c r="I160" i="1"/>
  <c r="I159" i="1"/>
  <c r="I158" i="1"/>
  <c r="I157" i="1"/>
  <c r="I156" i="1"/>
  <c r="K156" i="1" s="1"/>
  <c r="I155" i="1"/>
  <c r="K155" i="1" s="1"/>
  <c r="I154" i="1"/>
  <c r="K154" i="1" s="1"/>
  <c r="I153" i="1"/>
  <c r="K153" i="1" s="1"/>
  <c r="I152" i="1"/>
  <c r="I151" i="1"/>
  <c r="I150" i="1"/>
  <c r="I149" i="1"/>
  <c r="I148" i="1"/>
  <c r="I147" i="1"/>
  <c r="I146" i="1"/>
  <c r="I145" i="1"/>
  <c r="I144" i="1"/>
  <c r="I143" i="1"/>
  <c r="I142" i="1"/>
  <c r="K142" i="1" s="1"/>
  <c r="I141" i="1"/>
  <c r="K141" i="1" s="1"/>
  <c r="I140" i="1"/>
  <c r="K140" i="1" s="1"/>
  <c r="I139" i="1"/>
  <c r="K139" i="1" s="1"/>
  <c r="I138" i="1"/>
  <c r="I137" i="1"/>
  <c r="I136" i="1"/>
  <c r="I135" i="1"/>
  <c r="I134" i="1"/>
  <c r="K134" i="1" s="1"/>
  <c r="I133" i="1"/>
  <c r="I132" i="1"/>
  <c r="I131" i="1"/>
  <c r="I130" i="1"/>
  <c r="I129" i="1"/>
  <c r="I128" i="1"/>
  <c r="K128" i="1" s="1"/>
  <c r="I127" i="1"/>
  <c r="K127" i="1" s="1"/>
  <c r="I126" i="1"/>
  <c r="K126" i="1" s="1"/>
  <c r="I125" i="1"/>
  <c r="K125" i="1" s="1"/>
  <c r="I124" i="1"/>
  <c r="I123" i="1"/>
  <c r="I122" i="1"/>
  <c r="I121" i="1"/>
  <c r="I120" i="1"/>
  <c r="I119" i="1"/>
  <c r="I118" i="1"/>
  <c r="I117" i="1"/>
  <c r="I116" i="1"/>
  <c r="I115" i="1"/>
  <c r="I114" i="1"/>
  <c r="K114" i="1" s="1"/>
  <c r="I113" i="1"/>
  <c r="K113" i="1" s="1"/>
  <c r="I112" i="1"/>
  <c r="K112" i="1" s="1"/>
  <c r="I111" i="1"/>
  <c r="K111" i="1" s="1"/>
  <c r="I110" i="1"/>
  <c r="I109" i="1"/>
  <c r="I108" i="1"/>
  <c r="I107" i="1"/>
  <c r="I106" i="1"/>
  <c r="I105" i="1"/>
  <c r="I104" i="1"/>
  <c r="I103" i="1"/>
  <c r="I102" i="1"/>
  <c r="I101" i="1"/>
  <c r="I100" i="1"/>
  <c r="K100" i="1" s="1"/>
  <c r="I99" i="1"/>
  <c r="K99" i="1" s="1"/>
  <c r="I98" i="1"/>
  <c r="K98" i="1" s="1"/>
  <c r="I97" i="1"/>
  <c r="K97" i="1" s="1"/>
  <c r="I96" i="1"/>
  <c r="I95" i="1"/>
  <c r="I94" i="1"/>
  <c r="K94" i="1" s="1"/>
  <c r="I93" i="1"/>
  <c r="I92" i="1"/>
  <c r="I91" i="1"/>
  <c r="I90" i="1"/>
  <c r="I89" i="1"/>
  <c r="I88" i="1"/>
  <c r="I87" i="1"/>
  <c r="I86" i="1"/>
  <c r="K86" i="1" s="1"/>
  <c r="I85" i="1"/>
  <c r="K85" i="1" s="1"/>
  <c r="I84" i="1"/>
  <c r="K84" i="1" s="1"/>
  <c r="I83" i="1"/>
  <c r="K83" i="1" s="1"/>
  <c r="I82" i="1"/>
  <c r="I81" i="1"/>
  <c r="I80" i="1"/>
  <c r="I79" i="1"/>
  <c r="I78" i="1"/>
  <c r="I77" i="1"/>
  <c r="I76" i="1"/>
  <c r="I75" i="1"/>
  <c r="I74" i="1"/>
  <c r="I73" i="1"/>
  <c r="I72" i="1"/>
  <c r="K72" i="1" s="1"/>
  <c r="I71" i="1"/>
  <c r="K71" i="1" s="1"/>
  <c r="I70" i="1"/>
  <c r="K70" i="1" s="1"/>
  <c r="I69" i="1"/>
  <c r="K69" i="1" s="1"/>
  <c r="I68" i="1"/>
  <c r="I67" i="1"/>
  <c r="I66" i="1"/>
  <c r="I65" i="1"/>
  <c r="I64" i="1"/>
  <c r="I63" i="1"/>
  <c r="I62" i="1"/>
  <c r="I61" i="1"/>
  <c r="I60" i="1"/>
  <c r="I59" i="1"/>
  <c r="I58" i="1"/>
  <c r="K58" i="1" s="1"/>
  <c r="I57" i="1"/>
  <c r="K57" i="1" s="1"/>
  <c r="I56" i="1"/>
  <c r="K56" i="1" s="1"/>
  <c r="I55" i="1"/>
  <c r="K55" i="1" s="1"/>
  <c r="I54" i="1"/>
  <c r="I53" i="1"/>
  <c r="I52" i="1"/>
  <c r="I51" i="1"/>
  <c r="K51" i="1" s="1"/>
  <c r="I50" i="1"/>
  <c r="K50" i="1" s="1"/>
  <c r="I49" i="1"/>
  <c r="I48" i="1"/>
  <c r="I47" i="1"/>
  <c r="I46" i="1"/>
  <c r="I45" i="1"/>
  <c r="I44" i="1"/>
  <c r="K44" i="1" s="1"/>
  <c r="I43" i="1"/>
  <c r="K43" i="1" s="1"/>
  <c r="I42" i="1"/>
  <c r="K42" i="1" s="1"/>
  <c r="I41" i="1"/>
  <c r="K41" i="1" s="1"/>
  <c r="I40" i="1"/>
  <c r="I39" i="1"/>
  <c r="I38" i="1"/>
  <c r="K38" i="1" s="1"/>
  <c r="I37" i="1"/>
  <c r="I36" i="1"/>
  <c r="K36" i="1" s="1"/>
  <c r="I35" i="1"/>
  <c r="I34" i="1"/>
  <c r="I33" i="1"/>
  <c r="I32" i="1"/>
  <c r="I31" i="1"/>
  <c r="I30" i="1"/>
  <c r="K30" i="1" s="1"/>
  <c r="I29" i="1"/>
  <c r="K29" i="1" s="1"/>
  <c r="I28" i="1"/>
  <c r="K28" i="1" s="1"/>
  <c r="I27" i="1"/>
  <c r="K27" i="1" s="1"/>
  <c r="I26" i="1"/>
  <c r="I25" i="1"/>
  <c r="I24" i="1"/>
  <c r="K24" i="1" s="1"/>
  <c r="I23" i="1"/>
  <c r="I22" i="1"/>
  <c r="K22" i="1" s="1"/>
  <c r="I21" i="1"/>
  <c r="I20" i="1"/>
  <c r="I19" i="1"/>
  <c r="I18" i="1"/>
  <c r="I17" i="1"/>
  <c r="I16" i="1"/>
  <c r="K16" i="1" s="1"/>
  <c r="I15" i="1"/>
  <c r="K15" i="1" s="1"/>
  <c r="I14" i="1"/>
  <c r="K14" i="1" s="1"/>
  <c r="I13" i="1"/>
  <c r="K13" i="1" s="1"/>
  <c r="I12" i="1"/>
  <c r="I11" i="1"/>
  <c r="I10" i="1"/>
  <c r="K10" i="1" s="1"/>
  <c r="I9" i="1"/>
  <c r="K208" i="1"/>
  <c r="K207" i="1"/>
  <c r="K206" i="1"/>
  <c r="K205" i="1"/>
  <c r="K204" i="1"/>
  <c r="K203" i="1"/>
  <c r="K202" i="1"/>
  <c r="K201" i="1"/>
  <c r="K200" i="1"/>
  <c r="K199" i="1"/>
  <c r="K194" i="1"/>
  <c r="K193" i="1"/>
  <c r="K192" i="1"/>
  <c r="K191" i="1"/>
  <c r="K190" i="1"/>
  <c r="K189" i="1"/>
  <c r="K188" i="1"/>
  <c r="K187" i="1"/>
  <c r="K186" i="1"/>
  <c r="K185" i="1"/>
  <c r="K180" i="1"/>
  <c r="K179" i="1"/>
  <c r="K178" i="1"/>
  <c r="K177" i="1"/>
  <c r="K176" i="1"/>
  <c r="K175" i="1"/>
  <c r="K174" i="1"/>
  <c r="K173" i="1"/>
  <c r="K172" i="1"/>
  <c r="K171" i="1"/>
  <c r="K166" i="1"/>
  <c r="K165" i="1"/>
  <c r="K164" i="1"/>
  <c r="K163" i="1"/>
  <c r="K162" i="1"/>
  <c r="K161" i="1"/>
  <c r="K160" i="1"/>
  <c r="K159" i="1"/>
  <c r="K158" i="1"/>
  <c r="K157" i="1"/>
  <c r="K152" i="1"/>
  <c r="K151" i="1"/>
  <c r="K150" i="1"/>
  <c r="K149" i="1"/>
  <c r="K148" i="1"/>
  <c r="K147" i="1"/>
  <c r="K146" i="1"/>
  <c r="K145" i="1"/>
  <c r="K144" i="1"/>
  <c r="K143" i="1"/>
  <c r="K138" i="1"/>
  <c r="K137" i="1"/>
  <c r="K136" i="1"/>
  <c r="K135" i="1"/>
  <c r="K133" i="1"/>
  <c r="K132" i="1"/>
  <c r="K131" i="1"/>
  <c r="K130" i="1"/>
  <c r="K129" i="1"/>
  <c r="K124" i="1"/>
  <c r="K123" i="1"/>
  <c r="K122" i="1"/>
  <c r="K121" i="1"/>
  <c r="K120" i="1"/>
  <c r="K119" i="1"/>
  <c r="K118" i="1"/>
  <c r="K117" i="1"/>
  <c r="K116" i="1"/>
  <c r="K115" i="1"/>
  <c r="K110" i="1"/>
  <c r="K109" i="1"/>
  <c r="K108" i="1"/>
  <c r="K107" i="1"/>
  <c r="K106" i="1"/>
  <c r="K105" i="1"/>
  <c r="K104" i="1"/>
  <c r="K103" i="1"/>
  <c r="K102" i="1"/>
  <c r="K101" i="1"/>
  <c r="K96" i="1"/>
  <c r="K95" i="1"/>
  <c r="K93" i="1"/>
  <c r="K92" i="1"/>
  <c r="K91" i="1"/>
  <c r="K90" i="1"/>
  <c r="K89" i="1"/>
  <c r="K88" i="1"/>
  <c r="K87" i="1"/>
  <c r="K82" i="1"/>
  <c r="K81" i="1"/>
  <c r="K80" i="1"/>
  <c r="K79" i="1"/>
  <c r="K78" i="1"/>
  <c r="K77" i="1"/>
  <c r="K76" i="1"/>
  <c r="K75" i="1"/>
  <c r="K74" i="1"/>
  <c r="K73" i="1"/>
  <c r="K68" i="1"/>
  <c r="K67" i="1"/>
  <c r="K66" i="1"/>
  <c r="K65" i="1"/>
  <c r="K64" i="1"/>
  <c r="K63" i="1"/>
  <c r="K62" i="1"/>
  <c r="K61" i="1"/>
  <c r="K60" i="1"/>
  <c r="K59" i="1"/>
  <c r="K54" i="1"/>
  <c r="K53" i="1"/>
  <c r="K52" i="1"/>
  <c r="K49" i="1"/>
  <c r="K48" i="1"/>
  <c r="K47" i="1"/>
  <c r="K46" i="1"/>
  <c r="K45" i="1"/>
  <c r="K40" i="1"/>
  <c r="K39" i="1"/>
  <c r="K37" i="1"/>
  <c r="K35" i="1"/>
  <c r="K34" i="1"/>
  <c r="K33" i="1"/>
  <c r="K32" i="1"/>
  <c r="K31" i="1"/>
  <c r="K26" i="1"/>
  <c r="K25" i="1"/>
  <c r="K23" i="1"/>
  <c r="K21" i="1"/>
  <c r="K20" i="1"/>
  <c r="K19" i="1"/>
  <c r="K18" i="1"/>
  <c r="K17" i="1"/>
  <c r="K12" i="1"/>
  <c r="K11" i="1"/>
  <c r="K9" i="1"/>
  <c r="H5" i="1"/>
  <c r="K5" i="1" l="1"/>
</calcChain>
</file>

<file path=xl/sharedStrings.xml><?xml version="1.0" encoding="utf-8"?>
<sst xmlns="http://schemas.openxmlformats.org/spreadsheetml/2006/main" count="1017" uniqueCount="631">
  <si>
    <t>Fictitious Space Mission — Risk Register</t>
  </si>
  <si>
    <t>Planning example | Cost impacts and weighted exposure are in CAD $000 | Weighted exposure = Probability × Most Likely Cost Impact</t>
  </si>
  <si>
    <t>Mission ID</t>
  </si>
  <si>
    <t>Number of risks</t>
  </si>
  <si>
    <t>Average probability</t>
  </si>
  <si>
    <t>Total weighted exposure</t>
  </si>
  <si>
    <t>Risk Category</t>
  </si>
  <si>
    <t>Risk Title</t>
  </si>
  <si>
    <t>Risk Description</t>
  </si>
  <si>
    <t>Mitigation Strategy</t>
  </si>
  <si>
    <t>Mitigation Strategy Narrative</t>
  </si>
  <si>
    <t>Probability</t>
  </si>
  <si>
    <t>Cost Impact – Optimistic ($000)</t>
  </si>
  <si>
    <t>Cost Impact – Most Likely ($000)</t>
  </si>
  <si>
    <t>Cost Impact – Pessimistic ($000)</t>
  </si>
  <si>
    <t>Weighted Exposure ($000)</t>
  </si>
  <si>
    <t>Launch &amp; Early Orbit</t>
  </si>
  <si>
    <t>Solar array deployment is delayed</t>
  </si>
  <si>
    <t>There is a risk that arrays do not deploy or latch on the nominal timeline, resulting in available energy becomes insufficient during LEOP.</t>
  </si>
  <si>
    <t>Mitigate</t>
  </si>
  <si>
    <t>Instrument deployments, preserve battery margin and prepare incremental recovery procedures.</t>
  </si>
  <si>
    <t>Range safety requirements expand</t>
  </si>
  <si>
    <t>There is a risk that range safety imposes new analysis, inhibit or documentation requirements, resulting in late hardware and procedural changes are needed.</t>
  </si>
  <si>
    <t>Accept</t>
  </si>
  <si>
    <t>Engage range safety early and track compliance evidence as scheduled deliverables.</t>
  </si>
  <si>
    <t>Initial acquisition takes longer</t>
  </si>
  <si>
    <t>There is a risk that ground stations do not acquire the spacecraft within the expected passes, resulting in battery, thermal or attitude margins erode.</t>
  </si>
  <si>
    <t>Arrange geographically diverse stations and rehearse search patterns and contingency commanding.</t>
  </si>
  <si>
    <t>Interface adapter changes</t>
  </si>
  <si>
    <t>There is a risk that the separation system or adapter interface changes after spacecraft design freeze, resulting in mechanical and electrical redesign delays shipment.</t>
  </si>
  <si>
    <t>Freeze interface control data contractually and maintain a qualified adapter contingency.</t>
  </si>
  <si>
    <t>Launch failure causes mission loss</t>
  </si>
  <si>
    <t>There is a risk that the launch vehicle fails before successful deployment, resulting in the spacecraft and invested development cost are lost.</t>
  </si>
  <si>
    <t>Transfer</t>
  </si>
  <si>
    <t>Transfer a portion of exposure through launch insurance and preserve design records and critical spares for a potential rebuild.</t>
  </si>
  <si>
    <t>Separation is not confirmed</t>
  </si>
  <si>
    <t>There is a risk that telemetry does not clearly verify separation and initial state, resulting in recovery actions are delayed during a critical period.</t>
  </si>
  <si>
    <t>Use independent separation indications and pre-plan time-tagged safe sequences.</t>
  </si>
  <si>
    <t>Launch loads exceed qualification</t>
  </si>
  <si>
    <t>There is a risk that updated coupled-loads analysis produces environments above tested levels, resulting in reinforcement or repeat qualification is needed.</t>
  </si>
  <si>
    <t>Obtain preliminary environments early and retain structural margins through final loads cycles.</t>
  </si>
  <si>
    <t>Upper-stage contamination affects payload</t>
  </si>
  <si>
    <t>There is a risk that plume or venting products reach sensitive surfaces, resulting in payload performance is degraded immediately after launch.</t>
  </si>
  <si>
    <t>Analyze contamination geometry and negotiate attitude, venting and separation constraints.</t>
  </si>
  <si>
    <t>Rideshare payload creates constraints</t>
  </si>
  <si>
    <t>There is a risk that another payload introduces schedule, contamination or operational restrictions, resulting in mission design and launch processing become more complex.</t>
  </si>
  <si>
    <t>Define rideshare constraints in contracts and retain a compatible standalone or alternate-manifest option.</t>
  </si>
  <si>
    <t>Manufacturing, Assembly &amp; Test</t>
  </si>
  <si>
    <t>Protoflight approach proves too aggressive</t>
  </si>
  <si>
    <t>There is a risk that combined qualification and acceptance testing leaves inadequate recovery margin, resulting in a test failure threatens delivery of the only flight unit.</t>
  </si>
  <si>
    <t>Select protoflight only with mature design evidence and retain spare parts, repair plans and schedule reserve.</t>
  </si>
  <si>
    <t>Qualification test causes damage</t>
  </si>
  <si>
    <t>There is a risk that qualification loads damage flight-like hardware or reveal insufficient margin, resulting in replacement hardware and repeat testing are required.</t>
  </si>
  <si>
    <t>Validate models and fixtures, use staged testing and hold readiness reviews with clear abort criteria.</t>
  </si>
  <si>
    <t>Acceptance test limits are incorrect</t>
  </si>
  <si>
    <t>There is a risk that pass-fail limits do not reflect requirements or measurement uncertainty, resulting in good hardware is rejected or defective hardware is accepted.</t>
  </si>
  <si>
    <t>Derive limits from controlled requirements and validate them through independent review and dry runs.</t>
  </si>
  <si>
    <t>Payload performance is reduced</t>
  </si>
  <si>
    <t>There is a risk that final launch trajectory or rideshare constraints reduce delivered mass or orbit performance, resulting in spacecraft redesign or added propulsion is required.</t>
  </si>
  <si>
    <t>Confirm performance with provider analyses and preserve mass and delta-v margin until interface closure.</t>
  </si>
  <si>
    <t>Collision avoidance is required during LEOP</t>
  </si>
  <si>
    <t>There is a risk that a conjunction occurs before routine operations are established, resulting in commissioning is interrupted and propellant is consumed.</t>
  </si>
  <si>
    <t>Establish conjunction support before launch and predefine rapid manoeuvre authority.</t>
  </si>
  <si>
    <t>Instrumentation produces invalid data</t>
  </si>
  <si>
    <t>There is a risk that sensors, calibration or data acquisition fail during a major test, resulting in test results are unusable and must be repeated.</t>
  </si>
  <si>
    <t>Calibrate instrumentation, use redundant critical measurements and perform pre-test end-to-end checks.</t>
  </si>
  <si>
    <t>Schedule &amp; Program Management</t>
  </si>
  <si>
    <t>Partner milestones are misaligned</t>
  </si>
  <si>
    <t>There is a risk that international or interdepartmental partner schedules do not support mission need dates, resulting in interfaces and deliveries arrive late.</t>
  </si>
  <si>
    <t>Maintain an integrated partner milestone register and negotiate binding need dates and escalation paths.</t>
  </si>
  <si>
    <t>Weather causes prolonged delay</t>
  </si>
  <si>
    <t>There is a risk that weather repeatedly violates launch constraints, resulting in campaign and standby costs increase.</t>
  </si>
  <si>
    <t>Use historical weather in schedule risk analysis and negotiate clear standby and demobilization terms.</t>
  </si>
  <si>
    <t>Workmanship defects require rework</t>
  </si>
  <si>
    <t>There is a risk that manufacturing or assembly defects are discovered during inspection or test, resulting in hardware must be repaired, rebuilt or retested.</t>
  </si>
  <si>
    <t>Use certified processes, in-process inspections and first-article demonstrations for critical workmanship.</t>
  </si>
  <si>
    <t>Supplier process change is undisclosed</t>
  </si>
  <si>
    <t>There is a risk that a supplier changes materials, tooling or process without timely notice, resulting in delivered parts differ from the qualified configuration.</t>
  </si>
  <si>
    <t>Require change notification clauses and audit critical supplier configuration records.</t>
  </si>
  <si>
    <t>Change control backlog grows</t>
  </si>
  <si>
    <t>There is a risk that engineering changes wait too long for assessment and disposition, resulting in work proceeds against obsolete baselines.</t>
  </si>
  <si>
    <t>Staff the change board to demand and fast-track time-critical changes with documented authority.</t>
  </si>
  <si>
    <t>Critical path has no float</t>
  </si>
  <si>
    <t>There is a risk that major integration and test activities have no schedule reserve, resulting in any anomaly delays launch readiness.</t>
  </si>
  <si>
    <t>Protect management reserve and create alternate sequencing for recoverable work.</t>
  </si>
  <si>
    <t>Risk register is not actively managed</t>
  </si>
  <si>
    <t>There is a risk that risks are recorded but not linked to actions, schedule and reserve, resulting in known exposure materializes without preparation.</t>
  </si>
  <si>
    <t>Review top risks monthly and link funded mitigations to owners, dates and schedule activities.</t>
  </si>
  <si>
    <t>Test procedure errors damage hardware</t>
  </si>
  <si>
    <t>There is a risk that an incorrect step, limit or configuration in a procedure causes an incident, resulting in flight hardware requires repair or replacement.</t>
  </si>
  <si>
    <t>Independently verify hazardous steps, use peer-reviewed automated limits and rehearse with simulators.</t>
  </si>
  <si>
    <t>Launch price escalates</t>
  </si>
  <si>
    <t>There is a risk that provider pricing, surcharges or mission-specific services exceed the estimate, resulting in launch procurement exceeds the approved budget.</t>
  </si>
  <si>
    <t>Secure pricing assumptions contractually and hold a launch-specific management reserve.</t>
  </si>
  <si>
    <t>LEOP staffing is insufficient</t>
  </si>
  <si>
    <t>There is a risk that specialists are unavailable across continuous early-orbit shifts, resulting in anomalies are handled slowly and fatigue increases error rates.</t>
  </si>
  <si>
    <t>Develop a staffed shift plan with backups and run full-duration simulations.</t>
  </si>
  <si>
    <t>Earned value data are unreliable</t>
  </si>
  <si>
    <t>There is a risk that progress claims do not reflect objective completion, resulting in management reacts late to performance problems.</t>
  </si>
  <si>
    <t>Define measurable completion criteria and validate schedule and cost status through surveillance.</t>
  </si>
  <si>
    <t>Long-lead parts arrive late</t>
  </si>
  <si>
    <t>There is a risk that critical electronic, optical or mechanical parts miss required delivery dates, resulting in assembly and test activities are delayed.</t>
  </si>
  <si>
    <t>Authorize early procurement, track supplier milestones and qualify alternates for schedule-critical parts.</t>
  </si>
  <si>
    <t>Late engineering change disrupts build</t>
  </si>
  <si>
    <t>There is a risk that a design change is released after fabrication has started, resulting in parts are scrapped and assembly sequencing is reworked.</t>
  </si>
  <si>
    <t>Use change cut-off criteria and assess inventory, tooling, test and schedule impacts before approval.</t>
  </si>
  <si>
    <t>Requirements baseline is delayed</t>
  </si>
  <si>
    <t>There is a risk that stakeholders cannot agree on the requirements baseline, resulting in design work proceeds on unstable assumptions.</t>
  </si>
  <si>
    <t>Time-box resolution, elevate unresolved trades and baseline controlled assumptions where evidence is incomplete.</t>
  </si>
  <si>
    <t>Work packages are poorly defined</t>
  </si>
  <si>
    <t>There is a risk that scope, interfaces and completion criteria are unclear at control-account level, resulting in estimates and performance measures are unreliable.</t>
  </si>
  <si>
    <t>Use a controlled work breakdown structure and objective work-package exit criteria.</t>
  </si>
  <si>
    <t>Launch-site facilities are inadequate</t>
  </si>
  <si>
    <t>There is a risk that cleanliness, power, handling or test capabilities differ from assumptions, resulting in additional equipment and campaign time are required.</t>
  </si>
  <si>
    <t>Survey the site, define facility interfaces and ship verified portable support equipment.</t>
  </si>
  <si>
    <t>Non-conformance backlog grows</t>
  </si>
  <si>
    <t>There is a risk that material review boards cannot disposition defects as quickly as they are found, resulting in hardware flow stops and risk accumulates.</t>
  </si>
  <si>
    <t>Set disposition turnaround targets, staff boards during peak testing and trend recurring defect causes.</t>
  </si>
  <si>
    <t>People, Safety &amp; Security</t>
  </si>
  <si>
    <t>Physical security is breached</t>
  </si>
  <si>
    <t>There is a risk that unauthorized access occurs at a laboratory, control centre or storage site, resulting in hardware or information is damaged, altered or stolen.</t>
  </si>
  <si>
    <t>Layer access control, surveillance and inventory checks, and investigate anomalies promptly.</t>
  </si>
  <si>
    <t>Management reserve is consumed early</t>
  </si>
  <si>
    <t>There is a risk that reserve is used before high-risk development and test phases, resulting in later problems have no funded response.</t>
  </si>
  <si>
    <t>Set reserve release authority and monitor drawdown against the remaining risk profile.</t>
  </si>
  <si>
    <t>Foreign object debris is discovered</t>
  </si>
  <si>
    <t>There is a risk that debris remains inside flight hardware after assembly, resulting in short circuits, mechanism jams or contamination occur.</t>
  </si>
  <si>
    <t>Apply tool and part accountability, borescope inspections and controlled close-out procedures.</t>
  </si>
  <si>
    <t>Unsafe handling injures personnel</t>
  </si>
  <si>
    <t>There is a risk that hazardous energy, lifting, propellant or cleanroom activities are inadequately controlled, resulting in people are harmed and work is suspended.</t>
  </si>
  <si>
    <t>Complete hazard analyses, certify procedures and equipment, and enforce stop-work authority.</t>
  </si>
  <si>
    <t>Organizational restructuring removes capacity</t>
  </si>
  <si>
    <t>There is a risk that a reorganization changes priorities, reporting lines or available staff, resulting in continuity and decision speed decline.</t>
  </si>
  <si>
    <t>Document commitments, preserve core roles and brief new authorities on mission decisions and risks.</t>
  </si>
  <si>
    <t>Launch vehicle schedule slips</t>
  </si>
  <si>
    <t>There is a risk that the selected launch vehicle is not available in the required window, resulting in storage, staffing and mission schedule costs increase.</t>
  </si>
  <si>
    <t>Maintain schedule liaison with the provider and evaluate alternate windows and compatible vehicles.</t>
  </si>
  <si>
    <t>Initial orbit differs from plan</t>
  </si>
  <si>
    <t>There is a risk that injection dispersions exceed assumptions, resulting in commissioning and orbit correction consume additional time and propellant.</t>
  </si>
  <si>
    <t>Analyze worst-case dispersions and pre-authorize correction strategies with sufficient reserve.</t>
  </si>
  <si>
    <t>Decision cycle is too slow</t>
  </si>
  <si>
    <t>There is a risk that governance and technical decisions exceed planned turnaround times, resulting in teams wait or proceed at risk.</t>
  </si>
  <si>
    <t>Set decision deadlines, pre-brief authorities and document delegated thresholds.</t>
  </si>
  <si>
    <t>Independent review is scheduled too late</t>
  </si>
  <si>
    <t>There is a risk that external reviewers identify fundamental issues after design commitments, resulting in correction is expensive and disruptive.</t>
  </si>
  <si>
    <t>Plan independent reviews before irreversible decisions and provide complete evidence early.</t>
  </si>
  <si>
    <t>Supply-chain cyber compromise occurs</t>
  </si>
  <si>
    <t>There is a risk that vendor software or remote access introduces malicious code, resulting in mission systems are compromised before delivery.</t>
  </si>
  <si>
    <t>Require secure development evidence, scan deliverables and isolate supplier access.</t>
  </si>
  <si>
    <t>Cleanroom capacity is insufficient</t>
  </si>
  <si>
    <t>There is a risk that cleanroom space, classification or operating hours cannot support the integration plan, resulting in parallel work is prevented and the schedule extends.</t>
  </si>
  <si>
    <t>Confirm capacity, book shifts and establish overflow or partner-facility options.</t>
  </si>
  <si>
    <t>Regulatory, Environmental &amp; External</t>
  </si>
  <si>
    <t>Orbital debris rules tighten</t>
  </si>
  <si>
    <t>There is a risk that new debris-mitigation requirements apply before launch, resulting in design, analysis or disposal capability must change.</t>
  </si>
  <si>
    <t>Track regulatory developments and design to a conservative disposal and passivation standard.</t>
  </si>
  <si>
    <t>Data policy limits distribution</t>
  </si>
  <si>
    <t>There is a risk that open-data, sovereignty or security rules conflict, resulting in science products cannot be distributed as planned.</t>
  </si>
  <si>
    <t>Approve a data policy and classify products and release timelines before system design is finalized.</t>
  </si>
  <si>
    <t>Cost estimate is immature</t>
  </si>
  <si>
    <t>There is a risk that the estimate relies on incomplete engineering data and unsupported assumptions, resulting in funding decisions use false precision.</t>
  </si>
  <si>
    <t>Document estimate maturity, apply uncertainty ranges and update the baseline as design data mature.</t>
  </si>
  <si>
    <t>Partner clearances are delayed</t>
  </si>
  <si>
    <t>There is a risk that personnel cannot obtain required site or information access, resulting in collaboration and integration activities slip.</t>
  </si>
  <si>
    <t>Initiate clearances early and structure unclassified or escorted work packages as contingencies.</t>
  </si>
  <si>
    <t>Emergency response is inadequate</t>
  </si>
  <si>
    <t>There is a risk that the facility response plan does not address mission-specific hazards, resulting in an incident has greater human and program consequences.</t>
  </si>
  <si>
    <t>Coordinate mission hazards with facility responders and conduct realistic drills.</t>
  </si>
  <si>
    <t>Space weather exceeds design basis</t>
  </si>
  <si>
    <t>There is a risk that a severe solar event creates radiation and charging beyond nominal assumptions, resulting in hardware degrades or operations are suspended.</t>
  </si>
  <si>
    <t>Use alert services, safe configurations and design margins based on credible extreme environments.</t>
  </si>
  <si>
    <t>Export or customs delays shipment</t>
  </si>
  <si>
    <t>There is a risk that hardware or technical data are delayed by permits and border processes, resulting in launch-site campaign starts late.</t>
  </si>
  <si>
    <t>Prepare classifications and permits early and use experienced logistics and customs support.</t>
  </si>
  <si>
    <t>Shipping damages flight hardware</t>
  </si>
  <si>
    <t>There is a risk that transport loads or handling conditions exceed limits, resulting in hardware requires inspection, repair or replacement.</t>
  </si>
  <si>
    <t>Qualify shipping containers, monitor environments and rehearse handling and customs steps.</t>
  </si>
  <si>
    <t>Ransomware disrupts development</t>
  </si>
  <si>
    <t>There is a risk that malware encrypts engineering or operational systems, resulting in work stops and data may be lost.</t>
  </si>
  <si>
    <t>Segment networks, maintain offline backups and rehearse incident recovery.</t>
  </si>
  <si>
    <t>Schedule estimates are optimistic</t>
  </si>
  <si>
    <t>There is a risk that activity durations exclude learning, review and rework, resulting in milestones slip and labour costs increase.</t>
  </si>
  <si>
    <t>Use historical durations, three-point estimates and schedule risk analysis for critical work.</t>
  </si>
  <si>
    <t>Benefits assumptions change</t>
  </si>
  <si>
    <t>There is a risk that the strategic or user need changes during development, resulting in the mission business case weakens.</t>
  </si>
  <si>
    <t>Revalidate benefits at key decision points and maintain scalable mission options.</t>
  </si>
  <si>
    <t>Spectrum licence is delayed</t>
  </si>
  <si>
    <t>There is a risk that frequency authorization is not obtained by the required date, resulting in communications testing or operations cannot proceed.</t>
  </si>
  <si>
    <t>Submit coordinated applications early and maintain a compliant alternate frequency plan.</t>
  </si>
  <si>
    <t>Liability allocation is disputed</t>
  </si>
  <si>
    <t>There is a risk that partners disagree about responsibility for damage or third-party claims, resulting in agreements and launch approvals are delayed.</t>
  </si>
  <si>
    <t>Resolve cross-waivers and liability clauses before major commitments.</t>
  </si>
  <si>
    <t>Supply Chain &amp; Commercial</t>
  </si>
  <si>
    <t>Intellectual property access is insufficient</t>
  </si>
  <si>
    <t>There is a risk that the contract does not provide data or rights needed for operation and repair, resulting in the agency becomes dependent on the vendor.</t>
  </si>
  <si>
    <t>Negotiate mission-lifecycle data rights, escrow and transition support before award.</t>
  </si>
  <si>
    <t>Team fatigue causes errors</t>
  </si>
  <si>
    <t>There is a risk that sustained overtime during integration or operations degrades judgement, resulting in mistakes, rework and safety incidents increase.</t>
  </si>
  <si>
    <t>Set shift and overtime limits, plan surge staffing and monitor workload and fatigue indicators.</t>
  </si>
  <si>
    <t>International travel disruption occurs</t>
  </si>
  <si>
    <t>There is a risk that key personnel cannot reach partner or launch sites, resulting in reviews, integration or campaign activities are delayed.</t>
  </si>
  <si>
    <t>Cross-train local personnel and prepare secure remote-support and alternate-travel arrangements.</t>
  </si>
  <si>
    <t>Radio-frequency coordination conflicts</t>
  </si>
  <si>
    <t>There is a risk that another system has priority or harmful interference concerns, resulting in operating bands or contact plans must change.</t>
  </si>
  <si>
    <t>Coordinate domestically and internationally early and retain tunable or alternate communication options.</t>
  </si>
  <si>
    <t>Ground support equipment is late</t>
  </si>
  <si>
    <t>There is a risk that specialized test or handling equipment is not ready for hardware integration, resulting in acceptance testing and shipment are delayed.</t>
  </si>
  <si>
    <t>Treat support equipment as deliverable hardware with its own requirements, schedule and acceptance tests.</t>
  </si>
  <si>
    <t>Spares are insufficient</t>
  </si>
  <si>
    <t>There is a risk that critical components are damaged or fail with no replacement available, resulting in the program waits for a new production lot.</t>
  </si>
  <si>
    <t>Identify high-risk spares using failure and lead-time analysis and procure them with flight hardware.</t>
  </si>
  <si>
    <t>Scope grows without funding</t>
  </si>
  <si>
    <t>There is a risk that new objectives and features are approved without corresponding resources, resulting in budget and schedule baselines become unachievable.</t>
  </si>
  <si>
    <t>Apply configuration control and require quantified cost and schedule impacts before scope approval.</t>
  </si>
  <si>
    <t>Vendor estimate is understated</t>
  </si>
  <si>
    <t>There is a risk that a vendor quotation omits non-recurring engineering, testing or support, resulting in contract value grows after award.</t>
  </si>
  <si>
    <t>Require a priced work breakdown, assumptions and exclusions, and complete an independent estimate.</t>
  </si>
  <si>
    <t>Material allocation favours other customers</t>
  </si>
  <si>
    <t>There is a risk that a constrained supplier prioritizes larger commercial orders, resulting in mission components miss the production slot.</t>
  </si>
  <si>
    <t>Secure allocation through advance commitments and monitor raw-material and fab capacity.</t>
  </si>
  <si>
    <t>Phishing compromises accounts</t>
  </si>
  <si>
    <t>There is a risk that mission personnel credentials are stolen, resulting in systems or sensitive communications are accessed.</t>
  </si>
  <si>
    <t>Use phishing-resistant authentication, awareness exercises and conditional access controls.</t>
  </si>
  <si>
    <t>Space traffic environment worsens</t>
  </si>
  <si>
    <t>There is a risk that conjunction frequency exceeds operational assumptions, resulting in analysis workload and avoidance manoeuvres increase.</t>
  </si>
  <si>
    <t>Procure reliable tracking data and automate screening and decision support.</t>
  </si>
  <si>
    <t>Export controls restrict collaboration</t>
  </si>
  <si>
    <t>There is a risk that technical data or hardware cannot be transferred as planned, resulting in partner work and integration are delayed.</t>
  </si>
  <si>
    <t>Classify controlled items early and structure compliant data, staffing and technical interfaces.</t>
  </si>
  <si>
    <t>Mission &amp; Science</t>
  </si>
  <si>
    <t>Calibration accuracy is insufficient</t>
  </si>
  <si>
    <t>There is a risk that the calibration approach cannot achieve the required measurement accuracy, resulting in science products fail to meet uncertainty requirements.</t>
  </si>
  <si>
    <t>Build a calibration error budget, test representative standards, and retain an in-flight cross-calibration capability.</t>
  </si>
  <si>
    <t>Science team turnover removes knowledge</t>
  </si>
  <si>
    <t>There is a risk that key investigators leave before knowledge and rationale are captured, resulting in science decisions are reopened and validation slows.</t>
  </si>
  <si>
    <t>Document decision rationale, appoint deputies, and maintain succession coverage for each critical science role.</t>
  </si>
  <si>
    <t>Hiring takes longer than planned</t>
  </si>
  <si>
    <t>There is a risk that specialized positions cannot be staffed when needed, resulting in work is delayed or shifted to expensive contractors.</t>
  </si>
  <si>
    <t>Start staffing early and maintain contracting, secondment and training contingencies.</t>
  </si>
  <si>
    <t>Training records are incomplete</t>
  </si>
  <si>
    <t>There is a risk that required certifications cannot be demonstrated, resulting in personnel are removed from critical work until retrained.</t>
  </si>
  <si>
    <t>Maintain a skills matrix with automated expiry alerts and verified records.</t>
  </si>
  <si>
    <t>Remote sensing licence imposes constraints</t>
  </si>
  <si>
    <t>There is a risk that operating or data-distribution conditions are more restrictive than assumed, resulting in mission utility or ground design is reduced.</t>
  </si>
  <si>
    <t>Engage the licensing authority during concept development and implement controllable data-access modes.</t>
  </si>
  <si>
    <t>Sole-source supplier fails</t>
  </si>
  <si>
    <t>There is a risk that a single qualified supplier cannot deliver a critical item, resulting in the project faces redesign or a long production delay.</t>
  </si>
  <si>
    <t>Assess supplier health, procure strategic spares and qualify a second source or redesign path.</t>
  </si>
  <si>
    <t>Subcontractor performance is opaque</t>
  </si>
  <si>
    <t>There is a risk that the prime contractor lacks effective visibility into critical lower-tier suppliers, resulting in problems reach the project late.</t>
  </si>
  <si>
    <t>Require flow-down reporting, critical-item reviews and direct access for high-risk subcontractors.</t>
  </si>
  <si>
    <t>Integrated schedule is incomplete</t>
  </si>
  <si>
    <t>There is a risk that supplier and subsystem schedules omit dependencies and constraints, resulting in the critical path is misunderstood and delays are discovered late.</t>
  </si>
  <si>
    <t>Maintain an integrated master schedule with logic quality checks and monthly critical-path reviews.</t>
  </si>
  <si>
    <t>Reporting burden displaces delivery</t>
  </si>
  <si>
    <t>There is a risk that duplicative reporting consumes scarce technical and management effort, resulting in productive work slows without improving oversight.</t>
  </si>
  <si>
    <t>Consolidate reports around authoritative data and tailor frequency to risk and decision need.</t>
  </si>
  <si>
    <t>Configuration control fails during integration</t>
  </si>
  <si>
    <t>There is a risk that hardware, software or procedures are used in an unapproved configuration, resulting in test evidence becomes invalid or defects are introduced.</t>
  </si>
  <si>
    <t>Use serialized as-built records and verify configuration at every test readiness gate.</t>
  </si>
  <si>
    <t>Instrument stability degrades</t>
  </si>
  <si>
    <t>There is a risk that thermal or mechanical drift exceeds assumptions over an observation, resulting in data require more correction or become unusable.</t>
  </si>
  <si>
    <t>Characterize drift in thermal-vacuum testing and implement on-board references and ground correction algorithms.</t>
  </si>
  <si>
    <t>Spacecraft &amp; Payload Technical</t>
  </si>
  <si>
    <t>Reaction wheels saturate frequently</t>
  </si>
  <si>
    <t>There is a risk that disturbance torques exceed momentum-management assumptions, resulting in observations are interrupted and propellant use increases.</t>
  </si>
  <si>
    <t>Update disturbance models and optimize wheel sizing, unloading logic and operational scheduling.</t>
  </si>
  <si>
    <t>Redundancy architecture has common causes</t>
  </si>
  <si>
    <t>There is a risk that redundant strings share hidden common failure modes, resulting in a single event defeats the intended fault tolerance.</t>
  </si>
  <si>
    <t>Perform common-cause analysis and separate power, routing, software and environmental dependencies where practical.</t>
  </si>
  <si>
    <t>Counterfeit parts enter supply chain</t>
  </si>
  <si>
    <t>There is a risk that untrusted or obsolete components are substituted, resulting in reliability and certification are compromised.</t>
  </si>
  <si>
    <t>Buy from authorized sources and apply traceability, inspection and authentication testing.</t>
  </si>
  <si>
    <t>Pandemic restrictions recur</t>
  </si>
  <si>
    <t>There is a risk that health restrictions reduce on-site staffing and travel, resulting in integration and launch campaign efficiency declines.</t>
  </si>
  <si>
    <t>Preserve remote-work processes, cross-train local staff and plan protected critical shifts.</t>
  </si>
  <si>
    <t>Software &amp; Autonomy</t>
  </si>
  <si>
    <t>Cybersecurity controls arrive late</t>
  </si>
  <si>
    <t>There is a risk that security requirements are added after interfaces and architecture are fixed, resulting in major software and ground-system rework is required.</t>
  </si>
  <si>
    <t>Perform threat modelling at architecture start and integrate security verification into each release.</t>
  </si>
  <si>
    <t>Target catalogue is incomplete</t>
  </si>
  <si>
    <t>There is a risk that the target catalogue is delivered late or lacks validated priorities, resulting in mission planning and performance analyses require rework.</t>
  </si>
  <si>
    <t>Baseline a representative catalogue, define update cut-off dates, and validate priority rules with the science team.</t>
  </si>
  <si>
    <t>Data quality flags are inadequate</t>
  </si>
  <si>
    <t>There is a risk that quality flags do not identify known measurement limitations, resulting in users draw incorrect conclusions from released data.</t>
  </si>
  <si>
    <t>Define quality metadata with users, test it on simulated anomalies, and include it in product validation.</t>
  </si>
  <si>
    <t>Insider threat compromises data</t>
  </si>
  <si>
    <t>There is a risk that an authorized person intentionally or negligently exposes sensitive information, resulting in mission security and partner trust are damaged.</t>
  </si>
  <si>
    <t>Apply least privilege, monitoring, training and rapid access revocation.</t>
  </si>
  <si>
    <t>Electromagnetic interference exceeds limits</t>
  </si>
  <si>
    <t>There is a risk that equipment emissions or susceptibility create interference, resulting in communications or measurements are corrupted.</t>
  </si>
  <si>
    <t>Avoid</t>
  </si>
  <si>
    <t>Maintain an EMC control plan, test high-risk unit combinations early, and reserve filtering and grounding fixes.</t>
  </si>
  <si>
    <t>Review actions remain open</t>
  </si>
  <si>
    <t>There is a risk that major review findings are not closed before the next lifecycle stage, resulting in technical debt and uncertainty accumulate.</t>
  </si>
  <si>
    <t>Assign owners and due dates, track closure evidence and block progression for critical actions.</t>
  </si>
  <si>
    <t>Bid competition is inadequate</t>
  </si>
  <si>
    <t>There is a risk that too few compliant bids are received, resulting in price leverage falls and award may need to restart.</t>
  </si>
  <si>
    <t>Conduct early market engagement and tailor requirements to preserve feasible competition.</t>
  </si>
  <si>
    <t>Navigation software diverges</t>
  </si>
  <si>
    <t>There is a risk that estimation filters become unstable under off-nominal sensor conditions, resulting in pointing or trajectory errors grow.</t>
  </si>
  <si>
    <t>Test Monte Carlo dispersions and sensor outages, and provide reset and alternate-estimator modes.</t>
  </si>
  <si>
    <t>Science operations are understaffed</t>
  </si>
  <si>
    <t>There is a risk that the science operations team is not staffed early enough to prepare and validate procedures, resulting in commissioning and routine planning are delayed.</t>
  </si>
  <si>
    <t>Phase staffing into development, cross-train analysts, and rehearse operations using a mission simulator.</t>
  </si>
  <si>
    <t>Launch-state authorization changes</t>
  </si>
  <si>
    <t>There is a risk that the responsible state introduces new licensing or liability conditions, resulting in launch arrangements and insurance costs change.</t>
  </si>
  <si>
    <t>Monitor the launch jurisdiction and preserve contractual flexibility for alternate providers.</t>
  </si>
  <si>
    <t>Policy priority shifts</t>
  </si>
  <si>
    <t>There is a risk that government priorities move away from the mission theme, resulting in funding or approvals are reduced.</t>
  </si>
  <si>
    <t>Maintain clear strategic alignment and scalable options with independently valuable outcomes.</t>
  </si>
  <si>
    <t>Pointing performance is insufficient</t>
  </si>
  <si>
    <t>There is a risk that attitude knowledge or control errors exceed the payload allocation, resulting in image quality or measurement accuracy is degraded.</t>
  </si>
  <si>
    <t>Maintain a pointing error budget, test representative sensors and actuators, and validate performance in simulation.</t>
  </si>
  <si>
    <t>Clock stability is inadequate</t>
  </si>
  <si>
    <t>There is a risk that timing drift or synchronization error exceeds the allocated budget, resulting in measurements and event reconstruction lose accuracy.</t>
  </si>
  <si>
    <t>Budget end-to-end timing error and verify clock stability, synchronization and time-correlation processing.</t>
  </si>
  <si>
    <t>Test facility is unavailable</t>
  </si>
  <si>
    <t>There is a risk that a required thermal-vacuum, vibration or EMC facility is not available as scheduled, resulting in the integrated test campaign slips.</t>
  </si>
  <si>
    <t>Reserve facilities early and maintain qualified alternate facilities and portable test configurations.</t>
  </si>
  <si>
    <t>Integration access is inadequate</t>
  </si>
  <si>
    <t>There is a risk that the physical design prevents installation, inspection or replacement of units, resulting in assembly labour and risk of damage increase.</t>
  </si>
  <si>
    <t>Perform digital and physical accessibility reviews with technicians before design release.</t>
  </si>
  <si>
    <t>Memory corruption is not contained</t>
  </si>
  <si>
    <t>There is a risk that software or radiation-induced corruption propagates through shared memory, resulting in multiple functions fail simultaneously.</t>
  </si>
  <si>
    <t>Apply memory protection, checksums, scrubbing and partitioning, then inject faults during qualification.</t>
  </si>
  <si>
    <t>Critical expertise is concentrated</t>
  </si>
  <si>
    <t>There is a risk that only one person can perform or approve a mission-critical activity, resulting in absence or departure stops progress.</t>
  </si>
  <si>
    <t>Identify single points of knowledge, assign deputies and require documented handover and paired work.</t>
  </si>
  <si>
    <t>Workplace conflict impairs delivery</t>
  </si>
  <si>
    <t>There is a risk that persistent conflict prevents constructive technical decisions, resulting in coordination slows and staff turnover increases.</t>
  </si>
  <si>
    <t>Clarify roles, use facilitated decision processes and intervene early through management channels.</t>
  </si>
  <si>
    <t>Observation concept proves infeasible</t>
  </si>
  <si>
    <t>There is a risk that the planned observation cadence cannot be achieved within pointing, power or data constraints, resulting in the mission returns fewer useful observations than assumed.</t>
  </si>
  <si>
    <t>Run end-to-end observing simulations early and reserve alternate cadence modes in the concept of operations.</t>
  </si>
  <si>
    <t>Extended mission assumptions are optimistic</t>
  </si>
  <si>
    <t>There is a risk that consumables and component life do not support the planned extended mission, resulting in expected lifetime science return is not achieved.</t>
  </si>
  <si>
    <t>Separate prime and extended mission requirements and qualify life-limited items to a defined extension goal.</t>
  </si>
  <si>
    <t>Avionics interface incompatibility emerges</t>
  </si>
  <si>
    <t>There is a risk that units implement inconsistent electrical or data interfaces, resulting in integration requires adapters, redesign or schedule-consuming troubleshooting.</t>
  </si>
  <si>
    <t>Control interface documents, use interface simulators, and hold incremental compatibility tests before delivery.</t>
  </si>
  <si>
    <t>Supplier financial distress emerges</t>
  </si>
  <si>
    <t>There is a risk that a key supplier restructures or ceases operations, resulting in deliveries, warranties and technical support are disrupted.</t>
  </si>
  <si>
    <t>Monitor financial health and secure design data, work-in-progress rights and transition assistance.</t>
  </si>
  <si>
    <t>Natural disaster affects key facility</t>
  </si>
  <si>
    <t>There is a risk that wildfire, flood, earthquake or severe storm closes a critical site, resulting in hardware or operations are interrupted.</t>
  </si>
  <si>
    <t>Assess site hazards, protect assets and maintain geographically separated backup capability.</t>
  </si>
  <si>
    <t>Data compression loses science content</t>
  </si>
  <si>
    <t>There is a risk that compression settings introduce unacceptable artefacts or information loss, resulting in science products fail quality criteria.</t>
  </si>
  <si>
    <t>Validate compression with representative scenes and retain selectable lossless or lower-compression modes.</t>
  </si>
  <si>
    <t>Field-of-view is obstructed</t>
  </si>
  <si>
    <t>There is a risk that the final spacecraft configuration introduces unmodelled obscuration or contamination, resulting in usable science coverage is reduced.</t>
  </si>
  <si>
    <t>Maintain a field-of-view keep-out model and verify it at configuration and accommodation reviews.</t>
  </si>
  <si>
    <t>Structural modes couple with launcher</t>
  </si>
  <si>
    <t>There is a risk that spacecraft natural frequencies conflict with launch vehicle requirements, resulting in structural redesign and repeat testing are needed.</t>
  </si>
  <si>
    <t>Perform coupled-loads analysis early and reserve stiffness and mass for local reinforcement.</t>
  </si>
  <si>
    <t>Micrometeoroid exposure is underestimated</t>
  </si>
  <si>
    <t>There is a risk that debris or micrometeoroid flux exceeds design assumptions, resulting in critical hardware is damaged during the mission.</t>
  </si>
  <si>
    <t>Update environment models, add localized shielding and orient or schedule operations to reduce exposure.</t>
  </si>
  <si>
    <t>Governance roles are unclear</t>
  </si>
  <si>
    <t>There is a risk that sponsors, project leaders and functional authorities interpret accountability differently, resulting in decisions are duplicated or avoided.</t>
  </si>
  <si>
    <t>Approve a responsibility matrix and decision map at project start and revisit it after organizational changes.</t>
  </si>
  <si>
    <t>Procurement approval is delayed</t>
  </si>
  <si>
    <t>There is a risk that internal review and contracting take longer than the schedule assumes, resulting in critical work starts late.</t>
  </si>
  <si>
    <t>Engage procurement during planning and maintain a realistic acquisition schedule with complete documentation.</t>
  </si>
  <si>
    <t>Security classification changes</t>
  </si>
  <si>
    <t>There is a risk that information is reclassified or assigned tighter handling restrictions, resulting in tools, facilities and collaboration methods require replacement.</t>
  </si>
  <si>
    <t>Confirm classifications early and design separable data sets and compliant environments.</t>
  </si>
  <si>
    <t>Software timing margins disappear</t>
  </si>
  <si>
    <t>There is a risk that worst-case execution time exceeds allocations under peak load, resulting in deadlines are missed and control performance degrades.</t>
  </si>
  <si>
    <t>Measure timing on target hardware and enforce task budgets with representative stress cases.</t>
  </si>
  <si>
    <t>Licensing constrains deployment</t>
  </si>
  <si>
    <t>There is a risk that software licensing terms restrict flight, partner or long-term operational use, resulting in replacement or renegotiation creates unplanned cost.</t>
  </si>
  <si>
    <t>Review licence terms before selection and prefer transferable, supportable components.</t>
  </si>
  <si>
    <t>On-board computer capacity is inadequate</t>
  </si>
  <si>
    <t>There is a risk that processing or memory demand grows beyond flight-computer capacity, resulting in software features are removed or hardware is replaced.</t>
  </si>
  <si>
    <t>Profile representative workloads early and retain processor, memory and timing margin with growth thresholds.</t>
  </si>
  <si>
    <t>Indigenous consultation is incomplete</t>
  </si>
  <si>
    <t>There is a risk that activities affecting rights or lands proceed without sufficient consultation, resulting in approvals, trust and schedule are jeopardized.</t>
  </si>
  <si>
    <t>Begin meaningful consultation early and integrate commitments into mission plans and contracts.</t>
  </si>
  <si>
    <t>Records obligations are unmet</t>
  </si>
  <si>
    <t>There is a risk that mission records are not captured in approved repositories, resulting in evidence is lost and audits require reconstruction.</t>
  </si>
  <si>
    <t>Define records classes, automate transfer where possible and audit compliance at reviews.</t>
  </si>
  <si>
    <t>Science traceability breaks down</t>
  </si>
  <si>
    <t>There is a risk that the science traceability matrix is incomplete or not maintained, resulting in design features cannot be justified against mission objectives.</t>
  </si>
  <si>
    <t>Assign an owner to the traceability matrix and reconcile it at monthly science and systems-engineering reviews.</t>
  </si>
  <si>
    <t>Seasonal observation window is missed</t>
  </si>
  <si>
    <t>There is a risk that development or launch delays cause the mission to miss a critical seasonal target, resulting in science return is deferred or reduced.</t>
  </si>
  <si>
    <t>Model seasonal windows in the integrated schedule and protect launch and commissioning margin around critical dates.</t>
  </si>
  <si>
    <t>Ground Segment &amp; Operations</t>
  </si>
  <si>
    <t>Mission control software is late</t>
  </si>
  <si>
    <t>There is a risk that ground-system functions are not ready for spacecraft integration, resulting in end-to-end tests and operator training slip.</t>
  </si>
  <si>
    <t>Deliver core command and telemetry functions incrementally and test against spacecraft simulators.</t>
  </si>
  <si>
    <t>Consumables trend is detected late</t>
  </si>
  <si>
    <t>There is a risk that operations do not accurately estimate propellant, battery or mechanism life, resulting in mission-life decisions are made too late.</t>
  </si>
  <si>
    <t>Establish calibrated trending models and review life-limited resources at regular health meetings.</t>
  </si>
  <si>
    <t>Simulation fidelity is insufficient</t>
  </si>
  <si>
    <t>There is a risk that the software test environment omits important hardware or environmental behaviour, resulting in defects appear only during late system testing or flight.</t>
  </si>
  <si>
    <t>Correlate simulators against hardware, document fidelity limits and add hardware-in-the-loop coverage for critical paths.</t>
  </si>
  <si>
    <t>Inflation exceeds escalation assumptions</t>
  </si>
  <si>
    <t>There is a risk that labour and material prices rise faster than the estimate, resulting in multi-year contract and internal costs exceed plan.</t>
  </si>
  <si>
    <t>Update escalation indices and use contract clauses and reserves matched to exposure.</t>
  </si>
  <si>
    <t>Cloud service pricing changes</t>
  </si>
  <si>
    <t>There is a risk that usage or vendor pricing grows beyond forecast, resulting in ground-system operating costs exceed plan.</t>
  </si>
  <si>
    <t>Set usage budgets and alerts, optimize architecture and preserve portability for major services.</t>
  </si>
  <si>
    <t>Command authorization is bypassed</t>
  </si>
  <si>
    <t>There is a risk that weak workflow or access control allows an unauthorized command, resulting in spacecraft safety or mission objectives are compromised.</t>
  </si>
  <si>
    <t>Enforce role-based approval, strong authentication and auditable command release.</t>
  </si>
  <si>
    <t>Thermal design lacks margin</t>
  </si>
  <si>
    <t>There is a risk that hot or cold case temperatures exceed component limits, resulting in qualification failures or on-orbit degradation occur.</t>
  </si>
  <si>
    <t>Correlate thermal models with testing and retain heater, radiator and operational constraint margins.</t>
  </si>
  <si>
    <t>Contamination degrades payload</t>
  </si>
  <si>
    <t>There is a risk that molecular or particulate contamination reaches sensitive surfaces, resulting in throughput, thermal performance or measurement accuracy declines.</t>
  </si>
  <si>
    <t>Implement a contamination-control plan with budgets, witness samples, bake-out and monitored clean handling.</t>
  </si>
  <si>
    <t>Privacy obligations are overlooked</t>
  </si>
  <si>
    <t>There is a risk that mission services collect personal information without adequate controls, resulting in compliance work and system changes are required.</t>
  </si>
  <si>
    <t>Perform a privacy assessment and minimize, protect and retain personal data only as authorized.</t>
  </si>
  <si>
    <t>Reference data are unavailable</t>
  </si>
  <si>
    <t>There is a risk that external reference data needed to interpret observations are unavailable or restricted, resulting in science products cannot be validated on schedule.</t>
  </si>
  <si>
    <t>Secure data-sharing agreements and identify independent backup reference sources.</t>
  </si>
  <si>
    <t>Sanctions affect supplier access</t>
  </si>
  <si>
    <t>There is a risk that new sanctions prohibit transactions or technical support, resulting in contracts must be terminated or replaced.</t>
  </si>
  <si>
    <t>Screen ownership and jurisdictions continuously and include termination and transition clauses.</t>
  </si>
  <si>
    <t>Fault protection masks root causes</t>
  </si>
  <si>
    <t>There is a risk that fault-management actions overwrite evidence needed for diagnosis, resulting in recovery takes longer and recurrence is likely.</t>
  </si>
  <si>
    <t>Preserve event logs and snapshots, test fault interactions, and provide ground-selectable diagnostic modes.</t>
  </si>
  <si>
    <t>Logging volume exceeds storage</t>
  </si>
  <si>
    <t>There is a risk that diagnostic and science logs fill allocated storage during anomalies, resulting in new data are lost or essential logs are overwritten.</t>
  </si>
  <si>
    <t>Set quotas and priorities, compress logs, and test extended anomaly scenarios.</t>
  </si>
  <si>
    <t>Link margin is insufficient</t>
  </si>
  <si>
    <t>There is a risk that actual antenna, weather or interference performance reduces communications margin, resulting in data volume and commanding reliability decline.</t>
  </si>
  <si>
    <t>Validate link budgets with measured parameters and preserve lower-rate and alternate-station modes.</t>
  </si>
  <si>
    <t>Encryption keys are mishandled</t>
  </si>
  <si>
    <t>There is a risk that keys expire, are lost or are exposed, resulting in secure commanding or data access is interrupted.</t>
  </si>
  <si>
    <t>Use controlled key management, dual custody, tested rollover and emergency recovery procedures.</t>
  </si>
  <si>
    <t>Minimum order quantities increase cost</t>
  </si>
  <si>
    <t>There is a risk that specialized materials or parts require purchases beyond actual need, resulting in procurement cost and obsolete inventory increase.</t>
  </si>
  <si>
    <t>Aggregate demand across units and missions and negotiate lot-sizing or supplier-held inventory.</t>
  </si>
  <si>
    <t>Detector performance degrades</t>
  </si>
  <si>
    <t>There is a risk that detector noise, defects or radiation damage exceed predictions, resulting in science sensitivity and calibration stability decline.</t>
  </si>
  <si>
    <t>Screen detectors, characterize radiation response, and include annealing, redundancy or correction algorithms where feasible.</t>
  </si>
  <si>
    <t>Science requirements remain ambiguous</t>
  </si>
  <si>
    <t>There is a risk that science requirements are not made measurable and stable before design decisions, resulting in instrument performance is optimized against the wrong success criteria.</t>
  </si>
  <si>
    <t>Facilitate requirement workshops, establish measurable thresholds and objectives, and maintain bidirectional traceability through each review.</t>
  </si>
  <si>
    <t>Planetary protection constraints expand</t>
  </si>
  <si>
    <t>There is a risk that planetary protection classification or implementation requirements become more stringent, resulting in additional sterilization, documentation and verification work is required.</t>
  </si>
  <si>
    <t>Engage the responsible authority early and maintain a compliant design option with explicit cost and schedule reserves.</t>
  </si>
  <si>
    <t>Telemetry archive loses data</t>
  </si>
  <si>
    <t>There is a risk that archive failures or retention errors delete raw mission data, resulting in anomaly evidence and science records cannot be recovered.</t>
  </si>
  <si>
    <t>Use replicated immutable storage, integrity checks and tested restoration procedures.</t>
  </si>
  <si>
    <t>Software configuration is inconsistent</t>
  </si>
  <si>
    <t>There is a risk that development, test and flight environments use different versions or parameters, resulting in results cannot be reproduced and defects escape.</t>
  </si>
  <si>
    <t>Automate configuration baselines and require signed release manifests for every test and upload.</t>
  </si>
  <si>
    <t>Environmental assessment expands</t>
  </si>
  <si>
    <t>There is a risk that additional environmental evidence or consultation is required, resulting in approval and site work are delayed.</t>
  </si>
  <si>
    <t>Engage authorities early and maintain complete environmental data and mitigation commitments.</t>
  </si>
  <si>
    <t>Accessibility requirements are added late</t>
  </si>
  <si>
    <t>There is a risk that public or internal digital services do not meet accessibility standards, resulting in interfaces and content require redesign.</t>
  </si>
  <si>
    <t>Include accessibility criteria, user testing and compliance evidence from the first release.</t>
  </si>
  <si>
    <t>Power demand exceeds generation</t>
  </si>
  <si>
    <t>There is a risk that peak or average power demand exceeds available generation and storage, resulting in operating modes must be curtailed or hardware redesigned.</t>
  </si>
  <si>
    <t>Maintain mode-based power budgets, test worst-case profiles, and preserve load-shedding and array-sizing options.</t>
  </si>
  <si>
    <t>Harness design grows late</t>
  </si>
  <si>
    <t>There is a risk that cable routing, connectors and service loops are underestimated, resulting in mass increases and integration access deteriorates.</t>
  </si>
  <si>
    <t>Release routing models early, maintain harness margins, and conduct physical fit checks before final fabrication.</t>
  </si>
  <si>
    <t>Foreign exchange increases costs</t>
  </si>
  <si>
    <t>There is a risk that exchange rates move adversely before foreign-currency payments, resulting in approved funding buys less contracted work.</t>
  </si>
  <si>
    <t>Use hedging where permitted, stage commitments and hold currency contingency.</t>
  </si>
  <si>
    <t>Insurance coverage contains exclusions</t>
  </si>
  <si>
    <t>There is a risk that policy wording excludes a material mission failure scenario, resulting in expected financial recovery is unavailable.</t>
  </si>
  <si>
    <t>Use specialist review and compare exclusions, deductibles and recovery timing before placement.</t>
  </si>
  <si>
    <t>Hazard controls are not verified</t>
  </si>
  <si>
    <t>There is a risk that identified safety controls exist only in documentation, resulting in a hazardous condition remains during test or operations.</t>
  </si>
  <si>
    <t>Track controls to objective verification evidence and independently close safety actions.</t>
  </si>
  <si>
    <t>Ground station availability is lower</t>
  </si>
  <si>
    <t>There is a risk that scheduled contacts are displaced or unavailable, resulting in commands and science data delivery are delayed.</t>
  </si>
  <si>
    <t>Contract diverse stations, monitor service levels and retain emergency contact capacity.</t>
  </si>
  <si>
    <t>Frequency interference disrupts contacts</t>
  </si>
  <si>
    <t>There is a risk that external emitters interfere with uplink or downlink, resulting in contacts fail or data must be retransmitted.</t>
  </si>
  <si>
    <t>Coordinate spectrum use, monitor interference and provide alternate rates, sites or frequencies where permitted.</t>
  </si>
  <si>
    <t>Science algorithm maturity is low</t>
  </si>
  <si>
    <t>There is a risk that key retrieval or processing algorithms remain below the maturity assumed in the schedule, resulting in late algorithm changes drive redesign and reprocessing.</t>
  </si>
  <si>
    <t>Prototype algorithms with representative data and hold algorithm-readiness reviews before freezing interfaces.</t>
  </si>
  <si>
    <t>Autonomy logic behaves unexpectedly</t>
  </si>
  <si>
    <t>There is a risk that autonomous decisions encounter states not represented in test scenarios, resulting in the spacecraft enters an unsafe or unproductive mode.</t>
  </si>
  <si>
    <t>Use model-based scenario testing, independent logic review and conservative fallback states.</t>
  </si>
  <si>
    <t>Machine-learning model is unverified</t>
  </si>
  <si>
    <t>There is a risk that an on-board model performs poorly outside its training distribution, resulting in autonomous classifications or decisions become unreliable.</t>
  </si>
  <si>
    <t>Define an operational envelope, test independent datasets and retain deterministic override logic.</t>
  </si>
  <si>
    <t>Data &amp; Science Products</t>
  </si>
  <si>
    <t>Algorithm changes break comparability</t>
  </si>
  <si>
    <t>There is a risk that processing updates create discontinuities in the science record, resulting in trend analysis and published conclusions are affected.</t>
  </si>
  <si>
    <t>Version algorithms and products, quantify changes and reprocess the archive when scientifically necessary.</t>
  </si>
  <si>
    <t>Data rights delay release</t>
  </si>
  <si>
    <t>There is a risk that partner or commercial rights are not resolved, resulting in products cannot be released on the planned schedule.</t>
  </si>
  <si>
    <t>Agree ownership, embargo and licensing terms before data collection begins.</t>
  </si>
  <si>
    <t>Time synchronization is inconsistent</t>
  </si>
  <si>
    <t>There is a risk that ground sites and processing systems use inconsistent time sources or conventions, resulting in telemetry correlation and science timing are corrupted.</t>
  </si>
  <si>
    <t>Use authoritative time services and verify end-to-end timestamp handling.</t>
  </si>
  <si>
    <t>Optical alignment shifts</t>
  </si>
  <si>
    <t>There is a risk that launch or thermal loads disturb payload alignment, resulting in instrument performance falls below specification.</t>
  </si>
  <si>
    <t>Use stable materials, conduct alignment tests across environments, and provide an in-flight calibration method.</t>
  </si>
  <si>
    <t>Data latency misses user need</t>
  </si>
  <si>
    <t>There is a risk that processing and distribution take longer than the operational decision window, resulting in products lose practical value.</t>
  </si>
  <si>
    <t>Measure end-to-end latency and optimize the critical path with near-real-time product tiers.</t>
  </si>
  <si>
    <t>Sample return integrity is compromised</t>
  </si>
  <si>
    <t>There is a risk that the collected sample or science material is altered during handling or return, resulting in scientific value is materially reduced.</t>
  </si>
  <si>
    <t>Define contamination-control requirements and verify the complete custody and handling chain through rehearsals.</t>
  </si>
  <si>
    <t>Geopolitical relations disrupt partnership</t>
  </si>
  <si>
    <t>There is a risk that government policy restricts collaboration with a partner or supplier, resulting in data, hardware or services become unavailable.</t>
  </si>
  <si>
    <t>Segment critical dependencies and maintain domestic or allied alternatives for essential capabilities.</t>
  </si>
  <si>
    <t>Command validation is incomplete</t>
  </si>
  <si>
    <t>There is a risk that invalid or conflicting commands are not rejected safely, resulting in equipment damage or mission interruption can occur.</t>
  </si>
  <si>
    <t>Implement layered command checks and test malformed, stale and out-of-sequence commands.</t>
  </si>
  <si>
    <t>Warranty ends before launch</t>
  </si>
  <si>
    <t>There is a risk that schedule delays consume the warranty period before hardware is used, resulting in repairs and recertification become project costs.</t>
  </si>
  <si>
    <t>Tie warranty start to acceptance or launch and price extension options.</t>
  </si>
  <si>
    <t>Partner ground service is withdrawn</t>
  </si>
  <si>
    <t>There is a risk that a partner changes priorities or stops providing agreed services, resulting in coverage and data delivery are reduced.</t>
  </si>
  <si>
    <t>Formalize service commitments and maintain a commercial or internal backup option.</t>
  </si>
  <si>
    <t>Calibration database is corrupted</t>
  </si>
  <si>
    <t>There is a risk that incorrect constants or versioning enter the operational calibration store, resulting in large volumes of products are processed incorrectly.</t>
  </si>
  <si>
    <t>Use versioned immutable calibration records, approvals and automated validity checks.</t>
  </si>
  <si>
    <t>Reprocessing demand is underestimated</t>
  </si>
  <si>
    <t>There is a risk that calibration or algorithm updates require more compute and labour than planned, resulting in backlogs delay consistent archive releases.</t>
  </si>
  <si>
    <t>Benchmark full-volume reprocessing and reserve scalable compute and campaign staffing.</t>
  </si>
  <si>
    <t>Payload mass exceeds allocation</t>
  </si>
  <si>
    <t>There is a risk that payload mass growth consumes spacecraft and launch margins, resulting in redesign or a more expensive launch configuration is required.</t>
  </si>
  <si>
    <t>Track a controlled mass budget, apply phase-appropriate margins, and trigger design trades at predefined thresholds.</t>
  </si>
  <si>
    <t>Mechanism fails to deploy</t>
  </si>
  <si>
    <t>There is a risk that a solar array, antenna, cover or boom does not fully deploy, resulting in the mission loses power, communications or payload capability.</t>
  </si>
  <si>
    <t>Use high-heritage mechanisms, test repeated deployments under representative conditions, and add deployment telemetry and contingency logic.</t>
  </si>
  <si>
    <t>User demand exceeds service capacity</t>
  </si>
  <si>
    <t>There is a risk that product portals and APIs receive more traffic than planned, resulting in access slows or fails during major events.</t>
  </si>
  <si>
    <t>Load-test services, use elastic capacity and prioritize operationally critical users.</t>
  </si>
  <si>
    <t>Control centre outage interrupts service</t>
  </si>
  <si>
    <t>There is a risk that power, network or facility failure makes the primary centre unavailable, resulting in spacecraft monitoring and commanding are interrupted.</t>
  </si>
  <si>
    <t>Maintain a tested backup control capability and regularly exercise failover.</t>
  </si>
  <si>
    <t>Requirements volatility drives rework</t>
  </si>
  <si>
    <t>There is a risk that software requirements continue changing after architecture definition, resulting in code, tests and documentation require repeated revision.</t>
  </si>
  <si>
    <t>Establish change control, prototype uncertain functions, and defer discretionary features to later releases.</t>
  </si>
  <si>
    <t>Patch capability is inadequate</t>
  </si>
  <si>
    <t>There is a risk that the mission cannot safely update defective flight software, resulting in known faults persist or require costly operational workarounds.</t>
  </si>
  <si>
    <t>Design a recoverable dual-bank update process and rehearse upload, rollback and verification.</t>
  </si>
  <si>
    <t>Metadata are incomplete</t>
  </si>
  <si>
    <t>There is a risk that products lack consistent provenance, quality and processing metadata, resulting in users cannot interpret or reproduce results.</t>
  </si>
  <si>
    <t>Adopt controlled metadata standards and validate them automatically at ingestion.</t>
  </si>
  <si>
    <t>User requirements are misunderstood</t>
  </si>
  <si>
    <t>There is a risk that science and operational users need different formats or timeliness than assumed, resulting in products require late redesign.</t>
  </si>
  <si>
    <t>Validate prototypes with representative users and baseline product-level requirements.</t>
  </si>
  <si>
    <t>Background environment is underestimated</t>
  </si>
  <si>
    <t>There is a risk that stray light, radiation or environmental background exceeds the assumed level, resulting in signal-to-noise performance is degraded.</t>
  </si>
  <si>
    <t>Update environmental models, test worst-case backgrounds, and preserve shielding and observing-window options.</t>
  </si>
  <si>
    <t>External observatory coordination fails</t>
  </si>
  <si>
    <t>There is a risk that coordinated observations from partner facilities are not available, resulting in planned multi-platform investigations lose value.</t>
  </si>
  <si>
    <t>Obtain written observing commitments and develop standalone science cases that do not depend on partner availability.</t>
  </si>
  <si>
    <t>Contract incentives are misaligned</t>
  </si>
  <si>
    <t>There is a risk that commercial terms reward delivery speed over quality or lifecycle performance, resulting in defects and downstream costs increase.</t>
  </si>
  <si>
    <t>Align incentives with verified technical outcomes and balanced cost, schedule and quality measures.</t>
  </si>
  <si>
    <t>Contract change negotiations stall</t>
  </si>
  <si>
    <t>There is a risk that the parties cannot agree on price or responsibility for required changes, resulting in work pauses or proceeds without cost clarity.</t>
  </si>
  <si>
    <t>Define change mechanisms, maintain contemporaneous cost records and escalate disputed scope promptly.</t>
  </si>
  <si>
    <t>Obsolescence affects long mission</t>
  </si>
  <si>
    <t>There is a risk that ground hardware or software becomes unsupported during operations, resulting in maintenance and security costs increase.</t>
  </si>
  <si>
    <t>Use lifecycle roadmaps, virtualized environments and funded technology refresh points.</t>
  </si>
  <si>
    <t>Propellant margin erodes</t>
  </si>
  <si>
    <t>There is a risk that actual manoeuvre demand or propulsion performance differs from assumptions, resulting in mission life or disposal capability is reduced.</t>
  </si>
  <si>
    <t>Maintain a probabilistic delta-v budget and protect a management reserve for collision avoidance and disposal.</t>
  </si>
  <si>
    <t>Ground truth is insufficient</t>
  </si>
  <si>
    <t>There is a risk that representative validation measurements are unavailable, resulting in product accuracy cannot be demonstrated.</t>
  </si>
  <si>
    <t>Plan ground and airborne campaigns early and secure partner datasets and fallback methods.</t>
  </si>
  <si>
    <t>Third-party software has vulnerabilities</t>
  </si>
  <si>
    <t>There is a risk that a library or operating-system component contains a serious defect or vulnerability, resulting in certification, patching or redesign delays delivery.</t>
  </si>
  <si>
    <t>Maintain a software bill of materials, monitor advisories and qualify controlled replacement versions.</t>
  </si>
  <si>
    <t>Operator training is inadequate</t>
  </si>
  <si>
    <t>There is a risk that controllers have insufficient practice with off-nominal scenarios, resulting in incorrect actions worsen anomalies.</t>
  </si>
  <si>
    <t>Use certification standards, recurrent simulations and objective proficiency checks.</t>
  </si>
  <si>
    <t>Routine software updates introduce faults</t>
  </si>
  <si>
    <t>There is a risk that a ground-system update changes validated behaviour, resulting in operations are interrupted or commands are generated incorrectly.</t>
  </si>
  <si>
    <t>Use segregated test environments, regression tests and controlled rollback for every production update.</t>
  </si>
  <si>
    <t>Data pipeline is delivered late</t>
  </si>
  <si>
    <t>There is a risk that processing software is not ready when commissioning data arrive, resulting in calibration and product release are delayed.</t>
  </si>
  <si>
    <t>Develop the pipeline against simulators and precursor data with incremental acceptance releases.</t>
  </si>
  <si>
    <t>Checksum failures go unnoticed</t>
  </si>
  <si>
    <t>There is a risk that stored or transferred files are silently corrupted, resulting in analysis uses invalid data.</t>
  </si>
  <si>
    <t>Generate and verify checksums at transfer, ingestion, replication and retrieval.</t>
  </si>
  <si>
    <t>Technology demonstration conflicts with science</t>
  </si>
  <si>
    <t>There is a risk that technology-demonstration objectives compete with core science for resources, resulting in primary mission objectives receive less observing time or margin.</t>
  </si>
  <si>
    <t>Rank objectives, ring-fence minimum science resources, and define rules for suspending demonstration activities.</t>
  </si>
  <si>
    <t>Radiation tolerance is inadequate</t>
  </si>
  <si>
    <t>There is a risk that parts experience a radiation environment above their qualified tolerance, resulting in single-event effects or cumulative damage cause loss of function.</t>
  </si>
  <si>
    <t>Update radiation analysis, select screened parts, and implement shielding, error correction and fault recovery.</t>
  </si>
  <si>
    <t>Data validation lacks independence</t>
  </si>
  <si>
    <t>There is a risk that the same team develops and approves science products, resulting in systematic errors escape release gates.</t>
  </si>
  <si>
    <t>Use independent validation datasets, reviewers and acceptance criteria.</t>
  </si>
  <si>
    <t>Flight software delivery is late</t>
  </si>
  <si>
    <t>There is a risk that flight software maturity trails hardware integration needs, resulting in system tests start late or use unrepresentative stubs.</t>
  </si>
  <si>
    <t>Use incremental releases, prioritize integration-critical functions, and measure earned functionality at each build.</t>
  </si>
  <si>
    <t>Ground and flight protocols diverge</t>
  </si>
  <si>
    <t>There is a risk that ground software and flight software implement different protocol interpretations, resulting in commands or telemetry fail during integration.</t>
  </si>
  <si>
    <t>Generate interfaces from controlled schemas and conduct continuous end-to-end compatibility testing.</t>
  </si>
  <si>
    <t>Operations workload exceeds staffing</t>
  </si>
  <si>
    <t>There is a risk that routine planning and anomaly load require more effort than estimated, resulting in staff fatigue and contractor costs increase.</t>
  </si>
  <si>
    <t>Use workload simulations, automate repetitive tasks and cross-train surge staff.</t>
  </si>
  <si>
    <t>Science data volume exceeds capacity</t>
  </si>
  <si>
    <t>There is a risk that actual raw and processed data volume exceeds storage or downlink allocations, resulting in observations are discarded or infrastructure costs rise.</t>
  </si>
  <si>
    <t>Validate volume with representative scenes and implement prioritization, compression and scalable storage.</t>
  </si>
  <si>
    <t>Proprietary dependency blocks reproducibility</t>
  </si>
  <si>
    <t>There is a risk that critical processing relies on inaccessible tools or licences, resulting in partners and future users cannot reproduce products.</t>
  </si>
  <si>
    <t>Prefer open interfaces and preserve executable environments and licences for the mission lifecycle.</t>
  </si>
  <si>
    <t>Operations procedures are incomplete</t>
  </si>
  <si>
    <t>There is a risk that nominal and contingency procedures are not validated before launch, resulting in operator errors and slow anomaly response increase.</t>
  </si>
  <si>
    <t>Author procedures early, validate them in simulations and control them as operational baselines.</t>
  </si>
  <si>
    <t>Anomaly response authority is unclear</t>
  </si>
  <si>
    <t>There is a risk that teams disagree about who can direct recovery actions, resulting in decisions are delayed during time-critical events.</t>
  </si>
  <si>
    <t>Approve an anomaly command structure and rehearse escalation and decision rights.</t>
  </si>
  <si>
    <t>Archive format becomes obsolete</t>
  </si>
  <si>
    <t>There is a risk that long-lived products depend on unsupported formats or software, resulting in future users cannot access the mission record.</t>
  </si>
  <si>
    <t>Use open preservation formats and schedule integrity and migration reviews.</t>
  </si>
  <si>
    <t>AI-assisted processing introduces bias</t>
  </si>
  <si>
    <t>There is a risk that training data or model behaviour creates systematic product errors, resulting in some regions or conditions receive unreliable results.</t>
  </si>
  <si>
    <t>Assess bias across representative conditions and retain monitored, versioned correction and fallback methods.</t>
  </si>
  <si>
    <t>Flight dynamics products are inaccurate</t>
  </si>
  <si>
    <t>There is a risk that orbit determination or manoeuvre products contain modelling or data errors, resulting in pointing, contacts or conjunction decisions are wrong.</t>
  </si>
  <si>
    <t>Use independent checks, calibrated models and formal product approval for critical manoeuvres.</t>
  </si>
  <si>
    <t>Cloud egress costs are underestimated</t>
  </si>
  <si>
    <t>There is a risk that users or partners transfer more data than forecast, resulting in operating costs exceed the data budget.</t>
  </si>
  <si>
    <t>Model access patterns, colocate processing and use controlled distribution tiers and caches.</t>
  </si>
  <si>
    <t>Duplicate records create inconsistency</t>
  </si>
  <si>
    <t>There is a risk that multiple repositories hold conflicting versions of products or metadata, resulting in users retrieve non-authoritative results.</t>
  </si>
  <si>
    <t>Assign authoritative repositories and unique identifiers with automated synchronization checks.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</si>
</sst>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6">
    <font>
      <sz val="11"/>
      <name val="Carlito"/>
    </font>
    <font>
      <b/>
      <sz val="15"/>
      <color rgb="FF17365D"/>
      <name val="Arial"/>
    </font>
    <font>
      <i/>
      <sz val="10"/>
      <color rgb="FF666666"/>
      <name val="Arial"/>
    </font>
    <font>
      <b/>
      <sz val="10"/>
      <color rgb="FF17365D"/>
      <name val="Arial"/>
    </font>
    <font>
      <b/>
      <sz val="10"/>
      <color rgb="FFFFFFFF"/>
      <name val="Arial"/>
    </font>
    <font>
      <sz val="9"/>
      <color rgb="FF222222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7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9" fontId="5" fillId="0" borderId="0" xfId="0" applyNumberFormat="1" applyFont="1" applyAlignment="1">
      <alignment horizontal="center" vertical="top"/>
    </xf>
    <xf numFmtId="164" fontId="5" fillId="0" borderId="0" xfId="0" applyNumberFormat="1" applyFont="1" applyAlignment="1">
      <alignment vertical="top"/>
    </xf>
    <xf numFmtId="0" fontId="5" fillId="5" borderId="0" xfId="0" applyFont="1" applyFill="1" applyAlignment="1">
      <alignment horizontal="center" vertical="top" wrapText="1"/>
    </xf>
    <xf numFmtId="0" fontId="5" fillId="5" borderId="0" xfId="0" applyFont="1" applyFill="1" applyAlignment="1">
      <alignment vertical="top" wrapText="1"/>
    </xf>
    <xf numFmtId="9" fontId="5" fillId="5" borderId="0" xfId="0" applyNumberFormat="1" applyFont="1" applyFill="1" applyAlignment="1">
      <alignment horizontal="center" vertical="top"/>
    </xf>
    <xf numFmtId="164" fontId="5" fillId="5" borderId="0" xfId="0" applyNumberFormat="1" applyFont="1" applyFill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0" fontId="4" fillId="4" borderId="0" xfId="0" applyFont="1" applyFill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22222"/>
        <name val="Arial"/>
        <scheme val="none"/>
      </font>
      <numFmt numFmtId="164" formatCode="\$#,##0"/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ssionRiskRegister" displayName="MissionRiskRegister" ref="A8:K208" totalsRowShown="0">
  <tableColumns count="11">
    <tableColumn id="1" xr3:uid="{00000000-0010-0000-0000-000001000000}" name="Mission ID"/>
    <tableColumn id="2" xr3:uid="{00000000-0010-0000-0000-000002000000}" name="Risk Category"/>
    <tableColumn id="3" xr3:uid="{00000000-0010-0000-0000-000003000000}" name="Risk Title"/>
    <tableColumn id="4" xr3:uid="{00000000-0010-0000-0000-000004000000}" name="Risk Description"/>
    <tableColumn id="5" xr3:uid="{00000000-0010-0000-0000-000005000000}" name="Mitigation Strategy"/>
    <tableColumn id="6" xr3:uid="{00000000-0010-0000-0000-000006000000}" name="Mitigation Strategy Narrative"/>
    <tableColumn id="7" xr3:uid="{00000000-0010-0000-0000-000007000000}" name="Probability"/>
    <tableColumn id="8" xr3:uid="{00000000-0010-0000-0000-000008000000}" name="Cost Impact – Optimistic ($000)"/>
    <tableColumn id="9" xr3:uid="{00000000-0010-0000-0000-000009000000}" name="Cost Impact – Most Likely ($000)" dataDxfId="0">
      <calculatedColumnFormula>(MissionRiskRegister[[#This Row],[Cost Impact – Pessimistic ($000)]]*4+MissionRiskRegister[[#This Row],[Cost Impact – Optimistic ($000)]]*2)/6</calculatedColumnFormula>
    </tableColumn>
    <tableColumn id="10" xr3:uid="{00000000-0010-0000-0000-00000A000000}" name="Cost Impact – Pessimistic ($000)"/>
    <tableColumn id="11" xr3:uid="{00000000-0010-0000-0000-00000B000000}" name="Weighted Exposure ($000)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K208"/>
  <sheetViews>
    <sheetView showGridLines="0" tabSelected="1" workbookViewId="0">
      <pane xSplit="3" ySplit="8" topLeftCell="G9" activePane="bottomRight" state="frozen"/>
      <selection pane="topRight"/>
      <selection pane="bottomLeft"/>
      <selection pane="bottomRight" activeCell="K9" sqref="K9"/>
    </sheetView>
  </sheetViews>
  <sheetFormatPr defaultRowHeight="14"/>
  <cols>
    <col min="1" max="1" width="11" customWidth="1"/>
    <col min="2" max="2" width="25" customWidth="1"/>
    <col min="3" max="3" width="31" customWidth="1"/>
    <col min="4" max="4" width="55" customWidth="1"/>
    <col min="5" max="5" width="17" customWidth="1"/>
    <col min="6" max="6" width="58" customWidth="1"/>
    <col min="7" max="7" width="13" customWidth="1"/>
    <col min="8" max="11" width="20" customWidth="1"/>
  </cols>
  <sheetData>
    <row r="1" spans="1:11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9">
      <c r="A2" s="16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>
      <c r="A3" s="18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>
      <c r="A5" s="10" t="s">
        <v>2</v>
      </c>
      <c r="B5" s="11">
        <v>1001</v>
      </c>
      <c r="C5" s="10"/>
      <c r="D5" s="10" t="s">
        <v>3</v>
      </c>
      <c r="E5" s="12">
        <v>200</v>
      </c>
      <c r="F5" s="10"/>
      <c r="G5" s="10" t="s">
        <v>4</v>
      </c>
      <c r="H5" s="13">
        <f>AVERAGE(G9:G208)</f>
        <v>0.37675000000000014</v>
      </c>
      <c r="I5" s="10"/>
      <c r="J5" s="10" t="s">
        <v>5</v>
      </c>
      <c r="K5" s="14">
        <f>SUM(K9:K208)</f>
        <v>106395.66666666667</v>
      </c>
    </row>
    <row r="6" spans="1:11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42" customHeight="1">
      <c r="A8" s="15" t="s">
        <v>2</v>
      </c>
      <c r="B8" s="15" t="s">
        <v>6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5" t="s">
        <v>14</v>
      </c>
      <c r="K8" s="15" t="s">
        <v>15</v>
      </c>
    </row>
    <row r="9" spans="1:11" ht="45" customHeight="1">
      <c r="A9" s="2">
        <v>1</v>
      </c>
      <c r="B9" s="1" t="s">
        <v>16</v>
      </c>
      <c r="C9" s="1" t="s">
        <v>17</v>
      </c>
      <c r="D9" s="1" t="s">
        <v>18</v>
      </c>
      <c r="E9" s="2" t="s">
        <v>19</v>
      </c>
      <c r="F9" s="1" t="s">
        <v>20</v>
      </c>
      <c r="G9" s="3">
        <v>0.4</v>
      </c>
      <c r="H9" s="4">
        <v>1840</v>
      </c>
      <c r="I9" s="4">
        <f>(MissionRiskRegister[[#This Row],[Cost Impact – Pessimistic ($000)]]*4+MissionRiskRegister[[#This Row],[Cost Impact – Optimistic ($000)]]*2)/6</f>
        <v>5400</v>
      </c>
      <c r="J9" s="4">
        <v>7180</v>
      </c>
      <c r="K9" s="4">
        <f t="shared" ref="K9:K40" si="0">G9*I9</f>
        <v>2160</v>
      </c>
    </row>
    <row r="10" spans="1:11" ht="45" customHeight="1">
      <c r="A10" s="5">
        <v>2</v>
      </c>
      <c r="B10" s="6" t="s">
        <v>16</v>
      </c>
      <c r="C10" s="6" t="s">
        <v>21</v>
      </c>
      <c r="D10" s="6" t="s">
        <v>22</v>
      </c>
      <c r="E10" s="5" t="s">
        <v>23</v>
      </c>
      <c r="F10" s="6" t="s">
        <v>24</v>
      </c>
      <c r="G10" s="7">
        <v>0.4</v>
      </c>
      <c r="H10" s="8">
        <v>1210</v>
      </c>
      <c r="I10" s="4">
        <f>(MissionRiskRegister[[#This Row],[Cost Impact – Pessimistic ($000)]]*4+MissionRiskRegister[[#This Row],[Cost Impact – Optimistic ($000)]]*2)/6</f>
        <v>4223.333333333333</v>
      </c>
      <c r="J10" s="8">
        <v>5730</v>
      </c>
      <c r="K10" s="8">
        <f t="shared" si="0"/>
        <v>1689.3333333333333</v>
      </c>
    </row>
    <row r="11" spans="1:11" ht="45" customHeight="1">
      <c r="A11" s="2">
        <v>3</v>
      </c>
      <c r="B11" s="1" t="s">
        <v>16</v>
      </c>
      <c r="C11" s="1" t="s">
        <v>25</v>
      </c>
      <c r="D11" s="1" t="s">
        <v>26</v>
      </c>
      <c r="E11" s="2" t="s">
        <v>19</v>
      </c>
      <c r="F11" s="1" t="s">
        <v>27</v>
      </c>
      <c r="G11" s="3">
        <v>0.4</v>
      </c>
      <c r="H11" s="4">
        <v>1470</v>
      </c>
      <c r="I11" s="4">
        <f>(MissionRiskRegister[[#This Row],[Cost Impact – Pessimistic ($000)]]*4+MissionRiskRegister[[#This Row],[Cost Impact – Optimistic ($000)]]*2)/6</f>
        <v>4403.333333333333</v>
      </c>
      <c r="J11" s="4">
        <v>5870</v>
      </c>
      <c r="K11" s="4">
        <f t="shared" si="0"/>
        <v>1761.3333333333333</v>
      </c>
    </row>
    <row r="12" spans="1:11" ht="45" customHeight="1">
      <c r="A12" s="5">
        <v>4</v>
      </c>
      <c r="B12" s="6" t="s">
        <v>16</v>
      </c>
      <c r="C12" s="6" t="s">
        <v>28</v>
      </c>
      <c r="D12" s="6" t="s">
        <v>29</v>
      </c>
      <c r="E12" s="5" t="s">
        <v>19</v>
      </c>
      <c r="F12" s="6" t="s">
        <v>30</v>
      </c>
      <c r="G12" s="7">
        <v>0.4</v>
      </c>
      <c r="H12" s="8">
        <v>1530</v>
      </c>
      <c r="I12" s="4">
        <f>(MissionRiskRegister[[#This Row],[Cost Impact – Pessimistic ($000)]]*4+MissionRiskRegister[[#This Row],[Cost Impact – Optimistic ($000)]]*2)/6</f>
        <v>5083.333333333333</v>
      </c>
      <c r="J12" s="8">
        <v>6860</v>
      </c>
      <c r="K12" s="8">
        <f t="shared" si="0"/>
        <v>2033.3333333333333</v>
      </c>
    </row>
    <row r="13" spans="1:11" ht="45" customHeight="1">
      <c r="A13" s="2">
        <v>5</v>
      </c>
      <c r="B13" s="1" t="s">
        <v>16</v>
      </c>
      <c r="C13" s="1" t="s">
        <v>31</v>
      </c>
      <c r="D13" s="1" t="s">
        <v>32</v>
      </c>
      <c r="E13" s="2" t="s">
        <v>33</v>
      </c>
      <c r="F13" s="1" t="s">
        <v>34</v>
      </c>
      <c r="G13" s="3">
        <v>0.4</v>
      </c>
      <c r="H13" s="4">
        <v>1070</v>
      </c>
      <c r="I13" s="4">
        <f>(MissionRiskRegister[[#This Row],[Cost Impact – Pessimistic ($000)]]*4+MissionRiskRegister[[#This Row],[Cost Impact – Optimistic ($000)]]*2)/6</f>
        <v>4323.333333333333</v>
      </c>
      <c r="J13" s="4">
        <v>5950</v>
      </c>
      <c r="K13" s="4">
        <f t="shared" si="0"/>
        <v>1729.3333333333333</v>
      </c>
    </row>
    <row r="14" spans="1:11" ht="45" customHeight="1">
      <c r="A14" s="5">
        <v>6</v>
      </c>
      <c r="B14" s="6" t="s">
        <v>16</v>
      </c>
      <c r="C14" s="6" t="s">
        <v>35</v>
      </c>
      <c r="D14" s="6" t="s">
        <v>36</v>
      </c>
      <c r="E14" s="5" t="s">
        <v>19</v>
      </c>
      <c r="F14" s="6" t="s">
        <v>37</v>
      </c>
      <c r="G14" s="7">
        <v>0.4</v>
      </c>
      <c r="H14" s="8">
        <v>1140</v>
      </c>
      <c r="I14" s="4">
        <f>(MissionRiskRegister[[#This Row],[Cost Impact – Pessimistic ($000)]]*4+MissionRiskRegister[[#This Row],[Cost Impact – Optimistic ($000)]]*2)/6</f>
        <v>3506.6666666666665</v>
      </c>
      <c r="J14" s="8">
        <v>4690</v>
      </c>
      <c r="K14" s="8">
        <f t="shared" si="0"/>
        <v>1402.6666666666667</v>
      </c>
    </row>
    <row r="15" spans="1:11" ht="45" customHeight="1">
      <c r="A15" s="2">
        <v>7</v>
      </c>
      <c r="B15" s="1" t="s">
        <v>16</v>
      </c>
      <c r="C15" s="1" t="s">
        <v>38</v>
      </c>
      <c r="D15" s="1" t="s">
        <v>39</v>
      </c>
      <c r="E15" s="2" t="s">
        <v>19</v>
      </c>
      <c r="F15" s="1" t="s">
        <v>40</v>
      </c>
      <c r="G15" s="3">
        <v>0.4</v>
      </c>
      <c r="H15" s="4">
        <v>1180</v>
      </c>
      <c r="I15" s="4">
        <f>(MissionRiskRegister[[#This Row],[Cost Impact – Pessimistic ($000)]]*4+MissionRiskRegister[[#This Row],[Cost Impact – Optimistic ($000)]]*2)/6</f>
        <v>4073.3333333333335</v>
      </c>
      <c r="J15" s="4">
        <v>5520</v>
      </c>
      <c r="K15" s="4">
        <f t="shared" si="0"/>
        <v>1629.3333333333335</v>
      </c>
    </row>
    <row r="16" spans="1:11" ht="45" customHeight="1">
      <c r="A16" s="5">
        <v>8</v>
      </c>
      <c r="B16" s="6" t="s">
        <v>16</v>
      </c>
      <c r="C16" s="6" t="s">
        <v>41</v>
      </c>
      <c r="D16" s="6" t="s">
        <v>42</v>
      </c>
      <c r="E16" s="5" t="s">
        <v>19</v>
      </c>
      <c r="F16" s="6" t="s">
        <v>43</v>
      </c>
      <c r="G16" s="7">
        <v>0.4</v>
      </c>
      <c r="H16" s="8">
        <v>1320</v>
      </c>
      <c r="I16" s="4">
        <f>(MissionRiskRegister[[#This Row],[Cost Impact – Pessimistic ($000)]]*4+MissionRiskRegister[[#This Row],[Cost Impact – Optimistic ($000)]]*2)/6</f>
        <v>3593.3333333333335</v>
      </c>
      <c r="J16" s="8">
        <v>4730</v>
      </c>
      <c r="K16" s="8">
        <f t="shared" si="0"/>
        <v>1437.3333333333335</v>
      </c>
    </row>
    <row r="17" spans="1:11" ht="45" customHeight="1">
      <c r="A17" s="2">
        <v>9</v>
      </c>
      <c r="B17" s="1" t="s">
        <v>16</v>
      </c>
      <c r="C17" s="1" t="s">
        <v>44</v>
      </c>
      <c r="D17" s="1" t="s">
        <v>45</v>
      </c>
      <c r="E17" s="2" t="s">
        <v>23</v>
      </c>
      <c r="F17" s="1" t="s">
        <v>46</v>
      </c>
      <c r="G17" s="3">
        <v>0.4</v>
      </c>
      <c r="H17" s="4">
        <v>850</v>
      </c>
      <c r="I17" s="4">
        <f>(MissionRiskRegister[[#This Row],[Cost Impact – Pessimistic ($000)]]*4+MissionRiskRegister[[#This Row],[Cost Impact – Optimistic ($000)]]*2)/6</f>
        <v>3916.6666666666665</v>
      </c>
      <c r="J17" s="4">
        <v>5450</v>
      </c>
      <c r="K17" s="4">
        <f t="shared" si="0"/>
        <v>1566.6666666666667</v>
      </c>
    </row>
    <row r="18" spans="1:11" ht="45" customHeight="1">
      <c r="A18" s="5">
        <v>10</v>
      </c>
      <c r="B18" s="6" t="s">
        <v>47</v>
      </c>
      <c r="C18" s="6" t="s">
        <v>48</v>
      </c>
      <c r="D18" s="6" t="s">
        <v>49</v>
      </c>
      <c r="E18" s="5" t="s">
        <v>19</v>
      </c>
      <c r="F18" s="6" t="s">
        <v>50</v>
      </c>
      <c r="G18" s="7">
        <v>0.6</v>
      </c>
      <c r="H18" s="8">
        <v>710</v>
      </c>
      <c r="I18" s="4">
        <f>(MissionRiskRegister[[#This Row],[Cost Impact – Pessimistic ($000)]]*4+MissionRiskRegister[[#This Row],[Cost Impact – Optimistic ($000)]]*2)/6</f>
        <v>2130</v>
      </c>
      <c r="J18" s="8">
        <v>2840</v>
      </c>
      <c r="K18" s="8">
        <f t="shared" si="0"/>
        <v>1278</v>
      </c>
    </row>
    <row r="19" spans="1:11" ht="45" customHeight="1">
      <c r="A19" s="2">
        <v>11</v>
      </c>
      <c r="B19" s="1" t="s">
        <v>47</v>
      </c>
      <c r="C19" s="1" t="s">
        <v>51</v>
      </c>
      <c r="D19" s="1" t="s">
        <v>52</v>
      </c>
      <c r="E19" s="2" t="s">
        <v>23</v>
      </c>
      <c r="F19" s="1" t="s">
        <v>53</v>
      </c>
      <c r="G19" s="3">
        <v>0.6</v>
      </c>
      <c r="H19" s="4">
        <v>750</v>
      </c>
      <c r="I19" s="4">
        <f>(MissionRiskRegister[[#This Row],[Cost Impact – Pessimistic ($000)]]*4+MissionRiskRegister[[#This Row],[Cost Impact – Optimistic ($000)]]*2)/6</f>
        <v>2483.3333333333335</v>
      </c>
      <c r="J19" s="4">
        <v>3350</v>
      </c>
      <c r="K19" s="4">
        <f t="shared" si="0"/>
        <v>1490</v>
      </c>
    </row>
    <row r="20" spans="1:11" ht="45" customHeight="1">
      <c r="A20" s="5">
        <v>12</v>
      </c>
      <c r="B20" s="6" t="s">
        <v>47</v>
      </c>
      <c r="C20" s="6" t="s">
        <v>54</v>
      </c>
      <c r="D20" s="6" t="s">
        <v>55</v>
      </c>
      <c r="E20" s="5" t="s">
        <v>19</v>
      </c>
      <c r="F20" s="6" t="s">
        <v>56</v>
      </c>
      <c r="G20" s="7">
        <v>0.6</v>
      </c>
      <c r="H20" s="8">
        <v>520</v>
      </c>
      <c r="I20" s="4">
        <f>(MissionRiskRegister[[#This Row],[Cost Impact – Pessimistic ($000)]]*4+MissionRiskRegister[[#This Row],[Cost Impact – Optimistic ($000)]]*2)/6</f>
        <v>2113.3333333333335</v>
      </c>
      <c r="J20" s="8">
        <v>2910</v>
      </c>
      <c r="K20" s="8">
        <f t="shared" si="0"/>
        <v>1268</v>
      </c>
    </row>
    <row r="21" spans="1:11" ht="45" customHeight="1">
      <c r="A21" s="2">
        <v>13</v>
      </c>
      <c r="B21" s="1" t="s">
        <v>16</v>
      </c>
      <c r="C21" s="1" t="s">
        <v>57</v>
      </c>
      <c r="D21" s="1" t="s">
        <v>58</v>
      </c>
      <c r="E21" s="2" t="s">
        <v>19</v>
      </c>
      <c r="F21" s="1" t="s">
        <v>59</v>
      </c>
      <c r="G21" s="3">
        <v>0.4</v>
      </c>
      <c r="H21" s="4">
        <v>880</v>
      </c>
      <c r="I21" s="4">
        <f>(MissionRiskRegister[[#This Row],[Cost Impact – Pessimistic ($000)]]*4+MissionRiskRegister[[#This Row],[Cost Impact – Optimistic ($000)]]*2)/6</f>
        <v>3166.6666666666665</v>
      </c>
      <c r="J21" s="4">
        <v>4310</v>
      </c>
      <c r="K21" s="4">
        <f t="shared" si="0"/>
        <v>1266.6666666666667</v>
      </c>
    </row>
    <row r="22" spans="1:11" ht="45" customHeight="1">
      <c r="A22" s="5">
        <v>14</v>
      </c>
      <c r="B22" s="6" t="s">
        <v>16</v>
      </c>
      <c r="C22" s="6" t="s">
        <v>60</v>
      </c>
      <c r="D22" s="6" t="s">
        <v>61</v>
      </c>
      <c r="E22" s="5" t="s">
        <v>19</v>
      </c>
      <c r="F22" s="6" t="s">
        <v>62</v>
      </c>
      <c r="G22" s="7">
        <v>0.4</v>
      </c>
      <c r="H22" s="8">
        <v>990</v>
      </c>
      <c r="I22" s="4">
        <f>(MissionRiskRegister[[#This Row],[Cost Impact – Pessimistic ($000)]]*4+MissionRiskRegister[[#This Row],[Cost Impact – Optimistic ($000)]]*2)/6</f>
        <v>2763.3333333333335</v>
      </c>
      <c r="J22" s="8">
        <v>3650</v>
      </c>
      <c r="K22" s="8">
        <f t="shared" si="0"/>
        <v>1105.3333333333335</v>
      </c>
    </row>
    <row r="23" spans="1:11" ht="45" customHeight="1">
      <c r="A23" s="2">
        <v>15</v>
      </c>
      <c r="B23" s="1" t="s">
        <v>47</v>
      </c>
      <c r="C23" s="1" t="s">
        <v>63</v>
      </c>
      <c r="D23" s="1" t="s">
        <v>64</v>
      </c>
      <c r="E23" s="2" t="s">
        <v>19</v>
      </c>
      <c r="F23" s="1" t="s">
        <v>65</v>
      </c>
      <c r="G23" s="3">
        <v>0.6</v>
      </c>
      <c r="H23" s="4">
        <v>560</v>
      </c>
      <c r="I23" s="4">
        <f>(MissionRiskRegister[[#This Row],[Cost Impact – Pessimistic ($000)]]*4+MissionRiskRegister[[#This Row],[Cost Impact – Optimistic ($000)]]*2)/6</f>
        <v>1726.6666666666667</v>
      </c>
      <c r="J23" s="4">
        <v>2310</v>
      </c>
      <c r="K23" s="4">
        <f t="shared" si="0"/>
        <v>1036</v>
      </c>
    </row>
    <row r="24" spans="1:11" ht="45" customHeight="1">
      <c r="A24" s="5">
        <v>16</v>
      </c>
      <c r="B24" s="6" t="s">
        <v>66</v>
      </c>
      <c r="C24" s="6" t="s">
        <v>67</v>
      </c>
      <c r="D24" s="6" t="s">
        <v>68</v>
      </c>
      <c r="E24" s="5" t="s">
        <v>19</v>
      </c>
      <c r="F24" s="6" t="s">
        <v>69</v>
      </c>
      <c r="G24" s="7">
        <v>0.5</v>
      </c>
      <c r="H24" s="8">
        <v>580</v>
      </c>
      <c r="I24" s="4">
        <f>(MissionRiskRegister[[#This Row],[Cost Impact – Pessimistic ($000)]]*4+MissionRiskRegister[[#This Row],[Cost Impact – Optimistic ($000)]]*2)/6</f>
        <v>2186.6666666666665</v>
      </c>
      <c r="J24" s="8">
        <v>2990</v>
      </c>
      <c r="K24" s="8">
        <f t="shared" si="0"/>
        <v>1093.3333333333333</v>
      </c>
    </row>
    <row r="25" spans="1:11" ht="45" customHeight="1">
      <c r="A25" s="2">
        <v>17</v>
      </c>
      <c r="B25" s="1" t="s">
        <v>16</v>
      </c>
      <c r="C25" s="1" t="s">
        <v>70</v>
      </c>
      <c r="D25" s="1" t="s">
        <v>71</v>
      </c>
      <c r="E25" s="2" t="s">
        <v>19</v>
      </c>
      <c r="F25" s="1" t="s">
        <v>72</v>
      </c>
      <c r="G25" s="3">
        <v>0.4</v>
      </c>
      <c r="H25" s="4">
        <v>1000</v>
      </c>
      <c r="I25" s="4">
        <f>(MissionRiskRegister[[#This Row],[Cost Impact – Pessimistic ($000)]]*4+MissionRiskRegister[[#This Row],[Cost Impact – Optimistic ($000)]]*2)/6</f>
        <v>3133.3333333333335</v>
      </c>
      <c r="J25" s="4">
        <v>4200</v>
      </c>
      <c r="K25" s="4">
        <f t="shared" si="0"/>
        <v>1253.3333333333335</v>
      </c>
    </row>
    <row r="26" spans="1:11" ht="45" customHeight="1">
      <c r="A26" s="5">
        <v>18</v>
      </c>
      <c r="B26" s="6" t="s">
        <v>47</v>
      </c>
      <c r="C26" s="6" t="s">
        <v>73</v>
      </c>
      <c r="D26" s="6" t="s">
        <v>74</v>
      </c>
      <c r="E26" s="5" t="s">
        <v>19</v>
      </c>
      <c r="F26" s="6" t="s">
        <v>75</v>
      </c>
      <c r="G26" s="7">
        <v>0.6</v>
      </c>
      <c r="H26" s="8">
        <v>590</v>
      </c>
      <c r="I26" s="4">
        <f>(MissionRiskRegister[[#This Row],[Cost Impact – Pessimistic ($000)]]*4+MissionRiskRegister[[#This Row],[Cost Impact – Optimistic ($000)]]*2)/6</f>
        <v>2030</v>
      </c>
      <c r="J26" s="8">
        <v>2750</v>
      </c>
      <c r="K26" s="8">
        <f t="shared" si="0"/>
        <v>1218</v>
      </c>
    </row>
    <row r="27" spans="1:11" ht="45" customHeight="1">
      <c r="A27" s="2">
        <v>19</v>
      </c>
      <c r="B27" s="1" t="s">
        <v>47</v>
      </c>
      <c r="C27" s="1" t="s">
        <v>76</v>
      </c>
      <c r="D27" s="1" t="s">
        <v>77</v>
      </c>
      <c r="E27" s="2" t="s">
        <v>23</v>
      </c>
      <c r="F27" s="1" t="s">
        <v>78</v>
      </c>
      <c r="G27" s="3">
        <v>0.6</v>
      </c>
      <c r="H27" s="4">
        <v>660</v>
      </c>
      <c r="I27" s="4">
        <f>(MissionRiskRegister[[#This Row],[Cost Impact – Pessimistic ($000)]]*4+MissionRiskRegister[[#This Row],[Cost Impact – Optimistic ($000)]]*2)/6</f>
        <v>1793.3333333333333</v>
      </c>
      <c r="J27" s="4">
        <v>2360</v>
      </c>
      <c r="K27" s="4">
        <f t="shared" si="0"/>
        <v>1076</v>
      </c>
    </row>
    <row r="28" spans="1:11" ht="45" customHeight="1">
      <c r="A28" s="5">
        <v>20</v>
      </c>
      <c r="B28" s="6" t="s">
        <v>66</v>
      </c>
      <c r="C28" s="6" t="s">
        <v>79</v>
      </c>
      <c r="D28" s="6" t="s">
        <v>80</v>
      </c>
      <c r="E28" s="5" t="s">
        <v>23</v>
      </c>
      <c r="F28" s="6" t="s">
        <v>81</v>
      </c>
      <c r="G28" s="7">
        <v>0.5</v>
      </c>
      <c r="H28" s="8">
        <v>710</v>
      </c>
      <c r="I28" s="4">
        <f>(MissionRiskRegister[[#This Row],[Cost Impact – Pessimistic ($000)]]*4+MissionRiskRegister[[#This Row],[Cost Impact – Optimistic ($000)]]*2)/6</f>
        <v>2276.6666666666665</v>
      </c>
      <c r="J28" s="8">
        <v>3060</v>
      </c>
      <c r="K28" s="8">
        <f t="shared" si="0"/>
        <v>1138.3333333333333</v>
      </c>
    </row>
    <row r="29" spans="1:11" ht="45" customHeight="1">
      <c r="A29" s="2">
        <v>21</v>
      </c>
      <c r="B29" s="1" t="s">
        <v>66</v>
      </c>
      <c r="C29" s="1" t="s">
        <v>82</v>
      </c>
      <c r="D29" s="1" t="s">
        <v>83</v>
      </c>
      <c r="E29" s="2" t="s">
        <v>19</v>
      </c>
      <c r="F29" s="1" t="s">
        <v>84</v>
      </c>
      <c r="G29" s="3">
        <v>0.5</v>
      </c>
      <c r="H29" s="4">
        <v>740</v>
      </c>
      <c r="I29" s="4">
        <f>(MissionRiskRegister[[#This Row],[Cost Impact – Pessimistic ($000)]]*4+MissionRiskRegister[[#This Row],[Cost Impact – Optimistic ($000)]]*2)/6</f>
        <v>1866.6666666666667</v>
      </c>
      <c r="J29" s="4">
        <v>2430</v>
      </c>
      <c r="K29" s="4">
        <f t="shared" si="0"/>
        <v>933.33333333333337</v>
      </c>
    </row>
    <row r="30" spans="1:11" ht="45" customHeight="1">
      <c r="A30" s="5">
        <v>22</v>
      </c>
      <c r="B30" s="6" t="s">
        <v>66</v>
      </c>
      <c r="C30" s="6" t="s">
        <v>85</v>
      </c>
      <c r="D30" s="6" t="s">
        <v>86</v>
      </c>
      <c r="E30" s="5" t="s">
        <v>19</v>
      </c>
      <c r="F30" s="6" t="s">
        <v>87</v>
      </c>
      <c r="G30" s="7">
        <v>0.5</v>
      </c>
      <c r="H30" s="8">
        <v>510</v>
      </c>
      <c r="I30" s="4">
        <f>(MissionRiskRegister[[#This Row],[Cost Impact – Pessimistic ($000)]]*4+MissionRiskRegister[[#This Row],[Cost Impact – Optimistic ($000)]]*2)/6</f>
        <v>2230</v>
      </c>
      <c r="J30" s="8">
        <v>3090</v>
      </c>
      <c r="K30" s="8">
        <f t="shared" si="0"/>
        <v>1115</v>
      </c>
    </row>
    <row r="31" spans="1:11" ht="45" customHeight="1">
      <c r="A31" s="2">
        <v>23</v>
      </c>
      <c r="B31" s="1" t="s">
        <v>47</v>
      </c>
      <c r="C31" s="1" t="s">
        <v>88</v>
      </c>
      <c r="D31" s="1" t="s">
        <v>89</v>
      </c>
      <c r="E31" s="2" t="s">
        <v>19</v>
      </c>
      <c r="F31" s="1" t="s">
        <v>90</v>
      </c>
      <c r="G31" s="3">
        <v>0.6</v>
      </c>
      <c r="H31" s="4">
        <v>430</v>
      </c>
      <c r="I31" s="4">
        <f>(MissionRiskRegister[[#This Row],[Cost Impact – Pessimistic ($000)]]*4+MissionRiskRegister[[#This Row],[Cost Impact – Optimistic ($000)]]*2)/6</f>
        <v>1976.6666666666667</v>
      </c>
      <c r="J31" s="4">
        <v>2750</v>
      </c>
      <c r="K31" s="4">
        <f t="shared" si="0"/>
        <v>1186</v>
      </c>
    </row>
    <row r="32" spans="1:11" ht="45" customHeight="1">
      <c r="A32" s="5">
        <v>24</v>
      </c>
      <c r="B32" s="6" t="s">
        <v>16</v>
      </c>
      <c r="C32" s="6" t="s">
        <v>91</v>
      </c>
      <c r="D32" s="6" t="s">
        <v>92</v>
      </c>
      <c r="E32" s="5" t="s">
        <v>23</v>
      </c>
      <c r="F32" s="6" t="s">
        <v>93</v>
      </c>
      <c r="G32" s="7">
        <v>0.4</v>
      </c>
      <c r="H32" s="8">
        <v>630</v>
      </c>
      <c r="I32" s="4">
        <f>(MissionRiskRegister[[#This Row],[Cost Impact – Pessimistic ($000)]]*4+MissionRiskRegister[[#This Row],[Cost Impact – Optimistic ($000)]]*2)/6</f>
        <v>2356.6666666666665</v>
      </c>
      <c r="J32" s="8">
        <v>3220</v>
      </c>
      <c r="K32" s="8">
        <f t="shared" si="0"/>
        <v>942.66666666666663</v>
      </c>
    </row>
    <row r="33" spans="1:11" ht="45" customHeight="1">
      <c r="A33" s="2">
        <v>25</v>
      </c>
      <c r="B33" s="1" t="s">
        <v>16</v>
      </c>
      <c r="C33" s="1" t="s">
        <v>94</v>
      </c>
      <c r="D33" s="1" t="s">
        <v>95</v>
      </c>
      <c r="E33" s="2" t="s">
        <v>19</v>
      </c>
      <c r="F33" s="1" t="s">
        <v>96</v>
      </c>
      <c r="G33" s="3">
        <v>0.4</v>
      </c>
      <c r="H33" s="4">
        <v>720</v>
      </c>
      <c r="I33" s="4">
        <f>(MissionRiskRegister[[#This Row],[Cost Impact – Pessimistic ($000)]]*4+MissionRiskRegister[[#This Row],[Cost Impact – Optimistic ($000)]]*2)/6</f>
        <v>2926.6666666666665</v>
      </c>
      <c r="J33" s="4">
        <v>4030</v>
      </c>
      <c r="K33" s="4">
        <f t="shared" si="0"/>
        <v>1170.6666666666667</v>
      </c>
    </row>
    <row r="34" spans="1:11" ht="45" customHeight="1">
      <c r="A34" s="5">
        <v>26</v>
      </c>
      <c r="B34" s="6" t="s">
        <v>66</v>
      </c>
      <c r="C34" s="6" t="s">
        <v>97</v>
      </c>
      <c r="D34" s="6" t="s">
        <v>98</v>
      </c>
      <c r="E34" s="5" t="s">
        <v>19</v>
      </c>
      <c r="F34" s="6" t="s">
        <v>99</v>
      </c>
      <c r="G34" s="7">
        <v>0.5</v>
      </c>
      <c r="H34" s="8">
        <v>550</v>
      </c>
      <c r="I34" s="4">
        <f>(MissionRiskRegister[[#This Row],[Cost Impact – Pessimistic ($000)]]*4+MissionRiskRegister[[#This Row],[Cost Impact – Optimistic ($000)]]*2)/6</f>
        <v>1836.6666666666667</v>
      </c>
      <c r="J34" s="8">
        <v>2480</v>
      </c>
      <c r="K34" s="8">
        <f t="shared" si="0"/>
        <v>918.33333333333337</v>
      </c>
    </row>
    <row r="35" spans="1:11" ht="45" customHeight="1">
      <c r="A35" s="2">
        <v>27</v>
      </c>
      <c r="B35" s="1" t="s">
        <v>47</v>
      </c>
      <c r="C35" s="1" t="s">
        <v>100</v>
      </c>
      <c r="D35" s="1" t="s">
        <v>101</v>
      </c>
      <c r="E35" s="2" t="s">
        <v>19</v>
      </c>
      <c r="F35" s="1" t="s">
        <v>102</v>
      </c>
      <c r="G35" s="3">
        <v>0.6</v>
      </c>
      <c r="H35" s="4">
        <v>450</v>
      </c>
      <c r="I35" s="4">
        <f>(MissionRiskRegister[[#This Row],[Cost Impact – Pessimistic ($000)]]*4+MissionRiskRegister[[#This Row],[Cost Impact – Optimistic ($000)]]*2)/6</f>
        <v>1616.6666666666667</v>
      </c>
      <c r="J35" s="4">
        <v>2200</v>
      </c>
      <c r="K35" s="4">
        <f t="shared" si="0"/>
        <v>970</v>
      </c>
    </row>
    <row r="36" spans="1:11" ht="45" customHeight="1">
      <c r="A36" s="5">
        <v>28</v>
      </c>
      <c r="B36" s="6" t="s">
        <v>47</v>
      </c>
      <c r="C36" s="6" t="s">
        <v>103</v>
      </c>
      <c r="D36" s="6" t="s">
        <v>104</v>
      </c>
      <c r="E36" s="5" t="s">
        <v>19</v>
      </c>
      <c r="F36" s="6" t="s">
        <v>105</v>
      </c>
      <c r="G36" s="7">
        <v>0.6</v>
      </c>
      <c r="H36" s="8">
        <v>510</v>
      </c>
      <c r="I36" s="4">
        <f>(MissionRiskRegister[[#This Row],[Cost Impact – Pessimistic ($000)]]*4+MissionRiskRegister[[#This Row],[Cost Impact – Optimistic ($000)]]*2)/6</f>
        <v>1410</v>
      </c>
      <c r="J36" s="8">
        <v>1860</v>
      </c>
      <c r="K36" s="8">
        <f t="shared" si="0"/>
        <v>846</v>
      </c>
    </row>
    <row r="37" spans="1:11" ht="45" customHeight="1">
      <c r="A37" s="2">
        <v>29</v>
      </c>
      <c r="B37" s="1" t="s">
        <v>66</v>
      </c>
      <c r="C37" s="1" t="s">
        <v>106</v>
      </c>
      <c r="D37" s="1" t="s">
        <v>107</v>
      </c>
      <c r="E37" s="2" t="s">
        <v>23</v>
      </c>
      <c r="F37" s="1" t="s">
        <v>108</v>
      </c>
      <c r="G37" s="3">
        <v>0.5</v>
      </c>
      <c r="H37" s="4">
        <v>580</v>
      </c>
      <c r="I37" s="4">
        <f>(MissionRiskRegister[[#This Row],[Cost Impact – Pessimistic ($000)]]*4+MissionRiskRegister[[#This Row],[Cost Impact – Optimistic ($000)]]*2)/6</f>
        <v>2113.3333333333335</v>
      </c>
      <c r="J37" s="4">
        <v>2880</v>
      </c>
      <c r="K37" s="4">
        <f t="shared" si="0"/>
        <v>1056.6666666666667</v>
      </c>
    </row>
    <row r="38" spans="1:11" ht="45" customHeight="1">
      <c r="A38" s="5">
        <v>30</v>
      </c>
      <c r="B38" s="6" t="s">
        <v>66</v>
      </c>
      <c r="C38" s="6" t="s">
        <v>109</v>
      </c>
      <c r="D38" s="6" t="s">
        <v>110</v>
      </c>
      <c r="E38" s="5" t="s">
        <v>19</v>
      </c>
      <c r="F38" s="6" t="s">
        <v>111</v>
      </c>
      <c r="G38" s="7">
        <v>0.5</v>
      </c>
      <c r="H38" s="8">
        <v>640</v>
      </c>
      <c r="I38" s="4">
        <f>(MissionRiskRegister[[#This Row],[Cost Impact – Pessimistic ($000)]]*4+MissionRiskRegister[[#This Row],[Cost Impact – Optimistic ($000)]]*2)/6</f>
        <v>1880</v>
      </c>
      <c r="J38" s="8">
        <v>2500</v>
      </c>
      <c r="K38" s="8">
        <f t="shared" si="0"/>
        <v>940</v>
      </c>
    </row>
    <row r="39" spans="1:11" ht="45" customHeight="1">
      <c r="A39" s="2">
        <v>31</v>
      </c>
      <c r="B39" s="1" t="s">
        <v>16</v>
      </c>
      <c r="C39" s="1" t="s">
        <v>112</v>
      </c>
      <c r="D39" s="1" t="s">
        <v>113</v>
      </c>
      <c r="E39" s="2" t="s">
        <v>19</v>
      </c>
      <c r="F39" s="1" t="s">
        <v>114</v>
      </c>
      <c r="G39" s="3">
        <v>0.4</v>
      </c>
      <c r="H39" s="4">
        <v>710</v>
      </c>
      <c r="I39" s="4">
        <f>(MissionRiskRegister[[#This Row],[Cost Impact – Pessimistic ($000)]]*4+MissionRiskRegister[[#This Row],[Cost Impact – Optimistic ($000)]]*2)/6</f>
        <v>2290</v>
      </c>
      <c r="J39" s="4">
        <v>3080</v>
      </c>
      <c r="K39" s="4">
        <f t="shared" si="0"/>
        <v>916</v>
      </c>
    </row>
    <row r="40" spans="1:11" ht="45" customHeight="1">
      <c r="A40" s="5">
        <v>32</v>
      </c>
      <c r="B40" s="6" t="s">
        <v>47</v>
      </c>
      <c r="C40" s="6" t="s">
        <v>115</v>
      </c>
      <c r="D40" s="6" t="s">
        <v>116</v>
      </c>
      <c r="E40" s="5" t="s">
        <v>23</v>
      </c>
      <c r="F40" s="6" t="s">
        <v>117</v>
      </c>
      <c r="G40" s="7">
        <v>0.6</v>
      </c>
      <c r="H40" s="8">
        <v>520</v>
      </c>
      <c r="I40" s="4">
        <f>(MissionRiskRegister[[#This Row],[Cost Impact – Pessimistic ($000)]]*4+MissionRiskRegister[[#This Row],[Cost Impact – Optimistic ($000)]]*2)/6</f>
        <v>1626.6666666666667</v>
      </c>
      <c r="J40" s="8">
        <v>2180</v>
      </c>
      <c r="K40" s="8">
        <f t="shared" si="0"/>
        <v>976</v>
      </c>
    </row>
    <row r="41" spans="1:11" ht="45" customHeight="1">
      <c r="A41" s="2">
        <v>33</v>
      </c>
      <c r="B41" s="1" t="s">
        <v>118</v>
      </c>
      <c r="C41" s="1" t="s">
        <v>119</v>
      </c>
      <c r="D41" s="1" t="s">
        <v>120</v>
      </c>
      <c r="E41" s="2" t="s">
        <v>19</v>
      </c>
      <c r="F41" s="1" t="s">
        <v>121</v>
      </c>
      <c r="G41" s="3">
        <v>0.6</v>
      </c>
      <c r="H41" s="4">
        <v>450</v>
      </c>
      <c r="I41" s="4">
        <f>(MissionRiskRegister[[#This Row],[Cost Impact – Pessimistic ($000)]]*4+MissionRiskRegister[[#This Row],[Cost Impact – Optimistic ($000)]]*2)/6</f>
        <v>1550</v>
      </c>
      <c r="J41" s="4">
        <v>2100</v>
      </c>
      <c r="K41" s="4">
        <f t="shared" ref="K41:K72" si="1">G41*I41</f>
        <v>930</v>
      </c>
    </row>
    <row r="42" spans="1:11" ht="45" customHeight="1">
      <c r="A42" s="5">
        <v>34</v>
      </c>
      <c r="B42" s="6" t="s">
        <v>66</v>
      </c>
      <c r="C42" s="6" t="s">
        <v>122</v>
      </c>
      <c r="D42" s="6" t="s">
        <v>123</v>
      </c>
      <c r="E42" s="5" t="s">
        <v>19</v>
      </c>
      <c r="F42" s="6" t="s">
        <v>124</v>
      </c>
      <c r="G42" s="7">
        <v>0.5</v>
      </c>
      <c r="H42" s="8">
        <v>420</v>
      </c>
      <c r="I42" s="4">
        <f>(MissionRiskRegister[[#This Row],[Cost Impact – Pessimistic ($000)]]*4+MissionRiskRegister[[#This Row],[Cost Impact – Optimistic ($000)]]*2)/6</f>
        <v>1446.6666666666667</v>
      </c>
      <c r="J42" s="8">
        <v>1960</v>
      </c>
      <c r="K42" s="8">
        <f t="shared" si="1"/>
        <v>723.33333333333337</v>
      </c>
    </row>
    <row r="43" spans="1:11" ht="45" customHeight="1">
      <c r="A43" s="2">
        <v>35</v>
      </c>
      <c r="B43" s="1" t="s">
        <v>47</v>
      </c>
      <c r="C43" s="1" t="s">
        <v>125</v>
      </c>
      <c r="D43" s="1" t="s">
        <v>126</v>
      </c>
      <c r="E43" s="2" t="s">
        <v>19</v>
      </c>
      <c r="F43" s="1" t="s">
        <v>127</v>
      </c>
      <c r="G43" s="3">
        <v>0.6</v>
      </c>
      <c r="H43" s="4">
        <v>380</v>
      </c>
      <c r="I43" s="4">
        <f>(MissionRiskRegister[[#This Row],[Cost Impact – Pessimistic ($000)]]*4+MissionRiskRegister[[#This Row],[Cost Impact – Optimistic ($000)]]*2)/6</f>
        <v>1553.3333333333333</v>
      </c>
      <c r="J43" s="4">
        <v>2140</v>
      </c>
      <c r="K43" s="4">
        <f t="shared" si="1"/>
        <v>931.99999999999989</v>
      </c>
    </row>
    <row r="44" spans="1:11" ht="45" customHeight="1">
      <c r="A44" s="5">
        <v>36</v>
      </c>
      <c r="B44" s="6" t="s">
        <v>118</v>
      </c>
      <c r="C44" s="6" t="s">
        <v>128</v>
      </c>
      <c r="D44" s="6" t="s">
        <v>129</v>
      </c>
      <c r="E44" s="5" t="s">
        <v>19</v>
      </c>
      <c r="F44" s="6" t="s">
        <v>130</v>
      </c>
      <c r="G44" s="7">
        <v>0.6</v>
      </c>
      <c r="H44" s="8">
        <v>470</v>
      </c>
      <c r="I44" s="4">
        <f>(MissionRiskRegister[[#This Row],[Cost Impact – Pessimistic ($000)]]*4+MissionRiskRegister[[#This Row],[Cost Impact – Optimistic ($000)]]*2)/6</f>
        <v>1283.3333333333333</v>
      </c>
      <c r="J44" s="8">
        <v>1690</v>
      </c>
      <c r="K44" s="8">
        <f t="shared" si="1"/>
        <v>769.99999999999989</v>
      </c>
    </row>
    <row r="45" spans="1:11" ht="45" customHeight="1">
      <c r="A45" s="2">
        <v>37</v>
      </c>
      <c r="B45" s="1" t="s">
        <v>118</v>
      </c>
      <c r="C45" s="1" t="s">
        <v>131</v>
      </c>
      <c r="D45" s="1" t="s">
        <v>132</v>
      </c>
      <c r="E45" s="2" t="s">
        <v>23</v>
      </c>
      <c r="F45" s="1" t="s">
        <v>133</v>
      </c>
      <c r="G45" s="3">
        <v>0.6</v>
      </c>
      <c r="H45" s="4">
        <v>330</v>
      </c>
      <c r="I45" s="4">
        <f>(MissionRiskRegister[[#This Row],[Cost Impact – Pessimistic ($000)]]*4+MissionRiskRegister[[#This Row],[Cost Impact – Optimistic ($000)]]*2)/6</f>
        <v>1523.3333333333333</v>
      </c>
      <c r="J45" s="4">
        <v>2120</v>
      </c>
      <c r="K45" s="4">
        <f t="shared" si="1"/>
        <v>913.99999999999989</v>
      </c>
    </row>
    <row r="46" spans="1:11" ht="45" customHeight="1">
      <c r="A46" s="5">
        <v>38</v>
      </c>
      <c r="B46" s="6" t="s">
        <v>16</v>
      </c>
      <c r="C46" s="6" t="s">
        <v>134</v>
      </c>
      <c r="D46" s="6" t="s">
        <v>135</v>
      </c>
      <c r="E46" s="5" t="s">
        <v>19</v>
      </c>
      <c r="F46" s="6" t="s">
        <v>136</v>
      </c>
      <c r="G46" s="7">
        <v>0.4</v>
      </c>
      <c r="H46" s="8">
        <v>690</v>
      </c>
      <c r="I46" s="4">
        <f>(MissionRiskRegister[[#This Row],[Cost Impact – Pessimistic ($000)]]*4+MissionRiskRegister[[#This Row],[Cost Impact – Optimistic ($000)]]*2)/6</f>
        <v>1736.6666666666667</v>
      </c>
      <c r="J46" s="8">
        <v>2260</v>
      </c>
      <c r="K46" s="8">
        <f t="shared" si="1"/>
        <v>694.66666666666674</v>
      </c>
    </row>
    <row r="47" spans="1:11" ht="45" customHeight="1">
      <c r="A47" s="2">
        <v>39</v>
      </c>
      <c r="B47" s="1" t="s">
        <v>16</v>
      </c>
      <c r="C47" s="1" t="s">
        <v>137</v>
      </c>
      <c r="D47" s="1" t="s">
        <v>138</v>
      </c>
      <c r="E47" s="2" t="s">
        <v>23</v>
      </c>
      <c r="F47" s="1" t="s">
        <v>139</v>
      </c>
      <c r="G47" s="3">
        <v>0.4</v>
      </c>
      <c r="H47" s="4">
        <v>480</v>
      </c>
      <c r="I47" s="4">
        <f>(MissionRiskRegister[[#This Row],[Cost Impact – Pessimistic ($000)]]*4+MissionRiskRegister[[#This Row],[Cost Impact – Optimistic ($000)]]*2)/6</f>
        <v>2080</v>
      </c>
      <c r="J47" s="4">
        <v>2880</v>
      </c>
      <c r="K47" s="4">
        <f t="shared" si="1"/>
        <v>832</v>
      </c>
    </row>
    <row r="48" spans="1:11" ht="45" customHeight="1">
      <c r="A48" s="5">
        <v>40</v>
      </c>
      <c r="B48" s="6" t="s">
        <v>66</v>
      </c>
      <c r="C48" s="6" t="s">
        <v>140</v>
      </c>
      <c r="D48" s="6" t="s">
        <v>141</v>
      </c>
      <c r="E48" s="5" t="s">
        <v>19</v>
      </c>
      <c r="F48" s="6" t="s">
        <v>142</v>
      </c>
      <c r="G48" s="7">
        <v>0.5</v>
      </c>
      <c r="H48" s="8">
        <v>440</v>
      </c>
      <c r="I48" s="4">
        <f>(MissionRiskRegister[[#This Row],[Cost Impact – Pessimistic ($000)]]*4+MissionRiskRegister[[#This Row],[Cost Impact – Optimistic ($000)]]*2)/6</f>
        <v>1673.3333333333333</v>
      </c>
      <c r="J48" s="8">
        <v>2290</v>
      </c>
      <c r="K48" s="8">
        <f t="shared" si="1"/>
        <v>836.66666666666663</v>
      </c>
    </row>
    <row r="49" spans="1:11" ht="45" customHeight="1">
      <c r="A49" s="2">
        <v>41</v>
      </c>
      <c r="B49" s="1" t="s">
        <v>66</v>
      </c>
      <c r="C49" s="1" t="s">
        <v>143</v>
      </c>
      <c r="D49" s="1" t="s">
        <v>144</v>
      </c>
      <c r="E49" s="2" t="s">
        <v>23</v>
      </c>
      <c r="F49" s="1" t="s">
        <v>145</v>
      </c>
      <c r="G49" s="3">
        <v>0.5</v>
      </c>
      <c r="H49" s="4">
        <v>490</v>
      </c>
      <c r="I49" s="4">
        <f>(MissionRiskRegister[[#This Row],[Cost Impact – Pessimistic ($000)]]*4+MissionRiskRegister[[#This Row],[Cost Impact – Optimistic ($000)]]*2)/6</f>
        <v>1470</v>
      </c>
      <c r="J49" s="4">
        <v>1960</v>
      </c>
      <c r="K49" s="4">
        <f t="shared" si="1"/>
        <v>735</v>
      </c>
    </row>
    <row r="50" spans="1:11" ht="45" customHeight="1">
      <c r="A50" s="5">
        <v>42</v>
      </c>
      <c r="B50" s="6" t="s">
        <v>118</v>
      </c>
      <c r="C50" s="6" t="s">
        <v>146</v>
      </c>
      <c r="D50" s="6" t="s">
        <v>147</v>
      </c>
      <c r="E50" s="5" t="s">
        <v>19</v>
      </c>
      <c r="F50" s="6" t="s">
        <v>148</v>
      </c>
      <c r="G50" s="7">
        <v>0.6</v>
      </c>
      <c r="H50" s="8">
        <v>350</v>
      </c>
      <c r="I50" s="4">
        <f>(MissionRiskRegister[[#This Row],[Cost Impact – Pessimistic ($000)]]*4+MissionRiskRegister[[#This Row],[Cost Impact – Optimistic ($000)]]*2)/6</f>
        <v>1263.3333333333333</v>
      </c>
      <c r="J50" s="8">
        <v>1720</v>
      </c>
      <c r="K50" s="8">
        <f t="shared" si="1"/>
        <v>757.99999999999989</v>
      </c>
    </row>
    <row r="51" spans="1:11" ht="45" customHeight="1">
      <c r="A51" s="2">
        <v>43</v>
      </c>
      <c r="B51" s="1" t="s">
        <v>47</v>
      </c>
      <c r="C51" s="1" t="s">
        <v>149</v>
      </c>
      <c r="D51" s="1" t="s">
        <v>150</v>
      </c>
      <c r="E51" s="2" t="s">
        <v>19</v>
      </c>
      <c r="F51" s="1" t="s">
        <v>151</v>
      </c>
      <c r="G51" s="3">
        <v>0.6</v>
      </c>
      <c r="H51" s="4">
        <v>390</v>
      </c>
      <c r="I51" s="4">
        <f>(MissionRiskRegister[[#This Row],[Cost Impact – Pessimistic ($000)]]*4+MissionRiskRegister[[#This Row],[Cost Impact – Optimistic ($000)]]*2)/6</f>
        <v>1250</v>
      </c>
      <c r="J51" s="4">
        <v>1680</v>
      </c>
      <c r="K51" s="4">
        <f t="shared" si="1"/>
        <v>750</v>
      </c>
    </row>
    <row r="52" spans="1:11" ht="45" customHeight="1">
      <c r="A52" s="5">
        <v>44</v>
      </c>
      <c r="B52" s="6" t="s">
        <v>152</v>
      </c>
      <c r="C52" s="6" t="s">
        <v>153</v>
      </c>
      <c r="D52" s="6" t="s">
        <v>154</v>
      </c>
      <c r="E52" s="5" t="s">
        <v>19</v>
      </c>
      <c r="F52" s="6" t="s">
        <v>155</v>
      </c>
      <c r="G52" s="7">
        <v>0.4</v>
      </c>
      <c r="H52" s="8">
        <v>570</v>
      </c>
      <c r="I52" s="4">
        <f>(MissionRiskRegister[[#This Row],[Cost Impact – Pessimistic ($000)]]*4+MissionRiskRegister[[#This Row],[Cost Impact – Optimistic ($000)]]*2)/6</f>
        <v>1703.3333333333333</v>
      </c>
      <c r="J52" s="8">
        <v>2270</v>
      </c>
      <c r="K52" s="8">
        <f t="shared" si="1"/>
        <v>681.33333333333337</v>
      </c>
    </row>
    <row r="53" spans="1:11" ht="45" customHeight="1">
      <c r="A53" s="2">
        <v>45</v>
      </c>
      <c r="B53" s="1" t="s">
        <v>152</v>
      </c>
      <c r="C53" s="1" t="s">
        <v>156</v>
      </c>
      <c r="D53" s="1" t="s">
        <v>157</v>
      </c>
      <c r="E53" s="2" t="s">
        <v>19</v>
      </c>
      <c r="F53" s="1" t="s">
        <v>158</v>
      </c>
      <c r="G53" s="3">
        <v>0.4</v>
      </c>
      <c r="H53" s="4">
        <v>630</v>
      </c>
      <c r="I53" s="4">
        <f>(MissionRiskRegister[[#This Row],[Cost Impact – Pessimistic ($000)]]*4+MissionRiskRegister[[#This Row],[Cost Impact – Optimistic ($000)]]*2)/6</f>
        <v>2103.3333333333335</v>
      </c>
      <c r="J53" s="4">
        <v>2840</v>
      </c>
      <c r="K53" s="4">
        <f t="shared" si="1"/>
        <v>841.33333333333348</v>
      </c>
    </row>
    <row r="54" spans="1:11" ht="45" customHeight="1">
      <c r="A54" s="5">
        <v>46</v>
      </c>
      <c r="B54" s="6" t="s">
        <v>66</v>
      </c>
      <c r="C54" s="6" t="s">
        <v>159</v>
      </c>
      <c r="D54" s="6" t="s">
        <v>160</v>
      </c>
      <c r="E54" s="5" t="s">
        <v>19</v>
      </c>
      <c r="F54" s="6" t="s">
        <v>161</v>
      </c>
      <c r="G54" s="7">
        <v>0.5</v>
      </c>
      <c r="H54" s="8">
        <v>500</v>
      </c>
      <c r="I54" s="4">
        <f>(MissionRiskRegister[[#This Row],[Cost Impact – Pessimistic ($000)]]*4+MissionRiskRegister[[#This Row],[Cost Impact – Optimistic ($000)]]*2)/6</f>
        <v>1666.6666666666667</v>
      </c>
      <c r="J54" s="8">
        <v>2250</v>
      </c>
      <c r="K54" s="8">
        <f t="shared" si="1"/>
        <v>833.33333333333337</v>
      </c>
    </row>
    <row r="55" spans="1:11" ht="45" customHeight="1">
      <c r="A55" s="2">
        <v>47</v>
      </c>
      <c r="B55" s="1" t="s">
        <v>118</v>
      </c>
      <c r="C55" s="1" t="s">
        <v>162</v>
      </c>
      <c r="D55" s="1" t="s">
        <v>163</v>
      </c>
      <c r="E55" s="2" t="s">
        <v>19</v>
      </c>
      <c r="F55" s="1" t="s">
        <v>164</v>
      </c>
      <c r="G55" s="3">
        <v>0.6</v>
      </c>
      <c r="H55" s="4">
        <v>370</v>
      </c>
      <c r="I55" s="4">
        <f>(MissionRiskRegister[[#This Row],[Cost Impact – Pessimistic ($000)]]*4+MissionRiskRegister[[#This Row],[Cost Impact – Optimistic ($000)]]*2)/6</f>
        <v>1036.6666666666667</v>
      </c>
      <c r="J55" s="4">
        <v>1370</v>
      </c>
      <c r="K55" s="4">
        <f t="shared" si="1"/>
        <v>622</v>
      </c>
    </row>
    <row r="56" spans="1:11" ht="45" customHeight="1">
      <c r="A56" s="5">
        <v>48</v>
      </c>
      <c r="B56" s="6" t="s">
        <v>118</v>
      </c>
      <c r="C56" s="6" t="s">
        <v>165</v>
      </c>
      <c r="D56" s="6" t="s">
        <v>166</v>
      </c>
      <c r="E56" s="5" t="s">
        <v>19</v>
      </c>
      <c r="F56" s="6" t="s">
        <v>167</v>
      </c>
      <c r="G56" s="7">
        <v>0.6</v>
      </c>
      <c r="H56" s="8">
        <v>420</v>
      </c>
      <c r="I56" s="4">
        <f>(MissionRiskRegister[[#This Row],[Cost Impact – Pessimistic ($000)]]*4+MissionRiskRegister[[#This Row],[Cost Impact – Optimistic ($000)]]*2)/6</f>
        <v>1300</v>
      </c>
      <c r="J56" s="8">
        <v>1740</v>
      </c>
      <c r="K56" s="8">
        <f t="shared" si="1"/>
        <v>780</v>
      </c>
    </row>
    <row r="57" spans="1:11" ht="45" customHeight="1">
      <c r="A57" s="2">
        <v>49</v>
      </c>
      <c r="B57" s="1" t="s">
        <v>152</v>
      </c>
      <c r="C57" s="1" t="s">
        <v>168</v>
      </c>
      <c r="D57" s="1" t="s">
        <v>169</v>
      </c>
      <c r="E57" s="2" t="s">
        <v>19</v>
      </c>
      <c r="F57" s="1" t="s">
        <v>170</v>
      </c>
      <c r="G57" s="3">
        <v>0.4</v>
      </c>
      <c r="H57" s="4">
        <v>420</v>
      </c>
      <c r="I57" s="4">
        <f>(MissionRiskRegister[[#This Row],[Cost Impact – Pessimistic ($000)]]*4+MissionRiskRegister[[#This Row],[Cost Impact – Optimistic ($000)]]*2)/6</f>
        <v>1686.6666666666667</v>
      </c>
      <c r="J57" s="4">
        <v>2320</v>
      </c>
      <c r="K57" s="4">
        <f t="shared" si="1"/>
        <v>674.66666666666674</v>
      </c>
    </row>
    <row r="58" spans="1:11" ht="45" customHeight="1">
      <c r="A58" s="5">
        <v>50</v>
      </c>
      <c r="B58" s="6" t="s">
        <v>16</v>
      </c>
      <c r="C58" s="6" t="s">
        <v>171</v>
      </c>
      <c r="D58" s="6" t="s">
        <v>172</v>
      </c>
      <c r="E58" s="5" t="s">
        <v>19</v>
      </c>
      <c r="F58" s="6" t="s">
        <v>173</v>
      </c>
      <c r="G58" s="7">
        <v>0.4</v>
      </c>
      <c r="H58" s="8">
        <v>460</v>
      </c>
      <c r="I58" s="4">
        <f>(MissionRiskRegister[[#This Row],[Cost Impact – Pessimistic ($000)]]*4+MissionRiskRegister[[#This Row],[Cost Impact – Optimistic ($000)]]*2)/6</f>
        <v>1546.6666666666667</v>
      </c>
      <c r="J58" s="8">
        <v>2090</v>
      </c>
      <c r="K58" s="8">
        <f t="shared" si="1"/>
        <v>618.66666666666674</v>
      </c>
    </row>
    <row r="59" spans="1:11" ht="45" customHeight="1">
      <c r="A59" s="2">
        <v>51</v>
      </c>
      <c r="B59" s="1" t="s">
        <v>47</v>
      </c>
      <c r="C59" s="1" t="s">
        <v>174</v>
      </c>
      <c r="D59" s="1" t="s">
        <v>175</v>
      </c>
      <c r="E59" s="2" t="s">
        <v>19</v>
      </c>
      <c r="F59" s="1" t="s">
        <v>176</v>
      </c>
      <c r="G59" s="3">
        <v>0.6</v>
      </c>
      <c r="H59" s="4">
        <v>270</v>
      </c>
      <c r="I59" s="4">
        <f>(MissionRiskRegister[[#This Row],[Cost Impact – Pessimistic ($000)]]*4+MissionRiskRegister[[#This Row],[Cost Impact – Optimistic ($000)]]*2)/6</f>
        <v>1170</v>
      </c>
      <c r="J59" s="4">
        <v>1620</v>
      </c>
      <c r="K59" s="4">
        <f t="shared" si="1"/>
        <v>702</v>
      </c>
    </row>
    <row r="60" spans="1:11" ht="45" customHeight="1">
      <c r="A60" s="5">
        <v>52</v>
      </c>
      <c r="B60" s="6" t="s">
        <v>118</v>
      </c>
      <c r="C60" s="6" t="s">
        <v>177</v>
      </c>
      <c r="D60" s="6" t="s">
        <v>178</v>
      </c>
      <c r="E60" s="5" t="s">
        <v>23</v>
      </c>
      <c r="F60" s="6" t="s">
        <v>179</v>
      </c>
      <c r="G60" s="7">
        <v>0.6</v>
      </c>
      <c r="H60" s="8">
        <v>270</v>
      </c>
      <c r="I60" s="4">
        <f>(MissionRiskRegister[[#This Row],[Cost Impact – Pessimistic ($000)]]*4+MissionRiskRegister[[#This Row],[Cost Impact – Optimistic ($000)]]*2)/6</f>
        <v>1016.6666666666666</v>
      </c>
      <c r="J60" s="8">
        <v>1390</v>
      </c>
      <c r="K60" s="8">
        <f t="shared" si="1"/>
        <v>610</v>
      </c>
    </row>
    <row r="61" spans="1:11" ht="45" customHeight="1">
      <c r="A61" s="2">
        <v>53</v>
      </c>
      <c r="B61" s="1" t="s">
        <v>66</v>
      </c>
      <c r="C61" s="1" t="s">
        <v>180</v>
      </c>
      <c r="D61" s="1" t="s">
        <v>181</v>
      </c>
      <c r="E61" s="2" t="s">
        <v>19</v>
      </c>
      <c r="F61" s="1" t="s">
        <v>182</v>
      </c>
      <c r="G61" s="3">
        <v>0.5</v>
      </c>
      <c r="H61" s="4">
        <v>320</v>
      </c>
      <c r="I61" s="4">
        <f>(MissionRiskRegister[[#This Row],[Cost Impact – Pessimistic ($000)]]*4+MissionRiskRegister[[#This Row],[Cost Impact – Optimistic ($000)]]*2)/6</f>
        <v>1280</v>
      </c>
      <c r="J61" s="4">
        <v>1760</v>
      </c>
      <c r="K61" s="4">
        <f t="shared" si="1"/>
        <v>640</v>
      </c>
    </row>
    <row r="62" spans="1:11" ht="45" customHeight="1">
      <c r="A62" s="5">
        <v>54</v>
      </c>
      <c r="B62" s="6" t="s">
        <v>66</v>
      </c>
      <c r="C62" s="6" t="s">
        <v>183</v>
      </c>
      <c r="D62" s="6" t="s">
        <v>184</v>
      </c>
      <c r="E62" s="5" t="s">
        <v>19</v>
      </c>
      <c r="F62" s="6" t="s">
        <v>185</v>
      </c>
      <c r="G62" s="7">
        <v>0.5</v>
      </c>
      <c r="H62" s="8">
        <v>360</v>
      </c>
      <c r="I62" s="4">
        <f>(MissionRiskRegister[[#This Row],[Cost Impact – Pessimistic ($000)]]*4+MissionRiskRegister[[#This Row],[Cost Impact – Optimistic ($000)]]*2)/6</f>
        <v>1113.3333333333333</v>
      </c>
      <c r="J62" s="8">
        <v>1490</v>
      </c>
      <c r="K62" s="8">
        <f t="shared" si="1"/>
        <v>556.66666666666663</v>
      </c>
    </row>
    <row r="63" spans="1:11" ht="45" customHeight="1">
      <c r="A63" s="2">
        <v>55</v>
      </c>
      <c r="B63" s="1" t="s">
        <v>152</v>
      </c>
      <c r="C63" s="1" t="s">
        <v>186</v>
      </c>
      <c r="D63" s="1" t="s">
        <v>187</v>
      </c>
      <c r="E63" s="2" t="s">
        <v>23</v>
      </c>
      <c r="F63" s="1" t="s">
        <v>188</v>
      </c>
      <c r="G63" s="3">
        <v>0.4</v>
      </c>
      <c r="H63" s="4">
        <v>450</v>
      </c>
      <c r="I63" s="4">
        <f>(MissionRiskRegister[[#This Row],[Cost Impact – Pessimistic ($000)]]*4+MissionRiskRegister[[#This Row],[Cost Impact – Optimistic ($000)]]*2)/6</f>
        <v>1383.3333333333333</v>
      </c>
      <c r="J63" s="4">
        <v>1850</v>
      </c>
      <c r="K63" s="4">
        <f t="shared" si="1"/>
        <v>553.33333333333337</v>
      </c>
    </row>
    <row r="64" spans="1:11" ht="45" customHeight="1">
      <c r="A64" s="5">
        <v>56</v>
      </c>
      <c r="B64" s="6" t="s">
        <v>152</v>
      </c>
      <c r="C64" s="6" t="s">
        <v>189</v>
      </c>
      <c r="D64" s="6" t="s">
        <v>190</v>
      </c>
      <c r="E64" s="5" t="s">
        <v>19</v>
      </c>
      <c r="F64" s="6" t="s">
        <v>191</v>
      </c>
      <c r="G64" s="7">
        <v>0.4</v>
      </c>
      <c r="H64" s="8">
        <v>500</v>
      </c>
      <c r="I64" s="4">
        <f>(MissionRiskRegister[[#This Row],[Cost Impact – Pessimistic ($000)]]*4+MissionRiskRegister[[#This Row],[Cost Impact – Optimistic ($000)]]*2)/6</f>
        <v>1733.3333333333333</v>
      </c>
      <c r="J64" s="8">
        <v>2350</v>
      </c>
      <c r="K64" s="8">
        <f t="shared" si="1"/>
        <v>693.33333333333337</v>
      </c>
    </row>
    <row r="65" spans="1:11" ht="45" customHeight="1">
      <c r="A65" s="2">
        <v>57</v>
      </c>
      <c r="B65" s="1" t="s">
        <v>192</v>
      </c>
      <c r="C65" s="1" t="s">
        <v>193</v>
      </c>
      <c r="D65" s="1" t="s">
        <v>194</v>
      </c>
      <c r="E65" s="2" t="s">
        <v>19</v>
      </c>
      <c r="F65" s="1" t="s">
        <v>195</v>
      </c>
      <c r="G65" s="3">
        <v>0.3</v>
      </c>
      <c r="H65" s="4">
        <v>580</v>
      </c>
      <c r="I65" s="4">
        <f>(MissionRiskRegister[[#This Row],[Cost Impact – Pessimistic ($000)]]*4+MissionRiskRegister[[#This Row],[Cost Impact – Optimistic ($000)]]*2)/6</f>
        <v>2066.6666666666665</v>
      </c>
      <c r="J65" s="4">
        <v>2810</v>
      </c>
      <c r="K65" s="4">
        <f t="shared" si="1"/>
        <v>619.99999999999989</v>
      </c>
    </row>
    <row r="66" spans="1:11" ht="45" customHeight="1">
      <c r="A66" s="5">
        <v>58</v>
      </c>
      <c r="B66" s="6" t="s">
        <v>118</v>
      </c>
      <c r="C66" s="6" t="s">
        <v>196</v>
      </c>
      <c r="D66" s="6" t="s">
        <v>197</v>
      </c>
      <c r="E66" s="5" t="s">
        <v>19</v>
      </c>
      <c r="F66" s="6" t="s">
        <v>198</v>
      </c>
      <c r="G66" s="7">
        <v>0.6</v>
      </c>
      <c r="H66" s="8">
        <v>280</v>
      </c>
      <c r="I66" s="4">
        <f>(MissionRiskRegister[[#This Row],[Cost Impact – Pessimistic ($000)]]*4+MissionRiskRegister[[#This Row],[Cost Impact – Optimistic ($000)]]*2)/6</f>
        <v>1160</v>
      </c>
      <c r="J66" s="8">
        <v>1600</v>
      </c>
      <c r="K66" s="8">
        <f t="shared" si="1"/>
        <v>696</v>
      </c>
    </row>
    <row r="67" spans="1:11" ht="45" customHeight="1">
      <c r="A67" s="2">
        <v>59</v>
      </c>
      <c r="B67" s="1" t="s">
        <v>118</v>
      </c>
      <c r="C67" s="1" t="s">
        <v>199</v>
      </c>
      <c r="D67" s="1" t="s">
        <v>200</v>
      </c>
      <c r="E67" s="2" t="s">
        <v>19</v>
      </c>
      <c r="F67" s="1" t="s">
        <v>201</v>
      </c>
      <c r="G67" s="3">
        <v>0.6</v>
      </c>
      <c r="H67" s="4">
        <v>320</v>
      </c>
      <c r="I67" s="4">
        <f>(MissionRiskRegister[[#This Row],[Cost Impact – Pessimistic ($000)]]*4+MissionRiskRegister[[#This Row],[Cost Impact – Optimistic ($000)]]*2)/6</f>
        <v>1026.6666666666667</v>
      </c>
      <c r="J67" s="4">
        <v>1380</v>
      </c>
      <c r="K67" s="4">
        <f t="shared" si="1"/>
        <v>616</v>
      </c>
    </row>
    <row r="68" spans="1:11" ht="45" customHeight="1">
      <c r="A68" s="5">
        <v>60</v>
      </c>
      <c r="B68" s="6" t="s">
        <v>152</v>
      </c>
      <c r="C68" s="6" t="s">
        <v>202</v>
      </c>
      <c r="D68" s="6" t="s">
        <v>203</v>
      </c>
      <c r="E68" s="5" t="s">
        <v>19</v>
      </c>
      <c r="F68" s="6" t="s">
        <v>204</v>
      </c>
      <c r="G68" s="7">
        <v>0.4</v>
      </c>
      <c r="H68" s="8">
        <v>520</v>
      </c>
      <c r="I68" s="4">
        <f>(MissionRiskRegister[[#This Row],[Cost Impact – Pessimistic ($000)]]*4+MissionRiskRegister[[#This Row],[Cost Impact – Optimistic ($000)]]*2)/6</f>
        <v>1420</v>
      </c>
      <c r="J68" s="8">
        <v>1870</v>
      </c>
      <c r="K68" s="8">
        <f t="shared" si="1"/>
        <v>568</v>
      </c>
    </row>
    <row r="69" spans="1:11" ht="45" customHeight="1">
      <c r="A69" s="2">
        <v>61</v>
      </c>
      <c r="B69" s="1" t="s">
        <v>47</v>
      </c>
      <c r="C69" s="1" t="s">
        <v>205</v>
      </c>
      <c r="D69" s="1" t="s">
        <v>206</v>
      </c>
      <c r="E69" s="2" t="s">
        <v>19</v>
      </c>
      <c r="F69" s="1" t="s">
        <v>207</v>
      </c>
      <c r="G69" s="3">
        <v>0.6</v>
      </c>
      <c r="H69" s="4">
        <v>270</v>
      </c>
      <c r="I69" s="4">
        <f>(MissionRiskRegister[[#This Row],[Cost Impact – Pessimistic ($000)]]*4+MissionRiskRegister[[#This Row],[Cost Impact – Optimistic ($000)]]*2)/6</f>
        <v>903.33333333333337</v>
      </c>
      <c r="J69" s="4">
        <v>1220</v>
      </c>
      <c r="K69" s="4">
        <f t="shared" si="1"/>
        <v>542</v>
      </c>
    </row>
    <row r="70" spans="1:11" ht="45" customHeight="1">
      <c r="A70" s="5">
        <v>62</v>
      </c>
      <c r="B70" s="6" t="s">
        <v>47</v>
      </c>
      <c r="C70" s="6" t="s">
        <v>208</v>
      </c>
      <c r="D70" s="6" t="s">
        <v>209</v>
      </c>
      <c r="E70" s="5" t="s">
        <v>19</v>
      </c>
      <c r="F70" s="6" t="s">
        <v>210</v>
      </c>
      <c r="G70" s="7">
        <v>0.6</v>
      </c>
      <c r="H70" s="8">
        <v>310</v>
      </c>
      <c r="I70" s="4">
        <f>(MissionRiskRegister[[#This Row],[Cost Impact – Pessimistic ($000)]]*4+MissionRiskRegister[[#This Row],[Cost Impact – Optimistic ($000)]]*2)/6</f>
        <v>1123.3333333333333</v>
      </c>
      <c r="J70" s="8">
        <v>1530</v>
      </c>
      <c r="K70" s="8">
        <f t="shared" si="1"/>
        <v>673.99999999999989</v>
      </c>
    </row>
    <row r="71" spans="1:11" ht="45" customHeight="1">
      <c r="A71" s="2">
        <v>63</v>
      </c>
      <c r="B71" s="1" t="s">
        <v>66</v>
      </c>
      <c r="C71" s="1" t="s">
        <v>211</v>
      </c>
      <c r="D71" s="1" t="s">
        <v>212</v>
      </c>
      <c r="E71" s="2" t="s">
        <v>23</v>
      </c>
      <c r="F71" s="1" t="s">
        <v>213</v>
      </c>
      <c r="G71" s="3">
        <v>0.5</v>
      </c>
      <c r="H71" s="4">
        <v>360</v>
      </c>
      <c r="I71" s="4">
        <f>(MissionRiskRegister[[#This Row],[Cost Impact – Pessimistic ($000)]]*4+MissionRiskRegister[[#This Row],[Cost Impact – Optimistic ($000)]]*2)/6</f>
        <v>1253.3333333333333</v>
      </c>
      <c r="J71" s="4">
        <v>1700</v>
      </c>
      <c r="K71" s="4">
        <f t="shared" si="1"/>
        <v>626.66666666666663</v>
      </c>
    </row>
    <row r="72" spans="1:11" ht="45" customHeight="1">
      <c r="A72" s="5">
        <v>64</v>
      </c>
      <c r="B72" s="6" t="s">
        <v>192</v>
      </c>
      <c r="C72" s="6" t="s">
        <v>214</v>
      </c>
      <c r="D72" s="6" t="s">
        <v>215</v>
      </c>
      <c r="E72" s="5" t="s">
        <v>19</v>
      </c>
      <c r="F72" s="6" t="s">
        <v>216</v>
      </c>
      <c r="G72" s="7">
        <v>0.3</v>
      </c>
      <c r="H72" s="8">
        <v>610</v>
      </c>
      <c r="I72" s="4">
        <f>(MissionRiskRegister[[#This Row],[Cost Impact – Pessimistic ($000)]]*4+MissionRiskRegister[[#This Row],[Cost Impact – Optimistic ($000)]]*2)/6</f>
        <v>1690</v>
      </c>
      <c r="J72" s="8">
        <v>2230</v>
      </c>
      <c r="K72" s="8">
        <f t="shared" si="1"/>
        <v>507</v>
      </c>
    </row>
    <row r="73" spans="1:11" ht="45" customHeight="1">
      <c r="A73" s="2">
        <v>65</v>
      </c>
      <c r="B73" s="1" t="s">
        <v>192</v>
      </c>
      <c r="C73" s="1" t="s">
        <v>217</v>
      </c>
      <c r="D73" s="1" t="s">
        <v>218</v>
      </c>
      <c r="E73" s="2" t="s">
        <v>23</v>
      </c>
      <c r="F73" s="1" t="s">
        <v>219</v>
      </c>
      <c r="G73" s="3">
        <v>0.3</v>
      </c>
      <c r="H73" s="4">
        <v>680</v>
      </c>
      <c r="I73" s="4">
        <f>(MissionRiskRegister[[#This Row],[Cost Impact – Pessimistic ($000)]]*4+MissionRiskRegister[[#This Row],[Cost Impact – Optimistic ($000)]]*2)/6</f>
        <v>2113.3333333333335</v>
      </c>
      <c r="J73" s="4">
        <v>2830</v>
      </c>
      <c r="K73" s="4">
        <f t="shared" ref="K73:K104" si="2">G73*I73</f>
        <v>634</v>
      </c>
    </row>
    <row r="74" spans="1:11" ht="45" customHeight="1">
      <c r="A74" s="5">
        <v>66</v>
      </c>
      <c r="B74" s="6" t="s">
        <v>118</v>
      </c>
      <c r="C74" s="6" t="s">
        <v>220</v>
      </c>
      <c r="D74" s="6" t="s">
        <v>221</v>
      </c>
      <c r="E74" s="5" t="s">
        <v>19</v>
      </c>
      <c r="F74" s="6" t="s">
        <v>222</v>
      </c>
      <c r="G74" s="7">
        <v>0.6</v>
      </c>
      <c r="H74" s="8">
        <v>330</v>
      </c>
      <c r="I74" s="4">
        <f>(MissionRiskRegister[[#This Row],[Cost Impact – Pessimistic ($000)]]*4+MissionRiskRegister[[#This Row],[Cost Impact – Optimistic ($000)]]*2)/6</f>
        <v>836.66666666666663</v>
      </c>
      <c r="J74" s="8">
        <v>1090</v>
      </c>
      <c r="K74" s="8">
        <f t="shared" si="2"/>
        <v>501.99999999999994</v>
      </c>
    </row>
    <row r="75" spans="1:11" ht="45" customHeight="1">
      <c r="A75" s="2">
        <v>67</v>
      </c>
      <c r="B75" s="1" t="s">
        <v>152</v>
      </c>
      <c r="C75" s="1" t="s">
        <v>223</v>
      </c>
      <c r="D75" s="1" t="s">
        <v>224</v>
      </c>
      <c r="E75" s="2" t="s">
        <v>23</v>
      </c>
      <c r="F75" s="1" t="s">
        <v>225</v>
      </c>
      <c r="G75" s="3">
        <v>0.4</v>
      </c>
      <c r="H75" s="4">
        <v>390</v>
      </c>
      <c r="I75" s="4">
        <f>(MissionRiskRegister[[#This Row],[Cost Impact – Pessimistic ($000)]]*4+MissionRiskRegister[[#This Row],[Cost Impact – Optimistic ($000)]]*2)/6</f>
        <v>1390</v>
      </c>
      <c r="J75" s="4">
        <v>1890</v>
      </c>
      <c r="K75" s="4">
        <f t="shared" si="2"/>
        <v>556</v>
      </c>
    </row>
    <row r="76" spans="1:11" ht="45" customHeight="1">
      <c r="A76" s="5">
        <v>68</v>
      </c>
      <c r="B76" s="6" t="s">
        <v>192</v>
      </c>
      <c r="C76" s="6" t="s">
        <v>226</v>
      </c>
      <c r="D76" s="6" t="s">
        <v>227</v>
      </c>
      <c r="E76" s="5" t="s">
        <v>19</v>
      </c>
      <c r="F76" s="6" t="s">
        <v>228</v>
      </c>
      <c r="G76" s="7">
        <v>0.3</v>
      </c>
      <c r="H76" s="8">
        <v>440</v>
      </c>
      <c r="I76" s="4">
        <f>(MissionRiskRegister[[#This Row],[Cost Impact – Pessimistic ($000)]]*4+MissionRiskRegister[[#This Row],[Cost Impact – Optimistic ($000)]]*2)/6</f>
        <v>1673.3333333333333</v>
      </c>
      <c r="J76" s="8">
        <v>2290</v>
      </c>
      <c r="K76" s="8">
        <f t="shared" si="2"/>
        <v>501.99999999999994</v>
      </c>
    </row>
    <row r="77" spans="1:11" ht="45" customHeight="1">
      <c r="A77" s="2">
        <v>69</v>
      </c>
      <c r="B77" s="1" t="s">
        <v>229</v>
      </c>
      <c r="C77" s="1" t="s">
        <v>230</v>
      </c>
      <c r="D77" s="1" t="s">
        <v>231</v>
      </c>
      <c r="E77" s="2" t="s">
        <v>19</v>
      </c>
      <c r="F77" s="1" t="s">
        <v>232</v>
      </c>
      <c r="G77" s="3">
        <v>0.5</v>
      </c>
      <c r="H77" s="4">
        <v>300</v>
      </c>
      <c r="I77" s="4">
        <f>(MissionRiskRegister[[#This Row],[Cost Impact – Pessimistic ($000)]]*4+MissionRiskRegister[[#This Row],[Cost Impact – Optimistic ($000)]]*2)/6</f>
        <v>913.33333333333337</v>
      </c>
      <c r="J77" s="4">
        <v>1220</v>
      </c>
      <c r="K77" s="4">
        <f t="shared" si="2"/>
        <v>456.66666666666669</v>
      </c>
    </row>
    <row r="78" spans="1:11" ht="45" customHeight="1">
      <c r="A78" s="5">
        <v>70</v>
      </c>
      <c r="B78" s="6" t="s">
        <v>229</v>
      </c>
      <c r="C78" s="6" t="s">
        <v>233</v>
      </c>
      <c r="D78" s="6" t="s">
        <v>234</v>
      </c>
      <c r="E78" s="5" t="s">
        <v>19</v>
      </c>
      <c r="F78" s="6" t="s">
        <v>235</v>
      </c>
      <c r="G78" s="7">
        <v>0.5</v>
      </c>
      <c r="H78" s="8">
        <v>330</v>
      </c>
      <c r="I78" s="4">
        <f>(MissionRiskRegister[[#This Row],[Cost Impact – Pessimistic ($000)]]*4+MissionRiskRegister[[#This Row],[Cost Impact – Optimistic ($000)]]*2)/6</f>
        <v>1143.3333333333333</v>
      </c>
      <c r="J78" s="8">
        <v>1550</v>
      </c>
      <c r="K78" s="8">
        <f t="shared" si="2"/>
        <v>571.66666666666663</v>
      </c>
    </row>
    <row r="79" spans="1:11" ht="45" customHeight="1">
      <c r="A79" s="2">
        <v>71</v>
      </c>
      <c r="B79" s="1" t="s">
        <v>118</v>
      </c>
      <c r="C79" s="1" t="s">
        <v>236</v>
      </c>
      <c r="D79" s="1" t="s">
        <v>237</v>
      </c>
      <c r="E79" s="2" t="s">
        <v>23</v>
      </c>
      <c r="F79" s="1" t="s">
        <v>238</v>
      </c>
      <c r="G79" s="3">
        <v>0.6</v>
      </c>
      <c r="H79" s="4">
        <v>210</v>
      </c>
      <c r="I79" s="4">
        <f>(MissionRiskRegister[[#This Row],[Cost Impact – Pessimistic ($000)]]*4+MissionRiskRegister[[#This Row],[Cost Impact – Optimistic ($000)]]*2)/6</f>
        <v>910</v>
      </c>
      <c r="J79" s="4">
        <v>1260</v>
      </c>
      <c r="K79" s="4">
        <f t="shared" si="2"/>
        <v>546</v>
      </c>
    </row>
    <row r="80" spans="1:11" ht="45" customHeight="1">
      <c r="A80" s="5">
        <v>72</v>
      </c>
      <c r="B80" s="6" t="s">
        <v>118</v>
      </c>
      <c r="C80" s="6" t="s">
        <v>239</v>
      </c>
      <c r="D80" s="6" t="s">
        <v>240</v>
      </c>
      <c r="E80" s="5" t="s">
        <v>19</v>
      </c>
      <c r="F80" s="6" t="s">
        <v>241</v>
      </c>
      <c r="G80" s="7">
        <v>0.6</v>
      </c>
      <c r="H80" s="8">
        <v>240</v>
      </c>
      <c r="I80" s="4">
        <f>(MissionRiskRegister[[#This Row],[Cost Impact – Pessimistic ($000)]]*4+MissionRiskRegister[[#This Row],[Cost Impact – Optimistic ($000)]]*2)/6</f>
        <v>800</v>
      </c>
      <c r="J80" s="8">
        <v>1080</v>
      </c>
      <c r="K80" s="8">
        <f t="shared" si="2"/>
        <v>480</v>
      </c>
    </row>
    <row r="81" spans="1:11" ht="45" customHeight="1">
      <c r="A81" s="2">
        <v>73</v>
      </c>
      <c r="B81" s="1" t="s">
        <v>152</v>
      </c>
      <c r="C81" s="1" t="s">
        <v>242</v>
      </c>
      <c r="D81" s="1" t="s">
        <v>243</v>
      </c>
      <c r="E81" s="2" t="s">
        <v>19</v>
      </c>
      <c r="F81" s="1" t="s">
        <v>244</v>
      </c>
      <c r="G81" s="3">
        <v>0.4</v>
      </c>
      <c r="H81" s="4">
        <v>400</v>
      </c>
      <c r="I81" s="4">
        <f>(MissionRiskRegister[[#This Row],[Cost Impact – Pessimistic ($000)]]*4+MissionRiskRegister[[#This Row],[Cost Impact – Optimistic ($000)]]*2)/6</f>
        <v>1126.6666666666667</v>
      </c>
      <c r="J81" s="4">
        <v>1490</v>
      </c>
      <c r="K81" s="4">
        <f t="shared" si="2"/>
        <v>450.66666666666674</v>
      </c>
    </row>
    <row r="82" spans="1:11" ht="45" customHeight="1">
      <c r="A82" s="5">
        <v>74</v>
      </c>
      <c r="B82" s="6" t="s">
        <v>192</v>
      </c>
      <c r="C82" s="6" t="s">
        <v>245</v>
      </c>
      <c r="D82" s="6" t="s">
        <v>246</v>
      </c>
      <c r="E82" s="5" t="s">
        <v>19</v>
      </c>
      <c r="F82" s="6" t="s">
        <v>247</v>
      </c>
      <c r="G82" s="7">
        <v>0.3</v>
      </c>
      <c r="H82" s="8">
        <v>480</v>
      </c>
      <c r="I82" s="4">
        <f>(MissionRiskRegister[[#This Row],[Cost Impact – Pessimistic ($000)]]*4+MissionRiskRegister[[#This Row],[Cost Impact – Optimistic ($000)]]*2)/6</f>
        <v>1946.6666666666667</v>
      </c>
      <c r="J82" s="8">
        <v>2680</v>
      </c>
      <c r="K82" s="8">
        <f t="shared" si="2"/>
        <v>584</v>
      </c>
    </row>
    <row r="83" spans="1:11" ht="45" customHeight="1">
      <c r="A83" s="2">
        <v>75</v>
      </c>
      <c r="B83" s="1" t="s">
        <v>192</v>
      </c>
      <c r="C83" s="1" t="s">
        <v>248</v>
      </c>
      <c r="D83" s="1" t="s">
        <v>249</v>
      </c>
      <c r="E83" s="2" t="s">
        <v>19</v>
      </c>
      <c r="F83" s="1" t="s">
        <v>250</v>
      </c>
      <c r="G83" s="3">
        <v>0.3</v>
      </c>
      <c r="H83" s="4">
        <v>540</v>
      </c>
      <c r="I83" s="4">
        <f>(MissionRiskRegister[[#This Row],[Cost Impact – Pessimistic ($000)]]*4+MissionRiskRegister[[#This Row],[Cost Impact – Optimistic ($000)]]*2)/6</f>
        <v>1726.6666666666667</v>
      </c>
      <c r="J83" s="4">
        <v>2320</v>
      </c>
      <c r="K83" s="4">
        <f t="shared" si="2"/>
        <v>518</v>
      </c>
    </row>
    <row r="84" spans="1:11" ht="45" customHeight="1">
      <c r="A84" s="5">
        <v>76</v>
      </c>
      <c r="B84" s="6" t="s">
        <v>66</v>
      </c>
      <c r="C84" s="6" t="s">
        <v>251</v>
      </c>
      <c r="D84" s="6" t="s">
        <v>252</v>
      </c>
      <c r="E84" s="5" t="s">
        <v>19</v>
      </c>
      <c r="F84" s="6" t="s">
        <v>253</v>
      </c>
      <c r="G84" s="7">
        <v>0.5</v>
      </c>
      <c r="H84" s="8">
        <v>360</v>
      </c>
      <c r="I84" s="4">
        <f>(MissionRiskRegister[[#This Row],[Cost Impact – Pessimistic ($000)]]*4+MissionRiskRegister[[#This Row],[Cost Impact – Optimistic ($000)]]*2)/6</f>
        <v>973.33333333333337</v>
      </c>
      <c r="J84" s="8">
        <v>1280</v>
      </c>
      <c r="K84" s="8">
        <f t="shared" si="2"/>
        <v>486.66666666666669</v>
      </c>
    </row>
    <row r="85" spans="1:11" ht="45" customHeight="1">
      <c r="A85" s="2">
        <v>77</v>
      </c>
      <c r="B85" s="1" t="s">
        <v>66</v>
      </c>
      <c r="C85" s="1" t="s">
        <v>254</v>
      </c>
      <c r="D85" s="1" t="s">
        <v>255</v>
      </c>
      <c r="E85" s="2" t="s">
        <v>19</v>
      </c>
      <c r="F85" s="1" t="s">
        <v>256</v>
      </c>
      <c r="G85" s="3">
        <v>0.5</v>
      </c>
      <c r="H85" s="4">
        <v>250</v>
      </c>
      <c r="I85" s="4">
        <f>(MissionRiskRegister[[#This Row],[Cost Impact – Pessimistic ($000)]]*4+MissionRiskRegister[[#This Row],[Cost Impact – Optimistic ($000)]]*2)/6</f>
        <v>1150</v>
      </c>
      <c r="J85" s="4">
        <v>1600</v>
      </c>
      <c r="K85" s="4">
        <f t="shared" si="2"/>
        <v>575</v>
      </c>
    </row>
    <row r="86" spans="1:11" ht="45" customHeight="1">
      <c r="A86" s="5">
        <v>78</v>
      </c>
      <c r="B86" s="6" t="s">
        <v>47</v>
      </c>
      <c r="C86" s="6" t="s">
        <v>257</v>
      </c>
      <c r="D86" s="6" t="s">
        <v>258</v>
      </c>
      <c r="E86" s="5" t="s">
        <v>23</v>
      </c>
      <c r="F86" s="6" t="s">
        <v>259</v>
      </c>
      <c r="G86" s="7">
        <v>0.6</v>
      </c>
      <c r="H86" s="8">
        <v>300</v>
      </c>
      <c r="I86" s="4">
        <f>(MissionRiskRegister[[#This Row],[Cost Impact – Pessimistic ($000)]]*4+MissionRiskRegister[[#This Row],[Cost Impact – Optimistic ($000)]]*2)/6</f>
        <v>866.66666666666663</v>
      </c>
      <c r="J86" s="8">
        <v>1150</v>
      </c>
      <c r="K86" s="8">
        <f t="shared" si="2"/>
        <v>520</v>
      </c>
    </row>
    <row r="87" spans="1:11" ht="45" customHeight="1">
      <c r="A87" s="2">
        <v>79</v>
      </c>
      <c r="B87" s="1" t="s">
        <v>229</v>
      </c>
      <c r="C87" s="1" t="s">
        <v>260</v>
      </c>
      <c r="D87" s="1" t="s">
        <v>261</v>
      </c>
      <c r="E87" s="2" t="s">
        <v>23</v>
      </c>
      <c r="F87" s="1" t="s">
        <v>262</v>
      </c>
      <c r="G87" s="3">
        <v>0.5</v>
      </c>
      <c r="H87" s="4">
        <v>350</v>
      </c>
      <c r="I87" s="4">
        <f>(MissionRiskRegister[[#This Row],[Cost Impact – Pessimistic ($000)]]*4+MissionRiskRegister[[#This Row],[Cost Impact – Optimistic ($000)]]*2)/6</f>
        <v>943.33333333333337</v>
      </c>
      <c r="J87" s="4">
        <v>1240</v>
      </c>
      <c r="K87" s="4">
        <f t="shared" si="2"/>
        <v>471.66666666666669</v>
      </c>
    </row>
    <row r="88" spans="1:11" ht="45" customHeight="1">
      <c r="A88" s="5">
        <v>80</v>
      </c>
      <c r="B88" s="6" t="s">
        <v>263</v>
      </c>
      <c r="C88" s="6" t="s">
        <v>264</v>
      </c>
      <c r="D88" s="6" t="s">
        <v>265</v>
      </c>
      <c r="E88" s="5" t="s">
        <v>19</v>
      </c>
      <c r="F88" s="6" t="s">
        <v>266</v>
      </c>
      <c r="G88" s="7">
        <v>0.15</v>
      </c>
      <c r="H88" s="8">
        <v>910</v>
      </c>
      <c r="I88" s="4">
        <f>(MissionRiskRegister[[#This Row],[Cost Impact – Pessimistic ($000)]]*4+MissionRiskRegister[[#This Row],[Cost Impact – Optimistic ($000)]]*2)/6</f>
        <v>2810</v>
      </c>
      <c r="J88" s="8">
        <v>3760</v>
      </c>
      <c r="K88" s="8">
        <f t="shared" si="2"/>
        <v>421.5</v>
      </c>
    </row>
    <row r="89" spans="1:11" ht="45" customHeight="1">
      <c r="A89" s="2">
        <v>81</v>
      </c>
      <c r="B89" s="1" t="s">
        <v>263</v>
      </c>
      <c r="C89" s="1" t="s">
        <v>267</v>
      </c>
      <c r="D89" s="1" t="s">
        <v>268</v>
      </c>
      <c r="E89" s="2" t="s">
        <v>19</v>
      </c>
      <c r="F89" s="1" t="s">
        <v>269</v>
      </c>
      <c r="G89" s="3">
        <v>0.15</v>
      </c>
      <c r="H89" s="4">
        <v>1030</v>
      </c>
      <c r="I89" s="4">
        <f>(MissionRiskRegister[[#This Row],[Cost Impact – Pessimistic ($000)]]*4+MissionRiskRegister[[#This Row],[Cost Impact – Optimistic ($000)]]*2)/6</f>
        <v>3536.6666666666665</v>
      </c>
      <c r="J89" s="4">
        <v>4790</v>
      </c>
      <c r="K89" s="4">
        <f t="shared" si="2"/>
        <v>530.5</v>
      </c>
    </row>
    <row r="90" spans="1:11" ht="45" customHeight="1">
      <c r="A90" s="5">
        <v>82</v>
      </c>
      <c r="B90" s="6" t="s">
        <v>192</v>
      </c>
      <c r="C90" s="6" t="s">
        <v>270</v>
      </c>
      <c r="D90" s="6" t="s">
        <v>271</v>
      </c>
      <c r="E90" s="5" t="s">
        <v>23</v>
      </c>
      <c r="F90" s="6" t="s">
        <v>272</v>
      </c>
      <c r="G90" s="7">
        <v>0.3</v>
      </c>
      <c r="H90" s="8">
        <v>560</v>
      </c>
      <c r="I90" s="4">
        <f>(MissionRiskRegister[[#This Row],[Cost Impact – Pessimistic ($000)]]*4+MissionRiskRegister[[#This Row],[Cost Impact – Optimistic ($000)]]*2)/6</f>
        <v>1406.6666666666667</v>
      </c>
      <c r="J90" s="8">
        <v>1830</v>
      </c>
      <c r="K90" s="8">
        <f t="shared" si="2"/>
        <v>422</v>
      </c>
    </row>
    <row r="91" spans="1:11" ht="45" customHeight="1">
      <c r="A91" s="2">
        <v>83</v>
      </c>
      <c r="B91" s="1" t="s">
        <v>152</v>
      </c>
      <c r="C91" s="1" t="s">
        <v>273</v>
      </c>
      <c r="D91" s="1" t="s">
        <v>274</v>
      </c>
      <c r="E91" s="2" t="s">
        <v>19</v>
      </c>
      <c r="F91" s="1" t="s">
        <v>275</v>
      </c>
      <c r="G91" s="3">
        <v>0.4</v>
      </c>
      <c r="H91" s="4">
        <v>290</v>
      </c>
      <c r="I91" s="4">
        <f>(MissionRiskRegister[[#This Row],[Cost Impact – Pessimistic ($000)]]*4+MissionRiskRegister[[#This Row],[Cost Impact – Optimistic ($000)]]*2)/6</f>
        <v>1090</v>
      </c>
      <c r="J91" s="4">
        <v>1490</v>
      </c>
      <c r="K91" s="4">
        <f t="shared" si="2"/>
        <v>436</v>
      </c>
    </row>
    <row r="92" spans="1:11" ht="45" customHeight="1">
      <c r="A92" s="5">
        <v>84</v>
      </c>
      <c r="B92" s="6" t="s">
        <v>276</v>
      </c>
      <c r="C92" s="6" t="s">
        <v>277</v>
      </c>
      <c r="D92" s="6" t="s">
        <v>278</v>
      </c>
      <c r="E92" s="5" t="s">
        <v>19</v>
      </c>
      <c r="F92" s="6" t="s">
        <v>279</v>
      </c>
      <c r="G92" s="7">
        <v>0.3</v>
      </c>
      <c r="H92" s="8">
        <v>440</v>
      </c>
      <c r="I92" s="4">
        <f>(MissionRiskRegister[[#This Row],[Cost Impact – Pessimistic ($000)]]*4+MissionRiskRegister[[#This Row],[Cost Impact – Optimistic ($000)]]*2)/6</f>
        <v>1346.6666666666667</v>
      </c>
      <c r="J92" s="8">
        <v>1800</v>
      </c>
      <c r="K92" s="8">
        <f t="shared" si="2"/>
        <v>404</v>
      </c>
    </row>
    <row r="93" spans="1:11" ht="45" customHeight="1">
      <c r="A93" s="2">
        <v>85</v>
      </c>
      <c r="B93" s="1" t="s">
        <v>229</v>
      </c>
      <c r="C93" s="1" t="s">
        <v>280</v>
      </c>
      <c r="D93" s="1" t="s">
        <v>281</v>
      </c>
      <c r="E93" s="2" t="s">
        <v>19</v>
      </c>
      <c r="F93" s="1" t="s">
        <v>282</v>
      </c>
      <c r="G93" s="3">
        <v>0.5</v>
      </c>
      <c r="H93" s="4">
        <v>230</v>
      </c>
      <c r="I93" s="4">
        <f>(MissionRiskRegister[[#This Row],[Cost Impact – Pessimistic ($000)]]*4+MissionRiskRegister[[#This Row],[Cost Impact – Optimistic ($000)]]*2)/6</f>
        <v>1050</v>
      </c>
      <c r="J93" s="4">
        <v>1460</v>
      </c>
      <c r="K93" s="4">
        <f t="shared" si="2"/>
        <v>525</v>
      </c>
    </row>
    <row r="94" spans="1:11" ht="45" customHeight="1">
      <c r="A94" s="5">
        <v>86</v>
      </c>
      <c r="B94" s="6" t="s">
        <v>229</v>
      </c>
      <c r="C94" s="6" t="s">
        <v>283</v>
      </c>
      <c r="D94" s="6" t="s">
        <v>284</v>
      </c>
      <c r="E94" s="5" t="s">
        <v>19</v>
      </c>
      <c r="F94" s="6" t="s">
        <v>285</v>
      </c>
      <c r="G94" s="7">
        <v>0.5</v>
      </c>
      <c r="H94" s="8">
        <v>260</v>
      </c>
      <c r="I94" s="4">
        <f>(MissionRiskRegister[[#This Row],[Cost Impact – Pessimistic ($000)]]*4+MissionRiskRegister[[#This Row],[Cost Impact – Optimistic ($000)]]*2)/6</f>
        <v>933.33333333333337</v>
      </c>
      <c r="J94" s="8">
        <v>1270</v>
      </c>
      <c r="K94" s="8">
        <f t="shared" si="2"/>
        <v>466.66666666666669</v>
      </c>
    </row>
    <row r="95" spans="1:11" ht="45" customHeight="1">
      <c r="A95" s="2">
        <v>87</v>
      </c>
      <c r="B95" s="1" t="s">
        <v>118</v>
      </c>
      <c r="C95" s="1" t="s">
        <v>286</v>
      </c>
      <c r="D95" s="1" t="s">
        <v>287</v>
      </c>
      <c r="E95" s="2" t="s">
        <v>19</v>
      </c>
      <c r="F95" s="1" t="s">
        <v>288</v>
      </c>
      <c r="G95" s="3">
        <v>0.6</v>
      </c>
      <c r="H95" s="4">
        <v>240</v>
      </c>
      <c r="I95" s="4">
        <f>(MissionRiskRegister[[#This Row],[Cost Impact – Pessimistic ($000)]]*4+MissionRiskRegister[[#This Row],[Cost Impact – Optimistic ($000)]]*2)/6</f>
        <v>893.33333333333337</v>
      </c>
      <c r="J95" s="4">
        <v>1220</v>
      </c>
      <c r="K95" s="4">
        <f t="shared" si="2"/>
        <v>536</v>
      </c>
    </row>
    <row r="96" spans="1:11" ht="45" customHeight="1">
      <c r="A96" s="5">
        <v>88</v>
      </c>
      <c r="B96" s="6" t="s">
        <v>263</v>
      </c>
      <c r="C96" s="6" t="s">
        <v>289</v>
      </c>
      <c r="D96" s="6" t="s">
        <v>290</v>
      </c>
      <c r="E96" s="5" t="s">
        <v>291</v>
      </c>
      <c r="F96" s="6" t="s">
        <v>292</v>
      </c>
      <c r="G96" s="7">
        <v>0.15</v>
      </c>
      <c r="H96" s="8">
        <v>1080</v>
      </c>
      <c r="I96" s="4">
        <f>(MissionRiskRegister[[#This Row],[Cost Impact – Pessimistic ($000)]]*4+MissionRiskRegister[[#This Row],[Cost Impact – Optimistic ($000)]]*2)/6</f>
        <v>2940</v>
      </c>
      <c r="J96" s="8">
        <v>3870</v>
      </c>
      <c r="K96" s="8">
        <f t="shared" si="2"/>
        <v>441</v>
      </c>
    </row>
    <row r="97" spans="1:11" ht="45" customHeight="1">
      <c r="A97" s="2">
        <v>89</v>
      </c>
      <c r="B97" s="1" t="s">
        <v>66</v>
      </c>
      <c r="C97" s="1" t="s">
        <v>293</v>
      </c>
      <c r="D97" s="1" t="s">
        <v>294</v>
      </c>
      <c r="E97" s="2" t="s">
        <v>19</v>
      </c>
      <c r="F97" s="1" t="s">
        <v>295</v>
      </c>
      <c r="G97" s="3">
        <v>0.5</v>
      </c>
      <c r="H97" s="4">
        <v>250</v>
      </c>
      <c r="I97" s="4">
        <f>(MissionRiskRegister[[#This Row],[Cost Impact – Pessimistic ($000)]]*4+MissionRiskRegister[[#This Row],[Cost Impact – Optimistic ($000)]]*2)/6</f>
        <v>890</v>
      </c>
      <c r="J97" s="4">
        <v>1210</v>
      </c>
      <c r="K97" s="4">
        <f t="shared" si="2"/>
        <v>445</v>
      </c>
    </row>
    <row r="98" spans="1:11" ht="45" customHeight="1">
      <c r="A98" s="5">
        <v>90</v>
      </c>
      <c r="B98" s="6" t="s">
        <v>192</v>
      </c>
      <c r="C98" s="6" t="s">
        <v>296</v>
      </c>
      <c r="D98" s="6" t="s">
        <v>297</v>
      </c>
      <c r="E98" s="5" t="s">
        <v>19</v>
      </c>
      <c r="F98" s="6" t="s">
        <v>298</v>
      </c>
      <c r="G98" s="7">
        <v>0.3</v>
      </c>
      <c r="H98" s="8">
        <v>410</v>
      </c>
      <c r="I98" s="4">
        <f>(MissionRiskRegister[[#This Row],[Cost Impact – Pessimistic ($000)]]*4+MissionRiskRegister[[#This Row],[Cost Impact – Optimistic ($000)]]*2)/6</f>
        <v>1370</v>
      </c>
      <c r="J98" s="8">
        <v>1850</v>
      </c>
      <c r="K98" s="8">
        <f t="shared" si="2"/>
        <v>411</v>
      </c>
    </row>
    <row r="99" spans="1:11" ht="45" customHeight="1">
      <c r="A99" s="2">
        <v>91</v>
      </c>
      <c r="B99" s="1" t="s">
        <v>276</v>
      </c>
      <c r="C99" s="1" t="s">
        <v>299</v>
      </c>
      <c r="D99" s="1" t="s">
        <v>300</v>
      </c>
      <c r="E99" s="2" t="s">
        <v>19</v>
      </c>
      <c r="F99" s="1" t="s">
        <v>301</v>
      </c>
      <c r="G99" s="3">
        <v>0.3</v>
      </c>
      <c r="H99" s="4">
        <v>510</v>
      </c>
      <c r="I99" s="4">
        <f>(MissionRiskRegister[[#This Row],[Cost Impact – Pessimistic ($000)]]*4+MissionRiskRegister[[#This Row],[Cost Impact – Optimistic ($000)]]*2)/6</f>
        <v>1396.6666666666667</v>
      </c>
      <c r="J99" s="4">
        <v>1840</v>
      </c>
      <c r="K99" s="4">
        <f t="shared" si="2"/>
        <v>419</v>
      </c>
    </row>
    <row r="100" spans="1:11" ht="45" customHeight="1">
      <c r="A100" s="5">
        <v>92</v>
      </c>
      <c r="B100" s="6" t="s">
        <v>229</v>
      </c>
      <c r="C100" s="6" t="s">
        <v>302</v>
      </c>
      <c r="D100" s="6" t="s">
        <v>303</v>
      </c>
      <c r="E100" s="5" t="s">
        <v>19</v>
      </c>
      <c r="F100" s="6" t="s">
        <v>304</v>
      </c>
      <c r="G100" s="7">
        <v>0.5</v>
      </c>
      <c r="H100" s="8">
        <v>270</v>
      </c>
      <c r="I100" s="4">
        <f>(MissionRiskRegister[[#This Row],[Cost Impact – Pessimistic ($000)]]*4+MissionRiskRegister[[#This Row],[Cost Impact – Optimistic ($000)]]*2)/6</f>
        <v>763.33333333333337</v>
      </c>
      <c r="J100" s="8">
        <v>1010</v>
      </c>
      <c r="K100" s="8">
        <f t="shared" si="2"/>
        <v>381.66666666666669</v>
      </c>
    </row>
    <row r="101" spans="1:11" ht="45" customHeight="1">
      <c r="A101" s="2">
        <v>93</v>
      </c>
      <c r="B101" s="1" t="s">
        <v>152</v>
      </c>
      <c r="C101" s="1" t="s">
        <v>305</v>
      </c>
      <c r="D101" s="1" t="s">
        <v>306</v>
      </c>
      <c r="E101" s="2" t="s">
        <v>23</v>
      </c>
      <c r="F101" s="1" t="s">
        <v>307</v>
      </c>
      <c r="G101" s="3">
        <v>0.4</v>
      </c>
      <c r="H101" s="4">
        <v>300</v>
      </c>
      <c r="I101" s="4">
        <f>(MissionRiskRegister[[#This Row],[Cost Impact – Pessimistic ($000)]]*4+MissionRiskRegister[[#This Row],[Cost Impact – Optimistic ($000)]]*2)/6</f>
        <v>1240</v>
      </c>
      <c r="J101" s="4">
        <v>1710</v>
      </c>
      <c r="K101" s="4">
        <f t="shared" si="2"/>
        <v>496</v>
      </c>
    </row>
    <row r="102" spans="1:11" ht="45" customHeight="1">
      <c r="A102" s="5">
        <v>94</v>
      </c>
      <c r="B102" s="6" t="s">
        <v>152</v>
      </c>
      <c r="C102" s="6" t="s">
        <v>308</v>
      </c>
      <c r="D102" s="6" t="s">
        <v>309</v>
      </c>
      <c r="E102" s="5" t="s">
        <v>19</v>
      </c>
      <c r="F102" s="6" t="s">
        <v>310</v>
      </c>
      <c r="G102" s="7">
        <v>0.4</v>
      </c>
      <c r="H102" s="8">
        <v>340</v>
      </c>
      <c r="I102" s="4">
        <f>(MissionRiskRegister[[#This Row],[Cost Impact – Pessimistic ($000)]]*4+MissionRiskRegister[[#This Row],[Cost Impact – Optimistic ($000)]]*2)/6</f>
        <v>1100</v>
      </c>
      <c r="J102" s="8">
        <v>1480</v>
      </c>
      <c r="K102" s="8">
        <f t="shared" si="2"/>
        <v>440</v>
      </c>
    </row>
    <row r="103" spans="1:11" ht="45" customHeight="1">
      <c r="A103" s="2">
        <v>95</v>
      </c>
      <c r="B103" s="1" t="s">
        <v>263</v>
      </c>
      <c r="C103" s="1" t="s">
        <v>311</v>
      </c>
      <c r="D103" s="1" t="s">
        <v>312</v>
      </c>
      <c r="E103" s="2" t="s">
        <v>33</v>
      </c>
      <c r="F103" s="1" t="s">
        <v>313</v>
      </c>
      <c r="G103" s="3">
        <v>0.15</v>
      </c>
      <c r="H103" s="4">
        <v>710</v>
      </c>
      <c r="I103" s="4">
        <f>(MissionRiskRegister[[#This Row],[Cost Impact – Pessimistic ($000)]]*4+MissionRiskRegister[[#This Row],[Cost Impact – Optimistic ($000)]]*2)/6</f>
        <v>3270</v>
      </c>
      <c r="J103" s="4">
        <v>4550</v>
      </c>
      <c r="K103" s="4">
        <f t="shared" si="2"/>
        <v>490.5</v>
      </c>
    </row>
    <row r="104" spans="1:11" ht="45" customHeight="1">
      <c r="A104" s="5">
        <v>96</v>
      </c>
      <c r="B104" s="6" t="s">
        <v>263</v>
      </c>
      <c r="C104" s="6" t="s">
        <v>314</v>
      </c>
      <c r="D104" s="6" t="s">
        <v>315</v>
      </c>
      <c r="E104" s="5" t="s">
        <v>19</v>
      </c>
      <c r="F104" s="6" t="s">
        <v>316</v>
      </c>
      <c r="G104" s="7">
        <v>0.15</v>
      </c>
      <c r="H104" s="8">
        <v>810</v>
      </c>
      <c r="I104" s="4">
        <f>(MissionRiskRegister[[#This Row],[Cost Impact – Pessimistic ($000)]]*4+MissionRiskRegister[[#This Row],[Cost Impact – Optimistic ($000)]]*2)/6</f>
        <v>2896.6666666666665</v>
      </c>
      <c r="J104" s="8">
        <v>3940</v>
      </c>
      <c r="K104" s="8">
        <f t="shared" si="2"/>
        <v>434.49999999999994</v>
      </c>
    </row>
    <row r="105" spans="1:11" ht="45" customHeight="1">
      <c r="A105" s="2">
        <v>97</v>
      </c>
      <c r="B105" s="1" t="s">
        <v>47</v>
      </c>
      <c r="C105" s="1" t="s">
        <v>317</v>
      </c>
      <c r="D105" s="1" t="s">
        <v>318</v>
      </c>
      <c r="E105" s="2" t="s">
        <v>19</v>
      </c>
      <c r="F105" s="1" t="s">
        <v>319</v>
      </c>
      <c r="G105" s="3">
        <v>0.6</v>
      </c>
      <c r="H105" s="4">
        <v>180</v>
      </c>
      <c r="I105" s="4">
        <f>(MissionRiskRegister[[#This Row],[Cost Impact – Pessimistic ($000)]]*4+MissionRiskRegister[[#This Row],[Cost Impact – Optimistic ($000)]]*2)/6</f>
        <v>613.33333333333337</v>
      </c>
      <c r="J105" s="4">
        <v>830</v>
      </c>
      <c r="K105" s="4">
        <f t="shared" ref="K105:K136" si="3">G105*I105</f>
        <v>368</v>
      </c>
    </row>
    <row r="106" spans="1:11" ht="45" customHeight="1">
      <c r="A106" s="5">
        <v>98</v>
      </c>
      <c r="B106" s="6" t="s">
        <v>47</v>
      </c>
      <c r="C106" s="6" t="s">
        <v>320</v>
      </c>
      <c r="D106" s="6" t="s">
        <v>321</v>
      </c>
      <c r="E106" s="5" t="s">
        <v>19</v>
      </c>
      <c r="F106" s="6" t="s">
        <v>322</v>
      </c>
      <c r="G106" s="7">
        <v>0.6</v>
      </c>
      <c r="H106" s="8">
        <v>200</v>
      </c>
      <c r="I106" s="4">
        <f>(MissionRiskRegister[[#This Row],[Cost Impact – Pessimistic ($000)]]*4+MissionRiskRegister[[#This Row],[Cost Impact – Optimistic ($000)]]*2)/6</f>
        <v>766.66666666666663</v>
      </c>
      <c r="J106" s="8">
        <v>1050</v>
      </c>
      <c r="K106" s="8">
        <f t="shared" si="3"/>
        <v>459.99999999999994</v>
      </c>
    </row>
    <row r="107" spans="1:11" ht="45" customHeight="1">
      <c r="A107" s="2">
        <v>99</v>
      </c>
      <c r="B107" s="1" t="s">
        <v>276</v>
      </c>
      <c r="C107" s="1" t="s">
        <v>323</v>
      </c>
      <c r="D107" s="1" t="s">
        <v>324</v>
      </c>
      <c r="E107" s="2" t="s">
        <v>19</v>
      </c>
      <c r="F107" s="1" t="s">
        <v>325</v>
      </c>
      <c r="G107" s="3">
        <v>0.3</v>
      </c>
      <c r="H107" s="4">
        <v>340</v>
      </c>
      <c r="I107" s="4">
        <f>(MissionRiskRegister[[#This Row],[Cost Impact – Pessimistic ($000)]]*4+MissionRiskRegister[[#This Row],[Cost Impact – Optimistic ($000)]]*2)/6</f>
        <v>1553.3333333333333</v>
      </c>
      <c r="J107" s="4">
        <v>2160</v>
      </c>
      <c r="K107" s="4">
        <f t="shared" si="3"/>
        <v>465.99999999999994</v>
      </c>
    </row>
    <row r="108" spans="1:11" ht="45" customHeight="1">
      <c r="A108" s="5">
        <v>100</v>
      </c>
      <c r="B108" s="6" t="s">
        <v>118</v>
      </c>
      <c r="C108" s="6" t="s">
        <v>326</v>
      </c>
      <c r="D108" s="6" t="s">
        <v>327</v>
      </c>
      <c r="E108" s="5" t="s">
        <v>19</v>
      </c>
      <c r="F108" s="6" t="s">
        <v>328</v>
      </c>
      <c r="G108" s="7">
        <v>0.6</v>
      </c>
      <c r="H108" s="8">
        <v>240</v>
      </c>
      <c r="I108" s="4">
        <f>(MissionRiskRegister[[#This Row],[Cost Impact – Pessimistic ($000)]]*4+MissionRiskRegister[[#This Row],[Cost Impact – Optimistic ($000)]]*2)/6</f>
        <v>706.66666666666663</v>
      </c>
      <c r="J108" s="8">
        <v>940</v>
      </c>
      <c r="K108" s="8">
        <f t="shared" si="3"/>
        <v>423.99999999999994</v>
      </c>
    </row>
    <row r="109" spans="1:11" ht="45" customHeight="1">
      <c r="A109" s="2">
        <v>101</v>
      </c>
      <c r="B109" s="1" t="s">
        <v>118</v>
      </c>
      <c r="C109" s="1" t="s">
        <v>329</v>
      </c>
      <c r="D109" s="1" t="s">
        <v>330</v>
      </c>
      <c r="E109" s="2" t="s">
        <v>23</v>
      </c>
      <c r="F109" s="1" t="s">
        <v>331</v>
      </c>
      <c r="G109" s="3">
        <v>0.6</v>
      </c>
      <c r="H109" s="4">
        <v>170</v>
      </c>
      <c r="I109" s="4">
        <f>(MissionRiskRegister[[#This Row],[Cost Impact – Pessimistic ($000)]]*4+MissionRiskRegister[[#This Row],[Cost Impact – Optimistic ($000)]]*2)/6</f>
        <v>583.33333333333337</v>
      </c>
      <c r="J109" s="4">
        <v>790</v>
      </c>
      <c r="K109" s="4">
        <f t="shared" si="3"/>
        <v>350</v>
      </c>
    </row>
    <row r="110" spans="1:11" ht="45" customHeight="1">
      <c r="A110" s="5">
        <v>102</v>
      </c>
      <c r="B110" s="6" t="s">
        <v>229</v>
      </c>
      <c r="C110" s="6" t="s">
        <v>332</v>
      </c>
      <c r="D110" s="6" t="s">
        <v>333</v>
      </c>
      <c r="E110" s="5" t="s">
        <v>23</v>
      </c>
      <c r="F110" s="6" t="s">
        <v>334</v>
      </c>
      <c r="G110" s="7">
        <v>0.5</v>
      </c>
      <c r="H110" s="8">
        <v>290</v>
      </c>
      <c r="I110" s="4">
        <f>(MissionRiskRegister[[#This Row],[Cost Impact – Pessimistic ($000)]]*4+MissionRiskRegister[[#This Row],[Cost Impact – Optimistic ($000)]]*2)/6</f>
        <v>896.66666666666663</v>
      </c>
      <c r="J110" s="8">
        <v>1200</v>
      </c>
      <c r="K110" s="8">
        <f t="shared" si="3"/>
        <v>448.33333333333331</v>
      </c>
    </row>
    <row r="111" spans="1:11" ht="45" customHeight="1">
      <c r="A111" s="2">
        <v>103</v>
      </c>
      <c r="B111" s="1" t="s">
        <v>229</v>
      </c>
      <c r="C111" s="1" t="s">
        <v>335</v>
      </c>
      <c r="D111" s="1" t="s">
        <v>336</v>
      </c>
      <c r="E111" s="2" t="s">
        <v>19</v>
      </c>
      <c r="F111" s="1" t="s">
        <v>337</v>
      </c>
      <c r="G111" s="3">
        <v>0.5</v>
      </c>
      <c r="H111" s="4">
        <v>200</v>
      </c>
      <c r="I111" s="4">
        <f>(MissionRiskRegister[[#This Row],[Cost Impact – Pessimistic ($000)]]*4+MissionRiskRegister[[#This Row],[Cost Impact – Optimistic ($000)]]*2)/6</f>
        <v>753.33333333333337</v>
      </c>
      <c r="J111" s="4">
        <v>1030</v>
      </c>
      <c r="K111" s="4">
        <f t="shared" si="3"/>
        <v>376.66666666666669</v>
      </c>
    </row>
    <row r="112" spans="1:11" ht="45" customHeight="1">
      <c r="A112" s="5">
        <v>104</v>
      </c>
      <c r="B112" s="6" t="s">
        <v>263</v>
      </c>
      <c r="C112" s="6" t="s">
        <v>338</v>
      </c>
      <c r="D112" s="6" t="s">
        <v>339</v>
      </c>
      <c r="E112" s="5" t="s">
        <v>19</v>
      </c>
      <c r="F112" s="6" t="s">
        <v>340</v>
      </c>
      <c r="G112" s="7">
        <v>0.15</v>
      </c>
      <c r="H112" s="8">
        <v>850</v>
      </c>
      <c r="I112" s="4">
        <f>(MissionRiskRegister[[#This Row],[Cost Impact – Pessimistic ($000)]]*4+MissionRiskRegister[[#This Row],[Cost Impact – Optimistic ($000)]]*2)/6</f>
        <v>2363.3333333333335</v>
      </c>
      <c r="J112" s="8">
        <v>3120</v>
      </c>
      <c r="K112" s="8">
        <f t="shared" si="3"/>
        <v>354.5</v>
      </c>
    </row>
    <row r="113" spans="1:11" ht="45" customHeight="1">
      <c r="A113" s="2">
        <v>105</v>
      </c>
      <c r="B113" s="1" t="s">
        <v>192</v>
      </c>
      <c r="C113" s="1" t="s">
        <v>341</v>
      </c>
      <c r="D113" s="1" t="s">
        <v>342</v>
      </c>
      <c r="E113" s="2" t="s">
        <v>19</v>
      </c>
      <c r="F113" s="1" t="s">
        <v>343</v>
      </c>
      <c r="G113" s="3">
        <v>0.3</v>
      </c>
      <c r="H113" s="4">
        <v>420</v>
      </c>
      <c r="I113" s="4">
        <f>(MissionRiskRegister[[#This Row],[Cost Impact – Pessimistic ($000)]]*4+MissionRiskRegister[[#This Row],[Cost Impact – Optimistic ($000)]]*2)/6</f>
        <v>1553.3333333333333</v>
      </c>
      <c r="J113" s="4">
        <v>2120</v>
      </c>
      <c r="K113" s="4">
        <f t="shared" si="3"/>
        <v>465.99999999999994</v>
      </c>
    </row>
    <row r="114" spans="1:11" ht="45" customHeight="1">
      <c r="A114" s="5">
        <v>106</v>
      </c>
      <c r="B114" s="6" t="s">
        <v>152</v>
      </c>
      <c r="C114" s="6" t="s">
        <v>344</v>
      </c>
      <c r="D114" s="6" t="s">
        <v>345</v>
      </c>
      <c r="E114" s="5" t="s">
        <v>19</v>
      </c>
      <c r="F114" s="6" t="s">
        <v>346</v>
      </c>
      <c r="G114" s="7">
        <v>0.4</v>
      </c>
      <c r="H114" s="8">
        <v>340</v>
      </c>
      <c r="I114" s="4">
        <f>(MissionRiskRegister[[#This Row],[Cost Impact – Pessimistic ($000)]]*4+MissionRiskRegister[[#This Row],[Cost Impact – Optimistic ($000)]]*2)/6</f>
        <v>860</v>
      </c>
      <c r="J114" s="8">
        <v>1120</v>
      </c>
      <c r="K114" s="8">
        <f t="shared" si="3"/>
        <v>344</v>
      </c>
    </row>
    <row r="115" spans="1:11" ht="45" customHeight="1">
      <c r="A115" s="2">
        <v>107</v>
      </c>
      <c r="B115" s="1" t="s">
        <v>276</v>
      </c>
      <c r="C115" s="1" t="s">
        <v>347</v>
      </c>
      <c r="D115" s="1" t="s">
        <v>348</v>
      </c>
      <c r="E115" s="2" t="s">
        <v>23</v>
      </c>
      <c r="F115" s="1" t="s">
        <v>349</v>
      </c>
      <c r="G115" s="3">
        <v>0.3</v>
      </c>
      <c r="H115" s="4">
        <v>400</v>
      </c>
      <c r="I115" s="4">
        <f>(MissionRiskRegister[[#This Row],[Cost Impact – Pessimistic ($000)]]*4+MissionRiskRegister[[#This Row],[Cost Impact – Optimistic ($000)]]*2)/6</f>
        <v>1126.6666666666667</v>
      </c>
      <c r="J115" s="4">
        <v>1490</v>
      </c>
      <c r="K115" s="4">
        <f t="shared" si="3"/>
        <v>338</v>
      </c>
    </row>
    <row r="116" spans="1:11" ht="45" customHeight="1">
      <c r="A116" s="5">
        <v>108</v>
      </c>
      <c r="B116" s="6" t="s">
        <v>229</v>
      </c>
      <c r="C116" s="6" t="s">
        <v>350</v>
      </c>
      <c r="D116" s="6" t="s">
        <v>351</v>
      </c>
      <c r="E116" s="5" t="s">
        <v>19</v>
      </c>
      <c r="F116" s="6" t="s">
        <v>352</v>
      </c>
      <c r="G116" s="7">
        <v>0.5</v>
      </c>
      <c r="H116" s="8">
        <v>210</v>
      </c>
      <c r="I116" s="4">
        <f>(MissionRiskRegister[[#This Row],[Cost Impact – Pessimistic ($000)]]*4+MissionRiskRegister[[#This Row],[Cost Impact – Optimistic ($000)]]*2)/6</f>
        <v>863.33333333333337</v>
      </c>
      <c r="J116" s="8">
        <v>1190</v>
      </c>
      <c r="K116" s="8">
        <f t="shared" si="3"/>
        <v>431.66666666666669</v>
      </c>
    </row>
    <row r="117" spans="1:11" ht="45" customHeight="1">
      <c r="A117" s="2">
        <v>109</v>
      </c>
      <c r="B117" s="1" t="s">
        <v>263</v>
      </c>
      <c r="C117" s="1" t="s">
        <v>353</v>
      </c>
      <c r="D117" s="1" t="s">
        <v>354</v>
      </c>
      <c r="E117" s="2" t="s">
        <v>291</v>
      </c>
      <c r="F117" s="1" t="s">
        <v>355</v>
      </c>
      <c r="G117" s="3">
        <v>0.15</v>
      </c>
      <c r="H117" s="4">
        <v>880</v>
      </c>
      <c r="I117" s="4">
        <f>(MissionRiskRegister[[#This Row],[Cost Impact – Pessimistic ($000)]]*4+MissionRiskRegister[[#This Row],[Cost Impact – Optimistic ($000)]]*2)/6</f>
        <v>2760</v>
      </c>
      <c r="J117" s="4">
        <v>3700</v>
      </c>
      <c r="K117" s="4">
        <f t="shared" si="3"/>
        <v>414</v>
      </c>
    </row>
    <row r="118" spans="1:11" ht="45" customHeight="1">
      <c r="A118" s="5">
        <v>110</v>
      </c>
      <c r="B118" s="6" t="s">
        <v>263</v>
      </c>
      <c r="C118" s="6" t="s">
        <v>356</v>
      </c>
      <c r="D118" s="6" t="s">
        <v>357</v>
      </c>
      <c r="E118" s="5" t="s">
        <v>33</v>
      </c>
      <c r="F118" s="6" t="s">
        <v>358</v>
      </c>
      <c r="G118" s="7">
        <v>0.15</v>
      </c>
      <c r="H118" s="8">
        <v>620</v>
      </c>
      <c r="I118" s="4">
        <f>(MissionRiskRegister[[#This Row],[Cost Impact – Pessimistic ($000)]]*4+MissionRiskRegister[[#This Row],[Cost Impact – Optimistic ($000)]]*2)/6</f>
        <v>2320</v>
      </c>
      <c r="J118" s="8">
        <v>3170</v>
      </c>
      <c r="K118" s="8">
        <f t="shared" si="3"/>
        <v>348</v>
      </c>
    </row>
    <row r="119" spans="1:11" ht="45" customHeight="1">
      <c r="A119" s="2">
        <v>111</v>
      </c>
      <c r="B119" s="1" t="s">
        <v>66</v>
      </c>
      <c r="C119" s="1" t="s">
        <v>359</v>
      </c>
      <c r="D119" s="1" t="s">
        <v>360</v>
      </c>
      <c r="E119" s="2" t="s">
        <v>19</v>
      </c>
      <c r="F119" s="1" t="s">
        <v>361</v>
      </c>
      <c r="G119" s="3">
        <v>0.5</v>
      </c>
      <c r="H119" s="4">
        <v>260</v>
      </c>
      <c r="I119" s="4">
        <f>(MissionRiskRegister[[#This Row],[Cost Impact – Pessimistic ($000)]]*4+MissionRiskRegister[[#This Row],[Cost Impact – Optimistic ($000)]]*2)/6</f>
        <v>813.33333333333337</v>
      </c>
      <c r="J119" s="4">
        <v>1090</v>
      </c>
      <c r="K119" s="4">
        <f t="shared" si="3"/>
        <v>406.66666666666669</v>
      </c>
    </row>
    <row r="120" spans="1:11" ht="45" customHeight="1">
      <c r="A120" s="5">
        <v>112</v>
      </c>
      <c r="B120" s="6" t="s">
        <v>192</v>
      </c>
      <c r="C120" s="6" t="s">
        <v>362</v>
      </c>
      <c r="D120" s="6" t="s">
        <v>363</v>
      </c>
      <c r="E120" s="5" t="s">
        <v>19</v>
      </c>
      <c r="F120" s="6" t="s">
        <v>364</v>
      </c>
      <c r="G120" s="7">
        <v>0.3</v>
      </c>
      <c r="H120" s="8">
        <v>300</v>
      </c>
      <c r="I120" s="4">
        <f>(MissionRiskRegister[[#This Row],[Cost Impact – Pessimistic ($000)]]*4+MissionRiskRegister[[#This Row],[Cost Impact – Optimistic ($000)]]*2)/6</f>
        <v>1046.6666666666667</v>
      </c>
      <c r="J120" s="8">
        <v>1420</v>
      </c>
      <c r="K120" s="8">
        <f t="shared" si="3"/>
        <v>314</v>
      </c>
    </row>
    <row r="121" spans="1:11" ht="45" customHeight="1">
      <c r="A121" s="2">
        <v>113</v>
      </c>
      <c r="B121" s="1" t="s">
        <v>118</v>
      </c>
      <c r="C121" s="1" t="s">
        <v>365</v>
      </c>
      <c r="D121" s="1" t="s">
        <v>366</v>
      </c>
      <c r="E121" s="2" t="s">
        <v>19</v>
      </c>
      <c r="F121" s="1" t="s">
        <v>367</v>
      </c>
      <c r="G121" s="3">
        <v>0.6</v>
      </c>
      <c r="H121" s="4">
        <v>170</v>
      </c>
      <c r="I121" s="4">
        <f>(MissionRiskRegister[[#This Row],[Cost Impact – Pessimistic ($000)]]*4+MissionRiskRegister[[#This Row],[Cost Impact – Optimistic ($000)]]*2)/6</f>
        <v>656.66666666666663</v>
      </c>
      <c r="J121" s="4">
        <v>900</v>
      </c>
      <c r="K121" s="4">
        <f t="shared" si="3"/>
        <v>393.99999999999994</v>
      </c>
    </row>
    <row r="122" spans="1:11" ht="45" customHeight="1">
      <c r="A122" s="5">
        <v>114</v>
      </c>
      <c r="B122" s="6" t="s">
        <v>276</v>
      </c>
      <c r="C122" s="6" t="s">
        <v>368</v>
      </c>
      <c r="D122" s="6" t="s">
        <v>369</v>
      </c>
      <c r="E122" s="5" t="s">
        <v>19</v>
      </c>
      <c r="F122" s="6" t="s">
        <v>370</v>
      </c>
      <c r="G122" s="7">
        <v>0.3</v>
      </c>
      <c r="H122" s="8">
        <v>420</v>
      </c>
      <c r="I122" s="4">
        <f>(MissionRiskRegister[[#This Row],[Cost Impact – Pessimistic ($000)]]*4+MissionRiskRegister[[#This Row],[Cost Impact – Optimistic ($000)]]*2)/6</f>
        <v>1313.3333333333333</v>
      </c>
      <c r="J122" s="8">
        <v>1760</v>
      </c>
      <c r="K122" s="8">
        <f t="shared" si="3"/>
        <v>393.99999999999994</v>
      </c>
    </row>
    <row r="123" spans="1:11" ht="45" customHeight="1">
      <c r="A123" s="2">
        <v>115</v>
      </c>
      <c r="B123" s="1" t="s">
        <v>276</v>
      </c>
      <c r="C123" s="1" t="s">
        <v>371</v>
      </c>
      <c r="D123" s="1" t="s">
        <v>372</v>
      </c>
      <c r="E123" s="2" t="s">
        <v>19</v>
      </c>
      <c r="F123" s="1" t="s">
        <v>373</v>
      </c>
      <c r="G123" s="3">
        <v>0.3</v>
      </c>
      <c r="H123" s="4">
        <v>290</v>
      </c>
      <c r="I123" s="4">
        <f>(MissionRiskRegister[[#This Row],[Cost Impact – Pessimistic ($000)]]*4+MissionRiskRegister[[#This Row],[Cost Impact – Optimistic ($000)]]*2)/6</f>
        <v>1103.3333333333333</v>
      </c>
      <c r="J123" s="4">
        <v>1510</v>
      </c>
      <c r="K123" s="4">
        <f t="shared" si="3"/>
        <v>330.99999999999994</v>
      </c>
    </row>
    <row r="124" spans="1:11" ht="45" customHeight="1">
      <c r="A124" s="5">
        <v>116</v>
      </c>
      <c r="B124" s="6" t="s">
        <v>263</v>
      </c>
      <c r="C124" s="6" t="s">
        <v>374</v>
      </c>
      <c r="D124" s="6" t="s">
        <v>375</v>
      </c>
      <c r="E124" s="5" t="s">
        <v>19</v>
      </c>
      <c r="F124" s="6" t="s">
        <v>376</v>
      </c>
      <c r="G124" s="7">
        <v>0.15</v>
      </c>
      <c r="H124" s="8">
        <v>650</v>
      </c>
      <c r="I124" s="4">
        <f>(MissionRiskRegister[[#This Row],[Cost Impact – Pessimistic ($000)]]*4+MissionRiskRegister[[#This Row],[Cost Impact – Optimistic ($000)]]*2)/6</f>
        <v>2663.3333333333335</v>
      </c>
      <c r="J124" s="8">
        <v>3670</v>
      </c>
      <c r="K124" s="8">
        <f t="shared" si="3"/>
        <v>399.5</v>
      </c>
    </row>
    <row r="125" spans="1:11" ht="45" customHeight="1">
      <c r="A125" s="2">
        <v>117</v>
      </c>
      <c r="B125" s="1" t="s">
        <v>152</v>
      </c>
      <c r="C125" s="1" t="s">
        <v>377</v>
      </c>
      <c r="D125" s="1" t="s">
        <v>378</v>
      </c>
      <c r="E125" s="2" t="s">
        <v>19</v>
      </c>
      <c r="F125" s="1" t="s">
        <v>379</v>
      </c>
      <c r="G125" s="3">
        <v>0.4</v>
      </c>
      <c r="H125" s="4">
        <v>210</v>
      </c>
      <c r="I125" s="4">
        <f>(MissionRiskRegister[[#This Row],[Cost Impact – Pessimistic ($000)]]*4+MissionRiskRegister[[#This Row],[Cost Impact – Optimistic ($000)]]*2)/6</f>
        <v>923.33333333333337</v>
      </c>
      <c r="J125" s="4">
        <v>1280</v>
      </c>
      <c r="K125" s="4">
        <f t="shared" si="3"/>
        <v>369.33333333333337</v>
      </c>
    </row>
    <row r="126" spans="1:11" ht="45" customHeight="1">
      <c r="A126" s="5">
        <v>118</v>
      </c>
      <c r="B126" s="6" t="s">
        <v>152</v>
      </c>
      <c r="C126" s="6" t="s">
        <v>380</v>
      </c>
      <c r="D126" s="6" t="s">
        <v>381</v>
      </c>
      <c r="E126" s="5" t="s">
        <v>23</v>
      </c>
      <c r="F126" s="6" t="s">
        <v>382</v>
      </c>
      <c r="G126" s="7">
        <v>0.4</v>
      </c>
      <c r="H126" s="8">
        <v>240</v>
      </c>
      <c r="I126" s="4">
        <f>(MissionRiskRegister[[#This Row],[Cost Impact – Pessimistic ($000)]]*4+MissionRiskRegister[[#This Row],[Cost Impact – Optimistic ($000)]]*2)/6</f>
        <v>813.33333333333337</v>
      </c>
      <c r="J126" s="8">
        <v>1100</v>
      </c>
      <c r="K126" s="8">
        <f t="shared" si="3"/>
        <v>325.33333333333337</v>
      </c>
    </row>
    <row r="127" spans="1:11" ht="45" customHeight="1">
      <c r="A127" s="2">
        <v>119</v>
      </c>
      <c r="B127" s="1" t="s">
        <v>229</v>
      </c>
      <c r="C127" s="1" t="s">
        <v>383</v>
      </c>
      <c r="D127" s="1" t="s">
        <v>384</v>
      </c>
      <c r="E127" s="2" t="s">
        <v>19</v>
      </c>
      <c r="F127" s="1" t="s">
        <v>385</v>
      </c>
      <c r="G127" s="3">
        <v>0.5</v>
      </c>
      <c r="H127" s="4">
        <v>220</v>
      </c>
      <c r="I127" s="4">
        <f>(MissionRiskRegister[[#This Row],[Cost Impact – Pessimistic ($000)]]*4+MissionRiskRegister[[#This Row],[Cost Impact – Optimistic ($000)]]*2)/6</f>
        <v>700</v>
      </c>
      <c r="J127" s="4">
        <v>940</v>
      </c>
      <c r="K127" s="4">
        <f t="shared" si="3"/>
        <v>350</v>
      </c>
    </row>
    <row r="128" spans="1:11" ht="45" customHeight="1">
      <c r="A128" s="5">
        <v>120</v>
      </c>
      <c r="B128" s="6" t="s">
        <v>229</v>
      </c>
      <c r="C128" s="6" t="s">
        <v>386</v>
      </c>
      <c r="D128" s="6" t="s">
        <v>387</v>
      </c>
      <c r="E128" s="5" t="s">
        <v>23</v>
      </c>
      <c r="F128" s="6" t="s">
        <v>388</v>
      </c>
      <c r="G128" s="7">
        <v>0.5</v>
      </c>
      <c r="H128" s="8">
        <v>240</v>
      </c>
      <c r="I128" s="4">
        <f>(MissionRiskRegister[[#This Row],[Cost Impact – Pessimistic ($000)]]*4+MissionRiskRegister[[#This Row],[Cost Impact – Optimistic ($000)]]*2)/6</f>
        <v>606.66666666666663</v>
      </c>
      <c r="J128" s="8">
        <v>790</v>
      </c>
      <c r="K128" s="8">
        <f t="shared" si="3"/>
        <v>303.33333333333331</v>
      </c>
    </row>
    <row r="129" spans="1:11" ht="45" customHeight="1">
      <c r="A129" s="2">
        <v>121</v>
      </c>
      <c r="B129" s="1" t="s">
        <v>389</v>
      </c>
      <c r="C129" s="1" t="s">
        <v>390</v>
      </c>
      <c r="D129" s="1" t="s">
        <v>391</v>
      </c>
      <c r="E129" s="2" t="s">
        <v>19</v>
      </c>
      <c r="F129" s="1" t="s">
        <v>392</v>
      </c>
      <c r="G129" s="3">
        <v>0.2</v>
      </c>
      <c r="H129" s="4">
        <v>600</v>
      </c>
      <c r="I129" s="4">
        <f>(MissionRiskRegister[[#This Row],[Cost Impact – Pessimistic ($000)]]*4+MissionRiskRegister[[#This Row],[Cost Impact – Optimistic ($000)]]*2)/6</f>
        <v>1506.6666666666667</v>
      </c>
      <c r="J129" s="4">
        <v>1960</v>
      </c>
      <c r="K129" s="4">
        <f t="shared" si="3"/>
        <v>301.33333333333337</v>
      </c>
    </row>
    <row r="130" spans="1:11" ht="45" customHeight="1">
      <c r="A130" s="5">
        <v>122</v>
      </c>
      <c r="B130" s="6" t="s">
        <v>389</v>
      </c>
      <c r="C130" s="6" t="s">
        <v>393</v>
      </c>
      <c r="D130" s="6" t="s">
        <v>394</v>
      </c>
      <c r="E130" s="5" t="s">
        <v>19</v>
      </c>
      <c r="F130" s="6" t="s">
        <v>395</v>
      </c>
      <c r="G130" s="7">
        <v>0.2</v>
      </c>
      <c r="H130" s="8">
        <v>420</v>
      </c>
      <c r="I130" s="4">
        <f>(MissionRiskRegister[[#This Row],[Cost Impact – Pessimistic ($000)]]*4+MissionRiskRegister[[#This Row],[Cost Impact – Optimistic ($000)]]*2)/6</f>
        <v>1806.6666666666667</v>
      </c>
      <c r="J130" s="8">
        <v>2500</v>
      </c>
      <c r="K130" s="8">
        <f t="shared" si="3"/>
        <v>361.33333333333337</v>
      </c>
    </row>
    <row r="131" spans="1:11" ht="45" customHeight="1">
      <c r="A131" s="2">
        <v>123</v>
      </c>
      <c r="B131" s="1" t="s">
        <v>276</v>
      </c>
      <c r="C131" s="1" t="s">
        <v>396</v>
      </c>
      <c r="D131" s="1" t="s">
        <v>397</v>
      </c>
      <c r="E131" s="2" t="s">
        <v>19</v>
      </c>
      <c r="F131" s="1" t="s">
        <v>398</v>
      </c>
      <c r="G131" s="3">
        <v>0.3</v>
      </c>
      <c r="H131" s="4">
        <v>310</v>
      </c>
      <c r="I131" s="4">
        <f>(MissionRiskRegister[[#This Row],[Cost Impact – Pessimistic ($000)]]*4+MissionRiskRegister[[#This Row],[Cost Impact – Optimistic ($000)]]*2)/6</f>
        <v>1276.6666666666667</v>
      </c>
      <c r="J131" s="4">
        <v>1760</v>
      </c>
      <c r="K131" s="4">
        <f t="shared" si="3"/>
        <v>383</v>
      </c>
    </row>
    <row r="132" spans="1:11" ht="45" customHeight="1">
      <c r="A132" s="5">
        <v>124</v>
      </c>
      <c r="B132" s="6" t="s">
        <v>192</v>
      </c>
      <c r="C132" s="6" t="s">
        <v>399</v>
      </c>
      <c r="D132" s="6" t="s">
        <v>400</v>
      </c>
      <c r="E132" s="5" t="s">
        <v>19</v>
      </c>
      <c r="F132" s="6" t="s">
        <v>401</v>
      </c>
      <c r="G132" s="7">
        <v>0.3</v>
      </c>
      <c r="H132" s="8">
        <v>310</v>
      </c>
      <c r="I132" s="4">
        <f>(MissionRiskRegister[[#This Row],[Cost Impact – Pessimistic ($000)]]*4+MissionRiskRegister[[#This Row],[Cost Impact – Optimistic ($000)]]*2)/6</f>
        <v>1196.6666666666667</v>
      </c>
      <c r="J132" s="8">
        <v>1640</v>
      </c>
      <c r="K132" s="8">
        <f t="shared" si="3"/>
        <v>359</v>
      </c>
    </row>
    <row r="133" spans="1:11" ht="45" customHeight="1">
      <c r="A133" s="2">
        <v>125</v>
      </c>
      <c r="B133" s="1" t="s">
        <v>192</v>
      </c>
      <c r="C133" s="1" t="s">
        <v>402</v>
      </c>
      <c r="D133" s="1" t="s">
        <v>403</v>
      </c>
      <c r="E133" s="2" t="s">
        <v>19</v>
      </c>
      <c r="F133" s="1" t="s">
        <v>404</v>
      </c>
      <c r="G133" s="3">
        <v>0.3</v>
      </c>
      <c r="H133" s="4">
        <v>350</v>
      </c>
      <c r="I133" s="4">
        <f>(MissionRiskRegister[[#This Row],[Cost Impact – Pessimistic ($000)]]*4+MissionRiskRegister[[#This Row],[Cost Impact – Optimistic ($000)]]*2)/6</f>
        <v>1050</v>
      </c>
      <c r="J133" s="4">
        <v>1400</v>
      </c>
      <c r="K133" s="4">
        <f t="shared" si="3"/>
        <v>315</v>
      </c>
    </row>
    <row r="134" spans="1:11" ht="45" customHeight="1">
      <c r="A134" s="5">
        <v>126</v>
      </c>
      <c r="B134" s="6" t="s">
        <v>389</v>
      </c>
      <c r="C134" s="6" t="s">
        <v>405</v>
      </c>
      <c r="D134" s="6" t="s">
        <v>406</v>
      </c>
      <c r="E134" s="5" t="s">
        <v>23</v>
      </c>
      <c r="F134" s="6" t="s">
        <v>407</v>
      </c>
      <c r="G134" s="7">
        <v>0.2</v>
      </c>
      <c r="H134" s="8">
        <v>450</v>
      </c>
      <c r="I134" s="4">
        <f>(MissionRiskRegister[[#This Row],[Cost Impact – Pessimistic ($000)]]*4+MissionRiskRegister[[#This Row],[Cost Impact – Optimistic ($000)]]*2)/6</f>
        <v>1496.6666666666667</v>
      </c>
      <c r="J134" s="8">
        <v>2020</v>
      </c>
      <c r="K134" s="8">
        <f t="shared" si="3"/>
        <v>299.33333333333337</v>
      </c>
    </row>
    <row r="135" spans="1:11" ht="45" customHeight="1">
      <c r="A135" s="2">
        <v>127</v>
      </c>
      <c r="B135" s="1" t="s">
        <v>263</v>
      </c>
      <c r="C135" s="1" t="s">
        <v>408</v>
      </c>
      <c r="D135" s="1" t="s">
        <v>409</v>
      </c>
      <c r="E135" s="2" t="s">
        <v>19</v>
      </c>
      <c r="F135" s="1" t="s">
        <v>410</v>
      </c>
      <c r="G135" s="3">
        <v>0.15</v>
      </c>
      <c r="H135" s="4">
        <v>670</v>
      </c>
      <c r="I135" s="4">
        <f>(MissionRiskRegister[[#This Row],[Cost Impact – Pessimistic ($000)]]*4+MissionRiskRegister[[#This Row],[Cost Impact – Optimistic ($000)]]*2)/6</f>
        <v>2163.3333333333335</v>
      </c>
      <c r="J135" s="4">
        <v>2910</v>
      </c>
      <c r="K135" s="4">
        <f t="shared" si="3"/>
        <v>324.5</v>
      </c>
    </row>
    <row r="136" spans="1:11" ht="45" customHeight="1">
      <c r="A136" s="5">
        <v>128</v>
      </c>
      <c r="B136" s="6" t="s">
        <v>263</v>
      </c>
      <c r="C136" s="6" t="s">
        <v>411</v>
      </c>
      <c r="D136" s="6" t="s">
        <v>412</v>
      </c>
      <c r="E136" s="5" t="s">
        <v>291</v>
      </c>
      <c r="F136" s="6" t="s">
        <v>413</v>
      </c>
      <c r="G136" s="7">
        <v>0.15</v>
      </c>
      <c r="H136" s="8">
        <v>750</v>
      </c>
      <c r="I136" s="4">
        <f>(MissionRiskRegister[[#This Row],[Cost Impact – Pessimistic ($000)]]*4+MissionRiskRegister[[#This Row],[Cost Impact – Optimistic ($000)]]*2)/6</f>
        <v>1890</v>
      </c>
      <c r="J136" s="8">
        <v>2460</v>
      </c>
      <c r="K136" s="8">
        <f t="shared" si="3"/>
        <v>283.5</v>
      </c>
    </row>
    <row r="137" spans="1:11" ht="45" customHeight="1">
      <c r="A137" s="2">
        <v>129</v>
      </c>
      <c r="B137" s="1" t="s">
        <v>118</v>
      </c>
      <c r="C137" s="1" t="s">
        <v>414</v>
      </c>
      <c r="D137" s="1" t="s">
        <v>415</v>
      </c>
      <c r="E137" s="2" t="s">
        <v>19</v>
      </c>
      <c r="F137" s="1" t="s">
        <v>416</v>
      </c>
      <c r="G137" s="3">
        <v>0.6</v>
      </c>
      <c r="H137" s="4">
        <v>190</v>
      </c>
      <c r="I137" s="4">
        <f>(MissionRiskRegister[[#This Row],[Cost Impact – Pessimistic ($000)]]*4+MissionRiskRegister[[#This Row],[Cost Impact – Optimistic ($000)]]*2)/6</f>
        <v>616.66666666666663</v>
      </c>
      <c r="J137" s="4">
        <v>830</v>
      </c>
      <c r="K137" s="4">
        <f t="shared" ref="K137:K168" si="4">G137*I137</f>
        <v>369.99999999999994</v>
      </c>
    </row>
    <row r="138" spans="1:11" ht="45" customHeight="1">
      <c r="A138" s="5">
        <v>130</v>
      </c>
      <c r="B138" s="6" t="s">
        <v>229</v>
      </c>
      <c r="C138" s="6" t="s">
        <v>417</v>
      </c>
      <c r="D138" s="6" t="s">
        <v>418</v>
      </c>
      <c r="E138" s="5" t="s">
        <v>19</v>
      </c>
      <c r="F138" s="6" t="s">
        <v>419</v>
      </c>
      <c r="G138" s="7">
        <v>0.5</v>
      </c>
      <c r="H138" s="8">
        <v>150</v>
      </c>
      <c r="I138" s="4">
        <f>(MissionRiskRegister[[#This Row],[Cost Impact – Pessimistic ($000)]]*4+MissionRiskRegister[[#This Row],[Cost Impact – Optimistic ($000)]]*2)/6</f>
        <v>663.33333333333337</v>
      </c>
      <c r="J138" s="8">
        <v>920</v>
      </c>
      <c r="K138" s="8">
        <f t="shared" si="4"/>
        <v>331.66666666666669</v>
      </c>
    </row>
    <row r="139" spans="1:11" ht="45" customHeight="1">
      <c r="A139" s="2">
        <v>131</v>
      </c>
      <c r="B139" s="1" t="s">
        <v>152</v>
      </c>
      <c r="C139" s="1" t="s">
        <v>420</v>
      </c>
      <c r="D139" s="1" t="s">
        <v>421</v>
      </c>
      <c r="E139" s="2" t="s">
        <v>19</v>
      </c>
      <c r="F139" s="1" t="s">
        <v>422</v>
      </c>
      <c r="G139" s="3">
        <v>0.4</v>
      </c>
      <c r="H139" s="4">
        <v>240</v>
      </c>
      <c r="I139" s="4">
        <f>(MissionRiskRegister[[#This Row],[Cost Impact – Pessimistic ($000)]]*4+MissionRiskRegister[[#This Row],[Cost Impact – Optimistic ($000)]]*2)/6</f>
        <v>893.33333333333337</v>
      </c>
      <c r="J139" s="4">
        <v>1220</v>
      </c>
      <c r="K139" s="4">
        <f t="shared" si="4"/>
        <v>357.33333333333337</v>
      </c>
    </row>
    <row r="140" spans="1:11" ht="45" customHeight="1">
      <c r="A140" s="5">
        <v>132</v>
      </c>
      <c r="B140" s="6" t="s">
        <v>276</v>
      </c>
      <c r="C140" s="6" t="s">
        <v>423</v>
      </c>
      <c r="D140" s="6" t="s">
        <v>424</v>
      </c>
      <c r="E140" s="5" t="s">
        <v>23</v>
      </c>
      <c r="F140" s="6" t="s">
        <v>425</v>
      </c>
      <c r="G140" s="7">
        <v>0.3</v>
      </c>
      <c r="H140" s="8">
        <v>320</v>
      </c>
      <c r="I140" s="4">
        <f>(MissionRiskRegister[[#This Row],[Cost Impact – Pessimistic ($000)]]*4+MissionRiskRegister[[#This Row],[Cost Impact – Optimistic ($000)]]*2)/6</f>
        <v>1026.6666666666667</v>
      </c>
      <c r="J140" s="8">
        <v>1380</v>
      </c>
      <c r="K140" s="8">
        <f t="shared" si="4"/>
        <v>308</v>
      </c>
    </row>
    <row r="141" spans="1:11" ht="45" customHeight="1">
      <c r="A141" s="2">
        <v>133</v>
      </c>
      <c r="B141" s="1" t="s">
        <v>276</v>
      </c>
      <c r="C141" s="1" t="s">
        <v>426</v>
      </c>
      <c r="D141" s="1" t="s">
        <v>427</v>
      </c>
      <c r="E141" s="2" t="s">
        <v>19</v>
      </c>
      <c r="F141" s="1" t="s">
        <v>428</v>
      </c>
      <c r="G141" s="3">
        <v>0.3</v>
      </c>
      <c r="H141" s="4">
        <v>360</v>
      </c>
      <c r="I141" s="4">
        <f>(MissionRiskRegister[[#This Row],[Cost Impact – Pessimistic ($000)]]*4+MissionRiskRegister[[#This Row],[Cost Impact – Optimistic ($000)]]*2)/6</f>
        <v>900</v>
      </c>
      <c r="J141" s="4">
        <v>1170</v>
      </c>
      <c r="K141" s="4">
        <f t="shared" si="4"/>
        <v>270</v>
      </c>
    </row>
    <row r="142" spans="1:11" ht="45" customHeight="1">
      <c r="A142" s="5">
        <v>134</v>
      </c>
      <c r="B142" s="6" t="s">
        <v>389</v>
      </c>
      <c r="C142" s="6" t="s">
        <v>429</v>
      </c>
      <c r="D142" s="6" t="s">
        <v>430</v>
      </c>
      <c r="E142" s="5" t="s">
        <v>19</v>
      </c>
      <c r="F142" s="6" t="s">
        <v>431</v>
      </c>
      <c r="G142" s="7">
        <v>0.2</v>
      </c>
      <c r="H142" s="8">
        <v>470</v>
      </c>
      <c r="I142" s="4">
        <f>(MissionRiskRegister[[#This Row],[Cost Impact – Pessimistic ($000)]]*4+MissionRiskRegister[[#This Row],[Cost Impact – Optimistic ($000)]]*2)/6</f>
        <v>1730</v>
      </c>
      <c r="J142" s="8">
        <v>2360</v>
      </c>
      <c r="K142" s="8">
        <f t="shared" si="4"/>
        <v>346</v>
      </c>
    </row>
    <row r="143" spans="1:11" ht="45" customHeight="1">
      <c r="A143" s="2">
        <v>135</v>
      </c>
      <c r="B143" s="1" t="s">
        <v>389</v>
      </c>
      <c r="C143" s="1" t="s">
        <v>432</v>
      </c>
      <c r="D143" s="1" t="s">
        <v>433</v>
      </c>
      <c r="E143" s="2" t="s">
        <v>19</v>
      </c>
      <c r="F143" s="1" t="s">
        <v>434</v>
      </c>
      <c r="G143" s="3">
        <v>0.2</v>
      </c>
      <c r="H143" s="4">
        <v>530</v>
      </c>
      <c r="I143" s="4">
        <f>(MissionRiskRegister[[#This Row],[Cost Impact – Pessimistic ($000)]]*4+MissionRiskRegister[[#This Row],[Cost Impact – Optimistic ($000)]]*2)/6</f>
        <v>1543.3333333333333</v>
      </c>
      <c r="J143" s="4">
        <v>2050</v>
      </c>
      <c r="K143" s="4">
        <f t="shared" si="4"/>
        <v>308.66666666666669</v>
      </c>
    </row>
    <row r="144" spans="1:11" ht="45" customHeight="1">
      <c r="A144" s="5">
        <v>136</v>
      </c>
      <c r="B144" s="6" t="s">
        <v>192</v>
      </c>
      <c r="C144" s="6" t="s">
        <v>435</v>
      </c>
      <c r="D144" s="6" t="s">
        <v>436</v>
      </c>
      <c r="E144" s="5" t="s">
        <v>23</v>
      </c>
      <c r="F144" s="6" t="s">
        <v>437</v>
      </c>
      <c r="G144" s="7">
        <v>0.3</v>
      </c>
      <c r="H144" s="8">
        <v>350</v>
      </c>
      <c r="I144" s="4">
        <f>(MissionRiskRegister[[#This Row],[Cost Impact – Pessimistic ($000)]]*4+MissionRiskRegister[[#This Row],[Cost Impact – Optimistic ($000)]]*2)/6</f>
        <v>1170</v>
      </c>
      <c r="J144" s="8">
        <v>1580</v>
      </c>
      <c r="K144" s="8">
        <f t="shared" si="4"/>
        <v>351</v>
      </c>
    </row>
    <row r="145" spans="1:11" ht="45" customHeight="1">
      <c r="A145" s="2">
        <v>137</v>
      </c>
      <c r="B145" s="1" t="s">
        <v>263</v>
      </c>
      <c r="C145" s="1" t="s">
        <v>438</v>
      </c>
      <c r="D145" s="1" t="s">
        <v>439</v>
      </c>
      <c r="E145" s="2" t="s">
        <v>33</v>
      </c>
      <c r="F145" s="1" t="s">
        <v>440</v>
      </c>
      <c r="G145" s="3">
        <v>0.15</v>
      </c>
      <c r="H145" s="4">
        <v>480</v>
      </c>
      <c r="I145" s="4">
        <f>(MissionRiskRegister[[#This Row],[Cost Impact – Pessimistic ($000)]]*4+MissionRiskRegister[[#This Row],[Cost Impact – Optimistic ($000)]]*2)/6</f>
        <v>2080</v>
      </c>
      <c r="J145" s="4">
        <v>2880</v>
      </c>
      <c r="K145" s="4">
        <f t="shared" si="4"/>
        <v>312</v>
      </c>
    </row>
    <row r="146" spans="1:11" ht="45" customHeight="1">
      <c r="A146" s="5">
        <v>138</v>
      </c>
      <c r="B146" s="6" t="s">
        <v>229</v>
      </c>
      <c r="C146" s="6" t="s">
        <v>441</v>
      </c>
      <c r="D146" s="6" t="s">
        <v>442</v>
      </c>
      <c r="E146" s="5" t="s">
        <v>19</v>
      </c>
      <c r="F146" s="6" t="s">
        <v>443</v>
      </c>
      <c r="G146" s="7">
        <v>0.5</v>
      </c>
      <c r="H146" s="8">
        <v>160</v>
      </c>
      <c r="I146" s="4">
        <f>(MissionRiskRegister[[#This Row],[Cost Impact – Pessimistic ($000)]]*4+MissionRiskRegister[[#This Row],[Cost Impact – Optimistic ($000)]]*2)/6</f>
        <v>533.33333333333337</v>
      </c>
      <c r="J146" s="8">
        <v>720</v>
      </c>
      <c r="K146" s="8">
        <f t="shared" si="4"/>
        <v>266.66666666666669</v>
      </c>
    </row>
    <row r="147" spans="1:11" ht="45" customHeight="1">
      <c r="A147" s="2">
        <v>139</v>
      </c>
      <c r="B147" s="1" t="s">
        <v>229</v>
      </c>
      <c r="C147" s="1" t="s">
        <v>444</v>
      </c>
      <c r="D147" s="1" t="s">
        <v>445</v>
      </c>
      <c r="E147" s="2" t="s">
        <v>19</v>
      </c>
      <c r="F147" s="1" t="s">
        <v>446</v>
      </c>
      <c r="G147" s="3">
        <v>0.5</v>
      </c>
      <c r="H147" s="4">
        <v>180</v>
      </c>
      <c r="I147" s="4">
        <f>(MissionRiskRegister[[#This Row],[Cost Impact – Pessimistic ($000)]]*4+MissionRiskRegister[[#This Row],[Cost Impact – Optimistic ($000)]]*2)/6</f>
        <v>660</v>
      </c>
      <c r="J147" s="4">
        <v>900</v>
      </c>
      <c r="K147" s="4">
        <f t="shared" si="4"/>
        <v>330</v>
      </c>
    </row>
    <row r="148" spans="1:11" ht="45" customHeight="1">
      <c r="A148" s="5">
        <v>140</v>
      </c>
      <c r="B148" s="6" t="s">
        <v>389</v>
      </c>
      <c r="C148" s="6" t="s">
        <v>447</v>
      </c>
      <c r="D148" s="6" t="s">
        <v>448</v>
      </c>
      <c r="E148" s="5" t="s">
        <v>19</v>
      </c>
      <c r="F148" s="6" t="s">
        <v>449</v>
      </c>
      <c r="G148" s="7">
        <v>0.2</v>
      </c>
      <c r="H148" s="8">
        <v>350</v>
      </c>
      <c r="I148" s="4">
        <f>(MissionRiskRegister[[#This Row],[Cost Impact – Pessimistic ($000)]]*4+MissionRiskRegister[[#This Row],[Cost Impact – Optimistic ($000)]]*2)/6</f>
        <v>1203.3333333333333</v>
      </c>
      <c r="J148" s="8">
        <v>1630</v>
      </c>
      <c r="K148" s="8">
        <f t="shared" si="4"/>
        <v>240.66666666666666</v>
      </c>
    </row>
    <row r="149" spans="1:11" ht="45" customHeight="1">
      <c r="A149" s="2">
        <v>141</v>
      </c>
      <c r="B149" s="1" t="s">
        <v>276</v>
      </c>
      <c r="C149" s="1" t="s">
        <v>450</v>
      </c>
      <c r="D149" s="1" t="s">
        <v>451</v>
      </c>
      <c r="E149" s="2" t="s">
        <v>19</v>
      </c>
      <c r="F149" s="1" t="s">
        <v>452</v>
      </c>
      <c r="G149" s="3">
        <v>0.3</v>
      </c>
      <c r="H149" s="4">
        <v>230</v>
      </c>
      <c r="I149" s="4">
        <f>(MissionRiskRegister[[#This Row],[Cost Impact – Pessimistic ($000)]]*4+MissionRiskRegister[[#This Row],[Cost Impact – Optimistic ($000)]]*2)/6</f>
        <v>983.33333333333337</v>
      </c>
      <c r="J149" s="4">
        <v>1360</v>
      </c>
      <c r="K149" s="4">
        <f t="shared" si="4"/>
        <v>295</v>
      </c>
    </row>
    <row r="150" spans="1:11" ht="45" customHeight="1">
      <c r="A150" s="5">
        <v>142</v>
      </c>
      <c r="B150" s="6" t="s">
        <v>152</v>
      </c>
      <c r="C150" s="6" t="s">
        <v>453</v>
      </c>
      <c r="D150" s="6" t="s">
        <v>454</v>
      </c>
      <c r="E150" s="5" t="s">
        <v>19</v>
      </c>
      <c r="F150" s="6" t="s">
        <v>455</v>
      </c>
      <c r="G150" s="7">
        <v>0.4</v>
      </c>
      <c r="H150" s="8">
        <v>240</v>
      </c>
      <c r="I150" s="4">
        <f>(MissionRiskRegister[[#This Row],[Cost Impact – Pessimistic ($000)]]*4+MissionRiskRegister[[#This Row],[Cost Impact – Optimistic ($000)]]*2)/6</f>
        <v>693.33333333333337</v>
      </c>
      <c r="J150" s="8">
        <v>920</v>
      </c>
      <c r="K150" s="8">
        <f t="shared" si="4"/>
        <v>277.33333333333337</v>
      </c>
    </row>
    <row r="151" spans="1:11" ht="45" customHeight="1">
      <c r="A151" s="2">
        <v>143</v>
      </c>
      <c r="B151" s="1" t="s">
        <v>152</v>
      </c>
      <c r="C151" s="1" t="s">
        <v>456</v>
      </c>
      <c r="D151" s="1" t="s">
        <v>457</v>
      </c>
      <c r="E151" s="2" t="s">
        <v>19</v>
      </c>
      <c r="F151" s="1" t="s">
        <v>458</v>
      </c>
      <c r="G151" s="3">
        <v>0.4</v>
      </c>
      <c r="H151" s="4">
        <v>160</v>
      </c>
      <c r="I151" s="4">
        <f>(MissionRiskRegister[[#This Row],[Cost Impact – Pessimistic ($000)]]*4+MissionRiskRegister[[#This Row],[Cost Impact – Optimistic ($000)]]*2)/6</f>
        <v>573.33333333333337</v>
      </c>
      <c r="J151" s="4">
        <v>780</v>
      </c>
      <c r="K151" s="4">
        <f t="shared" si="4"/>
        <v>229.33333333333337</v>
      </c>
    </row>
    <row r="152" spans="1:11" ht="45" customHeight="1">
      <c r="A152" s="5">
        <v>144</v>
      </c>
      <c r="B152" s="6" t="s">
        <v>263</v>
      </c>
      <c r="C152" s="6" t="s">
        <v>459</v>
      </c>
      <c r="D152" s="6" t="s">
        <v>460</v>
      </c>
      <c r="E152" s="5" t="s">
        <v>19</v>
      </c>
      <c r="F152" s="6" t="s">
        <v>461</v>
      </c>
      <c r="G152" s="7">
        <v>0.15</v>
      </c>
      <c r="H152" s="8">
        <v>500</v>
      </c>
      <c r="I152" s="4">
        <f>(MissionRiskRegister[[#This Row],[Cost Impact – Pessimistic ($000)]]*4+MissionRiskRegister[[#This Row],[Cost Impact – Optimistic ($000)]]*2)/6</f>
        <v>1653.3333333333333</v>
      </c>
      <c r="J152" s="8">
        <v>2230</v>
      </c>
      <c r="K152" s="8">
        <f t="shared" si="4"/>
        <v>247.99999999999997</v>
      </c>
    </row>
    <row r="153" spans="1:11" ht="45" customHeight="1">
      <c r="A153" s="2">
        <v>145</v>
      </c>
      <c r="B153" s="1" t="s">
        <v>263</v>
      </c>
      <c r="C153" s="1" t="s">
        <v>462</v>
      </c>
      <c r="D153" s="1" t="s">
        <v>463</v>
      </c>
      <c r="E153" s="2" t="s">
        <v>19</v>
      </c>
      <c r="F153" s="1" t="s">
        <v>464</v>
      </c>
      <c r="G153" s="3">
        <v>0.15</v>
      </c>
      <c r="H153" s="4">
        <v>560</v>
      </c>
      <c r="I153" s="4">
        <f>(MissionRiskRegister[[#This Row],[Cost Impact – Pessimistic ($000)]]*4+MissionRiskRegister[[#This Row],[Cost Impact – Optimistic ($000)]]*2)/6</f>
        <v>2046.6666666666667</v>
      </c>
      <c r="J153" s="4">
        <v>2790</v>
      </c>
      <c r="K153" s="4">
        <f t="shared" si="4"/>
        <v>307</v>
      </c>
    </row>
    <row r="154" spans="1:11" ht="45" customHeight="1">
      <c r="A154" s="5">
        <v>146</v>
      </c>
      <c r="B154" s="6" t="s">
        <v>192</v>
      </c>
      <c r="C154" s="6" t="s">
        <v>465</v>
      </c>
      <c r="D154" s="6" t="s">
        <v>466</v>
      </c>
      <c r="E154" s="5" t="s">
        <v>19</v>
      </c>
      <c r="F154" s="6" t="s">
        <v>467</v>
      </c>
      <c r="G154" s="7">
        <v>0.3</v>
      </c>
      <c r="H154" s="8">
        <v>220</v>
      </c>
      <c r="I154" s="4">
        <f>(MissionRiskRegister[[#This Row],[Cost Impact – Pessimistic ($000)]]*4+MissionRiskRegister[[#This Row],[Cost Impact – Optimistic ($000)]]*2)/6</f>
        <v>880</v>
      </c>
      <c r="J154" s="8">
        <v>1210</v>
      </c>
      <c r="K154" s="8">
        <f t="shared" si="4"/>
        <v>264</v>
      </c>
    </row>
    <row r="155" spans="1:11" ht="45" customHeight="1">
      <c r="A155" s="2">
        <v>147</v>
      </c>
      <c r="B155" s="1" t="s">
        <v>192</v>
      </c>
      <c r="C155" s="1" t="s">
        <v>468</v>
      </c>
      <c r="D155" s="1" t="s">
        <v>469</v>
      </c>
      <c r="E155" s="2" t="s">
        <v>19</v>
      </c>
      <c r="F155" s="1" t="s">
        <v>470</v>
      </c>
      <c r="G155" s="3">
        <v>0.3</v>
      </c>
      <c r="H155" s="4">
        <v>250</v>
      </c>
      <c r="I155" s="4">
        <f>(MissionRiskRegister[[#This Row],[Cost Impact – Pessimistic ($000)]]*4+MissionRiskRegister[[#This Row],[Cost Impact – Optimistic ($000)]]*2)/6</f>
        <v>763.33333333333337</v>
      </c>
      <c r="J155" s="4">
        <v>1020</v>
      </c>
      <c r="K155" s="4">
        <f t="shared" si="4"/>
        <v>229</v>
      </c>
    </row>
    <row r="156" spans="1:11" ht="45" customHeight="1">
      <c r="A156" s="5">
        <v>148</v>
      </c>
      <c r="B156" s="6" t="s">
        <v>118</v>
      </c>
      <c r="C156" s="6" t="s">
        <v>471</v>
      </c>
      <c r="D156" s="6" t="s">
        <v>472</v>
      </c>
      <c r="E156" s="5" t="s">
        <v>23</v>
      </c>
      <c r="F156" s="6" t="s">
        <v>473</v>
      </c>
      <c r="G156" s="7">
        <v>0.6</v>
      </c>
      <c r="H156" s="8">
        <v>110</v>
      </c>
      <c r="I156" s="4">
        <f>(MissionRiskRegister[[#This Row],[Cost Impact – Pessimistic ($000)]]*4+MissionRiskRegister[[#This Row],[Cost Impact – Optimistic ($000)]]*2)/6</f>
        <v>436.66666666666669</v>
      </c>
      <c r="J156" s="8">
        <v>600</v>
      </c>
      <c r="K156" s="8">
        <f t="shared" si="4"/>
        <v>262</v>
      </c>
    </row>
    <row r="157" spans="1:11" ht="45" customHeight="1">
      <c r="A157" s="2">
        <v>149</v>
      </c>
      <c r="B157" s="1" t="s">
        <v>389</v>
      </c>
      <c r="C157" s="1" t="s">
        <v>474</v>
      </c>
      <c r="D157" s="1" t="s">
        <v>475</v>
      </c>
      <c r="E157" s="2" t="s">
        <v>23</v>
      </c>
      <c r="F157" s="1" t="s">
        <v>476</v>
      </c>
      <c r="G157" s="3">
        <v>0.2</v>
      </c>
      <c r="H157" s="4">
        <v>370</v>
      </c>
      <c r="I157" s="4">
        <f>(MissionRiskRegister[[#This Row],[Cost Impact – Pessimistic ($000)]]*4+MissionRiskRegister[[#This Row],[Cost Impact – Optimistic ($000)]]*2)/6</f>
        <v>1410</v>
      </c>
      <c r="J157" s="4">
        <v>1930</v>
      </c>
      <c r="K157" s="4">
        <f t="shared" si="4"/>
        <v>282</v>
      </c>
    </row>
    <row r="158" spans="1:11" ht="45" customHeight="1">
      <c r="A158" s="5">
        <v>150</v>
      </c>
      <c r="B158" s="6" t="s">
        <v>389</v>
      </c>
      <c r="C158" s="6" t="s">
        <v>477</v>
      </c>
      <c r="D158" s="6" t="s">
        <v>478</v>
      </c>
      <c r="E158" s="5" t="s">
        <v>19</v>
      </c>
      <c r="F158" s="6" t="s">
        <v>479</v>
      </c>
      <c r="G158" s="7">
        <v>0.2</v>
      </c>
      <c r="H158" s="8">
        <v>410</v>
      </c>
      <c r="I158" s="4">
        <f>(MissionRiskRegister[[#This Row],[Cost Impact – Pessimistic ($000)]]*4+MissionRiskRegister[[#This Row],[Cost Impact – Optimistic ($000)]]*2)/6</f>
        <v>1243.3333333333333</v>
      </c>
      <c r="J158" s="8">
        <v>1660</v>
      </c>
      <c r="K158" s="8">
        <f t="shared" si="4"/>
        <v>248.66666666666666</v>
      </c>
    </row>
    <row r="159" spans="1:11" ht="45" customHeight="1">
      <c r="A159" s="2">
        <v>151</v>
      </c>
      <c r="B159" s="1" t="s">
        <v>229</v>
      </c>
      <c r="C159" s="1" t="s">
        <v>480</v>
      </c>
      <c r="D159" s="1" t="s">
        <v>481</v>
      </c>
      <c r="E159" s="2" t="s">
        <v>23</v>
      </c>
      <c r="F159" s="1" t="s">
        <v>482</v>
      </c>
      <c r="G159" s="3">
        <v>0.5</v>
      </c>
      <c r="H159" s="4">
        <v>180</v>
      </c>
      <c r="I159" s="4">
        <f>(MissionRiskRegister[[#This Row],[Cost Impact – Pessimistic ($000)]]*4+MissionRiskRegister[[#This Row],[Cost Impact – Optimistic ($000)]]*2)/6</f>
        <v>526.66666666666663</v>
      </c>
      <c r="J159" s="4">
        <v>700</v>
      </c>
      <c r="K159" s="4">
        <f t="shared" si="4"/>
        <v>263.33333333333331</v>
      </c>
    </row>
    <row r="160" spans="1:11" ht="45" customHeight="1">
      <c r="A160" s="5">
        <v>152</v>
      </c>
      <c r="B160" s="6" t="s">
        <v>276</v>
      </c>
      <c r="C160" s="6" t="s">
        <v>483</v>
      </c>
      <c r="D160" s="6" t="s">
        <v>484</v>
      </c>
      <c r="E160" s="5" t="s">
        <v>19</v>
      </c>
      <c r="F160" s="6" t="s">
        <v>485</v>
      </c>
      <c r="G160" s="7">
        <v>0.3</v>
      </c>
      <c r="H160" s="8">
        <v>240</v>
      </c>
      <c r="I160" s="4">
        <f>(MissionRiskRegister[[#This Row],[Cost Impact – Pessimistic ($000)]]*4+MissionRiskRegister[[#This Row],[Cost Impact – Optimistic ($000)]]*2)/6</f>
        <v>786.66666666666663</v>
      </c>
      <c r="J160" s="8">
        <v>1060</v>
      </c>
      <c r="K160" s="8">
        <f t="shared" si="4"/>
        <v>235.99999999999997</v>
      </c>
    </row>
    <row r="161" spans="1:11" ht="45" customHeight="1">
      <c r="A161" s="2">
        <v>153</v>
      </c>
      <c r="B161" s="1" t="s">
        <v>276</v>
      </c>
      <c r="C161" s="1" t="s">
        <v>486</v>
      </c>
      <c r="D161" s="1" t="s">
        <v>487</v>
      </c>
      <c r="E161" s="2" t="s">
        <v>23</v>
      </c>
      <c r="F161" s="1" t="s">
        <v>488</v>
      </c>
      <c r="G161" s="3">
        <v>0.3</v>
      </c>
      <c r="H161" s="4">
        <v>270</v>
      </c>
      <c r="I161" s="4">
        <f>(MissionRiskRegister[[#This Row],[Cost Impact – Pessimistic ($000)]]*4+MissionRiskRegister[[#This Row],[Cost Impact – Optimistic ($000)]]*2)/6</f>
        <v>976.66666666666663</v>
      </c>
      <c r="J161" s="4">
        <v>1330</v>
      </c>
      <c r="K161" s="4">
        <f t="shared" si="4"/>
        <v>293</v>
      </c>
    </row>
    <row r="162" spans="1:11" ht="45" customHeight="1">
      <c r="A162" s="5">
        <v>154</v>
      </c>
      <c r="B162" s="6" t="s">
        <v>489</v>
      </c>
      <c r="C162" s="6" t="s">
        <v>490</v>
      </c>
      <c r="D162" s="6" t="s">
        <v>491</v>
      </c>
      <c r="E162" s="5" t="s">
        <v>19</v>
      </c>
      <c r="F162" s="6" t="s">
        <v>492</v>
      </c>
      <c r="G162" s="7">
        <v>0.2</v>
      </c>
      <c r="H162" s="8">
        <v>440</v>
      </c>
      <c r="I162" s="4">
        <f>(MissionRiskRegister[[#This Row],[Cost Impact – Pessimistic ($000)]]*4+MissionRiskRegister[[#This Row],[Cost Impact – Optimistic ($000)]]*2)/6</f>
        <v>1293.3333333333333</v>
      </c>
      <c r="J162" s="8">
        <v>1720</v>
      </c>
      <c r="K162" s="8">
        <f t="shared" si="4"/>
        <v>258.66666666666669</v>
      </c>
    </row>
    <row r="163" spans="1:11" ht="45" customHeight="1">
      <c r="A163" s="2">
        <v>155</v>
      </c>
      <c r="B163" s="1" t="s">
        <v>489</v>
      </c>
      <c r="C163" s="1" t="s">
        <v>493</v>
      </c>
      <c r="D163" s="1" t="s">
        <v>494</v>
      </c>
      <c r="E163" s="2" t="s">
        <v>19</v>
      </c>
      <c r="F163" s="1" t="s">
        <v>495</v>
      </c>
      <c r="G163" s="3">
        <v>0.2</v>
      </c>
      <c r="H163" s="4">
        <v>310</v>
      </c>
      <c r="I163" s="4">
        <f>(MissionRiskRegister[[#This Row],[Cost Impact – Pessimistic ($000)]]*4+MissionRiskRegister[[#This Row],[Cost Impact – Optimistic ($000)]]*2)/6</f>
        <v>1070</v>
      </c>
      <c r="J163" s="4">
        <v>1450</v>
      </c>
      <c r="K163" s="4">
        <f t="shared" si="4"/>
        <v>214</v>
      </c>
    </row>
    <row r="164" spans="1:11" ht="45" customHeight="1">
      <c r="A164" s="5">
        <v>156</v>
      </c>
      <c r="B164" s="6" t="s">
        <v>389</v>
      </c>
      <c r="C164" s="6" t="s">
        <v>496</v>
      </c>
      <c r="D164" s="6" t="s">
        <v>497</v>
      </c>
      <c r="E164" s="5" t="s">
        <v>19</v>
      </c>
      <c r="F164" s="6" t="s">
        <v>498</v>
      </c>
      <c r="G164" s="7">
        <v>0.2</v>
      </c>
      <c r="H164" s="8">
        <v>430</v>
      </c>
      <c r="I164" s="4">
        <f>(MissionRiskRegister[[#This Row],[Cost Impact – Pessimistic ($000)]]*4+MissionRiskRegister[[#This Row],[Cost Impact – Optimistic ($000)]]*2)/6</f>
        <v>1416.6666666666667</v>
      </c>
      <c r="J164" s="8">
        <v>1910</v>
      </c>
      <c r="K164" s="8">
        <f t="shared" si="4"/>
        <v>283.33333333333337</v>
      </c>
    </row>
    <row r="165" spans="1:11" ht="45" customHeight="1">
      <c r="A165" s="2">
        <v>157</v>
      </c>
      <c r="B165" s="1" t="s">
        <v>263</v>
      </c>
      <c r="C165" s="1" t="s">
        <v>499</v>
      </c>
      <c r="D165" s="1" t="s">
        <v>500</v>
      </c>
      <c r="E165" s="2" t="s">
        <v>291</v>
      </c>
      <c r="F165" s="1" t="s">
        <v>501</v>
      </c>
      <c r="G165" s="3">
        <v>0.15</v>
      </c>
      <c r="H165" s="4">
        <v>560</v>
      </c>
      <c r="I165" s="4">
        <f>(MissionRiskRegister[[#This Row],[Cost Impact – Pessimistic ($000)]]*4+MissionRiskRegister[[#This Row],[Cost Impact – Optimistic ($000)]]*2)/6</f>
        <v>1626.6666666666667</v>
      </c>
      <c r="J165" s="4">
        <v>2160</v>
      </c>
      <c r="K165" s="4">
        <f t="shared" si="4"/>
        <v>244</v>
      </c>
    </row>
    <row r="166" spans="1:11" ht="45" customHeight="1">
      <c r="A166" s="5">
        <v>158</v>
      </c>
      <c r="B166" s="6" t="s">
        <v>489</v>
      </c>
      <c r="C166" s="6" t="s">
        <v>502</v>
      </c>
      <c r="D166" s="6" t="s">
        <v>503</v>
      </c>
      <c r="E166" s="5" t="s">
        <v>19</v>
      </c>
      <c r="F166" s="6" t="s">
        <v>504</v>
      </c>
      <c r="G166" s="7">
        <v>0.2</v>
      </c>
      <c r="H166" s="8">
        <v>330</v>
      </c>
      <c r="I166" s="4">
        <f>(MissionRiskRegister[[#This Row],[Cost Impact – Pessimistic ($000)]]*4+MissionRiskRegister[[#This Row],[Cost Impact – Optimistic ($000)]]*2)/6</f>
        <v>1270</v>
      </c>
      <c r="J166" s="8">
        <v>1740</v>
      </c>
      <c r="K166" s="8">
        <f t="shared" si="4"/>
        <v>254</v>
      </c>
    </row>
    <row r="167" spans="1:11" ht="45" customHeight="1">
      <c r="A167" s="2">
        <v>159</v>
      </c>
      <c r="B167" s="1" t="s">
        <v>229</v>
      </c>
      <c r="C167" s="1" t="s">
        <v>505</v>
      </c>
      <c r="D167" s="1" t="s">
        <v>506</v>
      </c>
      <c r="E167" s="2" t="s">
        <v>19</v>
      </c>
      <c r="F167" s="1" t="s">
        <v>507</v>
      </c>
      <c r="G167" s="3">
        <v>0.5</v>
      </c>
      <c r="H167" s="4">
        <v>130</v>
      </c>
      <c r="I167" s="4">
        <f>(MissionRiskRegister[[#This Row],[Cost Impact – Pessimistic ($000)]]*4+MissionRiskRegister[[#This Row],[Cost Impact – Optimistic ($000)]]*2)/6</f>
        <v>490</v>
      </c>
      <c r="J167" s="4">
        <v>670</v>
      </c>
      <c r="K167" s="4">
        <f t="shared" si="4"/>
        <v>245</v>
      </c>
    </row>
    <row r="168" spans="1:11" ht="45" customHeight="1">
      <c r="A168" s="5">
        <v>160</v>
      </c>
      <c r="B168" s="6" t="s">
        <v>152</v>
      </c>
      <c r="C168" s="6" t="s">
        <v>508</v>
      </c>
      <c r="D168" s="6" t="s">
        <v>509</v>
      </c>
      <c r="E168" s="5" t="s">
        <v>23</v>
      </c>
      <c r="F168" s="6" t="s">
        <v>510</v>
      </c>
      <c r="G168" s="7">
        <v>0.4</v>
      </c>
      <c r="H168" s="8">
        <v>160</v>
      </c>
      <c r="I168" s="4">
        <f>(MissionRiskRegister[[#This Row],[Cost Impact – Pessimistic ($000)]]*4+MissionRiskRegister[[#This Row],[Cost Impact – Optimistic ($000)]]*2)/6</f>
        <v>613.33333333333337</v>
      </c>
      <c r="J168" s="8">
        <v>840</v>
      </c>
      <c r="K168" s="8">
        <f t="shared" si="4"/>
        <v>245.33333333333337</v>
      </c>
    </row>
    <row r="169" spans="1:11" ht="45" customHeight="1">
      <c r="A169" s="2">
        <v>161</v>
      </c>
      <c r="B169" s="1" t="s">
        <v>276</v>
      </c>
      <c r="C169" s="1" t="s">
        <v>511</v>
      </c>
      <c r="D169" s="1" t="s">
        <v>512</v>
      </c>
      <c r="E169" s="2" t="s">
        <v>19</v>
      </c>
      <c r="F169" s="1" t="s">
        <v>513</v>
      </c>
      <c r="G169" s="3">
        <v>0.3</v>
      </c>
      <c r="H169" s="4">
        <v>270</v>
      </c>
      <c r="I169" s="4">
        <f>(MissionRiskRegister[[#This Row],[Cost Impact – Pessimistic ($000)]]*4+MissionRiskRegister[[#This Row],[Cost Impact – Optimistic ($000)]]*2)/6</f>
        <v>776.66666666666663</v>
      </c>
      <c r="J169" s="4">
        <v>1030</v>
      </c>
      <c r="K169" s="4">
        <f t="shared" ref="K169:K200" si="5">G169*I169</f>
        <v>232.99999999999997</v>
      </c>
    </row>
    <row r="170" spans="1:11" ht="45" customHeight="1">
      <c r="A170" s="5">
        <v>162</v>
      </c>
      <c r="B170" s="6" t="s">
        <v>192</v>
      </c>
      <c r="C170" s="6" t="s">
        <v>514</v>
      </c>
      <c r="D170" s="6" t="s">
        <v>515</v>
      </c>
      <c r="E170" s="5" t="s">
        <v>19</v>
      </c>
      <c r="F170" s="6" t="s">
        <v>516</v>
      </c>
      <c r="G170" s="7">
        <v>0.3</v>
      </c>
      <c r="H170" s="8">
        <v>240</v>
      </c>
      <c r="I170" s="4">
        <f>(MissionRiskRegister[[#This Row],[Cost Impact – Pessimistic ($000)]]*4+MissionRiskRegister[[#This Row],[Cost Impact – Optimistic ($000)]]*2)/6</f>
        <v>820</v>
      </c>
      <c r="J170" s="8">
        <v>1110</v>
      </c>
      <c r="K170" s="8">
        <f t="shared" si="5"/>
        <v>246</v>
      </c>
    </row>
    <row r="171" spans="1:11" ht="45" customHeight="1">
      <c r="A171" s="2">
        <v>163</v>
      </c>
      <c r="B171" s="1" t="s">
        <v>389</v>
      </c>
      <c r="C171" s="1" t="s">
        <v>517</v>
      </c>
      <c r="D171" s="1" t="s">
        <v>518</v>
      </c>
      <c r="E171" s="2" t="s">
        <v>23</v>
      </c>
      <c r="F171" s="1" t="s">
        <v>519</v>
      </c>
      <c r="G171" s="3">
        <v>0.2</v>
      </c>
      <c r="H171" s="4">
        <v>310</v>
      </c>
      <c r="I171" s="4">
        <f>(MissionRiskRegister[[#This Row],[Cost Impact – Pessimistic ($000)]]*4+MissionRiskRegister[[#This Row],[Cost Impact – Optimistic ($000)]]*2)/6</f>
        <v>963.33333333333337</v>
      </c>
      <c r="J171" s="4">
        <v>1290</v>
      </c>
      <c r="K171" s="4">
        <f t="shared" si="5"/>
        <v>192.66666666666669</v>
      </c>
    </row>
    <row r="172" spans="1:11" ht="45" customHeight="1">
      <c r="A172" s="5">
        <v>164</v>
      </c>
      <c r="B172" s="6" t="s">
        <v>489</v>
      </c>
      <c r="C172" s="6" t="s">
        <v>520</v>
      </c>
      <c r="D172" s="6" t="s">
        <v>521</v>
      </c>
      <c r="E172" s="5" t="s">
        <v>23</v>
      </c>
      <c r="F172" s="6" t="s">
        <v>522</v>
      </c>
      <c r="G172" s="7">
        <v>0.2</v>
      </c>
      <c r="H172" s="8">
        <v>350</v>
      </c>
      <c r="I172" s="4">
        <f>(MissionRiskRegister[[#This Row],[Cost Impact – Pessimistic ($000)]]*4+MissionRiskRegister[[#This Row],[Cost Impact – Optimistic ($000)]]*2)/6</f>
        <v>1050</v>
      </c>
      <c r="J172" s="8">
        <v>1400</v>
      </c>
      <c r="K172" s="8">
        <f t="shared" si="5"/>
        <v>210</v>
      </c>
    </row>
    <row r="173" spans="1:11" ht="45" customHeight="1">
      <c r="A173" s="2">
        <v>165</v>
      </c>
      <c r="B173" s="1" t="s">
        <v>489</v>
      </c>
      <c r="C173" s="1" t="s">
        <v>523</v>
      </c>
      <c r="D173" s="1" t="s">
        <v>524</v>
      </c>
      <c r="E173" s="2" t="s">
        <v>19</v>
      </c>
      <c r="F173" s="1" t="s">
        <v>525</v>
      </c>
      <c r="G173" s="3">
        <v>0.2</v>
      </c>
      <c r="H173" s="4">
        <v>390</v>
      </c>
      <c r="I173" s="4">
        <f>(MissionRiskRegister[[#This Row],[Cost Impact – Pessimistic ($000)]]*4+MissionRiskRegister[[#This Row],[Cost Impact – Optimistic ($000)]]*2)/6</f>
        <v>1303.3333333333333</v>
      </c>
      <c r="J173" s="4">
        <v>1760</v>
      </c>
      <c r="K173" s="4">
        <f t="shared" si="5"/>
        <v>260.66666666666669</v>
      </c>
    </row>
    <row r="174" spans="1:11" ht="45" customHeight="1">
      <c r="A174" s="5">
        <v>166</v>
      </c>
      <c r="B174" s="6" t="s">
        <v>263</v>
      </c>
      <c r="C174" s="6" t="s">
        <v>526</v>
      </c>
      <c r="D174" s="6" t="s">
        <v>527</v>
      </c>
      <c r="E174" s="5" t="s">
        <v>33</v>
      </c>
      <c r="F174" s="6" t="s">
        <v>528</v>
      </c>
      <c r="G174" s="7">
        <v>0.15</v>
      </c>
      <c r="H174" s="8">
        <v>340</v>
      </c>
      <c r="I174" s="4">
        <f>(MissionRiskRegister[[#This Row],[Cost Impact – Pessimistic ($000)]]*4+MissionRiskRegister[[#This Row],[Cost Impact – Optimistic ($000)]]*2)/6</f>
        <v>1193.3333333333333</v>
      </c>
      <c r="J174" s="8">
        <v>1620</v>
      </c>
      <c r="K174" s="8">
        <f t="shared" si="5"/>
        <v>178.99999999999997</v>
      </c>
    </row>
    <row r="175" spans="1:11" ht="45" customHeight="1">
      <c r="A175" s="2">
        <v>167</v>
      </c>
      <c r="B175" s="1" t="s">
        <v>263</v>
      </c>
      <c r="C175" s="1" t="s">
        <v>529</v>
      </c>
      <c r="D175" s="1" t="s">
        <v>530</v>
      </c>
      <c r="E175" s="2" t="s">
        <v>19</v>
      </c>
      <c r="F175" s="1" t="s">
        <v>531</v>
      </c>
      <c r="G175" s="3">
        <v>0.15</v>
      </c>
      <c r="H175" s="4">
        <v>390</v>
      </c>
      <c r="I175" s="4">
        <f>(MissionRiskRegister[[#This Row],[Cost Impact – Pessimistic ($000)]]*4+MissionRiskRegister[[#This Row],[Cost Impact – Optimistic ($000)]]*2)/6</f>
        <v>1503.3333333333333</v>
      </c>
      <c r="J175" s="4">
        <v>2060</v>
      </c>
      <c r="K175" s="4">
        <f t="shared" si="5"/>
        <v>225.49999999999997</v>
      </c>
    </row>
    <row r="176" spans="1:11" ht="45" customHeight="1">
      <c r="A176" s="5">
        <v>168</v>
      </c>
      <c r="B176" s="6" t="s">
        <v>489</v>
      </c>
      <c r="C176" s="6" t="s">
        <v>532</v>
      </c>
      <c r="D176" s="6" t="s">
        <v>533</v>
      </c>
      <c r="E176" s="5" t="s">
        <v>19</v>
      </c>
      <c r="F176" s="6" t="s">
        <v>534</v>
      </c>
      <c r="G176" s="7">
        <v>0.2</v>
      </c>
      <c r="H176" s="8">
        <v>260</v>
      </c>
      <c r="I176" s="4">
        <f>(MissionRiskRegister[[#This Row],[Cost Impact – Pessimistic ($000)]]*4+MissionRiskRegister[[#This Row],[Cost Impact – Optimistic ($000)]]*2)/6</f>
        <v>1033.3333333333333</v>
      </c>
      <c r="J176" s="8">
        <v>1420</v>
      </c>
      <c r="K176" s="8">
        <f t="shared" si="5"/>
        <v>206.66666666666666</v>
      </c>
    </row>
    <row r="177" spans="1:11" ht="45" customHeight="1">
      <c r="A177" s="2">
        <v>169</v>
      </c>
      <c r="B177" s="1" t="s">
        <v>389</v>
      </c>
      <c r="C177" s="1" t="s">
        <v>535</v>
      </c>
      <c r="D177" s="1" t="s">
        <v>536</v>
      </c>
      <c r="E177" s="2" t="s">
        <v>19</v>
      </c>
      <c r="F177" s="1" t="s">
        <v>537</v>
      </c>
      <c r="G177" s="3">
        <v>0.2</v>
      </c>
      <c r="H177" s="4">
        <v>320</v>
      </c>
      <c r="I177" s="4">
        <f>(MissionRiskRegister[[#This Row],[Cost Impact – Pessimistic ($000)]]*4+MissionRiskRegister[[#This Row],[Cost Impact – Optimistic ($000)]]*2)/6</f>
        <v>1100</v>
      </c>
      <c r="J177" s="4">
        <v>1490</v>
      </c>
      <c r="K177" s="4">
        <f t="shared" si="5"/>
        <v>220</v>
      </c>
    </row>
    <row r="178" spans="1:11" ht="45" customHeight="1">
      <c r="A178" s="5">
        <v>170</v>
      </c>
      <c r="B178" s="6" t="s">
        <v>276</v>
      </c>
      <c r="C178" s="6" t="s">
        <v>538</v>
      </c>
      <c r="D178" s="6" t="s">
        <v>539</v>
      </c>
      <c r="E178" s="5" t="s">
        <v>19</v>
      </c>
      <c r="F178" s="6" t="s">
        <v>540</v>
      </c>
      <c r="G178" s="7">
        <v>0.3</v>
      </c>
      <c r="H178" s="8">
        <v>160</v>
      </c>
      <c r="I178" s="4">
        <f>(MissionRiskRegister[[#This Row],[Cost Impact – Pessimistic ($000)]]*4+MissionRiskRegister[[#This Row],[Cost Impact – Optimistic ($000)]]*2)/6</f>
        <v>573.33333333333337</v>
      </c>
      <c r="J178" s="8">
        <v>780</v>
      </c>
      <c r="K178" s="8">
        <f t="shared" si="5"/>
        <v>172</v>
      </c>
    </row>
    <row r="179" spans="1:11" ht="45" customHeight="1">
      <c r="A179" s="2">
        <v>171</v>
      </c>
      <c r="B179" s="1" t="s">
        <v>276</v>
      </c>
      <c r="C179" s="1" t="s">
        <v>541</v>
      </c>
      <c r="D179" s="1" t="s">
        <v>542</v>
      </c>
      <c r="E179" s="2" t="s">
        <v>19</v>
      </c>
      <c r="F179" s="1" t="s">
        <v>543</v>
      </c>
      <c r="G179" s="3">
        <v>0.3</v>
      </c>
      <c r="H179" s="4">
        <v>190</v>
      </c>
      <c r="I179" s="4">
        <f>(MissionRiskRegister[[#This Row],[Cost Impact – Pessimistic ($000)]]*4+MissionRiskRegister[[#This Row],[Cost Impact – Optimistic ($000)]]*2)/6</f>
        <v>723.33333333333337</v>
      </c>
      <c r="J179" s="4">
        <v>990</v>
      </c>
      <c r="K179" s="4">
        <f t="shared" si="5"/>
        <v>217</v>
      </c>
    </row>
    <row r="180" spans="1:11" ht="45" customHeight="1">
      <c r="A180" s="5">
        <v>172</v>
      </c>
      <c r="B180" s="6" t="s">
        <v>489</v>
      </c>
      <c r="C180" s="6" t="s">
        <v>544</v>
      </c>
      <c r="D180" s="6" t="s">
        <v>545</v>
      </c>
      <c r="E180" s="5" t="s">
        <v>19</v>
      </c>
      <c r="F180" s="6" t="s">
        <v>546</v>
      </c>
      <c r="G180" s="7">
        <v>0.2</v>
      </c>
      <c r="H180" s="8">
        <v>270</v>
      </c>
      <c r="I180" s="4">
        <f>(MissionRiskRegister[[#This Row],[Cost Impact – Pessimistic ($000)]]*4+MissionRiskRegister[[#This Row],[Cost Impact – Optimistic ($000)]]*2)/6</f>
        <v>836.66666666666663</v>
      </c>
      <c r="J180" s="8">
        <v>1120</v>
      </c>
      <c r="K180" s="8">
        <f t="shared" si="5"/>
        <v>167.33333333333334</v>
      </c>
    </row>
    <row r="181" spans="1:11" ht="45" customHeight="1">
      <c r="A181" s="2">
        <v>173</v>
      </c>
      <c r="B181" s="1" t="s">
        <v>489</v>
      </c>
      <c r="C181" s="1" t="s">
        <v>547</v>
      </c>
      <c r="D181" s="1" t="s">
        <v>548</v>
      </c>
      <c r="E181" s="2" t="s">
        <v>23</v>
      </c>
      <c r="F181" s="1" t="s">
        <v>549</v>
      </c>
      <c r="G181" s="3">
        <v>0.2</v>
      </c>
      <c r="H181" s="4">
        <v>310</v>
      </c>
      <c r="I181" s="4">
        <f>(MissionRiskRegister[[#This Row],[Cost Impact – Pessimistic ($000)]]*4+MissionRiskRegister[[#This Row],[Cost Impact – Optimistic ($000)]]*2)/6</f>
        <v>1056.6666666666667</v>
      </c>
      <c r="J181" s="4">
        <v>1430</v>
      </c>
      <c r="K181" s="4">
        <f t="shared" si="5"/>
        <v>211.33333333333337</v>
      </c>
    </row>
    <row r="182" spans="1:11" ht="45" customHeight="1">
      <c r="A182" s="5">
        <v>174</v>
      </c>
      <c r="B182" s="6" t="s">
        <v>229</v>
      </c>
      <c r="C182" s="6" t="s">
        <v>550</v>
      </c>
      <c r="D182" s="6" t="s">
        <v>551</v>
      </c>
      <c r="E182" s="5" t="s">
        <v>19</v>
      </c>
      <c r="F182" s="6" t="s">
        <v>552</v>
      </c>
      <c r="G182" s="7">
        <v>0.5</v>
      </c>
      <c r="H182" s="8">
        <v>120</v>
      </c>
      <c r="I182" s="4">
        <f>(MissionRiskRegister[[#This Row],[Cost Impact – Pessimistic ($000)]]*4+MissionRiskRegister[[#This Row],[Cost Impact – Optimistic ($000)]]*2)/6</f>
        <v>366.66666666666669</v>
      </c>
      <c r="J182" s="8">
        <v>490</v>
      </c>
      <c r="K182" s="8">
        <f t="shared" si="5"/>
        <v>183.33333333333334</v>
      </c>
    </row>
    <row r="183" spans="1:11" ht="45" customHeight="1">
      <c r="A183" s="2">
        <v>175</v>
      </c>
      <c r="B183" s="1" t="s">
        <v>229</v>
      </c>
      <c r="C183" s="1" t="s">
        <v>553</v>
      </c>
      <c r="D183" s="1" t="s">
        <v>554</v>
      </c>
      <c r="E183" s="2" t="s">
        <v>23</v>
      </c>
      <c r="F183" s="1" t="s">
        <v>555</v>
      </c>
      <c r="G183" s="3">
        <v>0.5</v>
      </c>
      <c r="H183" s="4">
        <v>140</v>
      </c>
      <c r="I183" s="4">
        <f>(MissionRiskRegister[[#This Row],[Cost Impact – Pessimistic ($000)]]*4+MissionRiskRegister[[#This Row],[Cost Impact – Optimistic ($000)]]*2)/6</f>
        <v>453.33333333333331</v>
      </c>
      <c r="J183" s="4">
        <v>610</v>
      </c>
      <c r="K183" s="4">
        <f t="shared" si="5"/>
        <v>226.66666666666666</v>
      </c>
    </row>
    <row r="184" spans="1:11" ht="45" customHeight="1">
      <c r="A184" s="5">
        <v>176</v>
      </c>
      <c r="B184" s="6" t="s">
        <v>192</v>
      </c>
      <c r="C184" s="6" t="s">
        <v>556</v>
      </c>
      <c r="D184" s="6" t="s">
        <v>557</v>
      </c>
      <c r="E184" s="5" t="s">
        <v>23</v>
      </c>
      <c r="F184" s="6" t="s">
        <v>558</v>
      </c>
      <c r="G184" s="7">
        <v>0.3</v>
      </c>
      <c r="H184" s="8">
        <v>230</v>
      </c>
      <c r="I184" s="4">
        <f>(MissionRiskRegister[[#This Row],[Cost Impact – Pessimistic ($000)]]*4+MissionRiskRegister[[#This Row],[Cost Impact – Optimistic ($000)]]*2)/6</f>
        <v>616.66666666666663</v>
      </c>
      <c r="J184" s="8">
        <v>810</v>
      </c>
      <c r="K184" s="8">
        <f t="shared" si="5"/>
        <v>184.99999999999997</v>
      </c>
    </row>
    <row r="185" spans="1:11" ht="45" customHeight="1">
      <c r="A185" s="2">
        <v>177</v>
      </c>
      <c r="B185" s="1" t="s">
        <v>192</v>
      </c>
      <c r="C185" s="1" t="s">
        <v>559</v>
      </c>
      <c r="D185" s="1" t="s">
        <v>560</v>
      </c>
      <c r="E185" s="2" t="s">
        <v>19</v>
      </c>
      <c r="F185" s="1" t="s">
        <v>561</v>
      </c>
      <c r="G185" s="3">
        <v>0.3</v>
      </c>
      <c r="H185" s="4">
        <v>160</v>
      </c>
      <c r="I185" s="4">
        <f>(MissionRiskRegister[[#This Row],[Cost Impact – Pessimistic ($000)]]*4+MissionRiskRegister[[#This Row],[Cost Impact – Optimistic ($000)]]*2)/6</f>
        <v>726.66666666666663</v>
      </c>
      <c r="J185" s="4">
        <v>1010</v>
      </c>
      <c r="K185" s="4">
        <f t="shared" si="5"/>
        <v>217.99999999999997</v>
      </c>
    </row>
    <row r="186" spans="1:11" ht="45" customHeight="1">
      <c r="A186" s="5">
        <v>178</v>
      </c>
      <c r="B186" s="6" t="s">
        <v>389</v>
      </c>
      <c r="C186" s="6" t="s">
        <v>562</v>
      </c>
      <c r="D186" s="6" t="s">
        <v>563</v>
      </c>
      <c r="E186" s="5" t="s">
        <v>19</v>
      </c>
      <c r="F186" s="6" t="s">
        <v>564</v>
      </c>
      <c r="G186" s="7">
        <v>0.2</v>
      </c>
      <c r="H186" s="8">
        <v>230</v>
      </c>
      <c r="I186" s="4">
        <f>(MissionRiskRegister[[#This Row],[Cost Impact – Pessimistic ($000)]]*4+MissionRiskRegister[[#This Row],[Cost Impact – Optimistic ($000)]]*2)/6</f>
        <v>1050</v>
      </c>
      <c r="J186" s="8">
        <v>1460</v>
      </c>
      <c r="K186" s="8">
        <f t="shared" si="5"/>
        <v>210</v>
      </c>
    </row>
    <row r="187" spans="1:11" ht="45" customHeight="1">
      <c r="A187" s="2">
        <v>179</v>
      </c>
      <c r="B187" s="1" t="s">
        <v>263</v>
      </c>
      <c r="C187" s="1" t="s">
        <v>565</v>
      </c>
      <c r="D187" s="1" t="s">
        <v>566</v>
      </c>
      <c r="E187" s="2" t="s">
        <v>19</v>
      </c>
      <c r="F187" s="1" t="s">
        <v>567</v>
      </c>
      <c r="G187" s="3">
        <v>0.15</v>
      </c>
      <c r="H187" s="4">
        <v>380</v>
      </c>
      <c r="I187" s="4">
        <f>(MissionRiskRegister[[#This Row],[Cost Impact – Pessimistic ($000)]]*4+MissionRiskRegister[[#This Row],[Cost Impact – Optimistic ($000)]]*2)/6</f>
        <v>1146.6666666666667</v>
      </c>
      <c r="J187" s="4">
        <v>1530</v>
      </c>
      <c r="K187" s="4">
        <f t="shared" si="5"/>
        <v>172</v>
      </c>
    </row>
    <row r="188" spans="1:11" ht="45" customHeight="1">
      <c r="A188" s="5">
        <v>180</v>
      </c>
      <c r="B188" s="6" t="s">
        <v>489</v>
      </c>
      <c r="C188" s="6" t="s">
        <v>568</v>
      </c>
      <c r="D188" s="6" t="s">
        <v>569</v>
      </c>
      <c r="E188" s="5" t="s">
        <v>19</v>
      </c>
      <c r="F188" s="6" t="s">
        <v>570</v>
      </c>
      <c r="G188" s="7">
        <v>0.2</v>
      </c>
      <c r="H188" s="8">
        <v>320</v>
      </c>
      <c r="I188" s="4">
        <f>(MissionRiskRegister[[#This Row],[Cost Impact – Pessimistic ($000)]]*4+MissionRiskRegister[[#This Row],[Cost Impact – Optimistic ($000)]]*2)/6</f>
        <v>860</v>
      </c>
      <c r="J188" s="8">
        <v>1130</v>
      </c>
      <c r="K188" s="8">
        <f t="shared" si="5"/>
        <v>172</v>
      </c>
    </row>
    <row r="189" spans="1:11" ht="45" customHeight="1">
      <c r="A189" s="2">
        <v>181</v>
      </c>
      <c r="B189" s="1" t="s">
        <v>276</v>
      </c>
      <c r="C189" s="1" t="s">
        <v>571</v>
      </c>
      <c r="D189" s="1" t="s">
        <v>572</v>
      </c>
      <c r="E189" s="2" t="s">
        <v>23</v>
      </c>
      <c r="F189" s="1" t="s">
        <v>573</v>
      </c>
      <c r="G189" s="3">
        <v>0.3</v>
      </c>
      <c r="H189" s="4">
        <v>180</v>
      </c>
      <c r="I189" s="4">
        <f>(MissionRiskRegister[[#This Row],[Cost Impact – Pessimistic ($000)]]*4+MissionRiskRegister[[#This Row],[Cost Impact – Optimistic ($000)]]*2)/6</f>
        <v>540</v>
      </c>
      <c r="J189" s="4">
        <v>720</v>
      </c>
      <c r="K189" s="4">
        <f t="shared" si="5"/>
        <v>162</v>
      </c>
    </row>
    <row r="190" spans="1:11" ht="45" customHeight="1">
      <c r="A190" s="5">
        <v>182</v>
      </c>
      <c r="B190" s="6" t="s">
        <v>389</v>
      </c>
      <c r="C190" s="6" t="s">
        <v>574</v>
      </c>
      <c r="D190" s="6" t="s">
        <v>575</v>
      </c>
      <c r="E190" s="5" t="s">
        <v>23</v>
      </c>
      <c r="F190" s="6" t="s">
        <v>576</v>
      </c>
      <c r="G190" s="7">
        <v>0.2</v>
      </c>
      <c r="H190" s="8">
        <v>230</v>
      </c>
      <c r="I190" s="4">
        <f>(MissionRiskRegister[[#This Row],[Cost Impact – Pessimistic ($000)]]*4+MissionRiskRegister[[#This Row],[Cost Impact – Optimistic ($000)]]*2)/6</f>
        <v>830</v>
      </c>
      <c r="J190" s="8">
        <v>1130</v>
      </c>
      <c r="K190" s="8">
        <f t="shared" si="5"/>
        <v>166</v>
      </c>
    </row>
    <row r="191" spans="1:11" ht="45" customHeight="1">
      <c r="A191" s="2">
        <v>183</v>
      </c>
      <c r="B191" s="1" t="s">
        <v>389</v>
      </c>
      <c r="C191" s="1" t="s">
        <v>577</v>
      </c>
      <c r="D191" s="1" t="s">
        <v>578</v>
      </c>
      <c r="E191" s="2" t="s">
        <v>19</v>
      </c>
      <c r="F191" s="1" t="s">
        <v>579</v>
      </c>
      <c r="G191" s="3">
        <v>0.2</v>
      </c>
      <c r="H191" s="4">
        <v>260</v>
      </c>
      <c r="I191" s="4">
        <f>(MissionRiskRegister[[#This Row],[Cost Impact – Pessimistic ($000)]]*4+MissionRiskRegister[[#This Row],[Cost Impact – Optimistic ($000)]]*2)/6</f>
        <v>726.66666666666663</v>
      </c>
      <c r="J191" s="4">
        <v>960</v>
      </c>
      <c r="K191" s="4">
        <f t="shared" si="5"/>
        <v>145.33333333333334</v>
      </c>
    </row>
    <row r="192" spans="1:11" ht="45" customHeight="1">
      <c r="A192" s="5">
        <v>184</v>
      </c>
      <c r="B192" s="6" t="s">
        <v>489</v>
      </c>
      <c r="C192" s="6" t="s">
        <v>580</v>
      </c>
      <c r="D192" s="6" t="s">
        <v>581</v>
      </c>
      <c r="E192" s="5" t="s">
        <v>19</v>
      </c>
      <c r="F192" s="6" t="s">
        <v>582</v>
      </c>
      <c r="G192" s="7">
        <v>0.2</v>
      </c>
      <c r="H192" s="8">
        <v>200</v>
      </c>
      <c r="I192" s="4">
        <f>(MissionRiskRegister[[#This Row],[Cost Impact – Pessimistic ($000)]]*4+MissionRiskRegister[[#This Row],[Cost Impact – Optimistic ($000)]]*2)/6</f>
        <v>940</v>
      </c>
      <c r="J192" s="8">
        <v>1310</v>
      </c>
      <c r="K192" s="8">
        <f t="shared" si="5"/>
        <v>188</v>
      </c>
    </row>
    <row r="193" spans="1:11" ht="45" customHeight="1">
      <c r="A193" s="2">
        <v>185</v>
      </c>
      <c r="B193" s="1" t="s">
        <v>489</v>
      </c>
      <c r="C193" s="1" t="s">
        <v>583</v>
      </c>
      <c r="D193" s="1" t="s">
        <v>584</v>
      </c>
      <c r="E193" s="2" t="s">
        <v>19</v>
      </c>
      <c r="F193" s="1" t="s">
        <v>585</v>
      </c>
      <c r="G193" s="3">
        <v>0.2</v>
      </c>
      <c r="H193" s="4">
        <v>230</v>
      </c>
      <c r="I193" s="4">
        <f>(MissionRiskRegister[[#This Row],[Cost Impact – Pessimistic ($000)]]*4+MissionRiskRegister[[#This Row],[Cost Impact – Optimistic ($000)]]*2)/6</f>
        <v>830</v>
      </c>
      <c r="J193" s="4">
        <v>1130</v>
      </c>
      <c r="K193" s="4">
        <f t="shared" si="5"/>
        <v>166</v>
      </c>
    </row>
    <row r="194" spans="1:11" ht="45" customHeight="1">
      <c r="A194" s="5">
        <v>186</v>
      </c>
      <c r="B194" s="6" t="s">
        <v>229</v>
      </c>
      <c r="C194" s="6" t="s">
        <v>586</v>
      </c>
      <c r="D194" s="6" t="s">
        <v>587</v>
      </c>
      <c r="E194" s="5" t="s">
        <v>19</v>
      </c>
      <c r="F194" s="6" t="s">
        <v>588</v>
      </c>
      <c r="G194" s="7">
        <v>0.5</v>
      </c>
      <c r="H194" s="8">
        <v>80</v>
      </c>
      <c r="I194" s="4">
        <f>(MissionRiskRegister[[#This Row],[Cost Impact – Pessimistic ($000)]]*4+MissionRiskRegister[[#This Row],[Cost Impact – Optimistic ($000)]]*2)/6</f>
        <v>326.66666666666669</v>
      </c>
      <c r="J194" s="8">
        <v>450</v>
      </c>
      <c r="K194" s="8">
        <f t="shared" si="5"/>
        <v>163.33333333333334</v>
      </c>
    </row>
    <row r="195" spans="1:11" ht="45" customHeight="1">
      <c r="A195" s="2">
        <v>187</v>
      </c>
      <c r="B195" s="1" t="s">
        <v>263</v>
      </c>
      <c r="C195" s="1" t="s">
        <v>589</v>
      </c>
      <c r="D195" s="1" t="s">
        <v>590</v>
      </c>
      <c r="E195" s="2" t="s">
        <v>33</v>
      </c>
      <c r="F195" s="1" t="s">
        <v>591</v>
      </c>
      <c r="G195" s="3">
        <v>0.15</v>
      </c>
      <c r="H195" s="4">
        <v>250</v>
      </c>
      <c r="I195" s="4">
        <f>(MissionRiskRegister[[#This Row],[Cost Impact – Pessimistic ($000)]]*4+MissionRiskRegister[[#This Row],[Cost Impact – Optimistic ($000)]]*2)/6</f>
        <v>1016.6666666666666</v>
      </c>
      <c r="J195" s="4">
        <v>1400</v>
      </c>
      <c r="K195" s="4">
        <f t="shared" si="5"/>
        <v>152.5</v>
      </c>
    </row>
    <row r="196" spans="1:11" ht="45" customHeight="1">
      <c r="A196" s="5">
        <v>188</v>
      </c>
      <c r="B196" s="6" t="s">
        <v>489</v>
      </c>
      <c r="C196" s="6" t="s">
        <v>592</v>
      </c>
      <c r="D196" s="6" t="s">
        <v>593</v>
      </c>
      <c r="E196" s="5" t="s">
        <v>23</v>
      </c>
      <c r="F196" s="6" t="s">
        <v>594</v>
      </c>
      <c r="G196" s="7">
        <v>0.2</v>
      </c>
      <c r="H196" s="8">
        <v>240</v>
      </c>
      <c r="I196" s="4">
        <f>(MissionRiskRegister[[#This Row],[Cost Impact – Pessimistic ($000)]]*4+MissionRiskRegister[[#This Row],[Cost Impact – Optimistic ($000)]]*2)/6</f>
        <v>660</v>
      </c>
      <c r="J196" s="8">
        <v>870</v>
      </c>
      <c r="K196" s="8">
        <f t="shared" si="5"/>
        <v>132</v>
      </c>
    </row>
    <row r="197" spans="1:11" ht="45" customHeight="1">
      <c r="A197" s="2">
        <v>189</v>
      </c>
      <c r="B197" s="1" t="s">
        <v>276</v>
      </c>
      <c r="C197" s="1" t="s">
        <v>595</v>
      </c>
      <c r="D197" s="1" t="s">
        <v>596</v>
      </c>
      <c r="E197" s="2" t="s">
        <v>19</v>
      </c>
      <c r="F197" s="1" t="s">
        <v>597</v>
      </c>
      <c r="G197" s="3">
        <v>0.3</v>
      </c>
      <c r="H197" s="4">
        <v>170</v>
      </c>
      <c r="I197" s="4">
        <f>(MissionRiskRegister[[#This Row],[Cost Impact – Pessimistic ($000)]]*4+MissionRiskRegister[[#This Row],[Cost Impact – Optimistic ($000)]]*2)/6</f>
        <v>570</v>
      </c>
      <c r="J197" s="4">
        <v>770</v>
      </c>
      <c r="K197" s="4">
        <f t="shared" si="5"/>
        <v>171</v>
      </c>
    </row>
    <row r="198" spans="1:11" ht="45" customHeight="1">
      <c r="A198" s="5">
        <v>190</v>
      </c>
      <c r="B198" s="6" t="s">
        <v>276</v>
      </c>
      <c r="C198" s="6" t="s">
        <v>598</v>
      </c>
      <c r="D198" s="6" t="s">
        <v>599</v>
      </c>
      <c r="E198" s="5" t="s">
        <v>19</v>
      </c>
      <c r="F198" s="6" t="s">
        <v>600</v>
      </c>
      <c r="G198" s="7">
        <v>0.3</v>
      </c>
      <c r="H198" s="8">
        <v>120</v>
      </c>
      <c r="I198" s="4">
        <f>(MissionRiskRegister[[#This Row],[Cost Impact – Pessimistic ($000)]]*4+MissionRiskRegister[[#This Row],[Cost Impact – Optimistic ($000)]]*2)/6</f>
        <v>480</v>
      </c>
      <c r="J198" s="8">
        <v>660</v>
      </c>
      <c r="K198" s="8">
        <f t="shared" si="5"/>
        <v>144</v>
      </c>
    </row>
    <row r="199" spans="1:11" ht="45" customHeight="1">
      <c r="A199" s="2">
        <v>191</v>
      </c>
      <c r="B199" s="1" t="s">
        <v>389</v>
      </c>
      <c r="C199" s="1" t="s">
        <v>601</v>
      </c>
      <c r="D199" s="1" t="s">
        <v>602</v>
      </c>
      <c r="E199" s="2" t="s">
        <v>19</v>
      </c>
      <c r="F199" s="1" t="s">
        <v>603</v>
      </c>
      <c r="G199" s="3">
        <v>0.2</v>
      </c>
      <c r="H199" s="4">
        <v>260</v>
      </c>
      <c r="I199" s="4">
        <f>(MissionRiskRegister[[#This Row],[Cost Impact – Pessimistic ($000)]]*4+MissionRiskRegister[[#This Row],[Cost Impact – Optimistic ($000)]]*2)/6</f>
        <v>800</v>
      </c>
      <c r="J199" s="4">
        <v>1070</v>
      </c>
      <c r="K199" s="4">
        <f t="shared" si="5"/>
        <v>160</v>
      </c>
    </row>
    <row r="200" spans="1:11" ht="45" customHeight="1">
      <c r="A200" s="5">
        <v>192</v>
      </c>
      <c r="B200" s="6" t="s">
        <v>489</v>
      </c>
      <c r="C200" s="6" t="s">
        <v>604</v>
      </c>
      <c r="D200" s="6" t="s">
        <v>605</v>
      </c>
      <c r="E200" s="5" t="s">
        <v>19</v>
      </c>
      <c r="F200" s="6" t="s">
        <v>606</v>
      </c>
      <c r="G200" s="7">
        <v>0.2</v>
      </c>
      <c r="H200" s="8">
        <v>240</v>
      </c>
      <c r="I200" s="4">
        <f>(MissionRiskRegister[[#This Row],[Cost Impact – Pessimistic ($000)]]*4+MissionRiskRegister[[#This Row],[Cost Impact – Optimistic ($000)]]*2)/6</f>
        <v>753.33333333333337</v>
      </c>
      <c r="J200" s="8">
        <v>1010</v>
      </c>
      <c r="K200" s="8">
        <f t="shared" si="5"/>
        <v>150.66666666666669</v>
      </c>
    </row>
    <row r="201" spans="1:11" ht="45" customHeight="1">
      <c r="A201" s="2">
        <v>193</v>
      </c>
      <c r="B201" s="1" t="s">
        <v>489</v>
      </c>
      <c r="C201" s="1" t="s">
        <v>607</v>
      </c>
      <c r="D201" s="1" t="s">
        <v>608</v>
      </c>
      <c r="E201" s="2" t="s">
        <v>19</v>
      </c>
      <c r="F201" s="1" t="s">
        <v>609</v>
      </c>
      <c r="G201" s="3">
        <v>0.2</v>
      </c>
      <c r="H201" s="4">
        <v>170</v>
      </c>
      <c r="I201" s="4">
        <f>(MissionRiskRegister[[#This Row],[Cost Impact – Pessimistic ($000)]]*4+MissionRiskRegister[[#This Row],[Cost Impact – Optimistic ($000)]]*2)/6</f>
        <v>630</v>
      </c>
      <c r="J201" s="4">
        <v>860</v>
      </c>
      <c r="K201" s="4">
        <f t="shared" ref="K201:K208" si="6">G201*I201</f>
        <v>126</v>
      </c>
    </row>
    <row r="202" spans="1:11" ht="45" customHeight="1">
      <c r="A202" s="5">
        <v>194</v>
      </c>
      <c r="B202" s="6" t="s">
        <v>389</v>
      </c>
      <c r="C202" s="6" t="s">
        <v>610</v>
      </c>
      <c r="D202" s="6" t="s">
        <v>611</v>
      </c>
      <c r="E202" s="5" t="s">
        <v>19</v>
      </c>
      <c r="F202" s="6" t="s">
        <v>612</v>
      </c>
      <c r="G202" s="7">
        <v>0.2</v>
      </c>
      <c r="H202" s="8">
        <v>150</v>
      </c>
      <c r="I202" s="4">
        <f>(MissionRiskRegister[[#This Row],[Cost Impact – Pessimistic ($000)]]*4+MissionRiskRegister[[#This Row],[Cost Impact – Optimistic ($000)]]*2)/6</f>
        <v>576.66666666666663</v>
      </c>
      <c r="J202" s="8">
        <v>790</v>
      </c>
      <c r="K202" s="8">
        <f t="shared" si="6"/>
        <v>115.33333333333333</v>
      </c>
    </row>
    <row r="203" spans="1:11" ht="45" customHeight="1">
      <c r="A203" s="2">
        <v>195</v>
      </c>
      <c r="B203" s="1" t="s">
        <v>389</v>
      </c>
      <c r="C203" s="1" t="s">
        <v>613</v>
      </c>
      <c r="D203" s="1" t="s">
        <v>614</v>
      </c>
      <c r="E203" s="2" t="s">
        <v>23</v>
      </c>
      <c r="F203" s="1" t="s">
        <v>615</v>
      </c>
      <c r="G203" s="3">
        <v>0.2</v>
      </c>
      <c r="H203" s="4">
        <v>180</v>
      </c>
      <c r="I203" s="4">
        <f>(MissionRiskRegister[[#This Row],[Cost Impact – Pessimistic ($000)]]*4+MissionRiskRegister[[#This Row],[Cost Impact – Optimistic ($000)]]*2)/6</f>
        <v>720</v>
      </c>
      <c r="J203" s="4">
        <v>990</v>
      </c>
      <c r="K203" s="4">
        <f t="shared" si="6"/>
        <v>144</v>
      </c>
    </row>
    <row r="204" spans="1:11" ht="45" customHeight="1">
      <c r="A204" s="5">
        <v>196</v>
      </c>
      <c r="B204" s="6" t="s">
        <v>489</v>
      </c>
      <c r="C204" s="6" t="s">
        <v>616</v>
      </c>
      <c r="D204" s="6" t="s">
        <v>617</v>
      </c>
      <c r="E204" s="5" t="s">
        <v>19</v>
      </c>
      <c r="F204" s="6" t="s">
        <v>618</v>
      </c>
      <c r="G204" s="7">
        <v>0.2</v>
      </c>
      <c r="H204" s="8">
        <v>170</v>
      </c>
      <c r="I204" s="4">
        <f>(MissionRiskRegister[[#This Row],[Cost Impact – Pessimistic ($000)]]*4+MissionRiskRegister[[#This Row],[Cost Impact – Optimistic ($000)]]*2)/6</f>
        <v>703.33333333333337</v>
      </c>
      <c r="J204" s="8">
        <v>970</v>
      </c>
      <c r="K204" s="8">
        <f t="shared" si="6"/>
        <v>140.66666666666669</v>
      </c>
    </row>
    <row r="205" spans="1:11" ht="45" customHeight="1">
      <c r="A205" s="2">
        <v>197</v>
      </c>
      <c r="B205" s="1" t="s">
        <v>489</v>
      </c>
      <c r="C205" s="1" t="s">
        <v>619</v>
      </c>
      <c r="D205" s="1" t="s">
        <v>620</v>
      </c>
      <c r="E205" s="2" t="s">
        <v>19</v>
      </c>
      <c r="F205" s="1" t="s">
        <v>621</v>
      </c>
      <c r="G205" s="3">
        <v>0.2</v>
      </c>
      <c r="H205" s="4">
        <v>190</v>
      </c>
      <c r="I205" s="4">
        <f>(MissionRiskRegister[[#This Row],[Cost Impact – Pessimistic ($000)]]*4+MissionRiskRegister[[#This Row],[Cost Impact – Optimistic ($000)]]*2)/6</f>
        <v>483.33333333333331</v>
      </c>
      <c r="J205" s="4">
        <v>630</v>
      </c>
      <c r="K205" s="4">
        <f t="shared" si="6"/>
        <v>96.666666666666671</v>
      </c>
    </row>
    <row r="206" spans="1:11" ht="45" customHeight="1">
      <c r="A206" s="5">
        <v>198</v>
      </c>
      <c r="B206" s="6" t="s">
        <v>389</v>
      </c>
      <c r="C206" s="6" t="s">
        <v>622</v>
      </c>
      <c r="D206" s="6" t="s">
        <v>623</v>
      </c>
      <c r="E206" s="5" t="s">
        <v>19</v>
      </c>
      <c r="F206" s="6" t="s">
        <v>624</v>
      </c>
      <c r="G206" s="7">
        <v>0.2</v>
      </c>
      <c r="H206" s="8">
        <v>170</v>
      </c>
      <c r="I206" s="4">
        <f>(MissionRiskRegister[[#This Row],[Cost Impact – Pessimistic ($000)]]*4+MissionRiskRegister[[#This Row],[Cost Impact – Optimistic ($000)]]*2)/6</f>
        <v>536.66666666666663</v>
      </c>
      <c r="J206" s="8">
        <v>720</v>
      </c>
      <c r="K206" s="8">
        <f t="shared" si="6"/>
        <v>107.33333333333333</v>
      </c>
    </row>
    <row r="207" spans="1:11" ht="45" customHeight="1">
      <c r="A207" s="2">
        <v>199</v>
      </c>
      <c r="B207" s="1" t="s">
        <v>489</v>
      </c>
      <c r="C207" s="1" t="s">
        <v>625</v>
      </c>
      <c r="D207" s="1" t="s">
        <v>626</v>
      </c>
      <c r="E207" s="2" t="s">
        <v>19</v>
      </c>
      <c r="F207" s="1" t="s">
        <v>627</v>
      </c>
      <c r="G207" s="3">
        <v>0.2</v>
      </c>
      <c r="H207" s="4">
        <v>120</v>
      </c>
      <c r="I207" s="4">
        <f>(MissionRiskRegister[[#This Row],[Cost Impact – Pessimistic ($000)]]*4+MissionRiskRegister[[#This Row],[Cost Impact – Optimistic ($000)]]*2)/6</f>
        <v>500</v>
      </c>
      <c r="J207" s="4">
        <v>690</v>
      </c>
      <c r="K207" s="4">
        <f t="shared" si="6"/>
        <v>100</v>
      </c>
    </row>
    <row r="208" spans="1:11" ht="45" customHeight="1">
      <c r="A208" s="5">
        <v>200</v>
      </c>
      <c r="B208" s="6" t="s">
        <v>489</v>
      </c>
      <c r="C208" s="6" t="s">
        <v>628</v>
      </c>
      <c r="D208" s="6" t="s">
        <v>629</v>
      </c>
      <c r="E208" s="5" t="s">
        <v>23</v>
      </c>
      <c r="F208" s="6" t="s">
        <v>630</v>
      </c>
      <c r="G208" s="7">
        <v>0.2</v>
      </c>
      <c r="H208" s="8">
        <v>130</v>
      </c>
      <c r="I208" s="4">
        <f>(MissionRiskRegister[[#This Row],[Cost Impact – Pessimistic ($000)]]*4+MissionRiskRegister[[#This Row],[Cost Impact – Optimistic ($000)]]*2)/6</f>
        <v>463.33333333333331</v>
      </c>
      <c r="J208" s="8">
        <v>630</v>
      </c>
      <c r="K208" s="8">
        <f t="shared" si="6"/>
        <v>92.666666666666671</v>
      </c>
    </row>
  </sheetData>
  <mergeCells count="2">
    <mergeCell ref="A2:K2"/>
    <mergeCell ref="A3:K3"/>
  </mergeCells>
  <conditionalFormatting sqref="G9:G208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conditionalFormatting sqref="K9:K208">
    <cfRule type="dataBar" priority="2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{8555DC08-76E9-C35C-15E5-731C95F131A9}</x14:id>
        </ext>
      </extLst>
    </cfRule>
  </conditionalFormatting>
  <dataValidations disablePrompts="1" count="3">
    <dataValidation type="list" sqref="B9:B208" xr:uid="{00000000-0002-0000-0000-000000000000}">
      <formula1>_xlfn._LONGTEXT("Mission &amp; Science,Spacecraft &amp; Payload Technical,Software &amp; Autonomy,Manufacturing, Assembly &amp; Test,Launch &amp; Early Orbit,Ground Segment &amp; Operations,Schedule &amp; Program Management,Supply Chain &amp; Commercial,People, Safety &amp; Security,Regulatory, Environmenta","l &amp; External,Data &amp; Science Products")</formula1>
    </dataValidation>
    <dataValidation type="list" sqref="E9:E208" xr:uid="{00000000-0002-0000-0000-000001000000}">
      <formula1>"Avoid,Transfer,Mitigate,Accept,Exploit,Share,Enhance"</formula1>
    </dataValidation>
    <dataValidation type="decimal" sqref="G9:G208" xr:uid="{00000000-0002-0000-0000-000002000000}">
      <formula1>0</formula1>
      <formula2>1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55DC08-76E9-C35C-15E5-731C95F131A9}">
            <x14:dataBar>
              <x14:cfvo type="min"/>
              <x14:cfvo type="max"/>
              <x14:negativeFillColor auto="1"/>
              <x14:axisColor auto="1"/>
            </x14:dataBar>
          </x14:cfRule>
          <xm:sqref>K9:K208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43F024-1AAE-4087-8057-3515B9765A86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Bedirian, Mireille (ASC/CSA)</cp:lastModifiedBy>
  <dcterms:modified xsi:type="dcterms:W3CDTF">2026-09-21T15:42:13Z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8a8773-bcd3-476c-8adc-f986a36f2c00_Enabled">
    <vt:lpwstr>true</vt:lpwstr>
  </property>
  <property fmtid="{D5CDD505-2E9C-101B-9397-08002B2CF9AE}" pid="3" name="MSIP_Label_658a8773-bcd3-476c-8adc-f986a36f2c00_SetDate">
    <vt:lpwstr>2026-09-21T15:20:08Z</vt:lpwstr>
  </property>
  <property fmtid="{D5CDD505-2E9C-101B-9397-08002B2CF9AE}" pid="4" name="MSIP_Label_658a8773-bcd3-476c-8adc-f986a36f2c00_Method">
    <vt:lpwstr>Privileged</vt:lpwstr>
  </property>
  <property fmtid="{D5CDD505-2E9C-101B-9397-08002B2CF9AE}" pid="5" name="MSIP_Label_658a8773-bcd3-476c-8adc-f986a36f2c00_Name">
    <vt:lpwstr>NON-CLASSIFIÉ NON VISIBLE - UNCLASSIFIED NOT VISIBLE</vt:lpwstr>
  </property>
  <property fmtid="{D5CDD505-2E9C-101B-9397-08002B2CF9AE}" pid="6" name="MSIP_Label_658a8773-bcd3-476c-8adc-f986a36f2c00_SiteId">
    <vt:lpwstr>ea59922f-ea3d-4e45-ba97-caf826fb9335</vt:lpwstr>
  </property>
  <property fmtid="{D5CDD505-2E9C-101B-9397-08002B2CF9AE}" pid="7" name="MSIP_Label_658a8773-bcd3-476c-8adc-f986a36f2c00_ActionId">
    <vt:lpwstr>93d720f7-18fd-44fe-ad22-267b8477efea</vt:lpwstr>
  </property>
  <property fmtid="{D5CDD505-2E9C-101B-9397-08002B2CF9AE}" pid="8" name="MSIP_Label_658a8773-bcd3-476c-8adc-f986a36f2c00_ContentBits">
    <vt:lpwstr>0</vt:lpwstr>
  </property>
  <property fmtid="{D5CDD505-2E9C-101B-9397-08002B2CF9AE}" pid="9" name="MSIP_Label_658a8773-bcd3-476c-8adc-f986a36f2c00_Tag">
    <vt:lpwstr>10, 0, 1, 1</vt:lpwstr>
  </property>
</Properties>
</file>