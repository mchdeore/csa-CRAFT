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stille\Desktop\Costing\SAM Mission Exercise\"/>
    </mc:Choice>
  </mc:AlternateContent>
  <xr:revisionPtr revIDLastSave="0" documentId="8_{9B0477E4-AFFC-47A6-B709-93BFD56209D8}" xr6:coauthVersionLast="47" xr6:coauthVersionMax="47" xr10:uidLastSave="{00000000-0000-0000-0000-000000000000}"/>
  <bookViews>
    <workbookView xWindow="28680" yWindow="-120" windowWidth="29040" windowHeight="15720" tabRatio="855" firstSheet="1" activeTab="8" xr2:uid="{9D495569-760B-469D-B36B-88AA89987B71}"/>
  </bookViews>
  <sheets>
    <sheet name="Cover Page" sheetId="52" r:id="rId1"/>
    <sheet name="1 - Change History" sheetId="48" r:id="rId2"/>
    <sheet name="4d - CBS in JS format" sheetId="17" state="hidden" r:id="rId3"/>
    <sheet name="2 - Phasing Nomenclature" sheetId="8" r:id="rId4"/>
    <sheet name="3 - Phase Durations" sheetId="2" r:id="rId5"/>
    <sheet name="PM's sched Scenarios" sheetId="59" r:id="rId6"/>
    <sheet name="GR&amp;A" sheetId="56" state="hidden" r:id="rId7"/>
    <sheet name="4 - RAM LoE" sheetId="20" r:id="rId8"/>
    <sheet name="5 - Risk Register" sheetId="60" r:id="rId9"/>
    <sheet name="Risk Breakdown Structure" sheetId="58" r:id="rId10"/>
  </sheets>
  <definedNames>
    <definedName name="_Fill" hidden="1">#REF!</definedName>
    <definedName name="_xlnm._FilterDatabase" localSheetId="6" hidden="1">'GR&amp;A'!$A$5:$R$350</definedName>
    <definedName name="_Table1_In1" hidden="1">#REF!</definedName>
    <definedName name="_Table2_In1" hidden="1">#REF!</definedName>
    <definedName name="_Table2_In2" hidden="1">#REF!</definedName>
    <definedName name="_Table2_In3" hidden="1">#REF!</definedName>
    <definedName name="_Table2_In4" hidden="1">#REF!</definedName>
    <definedName name="aa" hidden="1">{#N/A,#N/A,TRUE,"Report"}</definedName>
    <definedName name="ad" hidden="1">{#N/A,#N/A,TRUE,"Report"}</definedName>
    <definedName name="Costing_Phases">'2 - Phasing Nomenclature'!$F$13:$F$26</definedName>
    <definedName name="Costing_Phases_PM">'2 - Phasing Nomenclature'!$I$13:$I$25</definedName>
    <definedName name="ll" hidden="1">{#N/A,#N/A,TRUE,"Report"}</definedName>
    <definedName name="risk_cat">#REF!</definedName>
    <definedName name="risk_type">#REF!</definedName>
    <definedName name="WCC" hidden="1">{#N/A,#N/A,TRUE,"Report"}</definedName>
    <definedName name="wrn.Capacity._.Calculations._.for._.FM3." hidden="1">{#N/A,#N/A,TRUE,"Report"}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I15" i="2" s="1"/>
  <c r="G16" i="2"/>
  <c r="H16" i="2"/>
  <c r="G17" i="2"/>
  <c r="H17" i="2"/>
  <c r="G19" i="2"/>
  <c r="H19" i="2"/>
  <c r="G20" i="2"/>
  <c r="G22" i="2"/>
  <c r="H22" i="2"/>
  <c r="D22" i="2"/>
  <c r="D24" i="2"/>
  <c r="D23" i="2"/>
  <c r="G24" i="2" s="1"/>
  <c r="D20" i="2"/>
  <c r="H20" i="2" s="1"/>
  <c r="I19" i="2" l="1"/>
  <c r="I22" i="2"/>
  <c r="J15" i="2"/>
  <c r="I17" i="2"/>
  <c r="I16" i="2"/>
  <c r="I20" i="2"/>
  <c r="I24" i="2"/>
  <c r="H24" i="2"/>
  <c r="E16" i="2"/>
  <c r="F16" i="2" s="1"/>
  <c r="E17" i="2"/>
  <c r="F17" i="2" s="1"/>
  <c r="E18" i="2"/>
  <c r="F18" i="2" s="1"/>
  <c r="J19" i="2" l="1"/>
  <c r="J22" i="2"/>
  <c r="K15" i="2"/>
  <c r="J17" i="2"/>
  <c r="J16" i="2"/>
  <c r="J20" i="2"/>
  <c r="J24" i="2"/>
  <c r="E24" i="2"/>
  <c r="F24" i="2" s="1"/>
  <c r="K19" i="2" l="1"/>
  <c r="K22" i="2"/>
  <c r="L15" i="2"/>
  <c r="K17" i="2"/>
  <c r="K16" i="2"/>
  <c r="K20" i="2"/>
  <c r="K24" i="2"/>
  <c r="E23" i="2"/>
  <c r="F23" i="2" s="1"/>
  <c r="E22" i="2"/>
  <c r="F22" i="2" s="1"/>
  <c r="E20" i="2"/>
  <c r="E19" i="2"/>
  <c r="F19" i="2" s="1"/>
  <c r="L17" i="2" l="1"/>
  <c r="L19" i="2"/>
  <c r="L22" i="2"/>
  <c r="L20" i="2"/>
  <c r="L24" i="2"/>
  <c r="M15" i="2"/>
  <c r="L16" i="2"/>
  <c r="F20" i="2"/>
  <c r="D21" i="2"/>
  <c r="E21" i="2" l="1"/>
  <c r="F21" i="2" s="1"/>
  <c r="H21" i="2"/>
  <c r="G21" i="2"/>
  <c r="I21" i="2"/>
  <c r="J21" i="2"/>
  <c r="K21" i="2"/>
  <c r="M17" i="2"/>
  <c r="M21" i="2"/>
  <c r="M16" i="2"/>
  <c r="M20" i="2"/>
  <c r="M24" i="2"/>
  <c r="M19" i="2"/>
  <c r="M22" i="2"/>
  <c r="N15" i="2"/>
  <c r="L21" i="2"/>
  <c r="B22" i="17"/>
  <c r="B21" i="17"/>
  <c r="B20" i="17"/>
  <c r="B19" i="17"/>
  <c r="B18" i="17"/>
  <c r="B17" i="17"/>
  <c r="B16" i="17"/>
  <c r="B15" i="17"/>
  <c r="B14" i="17"/>
  <c r="B13" i="17"/>
  <c r="B12" i="17"/>
  <c r="B11" i="17"/>
  <c r="A11" i="17"/>
  <c r="B10" i="17"/>
  <c r="J10" i="17" s="1"/>
  <c r="J9" i="17"/>
  <c r="N17" i="2" l="1"/>
  <c r="N21" i="2"/>
  <c r="N24" i="2"/>
  <c r="N16" i="2"/>
  <c r="N19" i="2"/>
  <c r="N22" i="2"/>
  <c r="O15" i="2"/>
  <c r="N20" i="2"/>
  <c r="J11" i="17"/>
  <c r="A12" i="17"/>
  <c r="O17" i="2" l="1"/>
  <c r="O21" i="2"/>
  <c r="O16" i="2"/>
  <c r="O20" i="2"/>
  <c r="O24" i="2"/>
  <c r="O19" i="2"/>
  <c r="O22" i="2"/>
  <c r="P15" i="2"/>
  <c r="J12" i="17"/>
  <c r="A13" i="17"/>
  <c r="P16" i="2" l="1"/>
  <c r="P17" i="2"/>
  <c r="P21" i="2"/>
  <c r="P19" i="2"/>
  <c r="P22" i="2"/>
  <c r="Q15" i="2"/>
  <c r="P24" i="2"/>
  <c r="P20" i="2"/>
  <c r="J13" i="17"/>
  <c r="A14" i="17"/>
  <c r="Q16" i="2" l="1"/>
  <c r="Q20" i="2"/>
  <c r="Q24" i="2"/>
  <c r="Q19" i="2"/>
  <c r="Q22" i="2"/>
  <c r="R15" i="2"/>
  <c r="Q17" i="2"/>
  <c r="Q21" i="2"/>
  <c r="J14" i="17"/>
  <c r="A15" i="17"/>
  <c r="R16" i="2" l="1"/>
  <c r="R20" i="2"/>
  <c r="R24" i="2"/>
  <c r="R19" i="2"/>
  <c r="R22" i="2"/>
  <c r="R17" i="2"/>
  <c r="R21" i="2"/>
  <c r="S15" i="2"/>
  <c r="J15" i="17"/>
  <c r="A16" i="17"/>
  <c r="T15" i="2" l="1"/>
  <c r="S16" i="2"/>
  <c r="S20" i="2"/>
  <c r="S24" i="2"/>
  <c r="S22" i="2"/>
  <c r="S19" i="2"/>
  <c r="S17" i="2"/>
  <c r="S21" i="2"/>
  <c r="B25" i="17"/>
  <c r="A17" i="17"/>
  <c r="J16" i="17"/>
  <c r="B26" i="17"/>
  <c r="B23" i="17"/>
  <c r="B27" i="17"/>
  <c r="B28" i="17"/>
  <c r="B24" i="17"/>
  <c r="U15" i="2" l="1"/>
  <c r="T16" i="2"/>
  <c r="T20" i="2"/>
  <c r="T24" i="2"/>
  <c r="T17" i="2"/>
  <c r="T21" i="2"/>
  <c r="T19" i="2"/>
  <c r="T22" i="2"/>
  <c r="J17" i="17"/>
  <c r="A18" i="17"/>
  <c r="U19" i="2" l="1"/>
  <c r="U22" i="2"/>
  <c r="V15" i="2"/>
  <c r="U17" i="2"/>
  <c r="U21" i="2"/>
  <c r="U16" i="2"/>
  <c r="U20" i="2"/>
  <c r="U24" i="2"/>
  <c r="B29" i="17"/>
  <c r="J18" i="17"/>
  <c r="B30" i="17"/>
  <c r="A19" i="17"/>
  <c r="V19" i="2" l="1"/>
  <c r="V22" i="2"/>
  <c r="V21" i="2"/>
  <c r="V17" i="2"/>
  <c r="V16" i="2"/>
  <c r="V20" i="2"/>
  <c r="V24" i="2"/>
  <c r="W15" i="2"/>
  <c r="J19" i="17"/>
  <c r="A20" i="17"/>
  <c r="W19" i="2" l="1"/>
  <c r="W20" i="2"/>
  <c r="W21" i="2"/>
  <c r="X15" i="2"/>
  <c r="W22" i="2"/>
  <c r="W16" i="2"/>
  <c r="W24" i="2"/>
  <c r="W17" i="2"/>
  <c r="B438" i="17"/>
  <c r="B439" i="17"/>
  <c r="J20" i="17"/>
  <c r="A21" i="17"/>
  <c r="B441" i="17"/>
  <c r="B440" i="17"/>
  <c r="B437" i="17"/>
  <c r="X19" i="2" l="1"/>
  <c r="X20" i="2"/>
  <c r="X21" i="2"/>
  <c r="X22" i="2"/>
  <c r="X24" i="2"/>
  <c r="X17" i="2"/>
  <c r="Y15" i="2"/>
  <c r="X16" i="2"/>
  <c r="B450" i="17"/>
  <c r="B442" i="17"/>
  <c r="B451" i="17"/>
  <c r="J21" i="17"/>
  <c r="B452" i="17"/>
  <c r="B448" i="17"/>
  <c r="A22" i="17"/>
  <c r="B449" i="17"/>
  <c r="Y17" i="2" l="1"/>
  <c r="Y16" i="2"/>
  <c r="Z15" i="2"/>
  <c r="Y19" i="2"/>
  <c r="Y20" i="2"/>
  <c r="Y24" i="2"/>
  <c r="Y21" i="2"/>
  <c r="Y22" i="2"/>
  <c r="B499" i="17"/>
  <c r="B495" i="17"/>
  <c r="B500" i="17"/>
  <c r="J22" i="17"/>
  <c r="A23" i="17"/>
  <c r="Z21" i="2" l="1"/>
  <c r="Z22" i="2"/>
  <c r="Z17" i="2"/>
  <c r="Z24" i="2"/>
  <c r="Z19" i="2"/>
  <c r="AA15" i="2"/>
  <c r="Z16" i="2"/>
  <c r="Z20" i="2"/>
  <c r="B506" i="17"/>
  <c r="B501" i="17"/>
  <c r="J23" i="17"/>
  <c r="A24" i="17"/>
  <c r="AA21" i="2" l="1"/>
  <c r="AA22" i="2"/>
  <c r="AA24" i="2"/>
  <c r="AA17" i="2"/>
  <c r="AB15" i="2"/>
  <c r="AA16" i="2"/>
  <c r="AA19" i="2"/>
  <c r="AA20" i="2"/>
  <c r="A25" i="17"/>
  <c r="J24" i="17"/>
  <c r="B67" i="17"/>
  <c r="AB21" i="2" l="1"/>
  <c r="AB22" i="2"/>
  <c r="AB24" i="2"/>
  <c r="AC15" i="2"/>
  <c r="AB19" i="2"/>
  <c r="AB20" i="2"/>
  <c r="AB17" i="2"/>
  <c r="AB16" i="2"/>
  <c r="J25" i="17"/>
  <c r="A26" i="17"/>
  <c r="AC20" i="2" l="1"/>
  <c r="AC21" i="2"/>
  <c r="AC22" i="2"/>
  <c r="AC24" i="2"/>
  <c r="AC17" i="2"/>
  <c r="AD15" i="2"/>
  <c r="AC16" i="2"/>
  <c r="AC19" i="2"/>
  <c r="J26" i="17"/>
  <c r="A27" i="17"/>
  <c r="AD19" i="2" l="1"/>
  <c r="AD20" i="2"/>
  <c r="AD17" i="2"/>
  <c r="AD21" i="2"/>
  <c r="AE15" i="2"/>
  <c r="AD24" i="2"/>
  <c r="AD22" i="2"/>
  <c r="AD16" i="2"/>
  <c r="J27" i="17"/>
  <c r="A28" i="17"/>
  <c r="AE24" i="2" l="1"/>
  <c r="AE19" i="2"/>
  <c r="AE20" i="2"/>
  <c r="AE17" i="2"/>
  <c r="AF15" i="2"/>
  <c r="AE16" i="2"/>
  <c r="AE22" i="2"/>
  <c r="AE21" i="2"/>
  <c r="A29" i="17"/>
  <c r="J28" i="17"/>
  <c r="AF24" i="2" l="1"/>
  <c r="AF20" i="2"/>
  <c r="AF19" i="2"/>
  <c r="AF17" i="2"/>
  <c r="AG15" i="2"/>
  <c r="AF16" i="2"/>
  <c r="AF21" i="2"/>
  <c r="AF22" i="2"/>
  <c r="J29" i="17"/>
  <c r="B37" i="17"/>
  <c r="B38" i="17"/>
  <c r="A30" i="17"/>
  <c r="B32" i="17"/>
  <c r="B39" i="17"/>
  <c r="B31" i="17"/>
  <c r="AG22" i="2" l="1"/>
  <c r="AG24" i="2"/>
  <c r="AG19" i="2"/>
  <c r="AG17" i="2"/>
  <c r="AH15" i="2"/>
  <c r="AG16" i="2"/>
  <c r="AG20" i="2"/>
  <c r="AG21" i="2"/>
  <c r="J30" i="17"/>
  <c r="B47" i="17"/>
  <c r="A31" i="17"/>
  <c r="AH24" i="2" l="1"/>
  <c r="AH20" i="2"/>
  <c r="AH22" i="2"/>
  <c r="AH17" i="2"/>
  <c r="AI15" i="2"/>
  <c r="AH16" i="2"/>
  <c r="AH19" i="2"/>
  <c r="AH21" i="2"/>
  <c r="B41" i="17"/>
  <c r="B33" i="17"/>
  <c r="J31" i="17"/>
  <c r="B42" i="17"/>
  <c r="B34" i="17"/>
  <c r="A32" i="17"/>
  <c r="B40" i="17"/>
  <c r="AI20" i="2" l="1"/>
  <c r="AI17" i="2"/>
  <c r="AI21" i="2"/>
  <c r="AI24" i="2"/>
  <c r="AJ15" i="2"/>
  <c r="AI16" i="2"/>
  <c r="AI22" i="2"/>
  <c r="AI19" i="2"/>
  <c r="J32" i="17"/>
  <c r="A33" i="17"/>
  <c r="B35" i="17"/>
  <c r="B36" i="17"/>
  <c r="AJ21" i="2" l="1"/>
  <c r="AJ22" i="2"/>
  <c r="AJ19" i="2"/>
  <c r="AJ24" i="2"/>
  <c r="AJ17" i="2"/>
  <c r="AK15" i="2"/>
  <c r="AJ20" i="2"/>
  <c r="AJ16" i="2"/>
  <c r="J33" i="17"/>
  <c r="B45" i="17"/>
  <c r="A34" i="17"/>
  <c r="B43" i="17"/>
  <c r="B44" i="17"/>
  <c r="AK21" i="2" l="1"/>
  <c r="AK24" i="2"/>
  <c r="AK22" i="2"/>
  <c r="AK17" i="2"/>
  <c r="AK16" i="2"/>
  <c r="AK20" i="2"/>
  <c r="AL15" i="2"/>
  <c r="AK19" i="2"/>
  <c r="J34" i="17"/>
  <c r="A35" i="17"/>
  <c r="AL20" i="2" l="1"/>
  <c r="AL21" i="2"/>
  <c r="AL17" i="2"/>
  <c r="AL22" i="2"/>
  <c r="AL16" i="2"/>
  <c r="AL24" i="2"/>
  <c r="AM15" i="2"/>
  <c r="AL19" i="2"/>
  <c r="J35" i="17"/>
  <c r="A36" i="17"/>
  <c r="AM20" i="2" l="1"/>
  <c r="AM21" i="2"/>
  <c r="AM17" i="2"/>
  <c r="AM22" i="2"/>
  <c r="AM24" i="2"/>
  <c r="AN15" i="2"/>
  <c r="AM16" i="2"/>
  <c r="AM19" i="2"/>
  <c r="A37" i="17"/>
  <c r="J36" i="17"/>
  <c r="AN20" i="2" l="1"/>
  <c r="AN21" i="2"/>
  <c r="AN22" i="2"/>
  <c r="AN17" i="2"/>
  <c r="AO15" i="2"/>
  <c r="AN16" i="2"/>
  <c r="AN24" i="2"/>
  <c r="AN19" i="2"/>
  <c r="J37" i="17"/>
  <c r="A38" i="17"/>
  <c r="AO20" i="2" l="1"/>
  <c r="AO21" i="2"/>
  <c r="AO22" i="2"/>
  <c r="AO17" i="2"/>
  <c r="AO16" i="2"/>
  <c r="AO24" i="2"/>
  <c r="AO19" i="2"/>
  <c r="AP15" i="2"/>
  <c r="J38" i="17"/>
  <c r="A39" i="17"/>
  <c r="AP20" i="2" l="1"/>
  <c r="AP17" i="2"/>
  <c r="AP21" i="2"/>
  <c r="AP22" i="2"/>
  <c r="AP16" i="2"/>
  <c r="AP19" i="2"/>
  <c r="AQ15" i="2"/>
  <c r="AP24" i="2"/>
  <c r="J39" i="17"/>
  <c r="B46" i="17"/>
  <c r="A40" i="17"/>
  <c r="AQ19" i="2" l="1"/>
  <c r="AQ20" i="2"/>
  <c r="AQ17" i="2"/>
  <c r="AQ21" i="2"/>
  <c r="AQ16" i="2"/>
  <c r="AQ22" i="2"/>
  <c r="AR15" i="2"/>
  <c r="AQ24" i="2"/>
  <c r="A41" i="17"/>
  <c r="J40" i="17"/>
  <c r="AR24" i="2" l="1"/>
  <c r="AS15" i="2"/>
  <c r="AR16" i="2"/>
  <c r="AR21" i="2"/>
  <c r="AR22" i="2"/>
  <c r="AR19" i="2"/>
  <c r="AR20" i="2"/>
  <c r="AR17" i="2"/>
  <c r="J41" i="17"/>
  <c r="A42" i="17"/>
  <c r="AS21" i="2" l="1"/>
  <c r="AS24" i="2"/>
  <c r="AS19" i="2"/>
  <c r="AS17" i="2"/>
  <c r="AT15" i="2"/>
  <c r="AS16" i="2"/>
  <c r="AS20" i="2"/>
  <c r="AS22" i="2"/>
  <c r="B57" i="17"/>
  <c r="B53" i="17"/>
  <c r="B49" i="17"/>
  <c r="J42" i="17"/>
  <c r="B54" i="17"/>
  <c r="B50" i="17"/>
  <c r="B56" i="17"/>
  <c r="B55" i="17"/>
  <c r="A43" i="17"/>
  <c r="B51" i="17"/>
  <c r="B48" i="17"/>
  <c r="B52" i="17"/>
  <c r="AT20" i="2" l="1"/>
  <c r="AT17" i="2"/>
  <c r="AT21" i="2"/>
  <c r="AT24" i="2"/>
  <c r="AU15" i="2"/>
  <c r="AT16" i="2"/>
  <c r="AT19" i="2"/>
  <c r="AT22" i="2"/>
  <c r="J43" i="17"/>
  <c r="A44" i="17"/>
  <c r="AU20" i="2" l="1"/>
  <c r="AU22" i="2"/>
  <c r="AU17" i="2"/>
  <c r="AU21" i="2"/>
  <c r="AU24" i="2"/>
  <c r="AU19" i="2"/>
  <c r="AU16" i="2"/>
  <c r="A45" i="17"/>
  <c r="J44" i="17"/>
  <c r="B58" i="17"/>
  <c r="B59" i="17"/>
  <c r="B60" i="17"/>
  <c r="J45" i="17" l="1"/>
  <c r="A46" i="17"/>
  <c r="J46" i="17" l="1"/>
  <c r="A47" i="17"/>
  <c r="J47" i="17" l="1"/>
  <c r="A48" i="17"/>
  <c r="A49" i="17" l="1"/>
  <c r="J48" i="17"/>
  <c r="J49" i="17" l="1"/>
  <c r="A50" i="17"/>
  <c r="J50" i="17" l="1"/>
  <c r="A51" i="17"/>
  <c r="J51" i="17" l="1"/>
  <c r="A52" i="17"/>
  <c r="A53" i="17" l="1"/>
  <c r="J52" i="17"/>
  <c r="J53" i="17" l="1"/>
  <c r="A54" i="17"/>
  <c r="J54" i="17" l="1"/>
  <c r="A55" i="17"/>
  <c r="J55" i="17" l="1"/>
  <c r="A56" i="17"/>
  <c r="B65" i="17" l="1"/>
  <c r="A57" i="17"/>
  <c r="J56" i="17"/>
  <c r="B66" i="17"/>
  <c r="B62" i="17"/>
  <c r="B64" i="17"/>
  <c r="B63" i="17"/>
  <c r="J57" i="17" l="1"/>
  <c r="A58" i="17"/>
  <c r="J58" i="17" l="1"/>
  <c r="A59" i="17"/>
  <c r="J59" i="17" l="1"/>
  <c r="A60" i="17"/>
  <c r="A61" i="17" l="1"/>
  <c r="J60" i="17"/>
  <c r="A62" i="17" l="1"/>
  <c r="J61" i="17"/>
  <c r="A63" i="17" l="1"/>
  <c r="J62" i="17"/>
  <c r="B73" i="17" l="1"/>
  <c r="B69" i="17"/>
  <c r="A64" i="17"/>
  <c r="B70" i="17"/>
  <c r="B72" i="17"/>
  <c r="B71" i="17"/>
  <c r="J63" i="17"/>
  <c r="A65" i="17" l="1"/>
  <c r="J64" i="17"/>
  <c r="A66" i="17" l="1"/>
  <c r="J65" i="17"/>
  <c r="A67" i="17" l="1"/>
  <c r="J66" i="17"/>
  <c r="B295" i="17" l="1"/>
  <c r="B301" i="17"/>
  <c r="A68" i="17"/>
  <c r="B74" i="17"/>
  <c r="B68" i="17"/>
  <c r="J67" i="17"/>
  <c r="A69" i="17" l="1"/>
  <c r="J68" i="17"/>
  <c r="B283" i="17" l="1"/>
  <c r="A70" i="17"/>
  <c r="J69" i="17"/>
  <c r="B105" i="17"/>
  <c r="B81" i="17"/>
  <c r="B189" i="17"/>
  <c r="B158" i="17"/>
  <c r="B130" i="17"/>
  <c r="B225" i="17"/>
  <c r="B77" i="17" l="1"/>
  <c r="A71" i="17"/>
  <c r="J70" i="17"/>
  <c r="B78" i="17"/>
  <c r="B80" i="17"/>
  <c r="B79" i="17"/>
  <c r="B76" i="17"/>
  <c r="A72" i="17" l="1"/>
  <c r="J71" i="17"/>
  <c r="A73" i="17" l="1"/>
  <c r="J72" i="17"/>
  <c r="A74" i="17" l="1"/>
  <c r="J73" i="17"/>
  <c r="A75" i="17" l="1"/>
  <c r="J74" i="17"/>
  <c r="B75" i="17"/>
  <c r="A76" i="17" l="1"/>
  <c r="J75" i="17"/>
  <c r="A77" i="17" l="1"/>
  <c r="B98" i="17"/>
  <c r="B94" i="17"/>
  <c r="B82" i="17"/>
  <c r="B104" i="17"/>
  <c r="B88" i="17"/>
  <c r="J76" i="17"/>
  <c r="A78" i="17" l="1"/>
  <c r="J77" i="17"/>
  <c r="B85" i="17"/>
  <c r="B86" i="17"/>
  <c r="B84" i="17"/>
  <c r="B83" i="17"/>
  <c r="B87" i="17"/>
  <c r="A79" i="17" l="1"/>
  <c r="J78" i="17"/>
  <c r="A80" i="17" l="1"/>
  <c r="J79" i="17"/>
  <c r="A81" i="17" l="1"/>
  <c r="J80" i="17"/>
  <c r="A82" i="17" l="1"/>
  <c r="J81" i="17"/>
  <c r="A83" i="17" l="1"/>
  <c r="J82" i="17"/>
  <c r="B93" i="17" l="1"/>
  <c r="B89" i="17"/>
  <c r="A84" i="17"/>
  <c r="B90" i="17"/>
  <c r="J83" i="17"/>
  <c r="B91" i="17"/>
  <c r="B92" i="17"/>
  <c r="A85" i="17" l="1"/>
  <c r="J84" i="17"/>
  <c r="A86" i="17" l="1"/>
  <c r="J85" i="17"/>
  <c r="A87" i="17" l="1"/>
  <c r="J86" i="17"/>
  <c r="A88" i="17" l="1"/>
  <c r="J87" i="17"/>
  <c r="A89" i="17" l="1"/>
  <c r="J88" i="17"/>
  <c r="A90" i="17" l="1"/>
  <c r="J89" i="17"/>
  <c r="B97" i="17"/>
  <c r="B96" i="17"/>
  <c r="B95" i="17"/>
  <c r="A91" i="17" l="1"/>
  <c r="J90" i="17"/>
  <c r="A92" i="17" l="1"/>
  <c r="J91" i="17"/>
  <c r="A93" i="17" l="1"/>
  <c r="J92" i="17"/>
  <c r="A94" i="17" l="1"/>
  <c r="J93" i="17"/>
  <c r="B101" i="17"/>
  <c r="B102" i="17"/>
  <c r="B103" i="17"/>
  <c r="B100" i="17"/>
  <c r="B99" i="17"/>
  <c r="A95" i="17" l="1"/>
  <c r="J94" i="17"/>
  <c r="A96" i="17" l="1"/>
  <c r="J95" i="17"/>
  <c r="A97" i="17" l="1"/>
  <c r="J96" i="17"/>
  <c r="A98" i="17" l="1"/>
  <c r="J97" i="17"/>
  <c r="A99" i="17" l="1"/>
  <c r="J98" i="17"/>
  <c r="A100" i="17" l="1"/>
  <c r="J99" i="17"/>
  <c r="B129" i="17" l="1"/>
  <c r="A101" i="17"/>
  <c r="B118" i="17"/>
  <c r="B106" i="17"/>
  <c r="J100" i="17"/>
  <c r="B112" i="17"/>
  <c r="A102" i="17" l="1"/>
  <c r="J101" i="17"/>
  <c r="B109" i="17"/>
  <c r="B110" i="17"/>
  <c r="B108" i="17"/>
  <c r="B107" i="17"/>
  <c r="B111" i="17"/>
  <c r="A103" i="17" l="1"/>
  <c r="J102" i="17"/>
  <c r="A104" i="17" l="1"/>
  <c r="J103" i="17"/>
  <c r="A105" i="17" l="1"/>
  <c r="J104" i="17"/>
  <c r="A106" i="17" l="1"/>
  <c r="J105" i="17"/>
  <c r="A107" i="17" l="1"/>
  <c r="J106" i="17"/>
  <c r="B117" i="17" l="1"/>
  <c r="B113" i="17"/>
  <c r="A108" i="17"/>
  <c r="B114" i="17"/>
  <c r="J107" i="17"/>
  <c r="B116" i="17"/>
  <c r="B115" i="17"/>
  <c r="A109" i="17" l="1"/>
  <c r="J108" i="17"/>
  <c r="A110" i="17" l="1"/>
  <c r="J109" i="17"/>
  <c r="A111" i="17" l="1"/>
  <c r="J110" i="17"/>
  <c r="A112" i="17" l="1"/>
  <c r="J111" i="17"/>
  <c r="A113" i="17" l="1"/>
  <c r="J112" i="17"/>
  <c r="A114" i="17" l="1"/>
  <c r="J113" i="17"/>
  <c r="B125" i="17"/>
  <c r="B121" i="17"/>
  <c r="B126" i="17"/>
  <c r="B122" i="17"/>
  <c r="B120" i="17"/>
  <c r="B124" i="17"/>
  <c r="B119" i="17"/>
  <c r="B128" i="17"/>
  <c r="B127" i="17"/>
  <c r="B123" i="17"/>
  <c r="A115" i="17" l="1"/>
  <c r="J114" i="17"/>
  <c r="A116" i="17" l="1"/>
  <c r="J115" i="17"/>
  <c r="A117" i="17" l="1"/>
  <c r="J116" i="17"/>
  <c r="A118" i="17" l="1"/>
  <c r="J117" i="17"/>
  <c r="A119" i="17" l="1"/>
  <c r="J118" i="17"/>
  <c r="A120" i="17" l="1"/>
  <c r="J119" i="17"/>
  <c r="A121" i="17" l="1"/>
  <c r="J120" i="17"/>
  <c r="A122" i="17" l="1"/>
  <c r="J121" i="17"/>
  <c r="A123" i="17" l="1"/>
  <c r="J122" i="17"/>
  <c r="A124" i="17" l="1"/>
  <c r="J123" i="17"/>
  <c r="A125" i="17" l="1"/>
  <c r="J124" i="17"/>
  <c r="A126" i="17" l="1"/>
  <c r="J125" i="17"/>
  <c r="B157" i="17"/>
  <c r="B137" i="17"/>
  <c r="B156" i="17"/>
  <c r="B144" i="17"/>
  <c r="B152" i="17"/>
  <c r="B131" i="17"/>
  <c r="B133" i="17" l="1"/>
  <c r="A127" i="17"/>
  <c r="J126" i="17"/>
  <c r="B134" i="17"/>
  <c r="B132" i="17"/>
  <c r="B136" i="17"/>
  <c r="B135" i="17"/>
  <c r="A128" i="17" l="1"/>
  <c r="J127" i="17"/>
  <c r="A129" i="17" l="1"/>
  <c r="J128" i="17"/>
  <c r="A130" i="17" l="1"/>
  <c r="J129" i="17"/>
  <c r="A131" i="17" l="1"/>
  <c r="J130" i="17"/>
  <c r="A132" i="17" l="1"/>
  <c r="J131" i="17"/>
  <c r="B141" i="17" l="1"/>
  <c r="A133" i="17"/>
  <c r="B142" i="17"/>
  <c r="B138" i="17"/>
  <c r="B143" i="17"/>
  <c r="B140" i="17"/>
  <c r="B139" i="17"/>
  <c r="J132" i="17"/>
  <c r="A134" i="17" l="1"/>
  <c r="J133" i="17"/>
  <c r="A135" i="17" l="1"/>
  <c r="J134" i="17"/>
  <c r="A136" i="17" l="1"/>
  <c r="J135" i="17"/>
  <c r="A137" i="17" l="1"/>
  <c r="J136" i="17"/>
  <c r="A138" i="17" l="1"/>
  <c r="J137" i="17"/>
  <c r="A139" i="17" l="1"/>
  <c r="J138" i="17"/>
  <c r="B149" i="17" l="1"/>
  <c r="B145" i="17"/>
  <c r="A140" i="17"/>
  <c r="B150" i="17"/>
  <c r="B146" i="17"/>
  <c r="B151" i="17"/>
  <c r="B147" i="17"/>
  <c r="B148" i="17"/>
  <c r="J139" i="17"/>
  <c r="A141" i="17" l="1"/>
  <c r="J140" i="17"/>
  <c r="A142" i="17" l="1"/>
  <c r="J141" i="17"/>
  <c r="A143" i="17" l="1"/>
  <c r="J142" i="17"/>
  <c r="A144" i="17" l="1"/>
  <c r="J143" i="17"/>
  <c r="A145" i="17" l="1"/>
  <c r="J144" i="17"/>
  <c r="A146" i="17" l="1"/>
  <c r="J145" i="17"/>
  <c r="A147" i="17" l="1"/>
  <c r="J146" i="17"/>
  <c r="B153" i="17" l="1"/>
  <c r="A148" i="17"/>
  <c r="B154" i="17"/>
  <c r="B155" i="17"/>
  <c r="J147" i="17"/>
  <c r="A149" i="17" l="1"/>
  <c r="J148" i="17"/>
  <c r="A150" i="17" l="1"/>
  <c r="J149" i="17"/>
  <c r="A151" i="17" l="1"/>
  <c r="J150" i="17"/>
  <c r="A152" i="17" l="1"/>
  <c r="J151" i="17"/>
  <c r="A153" i="17" l="1"/>
  <c r="J152" i="17"/>
  <c r="B188" i="17" l="1"/>
  <c r="A154" i="17"/>
  <c r="J153" i="17"/>
  <c r="B165" i="17"/>
  <c r="B179" i="17"/>
  <c r="B159" i="17"/>
  <c r="B161" i="17" l="1"/>
  <c r="A155" i="17"/>
  <c r="J154" i="17"/>
  <c r="B162" i="17"/>
  <c r="B164" i="17"/>
  <c r="B163" i="17"/>
  <c r="B160" i="17"/>
  <c r="A156" i="17" l="1"/>
  <c r="J155" i="17"/>
  <c r="A157" i="17" l="1"/>
  <c r="J156" i="17"/>
  <c r="A158" i="17" l="1"/>
  <c r="J157" i="17"/>
  <c r="A159" i="17" l="1"/>
  <c r="J158" i="17"/>
  <c r="A160" i="17" l="1"/>
  <c r="J159" i="17"/>
  <c r="B170" i="17" l="1"/>
  <c r="B174" i="17"/>
  <c r="B178" i="17"/>
  <c r="B169" i="17"/>
  <c r="B173" i="17"/>
  <c r="A161" i="17"/>
  <c r="B172" i="17"/>
  <c r="B171" i="17"/>
  <c r="B175" i="17"/>
  <c r="B166" i="17"/>
  <c r="B168" i="17"/>
  <c r="B167" i="17"/>
  <c r="B176" i="17"/>
  <c r="B177" i="17"/>
  <c r="J160" i="17"/>
  <c r="A162" i="17" l="1"/>
  <c r="J161" i="17"/>
  <c r="A163" i="17" l="1"/>
  <c r="J162" i="17"/>
  <c r="A164" i="17" l="1"/>
  <c r="J163" i="17"/>
  <c r="A165" i="17" l="1"/>
  <c r="J164" i="17"/>
  <c r="A166" i="17" l="1"/>
  <c r="J165" i="17"/>
  <c r="A167" i="17" l="1"/>
  <c r="J166" i="17"/>
  <c r="A168" i="17" l="1"/>
  <c r="J167" i="17"/>
  <c r="A169" i="17" l="1"/>
  <c r="J168" i="17"/>
  <c r="J169" i="17" l="1"/>
  <c r="A170" i="17"/>
  <c r="A171" i="17" l="1"/>
  <c r="J170" i="17"/>
  <c r="A172" i="17" l="1"/>
  <c r="J171" i="17"/>
  <c r="A173" i="17" l="1"/>
  <c r="J172" i="17"/>
  <c r="J173" i="17" l="1"/>
  <c r="A174" i="17"/>
  <c r="B186" i="17" l="1"/>
  <c r="B182" i="17"/>
  <c r="J174" i="17"/>
  <c r="B183" i="17"/>
  <c r="B187" i="17"/>
  <c r="B184" i="17"/>
  <c r="A175" i="17"/>
  <c r="B181" i="17"/>
  <c r="B180" i="17"/>
  <c r="B185" i="17"/>
  <c r="J175" i="17" l="1"/>
  <c r="A176" i="17"/>
  <c r="J176" i="17" l="1"/>
  <c r="A177" i="17"/>
  <c r="J177" i="17" l="1"/>
  <c r="A178" i="17"/>
  <c r="A179" i="17" l="1"/>
  <c r="J178" i="17"/>
  <c r="A180" i="17" l="1"/>
  <c r="J179" i="17"/>
  <c r="A181" i="17" l="1"/>
  <c r="J180" i="17"/>
  <c r="J181" i="17" l="1"/>
  <c r="A182" i="17"/>
  <c r="A183" i="17" l="1"/>
  <c r="J182" i="17"/>
  <c r="J183" i="17" l="1"/>
  <c r="A184" i="17"/>
  <c r="B222" i="17" l="1"/>
  <c r="B210" i="17"/>
  <c r="B190" i="17"/>
  <c r="J184" i="17"/>
  <c r="B223" i="17"/>
  <c r="B217" i="17"/>
  <c r="B203" i="17"/>
  <c r="B224" i="17"/>
  <c r="A185" i="17"/>
  <c r="B196" i="17"/>
  <c r="B194" i="17" l="1"/>
  <c r="J185" i="17"/>
  <c r="B192" i="17"/>
  <c r="A186" i="17"/>
  <c r="B193" i="17"/>
  <c r="B195" i="17"/>
  <c r="B191" i="17"/>
  <c r="J186" i="17" l="1"/>
  <c r="A187" i="17"/>
  <c r="A188" i="17" l="1"/>
  <c r="J187" i="17"/>
  <c r="A189" i="17" l="1"/>
  <c r="J188" i="17"/>
  <c r="J189" i="17" l="1"/>
  <c r="A190" i="17"/>
  <c r="A191" i="17" l="1"/>
  <c r="J190" i="17"/>
  <c r="B202" i="17" l="1"/>
  <c r="B198" i="17"/>
  <c r="B197" i="17"/>
  <c r="B201" i="17"/>
  <c r="A192" i="17"/>
  <c r="B200" i="17"/>
  <c r="B199" i="17"/>
  <c r="J191" i="17"/>
  <c r="A193" i="17" l="1"/>
  <c r="J192" i="17"/>
  <c r="J193" i="17" l="1"/>
  <c r="A194" i="17"/>
  <c r="J194" i="17" l="1"/>
  <c r="A195" i="17"/>
  <c r="J195" i="17" l="1"/>
  <c r="A196" i="17"/>
  <c r="A197" i="17" l="1"/>
  <c r="J196" i="17"/>
  <c r="J197" i="17" l="1"/>
  <c r="A198" i="17"/>
  <c r="B206" i="17" l="1"/>
  <c r="B207" i="17"/>
  <c r="B208" i="17"/>
  <c r="A199" i="17"/>
  <c r="J198" i="17"/>
  <c r="B209" i="17"/>
  <c r="B205" i="17"/>
  <c r="B204" i="17"/>
  <c r="A200" i="17" l="1"/>
  <c r="J199" i="17"/>
  <c r="J200" i="17" l="1"/>
  <c r="A201" i="17"/>
  <c r="J201" i="17" l="1"/>
  <c r="A202" i="17"/>
  <c r="A203" i="17" l="1"/>
  <c r="J202" i="17"/>
  <c r="A204" i="17" l="1"/>
  <c r="J203" i="17"/>
  <c r="A205" i="17" l="1"/>
  <c r="J204" i="17"/>
  <c r="B214" i="17" l="1"/>
  <c r="J205" i="17"/>
  <c r="B212" i="17"/>
  <c r="B216" i="17"/>
  <c r="B211" i="17"/>
  <c r="B213" i="17"/>
  <c r="B215" i="17"/>
  <c r="A206" i="17"/>
  <c r="A207" i="17" l="1"/>
  <c r="J206" i="17"/>
  <c r="J207" i="17" l="1"/>
  <c r="A208" i="17"/>
  <c r="J208" i="17" l="1"/>
  <c r="A209" i="17"/>
  <c r="J209" i="17" l="1"/>
  <c r="A210" i="17"/>
  <c r="J210" i="17" l="1"/>
  <c r="A211" i="17"/>
  <c r="A212" i="17" l="1"/>
  <c r="J211" i="17"/>
  <c r="B218" i="17" l="1"/>
  <c r="B221" i="17"/>
  <c r="A213" i="17"/>
  <c r="J212" i="17"/>
  <c r="B220" i="17"/>
  <c r="B219" i="17"/>
  <c r="J213" i="17" l="1"/>
  <c r="A214" i="17"/>
  <c r="A215" i="17" l="1"/>
  <c r="J214" i="17"/>
  <c r="A216" i="17" l="1"/>
  <c r="J215" i="17"/>
  <c r="A217" i="17" l="1"/>
  <c r="J216" i="17"/>
  <c r="A218" i="17" l="1"/>
  <c r="J217" i="17"/>
  <c r="A219" i="17" l="1"/>
  <c r="J218" i="17"/>
  <c r="A220" i="17" l="1"/>
  <c r="J219" i="17"/>
  <c r="B282" i="17" l="1"/>
  <c r="B250" i="17"/>
  <c r="B226" i="17"/>
  <c r="B265" i="17"/>
  <c r="B240" i="17"/>
  <c r="A221" i="17"/>
  <c r="J220" i="17"/>
  <c r="B232" i="17"/>
  <c r="B230" i="17" l="1"/>
  <c r="A222" i="17"/>
  <c r="J221" i="17"/>
  <c r="B228" i="17"/>
  <c r="B227" i="17"/>
  <c r="B229" i="17"/>
  <c r="B231" i="17"/>
  <c r="A223" i="17" l="1"/>
  <c r="J222" i="17"/>
  <c r="A224" i="17" l="1"/>
  <c r="J223" i="17"/>
  <c r="A225" i="17" l="1"/>
  <c r="J224" i="17"/>
  <c r="A226" i="17" l="1"/>
  <c r="J225" i="17"/>
  <c r="A227" i="17" l="1"/>
  <c r="J226" i="17"/>
  <c r="B238" i="17" l="1"/>
  <c r="B234" i="17"/>
  <c r="B235" i="17"/>
  <c r="A228" i="17"/>
  <c r="B233" i="17"/>
  <c r="J227" i="17"/>
  <c r="B239" i="17"/>
  <c r="B236" i="17"/>
  <c r="B237" i="17"/>
  <c r="A229" i="17" l="1"/>
  <c r="J228" i="17"/>
  <c r="A230" i="17" l="1"/>
  <c r="J229" i="17"/>
  <c r="J230" i="17" l="1"/>
  <c r="A231" i="17"/>
  <c r="A232" i="17" l="1"/>
  <c r="J231" i="17"/>
  <c r="A233" i="17" l="1"/>
  <c r="J232" i="17"/>
  <c r="A234" i="17" l="1"/>
  <c r="J233" i="17"/>
  <c r="J234" i="17" l="1"/>
  <c r="A235" i="17"/>
  <c r="B246" i="17" l="1"/>
  <c r="B242" i="17"/>
  <c r="B247" i="17"/>
  <c r="B243" i="17"/>
  <c r="J235" i="17"/>
  <c r="B241" i="17"/>
  <c r="B249" i="17"/>
  <c r="B248" i="17"/>
  <c r="B244" i="17"/>
  <c r="A236" i="17"/>
  <c r="B245" i="17"/>
  <c r="J236" i="17" l="1"/>
  <c r="A237" i="17"/>
  <c r="A238" i="17" l="1"/>
  <c r="J237" i="17"/>
  <c r="J238" i="17" l="1"/>
  <c r="A239" i="17"/>
  <c r="A240" i="17" l="1"/>
  <c r="J239" i="17"/>
  <c r="J240" i="17" l="1"/>
  <c r="A241" i="17"/>
  <c r="A242" i="17" l="1"/>
  <c r="J241" i="17"/>
  <c r="J242" i="17" l="1"/>
  <c r="A243" i="17"/>
  <c r="J243" i="17" l="1"/>
  <c r="A244" i="17"/>
  <c r="J244" i="17" l="1"/>
  <c r="A245" i="17"/>
  <c r="B262" i="17" l="1"/>
  <c r="B258" i="17"/>
  <c r="B254" i="17"/>
  <c r="A246" i="17"/>
  <c r="J245" i="17"/>
  <c r="B263" i="17"/>
  <c r="B259" i="17"/>
  <c r="B255" i="17"/>
  <c r="B251" i="17"/>
  <c r="B253" i="17"/>
  <c r="B264" i="17"/>
  <c r="B252" i="17"/>
  <c r="B261" i="17"/>
  <c r="B260" i="17"/>
  <c r="B256" i="17"/>
  <c r="B257" i="17"/>
  <c r="J246" i="17" l="1"/>
  <c r="A247" i="17"/>
  <c r="J247" i="17" l="1"/>
  <c r="A248" i="17"/>
  <c r="J248" i="17" l="1"/>
  <c r="A249" i="17"/>
  <c r="A250" i="17" l="1"/>
  <c r="J249" i="17"/>
  <c r="J250" i="17" l="1"/>
  <c r="A251" i="17"/>
  <c r="J251" i="17" l="1"/>
  <c r="A252" i="17"/>
  <c r="J252" i="17" l="1"/>
  <c r="A253" i="17"/>
  <c r="A254" i="17" l="1"/>
  <c r="J253" i="17"/>
  <c r="J254" i="17" l="1"/>
  <c r="A255" i="17"/>
  <c r="J255" i="17" l="1"/>
  <c r="A256" i="17"/>
  <c r="J256" i="17" l="1"/>
  <c r="A257" i="17"/>
  <c r="A258" i="17" l="1"/>
  <c r="J257" i="17"/>
  <c r="J258" i="17" l="1"/>
  <c r="A259" i="17"/>
  <c r="J259" i="17" l="1"/>
  <c r="A260" i="17"/>
  <c r="B278" i="17" l="1"/>
  <c r="B274" i="17"/>
  <c r="B270" i="17"/>
  <c r="B266" i="17"/>
  <c r="J260" i="17"/>
  <c r="B279" i="17"/>
  <c r="B275" i="17"/>
  <c r="B271" i="17"/>
  <c r="B267" i="17"/>
  <c r="B277" i="17"/>
  <c r="B276" i="17"/>
  <c r="B273" i="17"/>
  <c r="B272" i="17"/>
  <c r="B280" i="17"/>
  <c r="B268" i="17"/>
  <c r="A261" i="17"/>
  <c r="B281" i="17"/>
  <c r="B269" i="17"/>
  <c r="A262" i="17" l="1"/>
  <c r="J261" i="17"/>
  <c r="J262" i="17" l="1"/>
  <c r="A263" i="17"/>
  <c r="J263" i="17" l="1"/>
  <c r="A264" i="17"/>
  <c r="J264" i="17" l="1"/>
  <c r="A265" i="17"/>
  <c r="A266" i="17" l="1"/>
  <c r="J265" i="17"/>
  <c r="J266" i="17" l="1"/>
  <c r="A267" i="17"/>
  <c r="J267" i="17" l="1"/>
  <c r="A268" i="17"/>
  <c r="J268" i="17" l="1"/>
  <c r="A269" i="17"/>
  <c r="A270" i="17" l="1"/>
  <c r="J269" i="17"/>
  <c r="J270" i="17" l="1"/>
  <c r="A271" i="17"/>
  <c r="J271" i="17" l="1"/>
  <c r="A272" i="17"/>
  <c r="J272" i="17" l="1"/>
  <c r="A273" i="17"/>
  <c r="A274" i="17" l="1"/>
  <c r="J273" i="17"/>
  <c r="J274" i="17" l="1"/>
  <c r="A275" i="17"/>
  <c r="J275" i="17" l="1"/>
  <c r="A276" i="17"/>
  <c r="J276" i="17" l="1"/>
  <c r="A277" i="17"/>
  <c r="A278" i="17" l="1"/>
  <c r="J277" i="17"/>
  <c r="J278" i="17" l="1"/>
  <c r="B294" i="17"/>
  <c r="B290" i="17"/>
  <c r="B291" i="17"/>
  <c r="A279" i="17"/>
  <c r="B292" i="17"/>
  <c r="B293" i="17"/>
  <c r="B286" i="17" l="1"/>
  <c r="J279" i="17"/>
  <c r="B287" i="17"/>
  <c r="B289" i="17"/>
  <c r="B288" i="17"/>
  <c r="B285" i="17"/>
  <c r="A280" i="17"/>
  <c r="J280" i="17" l="1"/>
  <c r="A281" i="17"/>
  <c r="A282" i="17" l="1"/>
  <c r="J281" i="17"/>
  <c r="J282" i="17" l="1"/>
  <c r="A283" i="17"/>
  <c r="J283" i="17" l="1"/>
  <c r="B284" i="17"/>
  <c r="A284" i="17"/>
  <c r="J284" i="17" l="1"/>
  <c r="A285" i="17"/>
  <c r="A286" i="17" l="1"/>
  <c r="J285" i="17"/>
  <c r="J286" i="17" l="1"/>
  <c r="A287" i="17"/>
  <c r="J287" i="17" l="1"/>
  <c r="A288" i="17"/>
  <c r="J288" i="17" l="1"/>
  <c r="A289" i="17"/>
  <c r="A290" i="17" l="1"/>
  <c r="J289" i="17"/>
  <c r="J290" i="17" l="1"/>
  <c r="B298" i="17"/>
  <c r="B299" i="17"/>
  <c r="A291" i="17"/>
  <c r="B300" i="17"/>
  <c r="B297" i="17"/>
  <c r="B296" i="17"/>
  <c r="J291" i="17" l="1"/>
  <c r="A292" i="17"/>
  <c r="J292" i="17" l="1"/>
  <c r="A293" i="17"/>
  <c r="A294" i="17" l="1"/>
  <c r="J293" i="17"/>
  <c r="J294" i="17" l="1"/>
  <c r="A295" i="17"/>
  <c r="J295" i="17" l="1"/>
  <c r="A296" i="17"/>
  <c r="B318" i="17" l="1"/>
  <c r="J296" i="17"/>
  <c r="B419" i="17"/>
  <c r="B411" i="17"/>
  <c r="B391" i="17"/>
  <c r="B433" i="17"/>
  <c r="B360" i="17"/>
  <c r="B344" i="17"/>
  <c r="B332" i="17"/>
  <c r="B308" i="17"/>
  <c r="A297" i="17"/>
  <c r="B377" i="17"/>
  <c r="B306" i="17" l="1"/>
  <c r="A298" i="17"/>
  <c r="J297" i="17"/>
  <c r="B307" i="17"/>
  <c r="B303" i="17"/>
  <c r="B304" i="17"/>
  <c r="B305" i="17"/>
  <c r="J298" i="17" l="1"/>
  <c r="A299" i="17"/>
  <c r="J299" i="17" l="1"/>
  <c r="A300" i="17"/>
  <c r="J300" i="17" l="1"/>
  <c r="A301" i="17"/>
  <c r="B302" i="17" l="1"/>
  <c r="A302" i="17"/>
  <c r="J301" i="17"/>
  <c r="J302" i="17" l="1"/>
  <c r="A303" i="17"/>
  <c r="J303" i="17" l="1"/>
  <c r="B315" i="17"/>
  <c r="B309" i="17"/>
  <c r="B316" i="17"/>
  <c r="A304" i="17"/>
  <c r="B317" i="17"/>
  <c r="B314" i="17" l="1"/>
  <c r="B310" i="17"/>
  <c r="J304" i="17"/>
  <c r="B311" i="17"/>
  <c r="B313" i="17"/>
  <c r="B312" i="17"/>
  <c r="A305" i="17"/>
  <c r="A306" i="17" l="1"/>
  <c r="J305" i="17"/>
  <c r="J306" i="17" l="1"/>
  <c r="A307" i="17"/>
  <c r="J307" i="17" l="1"/>
  <c r="A308" i="17"/>
  <c r="J308" i="17" l="1"/>
  <c r="A309" i="17"/>
  <c r="A310" i="17" l="1"/>
  <c r="J309" i="17"/>
  <c r="J310" i="17" l="1"/>
  <c r="A311" i="17"/>
  <c r="J311" i="17" l="1"/>
  <c r="A312" i="17"/>
  <c r="J312" i="17" l="1"/>
  <c r="A313" i="17"/>
  <c r="A314" i="17" l="1"/>
  <c r="J313" i="17"/>
  <c r="J314" i="17" l="1"/>
  <c r="B322" i="17"/>
  <c r="B323" i="17"/>
  <c r="A315" i="17"/>
  <c r="B324" i="17"/>
  <c r="B321" i="17"/>
  <c r="B320" i="17"/>
  <c r="J315" i="17" l="1"/>
  <c r="A316" i="17"/>
  <c r="J316" i="17" l="1"/>
  <c r="A317" i="17"/>
  <c r="A318" i="17" l="1"/>
  <c r="J317" i="17"/>
  <c r="J318" i="17" l="1"/>
  <c r="B319" i="17"/>
  <c r="A319" i="17"/>
  <c r="J319" i="17" l="1"/>
  <c r="A320" i="17"/>
  <c r="J320" i="17" l="1"/>
  <c r="A321" i="17"/>
  <c r="A322" i="17" l="1"/>
  <c r="J321" i="17"/>
  <c r="J322" i="17" l="1"/>
  <c r="A323" i="17"/>
  <c r="J323" i="17" l="1"/>
  <c r="A324" i="17"/>
  <c r="J324" i="17" l="1"/>
  <c r="B325" i="17"/>
  <c r="A325" i="17"/>
  <c r="B326" i="17" l="1"/>
  <c r="A326" i="17"/>
  <c r="J325" i="17"/>
  <c r="J326" i="17" l="1"/>
  <c r="B327" i="17"/>
  <c r="A327" i="17"/>
  <c r="B342" i="17" l="1"/>
  <c r="J327" i="17"/>
  <c r="B343" i="17"/>
  <c r="B339" i="17"/>
  <c r="B333" i="17"/>
  <c r="B340" i="17"/>
  <c r="B328" i="17"/>
  <c r="A328" i="17"/>
  <c r="B341" i="17"/>
  <c r="B338" i="17" l="1"/>
  <c r="B334" i="17"/>
  <c r="J328" i="17"/>
  <c r="B335" i="17"/>
  <c r="B337" i="17"/>
  <c r="B336" i="17"/>
  <c r="A329" i="17"/>
  <c r="B329" i="17"/>
  <c r="B330" i="17" l="1"/>
  <c r="A330" i="17"/>
  <c r="J329" i="17"/>
  <c r="J330" i="17" l="1"/>
  <c r="B331" i="17"/>
  <c r="A331" i="17"/>
  <c r="J331" i="17" l="1"/>
  <c r="A332" i="17"/>
  <c r="J332" i="17" l="1"/>
  <c r="A333" i="17"/>
  <c r="A334" i="17" l="1"/>
  <c r="J333" i="17"/>
  <c r="J334" i="17" l="1"/>
  <c r="A335" i="17"/>
  <c r="J335" i="17" l="1"/>
  <c r="A336" i="17"/>
  <c r="J336" i="17" l="1"/>
  <c r="A337" i="17"/>
  <c r="A338" i="17" l="1"/>
  <c r="J337" i="17"/>
  <c r="J338" i="17" l="1"/>
  <c r="A339" i="17"/>
  <c r="B358" i="17" l="1"/>
  <c r="B354" i="17"/>
  <c r="J339" i="17"/>
  <c r="B359" i="17"/>
  <c r="B355" i="17"/>
  <c r="B351" i="17"/>
  <c r="B357" i="17"/>
  <c r="B356" i="17"/>
  <c r="B352" i="17"/>
  <c r="A340" i="17"/>
  <c r="B353" i="17"/>
  <c r="B350" i="17" l="1"/>
  <c r="B346" i="17"/>
  <c r="J340" i="17"/>
  <c r="B347" i="17"/>
  <c r="B349" i="17"/>
  <c r="B348" i="17"/>
  <c r="A341" i="17"/>
  <c r="A342" i="17" l="1"/>
  <c r="J341" i="17"/>
  <c r="J342" i="17" l="1"/>
  <c r="A343" i="17"/>
  <c r="J343" i="17" l="1"/>
  <c r="A344" i="17"/>
  <c r="J344" i="17" l="1"/>
  <c r="B345" i="17"/>
  <c r="A345" i="17"/>
  <c r="A346" i="17" l="1"/>
  <c r="J345" i="17"/>
  <c r="J346" i="17" l="1"/>
  <c r="A347" i="17"/>
  <c r="J347" i="17" l="1"/>
  <c r="A348" i="17"/>
  <c r="J348" i="17" l="1"/>
  <c r="A349" i="17"/>
  <c r="A350" i="17" l="1"/>
  <c r="J349" i="17"/>
  <c r="J350" i="17" l="1"/>
  <c r="A351" i="17"/>
  <c r="J351" i="17" l="1"/>
  <c r="A352" i="17"/>
  <c r="J352" i="17" l="1"/>
  <c r="A353" i="17"/>
  <c r="A354" i="17" l="1"/>
  <c r="J353" i="17"/>
  <c r="J354" i="17" l="1"/>
  <c r="A355" i="17"/>
  <c r="B374" i="17" l="1"/>
  <c r="B370" i="17"/>
  <c r="J355" i="17"/>
  <c r="B375" i="17"/>
  <c r="B371" i="17"/>
  <c r="B367" i="17"/>
  <c r="B373" i="17"/>
  <c r="B361" i="17"/>
  <c r="B372" i="17"/>
  <c r="B368" i="17"/>
  <c r="B376" i="17"/>
  <c r="A356" i="17"/>
  <c r="B369" i="17"/>
  <c r="B366" i="17" l="1"/>
  <c r="B362" i="17"/>
  <c r="J356" i="17"/>
  <c r="B363" i="17"/>
  <c r="B364" i="17"/>
  <c r="A357" i="17"/>
  <c r="B365" i="17"/>
  <c r="A358" i="17" l="1"/>
  <c r="J357" i="17"/>
  <c r="J358" i="17" l="1"/>
  <c r="A359" i="17"/>
  <c r="J359" i="17" l="1"/>
  <c r="A360" i="17"/>
  <c r="J360" i="17" l="1"/>
  <c r="A361" i="17"/>
  <c r="A362" i="17" l="1"/>
  <c r="J361" i="17"/>
  <c r="J362" i="17" l="1"/>
  <c r="A363" i="17"/>
  <c r="J363" i="17" l="1"/>
  <c r="A364" i="17"/>
  <c r="J364" i="17" l="1"/>
  <c r="A365" i="17"/>
  <c r="A366" i="17" l="1"/>
  <c r="J365" i="17"/>
  <c r="J366" i="17" l="1"/>
  <c r="A367" i="17"/>
  <c r="J367" i="17" l="1"/>
  <c r="A368" i="17"/>
  <c r="J368" i="17" l="1"/>
  <c r="A369" i="17"/>
  <c r="A370" i="17" l="1"/>
  <c r="J369" i="17"/>
  <c r="J370" i="17" l="1"/>
  <c r="A371" i="17"/>
  <c r="J371" i="17" l="1"/>
  <c r="A372" i="17"/>
  <c r="B390" i="17" l="1"/>
  <c r="B386" i="17"/>
  <c r="B378" i="17"/>
  <c r="J372" i="17"/>
  <c r="B387" i="17"/>
  <c r="B385" i="17"/>
  <c r="A373" i="17"/>
  <c r="B384" i="17"/>
  <c r="B388" i="17"/>
  <c r="B389" i="17"/>
  <c r="B382" i="17" l="1"/>
  <c r="A374" i="17"/>
  <c r="J373" i="17"/>
  <c r="B383" i="17"/>
  <c r="B379" i="17"/>
  <c r="B381" i="17"/>
  <c r="B380" i="17"/>
  <c r="J374" i="17" l="1"/>
  <c r="A375" i="17"/>
  <c r="J375" i="17" l="1"/>
  <c r="A376" i="17"/>
  <c r="J376" i="17" l="1"/>
  <c r="A377" i="17"/>
  <c r="A378" i="17" l="1"/>
  <c r="J377" i="17"/>
  <c r="J378" i="17" l="1"/>
  <c r="A379" i="17"/>
  <c r="J379" i="17" l="1"/>
  <c r="A380" i="17"/>
  <c r="J380" i="17" l="1"/>
  <c r="A381" i="17"/>
  <c r="A382" i="17" l="1"/>
  <c r="J381" i="17"/>
  <c r="A389" i="17"/>
  <c r="A390" i="17" l="1"/>
  <c r="J389" i="17"/>
  <c r="J382" i="17"/>
  <c r="A383" i="17"/>
  <c r="J383" i="17" l="1"/>
  <c r="A384" i="17"/>
  <c r="J390" i="17"/>
  <c r="A391" i="17"/>
  <c r="J391" i="17" l="1"/>
  <c r="A392" i="17"/>
  <c r="J384" i="17"/>
  <c r="A385" i="17"/>
  <c r="A386" i="17" l="1"/>
  <c r="J385" i="17"/>
  <c r="A393" i="17"/>
  <c r="A394" i="17" l="1"/>
  <c r="J386" i="17"/>
  <c r="B410" i="17"/>
  <c r="B406" i="17"/>
  <c r="B402" i="17"/>
  <c r="B398" i="17"/>
  <c r="B407" i="17"/>
  <c r="B403" i="17"/>
  <c r="B399" i="17"/>
  <c r="A387" i="17"/>
  <c r="B409" i="17"/>
  <c r="B408" i="17"/>
  <c r="B404" i="17"/>
  <c r="B392" i="17"/>
  <c r="J392" i="17" s="1"/>
  <c r="B400" i="17"/>
  <c r="B401" i="17"/>
  <c r="B405" i="17"/>
  <c r="B394" i="17" l="1"/>
  <c r="J387" i="17"/>
  <c r="B395" i="17"/>
  <c r="B397" i="17"/>
  <c r="B393" i="17"/>
  <c r="J393" i="17" s="1"/>
  <c r="B396" i="17"/>
  <c r="A388" i="17"/>
  <c r="J388" i="17" s="1"/>
  <c r="J394" i="17"/>
  <c r="A395" i="17"/>
  <c r="J395" i="17" l="1"/>
  <c r="A396" i="17"/>
  <c r="J396" i="17" l="1"/>
  <c r="A397" i="17"/>
  <c r="A398" i="17" l="1"/>
  <c r="J397" i="17"/>
  <c r="J398" i="17" l="1"/>
  <c r="A399" i="17"/>
  <c r="J399" i="17" l="1"/>
  <c r="A400" i="17"/>
  <c r="J400" i="17" l="1"/>
  <c r="A401" i="17"/>
  <c r="A402" i="17" l="1"/>
  <c r="J401" i="17"/>
  <c r="J402" i="17" l="1"/>
  <c r="A403" i="17"/>
  <c r="J403" i="17" l="1"/>
  <c r="A404" i="17"/>
  <c r="J404" i="17" l="1"/>
  <c r="A405" i="17"/>
  <c r="A406" i="17" l="1"/>
  <c r="J405" i="17"/>
  <c r="J406" i="17" l="1"/>
  <c r="A407" i="17"/>
  <c r="B414" i="17" l="1"/>
  <c r="J407" i="17"/>
  <c r="B415" i="17"/>
  <c r="A408" i="17"/>
  <c r="B417" i="17"/>
  <c r="B416" i="17"/>
  <c r="B413" i="17"/>
  <c r="J408" i="17" l="1"/>
  <c r="A409" i="17"/>
  <c r="A410" i="17" l="1"/>
  <c r="J409" i="17"/>
  <c r="J410" i="17" l="1"/>
  <c r="A411" i="17"/>
  <c r="B418" i="17" l="1"/>
  <c r="J411" i="17"/>
  <c r="B412" i="17"/>
  <c r="A412" i="17"/>
  <c r="J412" i="17" l="1"/>
  <c r="A413" i="17"/>
  <c r="A414" i="17" l="1"/>
  <c r="J413" i="17"/>
  <c r="J414" i="17" l="1"/>
  <c r="B430" i="17"/>
  <c r="B426" i="17"/>
  <c r="B431" i="17"/>
  <c r="B427" i="17"/>
  <c r="A415" i="17"/>
  <c r="B432" i="17"/>
  <c r="B420" i="17"/>
  <c r="B429" i="17"/>
  <c r="B428" i="17"/>
  <c r="B422" i="17" l="1"/>
  <c r="J415" i="17"/>
  <c r="B423" i="17"/>
  <c r="B421" i="17"/>
  <c r="B424" i="17"/>
  <c r="B425" i="17"/>
  <c r="A416" i="17"/>
  <c r="J416" i="17" l="1"/>
  <c r="A417" i="17"/>
  <c r="A418" i="17" l="1"/>
  <c r="J417" i="17"/>
  <c r="J418" i="17" l="1"/>
  <c r="A419" i="17"/>
  <c r="J419" i="17" l="1"/>
  <c r="A420" i="17"/>
  <c r="J420" i="17" l="1"/>
  <c r="A421" i="17"/>
  <c r="A422" i="17" l="1"/>
  <c r="J421" i="17"/>
  <c r="J422" i="17" l="1"/>
  <c r="A423" i="17"/>
  <c r="J423" i="17" l="1"/>
  <c r="A424" i="17"/>
  <c r="J424" i="17" l="1"/>
  <c r="A425" i="17"/>
  <c r="A426" i="17" l="1"/>
  <c r="J425" i="17"/>
  <c r="J426" i="17" l="1"/>
  <c r="A427" i="17"/>
  <c r="J427" i="17" l="1"/>
  <c r="A428" i="17"/>
  <c r="J428" i="17" l="1"/>
  <c r="A429" i="17"/>
  <c r="A430" i="17" l="1"/>
  <c r="J429" i="17"/>
  <c r="J430" i="17" l="1"/>
  <c r="A431" i="17"/>
  <c r="J431" i="17" l="1"/>
  <c r="A432" i="17"/>
  <c r="J432" i="17" l="1"/>
  <c r="A433" i="17"/>
  <c r="B434" i="17" l="1"/>
  <c r="A434" i="17"/>
  <c r="J433" i="17"/>
  <c r="B435" i="17"/>
  <c r="B436" i="17"/>
  <c r="J434" i="17" l="1"/>
  <c r="A435" i="17"/>
  <c r="J435" i="17" l="1"/>
  <c r="A436" i="17"/>
  <c r="J436" i="17" l="1"/>
  <c r="A437" i="17"/>
  <c r="B446" i="17" l="1"/>
  <c r="A438" i="17"/>
  <c r="J437" i="17"/>
  <c r="B447" i="17"/>
  <c r="B443" i="17"/>
  <c r="B445" i="17"/>
  <c r="B444" i="17"/>
  <c r="J438" i="17" l="1"/>
  <c r="A439" i="17"/>
  <c r="J439" i="17" l="1"/>
  <c r="A440" i="17"/>
  <c r="J440" i="17" l="1"/>
  <c r="A441" i="17"/>
  <c r="A442" i="17" l="1"/>
  <c r="J441" i="17"/>
  <c r="J442" i="17" l="1"/>
  <c r="A443" i="17"/>
  <c r="J443" i="17" l="1"/>
  <c r="A444" i="17"/>
  <c r="B482" i="17" l="1"/>
  <c r="J444" i="17"/>
  <c r="B479" i="17"/>
  <c r="B481" i="17"/>
  <c r="A445" i="17"/>
  <c r="B480" i="17"/>
  <c r="A446" i="17" l="1"/>
  <c r="J445" i="17"/>
  <c r="J446" i="17" l="1"/>
  <c r="B490" i="17"/>
  <c r="B491" i="17"/>
  <c r="A447" i="17"/>
  <c r="B492" i="17"/>
  <c r="B489" i="17"/>
  <c r="B488" i="17"/>
  <c r="J447" i="17" l="1"/>
  <c r="A448" i="17"/>
  <c r="J448" i="17" l="1"/>
  <c r="B456" i="17"/>
  <c r="B453" i="17"/>
  <c r="A449" i="17"/>
  <c r="B466" i="17" l="1"/>
  <c r="A450" i="17"/>
  <c r="J449" i="17"/>
  <c r="B477" i="17"/>
  <c r="J450" i="17" l="1"/>
  <c r="B458" i="17"/>
  <c r="B483" i="17"/>
  <c r="B459" i="17"/>
  <c r="A451" i="17"/>
  <c r="B457" i="17"/>
  <c r="J451" i="17" l="1"/>
  <c r="A452" i="17"/>
  <c r="B494" i="17" l="1"/>
  <c r="J452" i="17"/>
  <c r="B493" i="17"/>
  <c r="A453" i="17"/>
  <c r="B454" i="17" l="1"/>
  <c r="A454" i="17"/>
  <c r="J453" i="17"/>
  <c r="B455" i="17"/>
  <c r="J454" i="17" l="1"/>
  <c r="A455" i="17"/>
  <c r="B460" i="17"/>
  <c r="B462" i="17" l="1"/>
  <c r="J455" i="17"/>
  <c r="B463" i="17"/>
  <c r="A456" i="17"/>
  <c r="B465" i="17"/>
  <c r="B464" i="17"/>
  <c r="B461" i="17"/>
  <c r="J456" i="17" l="1"/>
  <c r="A457" i="17"/>
  <c r="A458" i="17" l="1"/>
  <c r="J457" i="17"/>
  <c r="J458" i="17" l="1"/>
  <c r="A459" i="17"/>
  <c r="J459" i="17" l="1"/>
  <c r="A460" i="17"/>
  <c r="J460" i="17" l="1"/>
  <c r="A461" i="17"/>
  <c r="B474" i="17" l="1"/>
  <c r="B470" i="17"/>
  <c r="A462" i="17"/>
  <c r="J461" i="17"/>
  <c r="B475" i="17"/>
  <c r="B471" i="17"/>
  <c r="B467" i="17"/>
  <c r="B469" i="17"/>
  <c r="B468" i="17"/>
  <c r="B476" i="17"/>
  <c r="B472" i="17"/>
  <c r="B473" i="17"/>
  <c r="J462" i="17" l="1"/>
  <c r="A463" i="17"/>
  <c r="J463" i="17" l="1"/>
  <c r="A464" i="17"/>
  <c r="J464" i="17" l="1"/>
  <c r="A465" i="17"/>
  <c r="A466" i="17" l="1"/>
  <c r="J465" i="17"/>
  <c r="J466" i="17" l="1"/>
  <c r="A467" i="17"/>
  <c r="J467" i="17" l="1"/>
  <c r="A468" i="17"/>
  <c r="J468" i="17" l="1"/>
  <c r="A469" i="17"/>
  <c r="A470" i="17" l="1"/>
  <c r="J469" i="17"/>
  <c r="J470" i="17" l="1"/>
  <c r="A471" i="17"/>
  <c r="J471" i="17" l="1"/>
  <c r="A472" i="17"/>
  <c r="J472" i="17" l="1"/>
  <c r="A473" i="17"/>
  <c r="A474" i="17" l="1"/>
  <c r="J473" i="17"/>
  <c r="J474" i="17" l="1"/>
  <c r="A475" i="17"/>
  <c r="J475" i="17" l="1"/>
  <c r="A476" i="17"/>
  <c r="J476" i="17" l="1"/>
  <c r="A477" i="17"/>
  <c r="B478" i="17" l="1"/>
  <c r="A478" i="17"/>
  <c r="J477" i="17"/>
  <c r="J478" i="17" l="1"/>
  <c r="B486" i="17"/>
  <c r="B487" i="17"/>
  <c r="A479" i="17"/>
  <c r="B484" i="17"/>
  <c r="B485" i="17"/>
  <c r="J479" i="17" l="1"/>
  <c r="A480" i="17"/>
  <c r="J480" i="17" l="1"/>
  <c r="A481" i="17"/>
  <c r="A482" i="17" l="1"/>
  <c r="J481" i="17"/>
  <c r="J482" i="17" l="1"/>
  <c r="A483" i="17"/>
  <c r="J483" i="17" l="1"/>
  <c r="A484" i="17"/>
  <c r="J484" i="17" l="1"/>
  <c r="A485" i="17"/>
  <c r="A486" i="17" l="1"/>
  <c r="J485" i="17"/>
  <c r="J486" i="17" l="1"/>
  <c r="A487" i="17"/>
  <c r="J487" i="17" l="1"/>
  <c r="A488" i="17"/>
  <c r="J488" i="17" l="1"/>
  <c r="A489" i="17"/>
  <c r="A490" i="17" l="1"/>
  <c r="J489" i="17"/>
  <c r="J490" i="17" l="1"/>
  <c r="B498" i="17"/>
  <c r="A491" i="17"/>
  <c r="B496" i="17"/>
  <c r="B497" i="17"/>
  <c r="J491" i="17" l="1"/>
  <c r="A492" i="17"/>
  <c r="J492" i="17" l="1"/>
  <c r="A493" i="17"/>
  <c r="A494" i="17" l="1"/>
  <c r="J493" i="17"/>
  <c r="J494" i="17" l="1"/>
  <c r="A495" i="17"/>
  <c r="J495" i="17" l="1"/>
  <c r="A496" i="17"/>
  <c r="B502" i="17" l="1"/>
  <c r="J496" i="17"/>
  <c r="B503" i="17"/>
  <c r="B505" i="17"/>
  <c r="B504" i="17"/>
  <c r="A497" i="17"/>
  <c r="A498" i="17" l="1"/>
  <c r="J497" i="17"/>
  <c r="J498" i="17" l="1"/>
  <c r="A499" i="17"/>
  <c r="J499" i="17" l="1"/>
  <c r="A500" i="17"/>
  <c r="J500" i="17" l="1"/>
  <c r="A501" i="17"/>
  <c r="A502" i="17" l="1"/>
  <c r="J501" i="17"/>
  <c r="J502" i="17" l="1"/>
  <c r="A503" i="17"/>
  <c r="J503" i="17" l="1"/>
  <c r="A504" i="17"/>
  <c r="J504" i="17" l="1"/>
  <c r="A505" i="17"/>
  <c r="A506" i="17" l="1"/>
  <c r="J506" i="17" s="1"/>
  <c r="J505" i="17"/>
</calcChain>
</file>

<file path=xl/sharedStrings.xml><?xml version="1.0" encoding="utf-8"?>
<sst xmlns="http://schemas.openxmlformats.org/spreadsheetml/2006/main" count="4951" uniqueCount="2167">
  <si>
    <t>Date</t>
  </si>
  <si>
    <t>Cost Analysis Data Requirement (CADRe)</t>
  </si>
  <si>
    <t>Name</t>
  </si>
  <si>
    <t>Milestone Register</t>
  </si>
  <si>
    <t>Inflation Model</t>
  </si>
  <si>
    <t>RAM</t>
  </si>
  <si>
    <t>Quantities</t>
  </si>
  <si>
    <t>Procurement Plan</t>
  </si>
  <si>
    <t>Green Space</t>
  </si>
  <si>
    <r>
      <rPr>
        <u/>
        <sz val="11"/>
        <color theme="10"/>
        <rFont val="Wingdings 3"/>
        <family val="1"/>
        <charset val="2"/>
      </rPr>
      <t>`</t>
    </r>
    <r>
      <rPr>
        <u/>
        <sz val="11"/>
        <color theme="10"/>
        <rFont val="Calibri"/>
        <family val="2"/>
        <scheme val="minor"/>
      </rPr>
      <t xml:space="preserve"> Table of Contents</t>
    </r>
  </si>
  <si>
    <t>Purpose:</t>
  </si>
  <si>
    <t>Reserved</t>
  </si>
  <si>
    <t>Category</t>
  </si>
  <si>
    <t>Phase</t>
  </si>
  <si>
    <t>Costing Plan</t>
  </si>
  <si>
    <t>CSA</t>
  </si>
  <si>
    <t>Phase 0/A</t>
  </si>
  <si>
    <t>Pre-Phase 0</t>
  </si>
  <si>
    <t>Mission Requirements</t>
  </si>
  <si>
    <t>Risk Register</t>
  </si>
  <si>
    <t>2. Version Control - Baseline Tracker</t>
  </si>
  <si>
    <t>To track the baseline across time</t>
  </si>
  <si>
    <t>hold the major and minor releases of the baseline</t>
  </si>
  <si>
    <t>File Version</t>
  </si>
  <si>
    <t>Author</t>
  </si>
  <si>
    <t>Changes</t>
  </si>
  <si>
    <t>Parent Baseline Name</t>
  </si>
  <si>
    <t>Baseline ID</t>
  </si>
  <si>
    <t>&lt;&lt;--- We are here now</t>
  </si>
  <si>
    <t>EO SAR Missions</t>
  </si>
  <si>
    <t>Radarsat 1</t>
  </si>
  <si>
    <t>Radarsat 2</t>
  </si>
  <si>
    <t>Radarsat+ Next Generation</t>
  </si>
  <si>
    <t>ID</t>
  </si>
  <si>
    <t>Depth</t>
  </si>
  <si>
    <t>CBS Code</t>
  </si>
  <si>
    <t>Segment</t>
  </si>
  <si>
    <t>System of Systems</t>
  </si>
  <si>
    <t>System</t>
  </si>
  <si>
    <t>Subsystem</t>
  </si>
  <si>
    <t>Assembly</t>
  </si>
  <si>
    <t>Component</t>
  </si>
  <si>
    <t>Gov't Oversight (Salaries and EBP)</t>
  </si>
  <si>
    <t>CSA Project Team</t>
  </si>
  <si>
    <t>RAM per Person per FY and Phase</t>
  </si>
  <si>
    <t>CSA Internal Services</t>
  </si>
  <si>
    <t>OGD Internal Services by MOU</t>
  </si>
  <si>
    <t>Shared Services</t>
  </si>
  <si>
    <t>SPAC</t>
  </si>
  <si>
    <t>Justice Canada</t>
  </si>
  <si>
    <t>OGD User Departments by MOU (RAM portion)</t>
  </si>
  <si>
    <t>ECCC</t>
  </si>
  <si>
    <t>NRCAN</t>
  </si>
  <si>
    <t>DND</t>
  </si>
  <si>
    <t>Government Overhead</t>
  </si>
  <si>
    <t xml:space="preserve">IS Management Overhead </t>
  </si>
  <si>
    <t>Management Consulting Services</t>
  </si>
  <si>
    <t>Consultants - Industrial Space Experts</t>
  </si>
  <si>
    <t>Consultants - Academia</t>
  </si>
  <si>
    <t>Consultants - Non-Space Experts</t>
  </si>
  <si>
    <t>Temporary Help</t>
  </si>
  <si>
    <t>Students</t>
  </si>
  <si>
    <t>Government Travel &amp; Living</t>
  </si>
  <si>
    <t>Translation</t>
  </si>
  <si>
    <t>Shipping</t>
  </si>
  <si>
    <t>Software Licenses</t>
  </si>
  <si>
    <t>Public Outreach and STEM initiatives</t>
  </si>
  <si>
    <t>Other Overhead (Specify)</t>
  </si>
  <si>
    <t>Project Management</t>
  </si>
  <si>
    <t>Systems Engineering</t>
  </si>
  <si>
    <t>Mission Assurance</t>
  </si>
  <si>
    <t>Assembly, Integration and Testing</t>
  </si>
  <si>
    <t>Support Equipment</t>
  </si>
  <si>
    <t>Space Segment</t>
  </si>
  <si>
    <t>Bus/Platform</t>
  </si>
  <si>
    <t>Structures and Mechanisms Subsystem (SMS)</t>
  </si>
  <si>
    <t>Primary Structures</t>
  </si>
  <si>
    <t>Load Carrying Shell/Truss</t>
  </si>
  <si>
    <t>Equipment Compartments</t>
  </si>
  <si>
    <t>Booms</t>
  </si>
  <si>
    <t>Adapters</t>
  </si>
  <si>
    <t>Other Structures (Specify)</t>
  </si>
  <si>
    <t>Secondary Structures</t>
  </si>
  <si>
    <t>Equipment (Instrument) Mountings</t>
  </si>
  <si>
    <t>Ballast Mass</t>
  </si>
  <si>
    <t>Other Secondary Structures (Specify)</t>
  </si>
  <si>
    <t>Mechanisms and Pyrotechnics</t>
  </si>
  <si>
    <t>Positioning</t>
  </si>
  <si>
    <t>Deployment and Storage Equipment</t>
  </si>
  <si>
    <t>Docking Mechanisms</t>
  </si>
  <si>
    <t>Other Mechanisms (Specify)</t>
  </si>
  <si>
    <t>Pyrotechnics</t>
  </si>
  <si>
    <t>SMS Other (Specify)</t>
  </si>
  <si>
    <t>Thermal Control Subsystem (TCS)</t>
  </si>
  <si>
    <t>Active Devices</t>
  </si>
  <si>
    <t>Cryogenic Devices</t>
  </si>
  <si>
    <t>Liquid Loops</t>
  </si>
  <si>
    <t>Electric Coolers</t>
  </si>
  <si>
    <t>Heaters, Thermistors, and Thermostats</t>
  </si>
  <si>
    <t>Other Active Devices (Specify)</t>
  </si>
  <si>
    <t>Passive Devices</t>
  </si>
  <si>
    <t>Radiator Panel/Fins</t>
  </si>
  <si>
    <t>Coatings</t>
  </si>
  <si>
    <t>Heat Pipes</t>
  </si>
  <si>
    <t>Insulation</t>
  </si>
  <si>
    <t>Conductive Structures</t>
  </si>
  <si>
    <t>Heat Activated Structures</t>
  </si>
  <si>
    <t>Sun Shields</t>
  </si>
  <si>
    <t>Second Surface Mirrors</t>
  </si>
  <si>
    <t>Shutters and Louvers</t>
  </si>
  <si>
    <t>Other Passive Devices (Specify)</t>
  </si>
  <si>
    <t>TCS Other (Specify)</t>
  </si>
  <si>
    <t>Electric Power Subsystem (EPS)</t>
  </si>
  <si>
    <t>Electrical Power Generation</t>
  </si>
  <si>
    <t>Solar Array</t>
  </si>
  <si>
    <t>Solar Array Positioner</t>
  </si>
  <si>
    <t>Radioisotope Thermionic Generator</t>
  </si>
  <si>
    <t>Chemical (Fuel Cells)</t>
  </si>
  <si>
    <t>Auxiliary Power Units</t>
  </si>
  <si>
    <t>Other Power Sources</t>
  </si>
  <si>
    <t>Electrical Power Conditioning</t>
  </si>
  <si>
    <t>Power Control Electronics</t>
  </si>
  <si>
    <t>Power Conversion Electronics</t>
  </si>
  <si>
    <t>Power Dissipation Devices</t>
  </si>
  <si>
    <t>Power Distribution Electronics</t>
  </si>
  <si>
    <t>Power Switching Electronics</t>
  </si>
  <si>
    <t>Power Regulation Electronics</t>
  </si>
  <si>
    <t>Other Power Conditioning Devices (Specify)</t>
  </si>
  <si>
    <t>Electrical Power Storage</t>
  </si>
  <si>
    <t>Rechargeable Batteries</t>
  </si>
  <si>
    <t>Charge Control Electronics</t>
  </si>
  <si>
    <t>Other Electrical Power Storage Devices (Specify)</t>
  </si>
  <si>
    <t>Harnesses and Cables</t>
  </si>
  <si>
    <t>EPS Other (Specify)</t>
  </si>
  <si>
    <t>Attitude Control Subsystem (ACS)</t>
  </si>
  <si>
    <t>Attitude Determination</t>
  </si>
  <si>
    <t>Earth (Horizon) Sensors</t>
  </si>
  <si>
    <t>Sun Sensors</t>
  </si>
  <si>
    <t>Star Tracker/Sensors</t>
  </si>
  <si>
    <t>Global Positioning System (GPS) Receiver</t>
  </si>
  <si>
    <t>Imagers</t>
  </si>
  <si>
    <t>Magnetometers</t>
  </si>
  <si>
    <t>Altimeters</t>
  </si>
  <si>
    <t>Inertial Reference Unit (IRU)/Inertial Measurement Unit (IMU)</t>
  </si>
  <si>
    <t>Radar</t>
  </si>
  <si>
    <t>Rate Gyros</t>
  </si>
  <si>
    <t>Accelerometers</t>
  </si>
  <si>
    <t>Bearing and Power Transfer Assembly</t>
  </si>
  <si>
    <t>Other Attitude Determination Devices (Specify)</t>
  </si>
  <si>
    <t>Attitude Control</t>
  </si>
  <si>
    <t>Reaction Wheel</t>
  </si>
  <si>
    <t>Momentum Wheel</t>
  </si>
  <si>
    <t>Control Moment Gyro</t>
  </si>
  <si>
    <t>Other Energy Storage Devices</t>
  </si>
  <si>
    <t>Magnetic Control Devices</t>
  </si>
  <si>
    <t>Spin Control Devices</t>
  </si>
  <si>
    <t>Control Electronics</t>
  </si>
  <si>
    <t>Other Attitude Control Devices (Specify)</t>
  </si>
  <si>
    <t>ACS Other (Specify)</t>
  </si>
  <si>
    <t>Propulsion Subsystem</t>
  </si>
  <si>
    <t>Tanks</t>
  </si>
  <si>
    <t>Oxidizer Tanks</t>
  </si>
  <si>
    <t>Fuel Tanks</t>
  </si>
  <si>
    <t>Propellant Tanks</t>
  </si>
  <si>
    <t>Pressurance Tanks</t>
  </si>
  <si>
    <t>Plumbing</t>
  </si>
  <si>
    <t>Other Tanks (Specify)</t>
  </si>
  <si>
    <t>Maneuvering Thrusters</t>
  </si>
  <si>
    <t>Bipropellant</t>
  </si>
  <si>
    <t>Monopropellant</t>
  </si>
  <si>
    <t>Solar Electric</t>
  </si>
  <si>
    <t>Ion</t>
  </si>
  <si>
    <t>Cold Gas</t>
  </si>
  <si>
    <t>Other Maneuvering Thrusters (Specify)</t>
  </si>
  <si>
    <t>Translation Thrusters</t>
  </si>
  <si>
    <t>Other Translation Thrusters (Specify)</t>
  </si>
  <si>
    <t>Propellant</t>
  </si>
  <si>
    <t>Solid Propellant</t>
  </si>
  <si>
    <t>Liquid Propellant</t>
  </si>
  <si>
    <t>Prussurant Propellant</t>
  </si>
  <si>
    <t>Other Propellant (Specify)</t>
  </si>
  <si>
    <t>Solid Rocket Motors</t>
  </si>
  <si>
    <t>Power Electronics</t>
  </si>
  <si>
    <t>Propulsion Other (Specify)</t>
  </si>
  <si>
    <t>Telemetry, Tracking, and Command Subsystem (TT&amp;C)</t>
  </si>
  <si>
    <t>Antennas</t>
  </si>
  <si>
    <t>Omnidirectional</t>
  </si>
  <si>
    <t>Spiral</t>
  </si>
  <si>
    <t>Horn</t>
  </si>
  <si>
    <t>Patch</t>
  </si>
  <si>
    <t>Parabolic</t>
  </si>
  <si>
    <t>Phased Array</t>
  </si>
  <si>
    <t>Other Antennas (Specify)</t>
  </si>
  <si>
    <t>Waveguides/Routers</t>
  </si>
  <si>
    <t>Diplexers</t>
  </si>
  <si>
    <t>Triplexers</t>
  </si>
  <si>
    <t>Multiplexers</t>
  </si>
  <si>
    <t>Multicouplers</t>
  </si>
  <si>
    <t>Coaxial Switches</t>
  </si>
  <si>
    <t>RF Switches</t>
  </si>
  <si>
    <t>Filters</t>
  </si>
  <si>
    <t>Waveguides</t>
  </si>
  <si>
    <t>Other Routers (Specify)</t>
  </si>
  <si>
    <t>Radio Frequency Equipment</t>
  </si>
  <si>
    <t>Amplifiers</t>
  </si>
  <si>
    <t>Receivers</t>
  </si>
  <si>
    <t>Transmitters</t>
  </si>
  <si>
    <t>Transceivers</t>
  </si>
  <si>
    <t>Transponders</t>
  </si>
  <si>
    <t>Modulators</t>
  </si>
  <si>
    <t>Demodulators</t>
  </si>
  <si>
    <t>Modems</t>
  </si>
  <si>
    <t>Traveling Wave Tube Assemblies</t>
  </si>
  <si>
    <t>Solid State Power Amplifiers</t>
  </si>
  <si>
    <t>Downconverters</t>
  </si>
  <si>
    <t>Upconverters</t>
  </si>
  <si>
    <t>Other RF Equipment (Specify)</t>
  </si>
  <si>
    <t>Command and Data Handling (C&amp;DH)</t>
  </si>
  <si>
    <t>Processors</t>
  </si>
  <si>
    <t>Solid State Memory</t>
  </si>
  <si>
    <t>Decoders</t>
  </si>
  <si>
    <t>Command Units</t>
  </si>
  <si>
    <t>Telemetry Units</t>
  </si>
  <si>
    <t>Command Sequencers</t>
  </si>
  <si>
    <t>Timing Units</t>
  </si>
  <si>
    <t>Frequency Generators</t>
  </si>
  <si>
    <t>Signal Conditioners</t>
  </si>
  <si>
    <t>Data Switches</t>
  </si>
  <si>
    <t>Communication Security</t>
  </si>
  <si>
    <t>Interface Units</t>
  </si>
  <si>
    <t>Tape Recorders</t>
  </si>
  <si>
    <t>Disk Recorders</t>
  </si>
  <si>
    <t>Command Sensor or Situational Awareness Sensors</t>
  </si>
  <si>
    <t>Other C&amp;DH (Specify)</t>
  </si>
  <si>
    <t>TT&amp;C Other (Specify)</t>
  </si>
  <si>
    <t>Bus Flight Software</t>
  </si>
  <si>
    <t>Thermal Control Software</t>
  </si>
  <si>
    <t>Electrical Power Software</t>
  </si>
  <si>
    <t>Attitude Control Software</t>
  </si>
  <si>
    <t>Telemetry, Tracking, and Command Software</t>
  </si>
  <si>
    <t>Other Flight Software (Specify)</t>
  </si>
  <si>
    <t>SEITPM and Support Equipment (If Applicable for Integration of Multiple Payloads)</t>
  </si>
  <si>
    <t>Structures</t>
  </si>
  <si>
    <t>Structures and Mechanisms Other (Specify)</t>
  </si>
  <si>
    <t>Electric heaters, Thermisters, and Thermostats</t>
  </si>
  <si>
    <t>Thermal Control Other (Specify)</t>
  </si>
  <si>
    <t>Power Sources</t>
  </si>
  <si>
    <t>Power Control, Switching, and Distribution Electronics</t>
  </si>
  <si>
    <t>Power Conditioning, Conversion, and Regulation</t>
  </si>
  <si>
    <t>Electrical Power Other (Specify)</t>
  </si>
  <si>
    <t>Computers and Processors</t>
  </si>
  <si>
    <t>Command/Telemetric Units</t>
  </si>
  <si>
    <t>Pointing Sensors</t>
  </si>
  <si>
    <t>Payload Positioners</t>
  </si>
  <si>
    <t>Security, Encryption, and Decryption Devices</t>
  </si>
  <si>
    <t>Data Storage, handling, and Interface</t>
  </si>
  <si>
    <t>Multifunctional Digital Electronic Boxes</t>
  </si>
  <si>
    <t>Pointing, Command, and Control Interface Other (Specify)</t>
  </si>
  <si>
    <t>Payload Signal Electronics</t>
  </si>
  <si>
    <t>Passive Signal Flow Control</t>
  </si>
  <si>
    <t>Transmitter/Receiver/Transceiver/Transponder</t>
  </si>
  <si>
    <t>Modulators/Demodulators/Modems</t>
  </si>
  <si>
    <t>Multiplexers/Demultiplexers</t>
  </si>
  <si>
    <t>Frequency Upconverters/Downconverters</t>
  </si>
  <si>
    <t>Frequency and Timing</t>
  </si>
  <si>
    <t>Signal Electronics Other (Specify)</t>
  </si>
  <si>
    <t>Structure/Outerbarrel/Cover</t>
  </si>
  <si>
    <t>Mirrors/Optics</t>
  </si>
  <si>
    <t>Aft Optics Assembly</t>
  </si>
  <si>
    <t>Alignment and Calibration</t>
  </si>
  <si>
    <t>Thermal</t>
  </si>
  <si>
    <t>Optical Assembly Other</t>
  </si>
  <si>
    <t>Payload Structure</t>
  </si>
  <si>
    <t>Focal Plan Array</t>
  </si>
  <si>
    <t>Sensor Positioners</t>
  </si>
  <si>
    <t>Sensor Electronics</t>
  </si>
  <si>
    <t>Magnetometer</t>
  </si>
  <si>
    <t>Spectrometer</t>
  </si>
  <si>
    <t>Radiometer</t>
  </si>
  <si>
    <t>Camera</t>
  </si>
  <si>
    <t>Sounder</t>
  </si>
  <si>
    <t>Flight Sensor Software</t>
  </si>
  <si>
    <t>Other Sensor Types (Specify)</t>
  </si>
  <si>
    <t>Mission Sensor Other (Specify)</t>
  </si>
  <si>
    <t>Payload Flight Software</t>
  </si>
  <si>
    <t>CSCI (Specify)</t>
  </si>
  <si>
    <t>Payload Antenna 1 … n (Specify)</t>
  </si>
  <si>
    <t>Structures and Mechanisms</t>
  </si>
  <si>
    <t>Antenna Positioners</t>
  </si>
  <si>
    <t>Reflector/Horn</t>
  </si>
  <si>
    <t>Feed</t>
  </si>
  <si>
    <t>Waveguide/Coad/Cabling</t>
  </si>
  <si>
    <t>Transmit/Receive Modules</t>
  </si>
  <si>
    <t>Antenna Other (Specify)</t>
  </si>
  <si>
    <t>Payload Other (Specify)</t>
  </si>
  <si>
    <t>Booster Adapter</t>
  </si>
  <si>
    <t>Space Vehicle Storage</t>
  </si>
  <si>
    <t>Space Vehicle Other (Specify)</t>
  </si>
  <si>
    <t>Launch Segment</t>
  </si>
  <si>
    <t>Launch Systems Integration (LSI)</t>
  </si>
  <si>
    <t>Launch Operations</t>
  </si>
  <si>
    <t>Launch Operations Support</t>
  </si>
  <si>
    <t>Launch Vehicle Services</t>
  </si>
  <si>
    <t>Launch Insurance</t>
  </si>
  <si>
    <t>Ground Segment</t>
  </si>
  <si>
    <t>Ops Segment</t>
  </si>
  <si>
    <t>Science Segment</t>
  </si>
  <si>
    <t>Science Maturation Studies &amp; User Requirements</t>
  </si>
  <si>
    <t>Science Support for Mission Development</t>
  </si>
  <si>
    <t>Science Support for Commissioning, Including Cal/Val</t>
  </si>
  <si>
    <t>Science Support for Data Handling</t>
  </si>
  <si>
    <t>Space Vehicle 1 … i</t>
  </si>
  <si>
    <t>Payload 1 … n (Specify)</t>
  </si>
  <si>
    <t>4d. CBS (as self referencing list) for use as a javascript array</t>
  </si>
  <si>
    <t>Why we we asking:</t>
  </si>
  <si>
    <t>this page is auto-generated and used for drawing it out</t>
  </si>
  <si>
    <t>Self referencing list for dtree</t>
  </si>
  <si>
    <t>UID</t>
  </si>
  <si>
    <t>Parent ID</t>
  </si>
  <si>
    <t>Level</t>
  </si>
  <si>
    <t>Node Name</t>
  </si>
  <si>
    <t>Icon</t>
  </si>
  <si>
    <t>Notes</t>
  </si>
  <si>
    <t>Javascript Code</t>
  </si>
  <si>
    <t>Space Missions</t>
  </si>
  <si>
    <t>Taxon 1</t>
  </si>
  <si>
    <t>Box.png</t>
  </si>
  <si>
    <t>Taxon 2</t>
  </si>
  <si>
    <t>EO.png</t>
  </si>
  <si>
    <t>Radarsat Portfolio</t>
  </si>
  <si>
    <t>Phylum</t>
  </si>
  <si>
    <t>Pouch.png</t>
  </si>
  <si>
    <t>Mission</t>
  </si>
  <si>
    <t>Satellite.png</t>
  </si>
  <si>
    <t>Design Reference Mission</t>
  </si>
  <si>
    <t>Radarsat Constellation Mission</t>
  </si>
  <si>
    <t>Radarsat+ Replenishment</t>
  </si>
  <si>
    <t>Analysis Scenario 1: RCM Proxy</t>
  </si>
  <si>
    <t>Scenario.png</t>
  </si>
  <si>
    <t>Analysis Scenario 2: RCM+</t>
  </si>
  <si>
    <t>Analysis Scenario 3: Airbus concept</t>
  </si>
  <si>
    <t>Analysis Scenario 4: MDA Chorus Data Buy</t>
  </si>
  <si>
    <t>Analysis Scenario 5: MDA Chorus+</t>
  </si>
  <si>
    <t>Analysis Scenario 6: Airbus Sentinel 2</t>
  </si>
  <si>
    <t>Government Overhead and Oversight</t>
  </si>
  <si>
    <t>Government.png</t>
  </si>
  <si>
    <t>This WBS includes all CSA Oversight, OGD salaries, and basic overhead for the care and maintenance of CSA staff</t>
  </si>
  <si>
    <t>The Space Segment includes things we launch into space</t>
  </si>
  <si>
    <t>Rocket.png</t>
  </si>
  <si>
    <t>The launch segment includes the launch vehicle and seom support services</t>
  </si>
  <si>
    <t>Facility.png</t>
  </si>
  <si>
    <t>The ground segment includes the planning desgin and development of the GS, but not the Ops</t>
  </si>
  <si>
    <t>Ops.png</t>
  </si>
  <si>
    <t>Ops includes SatOps, Mission Ops, Science Ops - typically contracts</t>
  </si>
  <si>
    <t>Science.png</t>
  </si>
  <si>
    <t>Typically G&amp;C</t>
  </si>
  <si>
    <t>1.1.1</t>
  </si>
  <si>
    <t>1.1.2</t>
  </si>
  <si>
    <t>CSA Oversight</t>
  </si>
  <si>
    <t>1.1.1.1</t>
  </si>
  <si>
    <t>OGD Oversight</t>
  </si>
  <si>
    <t>1.1.1.2</t>
  </si>
  <si>
    <t>1.1.1.1.1</t>
  </si>
  <si>
    <t>This CBS contains all salaries associated with the RAM of the Project team</t>
  </si>
  <si>
    <t>1.1.1.1.2</t>
  </si>
  <si>
    <t>This CBS contains all salaries associated with CSA internal services (finance, HR, audit, eval, policy, Executives, IM, IT, contracts, shipping, etc)</t>
  </si>
  <si>
    <t>1.1.1.2.1</t>
  </si>
  <si>
    <t>1.1.1.2.2</t>
  </si>
  <si>
    <t>1.1.1.2.1.1</t>
  </si>
  <si>
    <t>1.1.1.2.1.2</t>
  </si>
  <si>
    <t>1.1.1.2.1.3</t>
  </si>
  <si>
    <t>1.1.1.2.2.1</t>
  </si>
  <si>
    <t>1.1.1.2.2.2</t>
  </si>
  <si>
    <t>1.1.1.2.2.3</t>
  </si>
  <si>
    <t>1.1.1.1.1.1</t>
  </si>
  <si>
    <t>PSPC Procurement Services</t>
  </si>
  <si>
    <t>1.1.1.2.1.2.1</t>
  </si>
  <si>
    <t>PSPC Fairness Monitor</t>
  </si>
  <si>
    <t>1.1.1.2.1.2.2</t>
  </si>
  <si>
    <t>Legal Services</t>
  </si>
  <si>
    <t>1.1.1.2.1.3.1</t>
  </si>
  <si>
    <t>CSA Overhead</t>
  </si>
  <si>
    <t>1.1.2.1</t>
  </si>
  <si>
    <t>1.1.2.1.1</t>
  </si>
  <si>
    <t>1.1.2.1.2</t>
  </si>
  <si>
    <t>1.1.2.1.3</t>
  </si>
  <si>
    <t>1.1.2.1.4</t>
  </si>
  <si>
    <t>This CBS  includes any students, FSWEP or PDF assisint Csa project team</t>
  </si>
  <si>
    <t>1.1.2.1.5</t>
  </si>
  <si>
    <t>This CBS includes any government Travel and Living expenses</t>
  </si>
  <si>
    <t>1.1.2.1.6</t>
  </si>
  <si>
    <t>This CBS includes any translation costs</t>
  </si>
  <si>
    <t>1.1.2.1.7</t>
  </si>
  <si>
    <t>This CBs includes any shipping cost, but not shipping flight HW which is under space segment</t>
  </si>
  <si>
    <t>1.1.2.1.8</t>
  </si>
  <si>
    <t>This CBS includes any COTs SW not flight Sw or ground SW</t>
  </si>
  <si>
    <t>1.1.2.1.9</t>
  </si>
  <si>
    <t>This CBS includes any public relations and STEM</t>
  </si>
  <si>
    <t>1.1.2.1.10</t>
  </si>
  <si>
    <t xml:space="preserve">This CBS includes any other misc fees </t>
  </si>
  <si>
    <t>1.1.2.1.2.1</t>
  </si>
  <si>
    <t>1.1.2.1.2.2</t>
  </si>
  <si>
    <t>1.1.2.1.2.3</t>
  </si>
  <si>
    <t>Mission SEITPM and Support Equipment</t>
  </si>
  <si>
    <t>SEITPM.png</t>
  </si>
  <si>
    <t>Spacecraft SEITPM and Support Equipment</t>
  </si>
  <si>
    <t>Widget.png</t>
  </si>
  <si>
    <t>Platform SEITPM and Support Equipment</t>
  </si>
  <si>
    <t>Structures and Mechanisms Subsystem SEITPM</t>
  </si>
  <si>
    <t>Thermal Control Subsystem SEITPM</t>
  </si>
  <si>
    <t>Electric Power Subsystem SEITPM</t>
  </si>
  <si>
    <t>Attitude Control Subsystem SEITPM</t>
  </si>
  <si>
    <t>Propulsion Subsystem SEITPM</t>
  </si>
  <si>
    <t>TT&amp;C Subsystem SEITPM</t>
  </si>
  <si>
    <t>Bus FSW Subsystem SEITPM</t>
  </si>
  <si>
    <t>Payload 1 SEITPM and Support Equipment</t>
  </si>
  <si>
    <t>Payload 1 Structures and Mechanisms Subsystem</t>
  </si>
  <si>
    <t>Structures and Mechanims Subsystem SEITPM</t>
  </si>
  <si>
    <t>Payload 1 Thermal Control  Subsystem</t>
  </si>
  <si>
    <t>Thermal Control  Subsystem SEITPM</t>
  </si>
  <si>
    <t>Payload 1 Electrical Power Subsystem</t>
  </si>
  <si>
    <t>Electrical Power Subsystem SEITPM</t>
  </si>
  <si>
    <t>Payload 1 Pointing, Command, and Control Interface</t>
  </si>
  <si>
    <t>Subsystem SEITPM</t>
  </si>
  <si>
    <t>Payload 1 Optical Assembly</t>
  </si>
  <si>
    <t>Payload 1 Sensor</t>
  </si>
  <si>
    <t>Sensor SEITPM</t>
  </si>
  <si>
    <t>Payload 1 FSW SEITPM</t>
  </si>
  <si>
    <t>Payload 1 Antenna SEITPM</t>
  </si>
  <si>
    <t>Ground Segment SEITPM</t>
  </si>
  <si>
    <t>Mission Control Centers</t>
  </si>
  <si>
    <t>Science / Data Ops Centers</t>
  </si>
  <si>
    <t>Terminals and Data Networks – incl Antennas </t>
  </si>
  <si>
    <t>Data Distribution &amp; Archival </t>
  </si>
  <si>
    <t>Training Facilities </t>
  </si>
  <si>
    <t>CSA Mission Control</t>
  </si>
  <si>
    <t xml:space="preserve">SatOps Mission Control Complex at JHCSC </t>
  </si>
  <si>
    <t>ISS Mission Operations Complex</t>
  </si>
  <si>
    <t>NASA Mission Operations Complex</t>
  </si>
  <si>
    <t>RMPSR</t>
  </si>
  <si>
    <t>OEC</t>
  </si>
  <si>
    <t>PTOC</t>
  </si>
  <si>
    <t>SatOps Mission control SEITPM</t>
  </si>
  <si>
    <t>Hardware Components</t>
  </si>
  <si>
    <t>Workstations</t>
  </si>
  <si>
    <t>Servers</t>
  </si>
  <si>
    <t>Storage and Archive</t>
  </si>
  <si>
    <t>Network Equipment</t>
  </si>
  <si>
    <t>Interface Equipment</t>
  </si>
  <si>
    <t>Security Encryption/Decryption</t>
  </si>
  <si>
    <t>Data Processing</t>
  </si>
  <si>
    <t>COTS Hardware Other (Specify)</t>
  </si>
  <si>
    <t>Pre-Operations Maintenance (Specify)</t>
  </si>
  <si>
    <t>Environments</t>
  </si>
  <si>
    <t>SatOps GS Software</t>
  </si>
  <si>
    <t>SW CSCI</t>
  </si>
  <si>
    <t>NASA Science Operations Centers</t>
  </si>
  <si>
    <t>HPC (High Performance Computing)</t>
  </si>
  <si>
    <t>Geospace Observatory</t>
  </si>
  <si>
    <t>Other SODC (specify)</t>
  </si>
  <si>
    <t> CSA Terminals and Antennas</t>
  </si>
  <si>
    <t>CSA St-Hubert Antenna</t>
  </si>
  <si>
    <t>Ferme Yves Bachand Antenna</t>
  </si>
  <si>
    <t>Ferme Beldor Antenna</t>
  </si>
  <si>
    <t>Transponder</t>
  </si>
  <si>
    <t>Digital Earth Canada</t>
  </si>
  <si>
    <t>Federal Geospatial Platform (FGP)</t>
  </si>
  <si>
    <t>EODMS</t>
  </si>
  <si>
    <t>Canadian Astronomy Data Centre</t>
  </si>
  <si>
    <t>NASA Data Distribution &amp; Archival</t>
  </si>
  <si>
    <t>MMLC</t>
  </si>
  <si>
    <t>MOTS</t>
  </si>
  <si>
    <t>CSA Mission Operations</t>
  </si>
  <si>
    <t>CSA SatOps</t>
  </si>
  <si>
    <t>CSA ISS Ops</t>
  </si>
  <si>
    <t>CSA ISS Sustaining Engineering</t>
  </si>
  <si>
    <t>NASA Mission Operations</t>
  </si>
  <si>
    <t>Industry Partners (Specify)</t>
  </si>
  <si>
    <t>Mission Science Support</t>
  </si>
  <si>
    <t>Science Utilization &amp; Application Development</t>
  </si>
  <si>
    <t>Description</t>
  </si>
  <si>
    <t>N/A</t>
  </si>
  <si>
    <t xml:space="preserve">What do you call your phases? </t>
  </si>
  <si>
    <t xml:space="preserve">1. To normalize the naming convention across all investments. </t>
  </si>
  <si>
    <t>2. Math Models are based on Costing Sub-Phase.</t>
  </si>
  <si>
    <t>3. We want to output results in your naming convention and scope.</t>
  </si>
  <si>
    <t>Based on IGMF rev E</t>
  </si>
  <si>
    <t>Based on CSA-FIN-RPT-0072</t>
  </si>
  <si>
    <t>Phasing according to</t>
  </si>
  <si>
    <t>EPMO</t>
  </si>
  <si>
    <t>Costing</t>
  </si>
  <si>
    <t>PM</t>
  </si>
  <si>
    <t>PREP</t>
  </si>
  <si>
    <t>PREP 1</t>
  </si>
  <si>
    <t>Prototyping Activities (before Gate 1)</t>
  </si>
  <si>
    <t>Pre-Project</t>
  </si>
  <si>
    <t>Option Analysis &amp; Planning Phase</t>
  </si>
  <si>
    <t>PREP 2</t>
  </si>
  <si>
    <t>Prototyping Activities (during Phase 0/A)</t>
  </si>
  <si>
    <t>Phase 0</t>
  </si>
  <si>
    <t>Concept &amp; Feasibility</t>
  </si>
  <si>
    <t>Project</t>
  </si>
  <si>
    <t>Definition Phase</t>
  </si>
  <si>
    <t>Detailed Project Requirements</t>
  </si>
  <si>
    <t>Phase A</t>
  </si>
  <si>
    <t>Preliminary Definition</t>
  </si>
  <si>
    <t>Phase B/C</t>
  </si>
  <si>
    <t>Phase B</t>
  </si>
  <si>
    <t>Preliminary Design</t>
  </si>
  <si>
    <t>Detailed Definition</t>
  </si>
  <si>
    <t>Phase C</t>
  </si>
  <si>
    <t>Detailed Design</t>
  </si>
  <si>
    <t>Implementation Phase</t>
  </si>
  <si>
    <t>Implementation</t>
  </si>
  <si>
    <t>Phase D</t>
  </si>
  <si>
    <t>MAIT</t>
  </si>
  <si>
    <t>Post-Project</t>
  </si>
  <si>
    <t>Post-Implementation Phase</t>
  </si>
  <si>
    <t>Operations &amp; Disposal</t>
  </si>
  <si>
    <t>Phase E</t>
  </si>
  <si>
    <t>Phase E (EXT)</t>
  </si>
  <si>
    <t>Phase F</t>
  </si>
  <si>
    <t>Phase G</t>
  </si>
  <si>
    <t>7b - Phasing Durations</t>
  </si>
  <si>
    <t>1. Durations affect Govt Salaries calculations</t>
  </si>
  <si>
    <t>2. Durations affect Parametric estimates for Space segment, ground segment, ops</t>
  </si>
  <si>
    <t>3. Schedule Scenarios are inputs to sensitivity analysis</t>
  </si>
  <si>
    <t>Schedule Scenario ID</t>
  </si>
  <si>
    <t>Scenario Name</t>
  </si>
  <si>
    <t>Scenario Description</t>
  </si>
  <si>
    <t>The Schedule used for the salary calculations includes months of effort to prepare the governance</t>
  </si>
  <si>
    <t>Rationale</t>
  </si>
  <si>
    <t xml:space="preserve">Source Doc </t>
  </si>
  <si>
    <t>Expected Start</t>
  </si>
  <si>
    <t>Expected End</t>
  </si>
  <si>
    <t>Total D</t>
  </si>
  <si>
    <t>Total M</t>
  </si>
  <si>
    <t>Marges pour délais</t>
  </si>
  <si>
    <t>Title</t>
  </si>
  <si>
    <t>Sub-category</t>
  </si>
  <si>
    <t>Items</t>
  </si>
  <si>
    <t>GR or A</t>
  </si>
  <si>
    <t>CBS # linked to GR&amp;A</t>
  </si>
  <si>
    <t>Impact on Project</t>
  </si>
  <si>
    <t>Impact on costing, methodology, models, tools &amp; analysis</t>
  </si>
  <si>
    <t>Source/Link</t>
  </si>
  <si>
    <t xml:space="preserve">Other rational </t>
  </si>
  <si>
    <t xml:space="preserve">Waiver deviation </t>
  </si>
  <si>
    <t xml:space="preserve">Costing CSA Ground Rules &amp; Assumptions template </t>
  </si>
  <si>
    <t>Last review</t>
  </si>
  <si>
    <t>Catégorie</t>
  </si>
  <si>
    <t xml:space="preserve">Excepted source </t>
  </si>
  <si>
    <t>Do not delete - Mireille</t>
  </si>
  <si>
    <t>Hypothèses Programmatiques</t>
  </si>
  <si>
    <t>Strategy Naratives</t>
  </si>
  <si>
    <t>Objectifs politiques et stratégiques</t>
  </si>
  <si>
    <t>Alignement sur la stratégie de l’ASC</t>
  </si>
  <si>
    <t>Business Case et/ou CADRE Part C onglet CM list</t>
  </si>
  <si>
    <t>Strategy</t>
  </si>
  <si>
    <t>Contraintes gouvernementales ou directives de haut niveau</t>
  </si>
  <si>
    <t>Type de mission : Flagship, LargeSat, SmallSat, NanoSat, Hosted Payload, Data stream partnership, data stream purchase</t>
  </si>
  <si>
    <t>CADRE Part A</t>
  </si>
  <si>
    <t>CADRE Part A ou contants</t>
  </si>
  <si>
    <t>Disciplines et secteur : SatCom, Astronomie, exploration spatiale,...</t>
  </si>
  <si>
    <t>Dépendances avec d'autres projets/missions</t>
  </si>
  <si>
    <t>Budget global et financement</t>
  </si>
  <si>
    <t>Soumission au Conseil du Tésor (TBSub) - But de l'exercice de costing : Budget Ask, Reprofiling,… Définir le nombre de TBSub + échéancier associé aux TBSub</t>
  </si>
  <si>
    <t xml:space="preserve">CADRE Part C onglet Stratégie contractuelle  </t>
  </si>
  <si>
    <t xml:space="preserve">Enveloppe de la masse salariale </t>
  </si>
  <si>
    <t>CADRE Part C onglet RAM</t>
  </si>
  <si>
    <t>Enveloppe des frais de gestion et plan de voyages</t>
  </si>
  <si>
    <t>CADRE Part C onglet Overhead Costs</t>
  </si>
  <si>
    <t>Costign Plan</t>
  </si>
  <si>
    <t xml:space="preserve">Méthodologie d'établissement des coûts </t>
  </si>
  <si>
    <t>Plan de l’exercice d’établissement des coûts</t>
  </si>
  <si>
    <t>Note de réflexion supplémentaire</t>
  </si>
  <si>
    <t>Au moins 2 façon différentes pour chaque incluant RAM</t>
  </si>
  <si>
    <t>Plan de l’exercice d’établissement des coûts - Méthodologies</t>
  </si>
  <si>
    <t>Analyse de sensibilité</t>
  </si>
  <si>
    <t>À compléter par Finance</t>
  </si>
  <si>
    <t xml:space="preserve"> Sufficiency Report or Independent Cost Estimate or Independent Cost Review </t>
  </si>
  <si>
    <t>Analogie (nearest neighboors), lesquels.</t>
  </si>
  <si>
    <t>Analyse paramétrique (True planning, PCEC, NCIM, SEER, Compact). CER Calibration Plan.</t>
  </si>
  <si>
    <t>Soumission de l'industrie et jugement d'expert</t>
  </si>
  <si>
    <t>Analyse Monte Carlo (crystal ball)</t>
  </si>
  <si>
    <t>Bottom up, qui le fait et comment</t>
  </si>
  <si>
    <t xml:space="preserve">Learning curves </t>
  </si>
  <si>
    <t>RASCI =  qui fait quoi. bottom up = Plan de l’exercice d’établissement des coûts</t>
  </si>
  <si>
    <t xml:space="preserve">Inducteurs de coûts princicaux </t>
  </si>
  <si>
    <t>CADRE Part C onglet CER &amp; Tools</t>
  </si>
  <si>
    <t xml:space="preserve">Normalisation ( Stochométrie) - si applicable </t>
  </si>
  <si>
    <t>le choix de l'outil dicte CADRE part B qui collecte info pour l'analyse paramétrique</t>
  </si>
  <si>
    <t>Tracabilité - accès aux sources - répertoires normalisés -liens</t>
  </si>
  <si>
    <t>Stratégie de financement</t>
  </si>
  <si>
    <t>Limitation des coûts :  Par exemple, les sources de financement instables, les contraintes de personnel ou un budget à ne pas dépasser devraient être documentés.</t>
  </si>
  <si>
    <t xml:space="preserve">Enveloppe Services internes - O&amp;M et RAM </t>
  </si>
  <si>
    <t>CADRE Part C onglet Services internes</t>
  </si>
  <si>
    <t>OBS</t>
  </si>
  <si>
    <t>Partenariats (OGD, internationaux, industriels)</t>
  </si>
  <si>
    <t>Rôles et responsabilités des principaux partenaires (agences spatiales, industriels, universités et autres ministères)</t>
  </si>
  <si>
    <t>CADRE Part C onglet OBS</t>
  </si>
  <si>
    <t>Modalités de partage des coûts et des risques</t>
  </si>
  <si>
    <t>CADRE Part C onglet OBS - Cost Sharing provisions</t>
  </si>
  <si>
    <t>Si applicable, dépenses éligibles de l'OTAN</t>
  </si>
  <si>
    <t>À définir ici</t>
  </si>
  <si>
    <t>8. Economic Constants and short answers</t>
  </si>
  <si>
    <t>Gouvernance et autorités</t>
  </si>
  <si>
    <t>Ordre de grandeur général du projet (petit, moyen, grand, flagship)</t>
  </si>
  <si>
    <t>CERCES scale</t>
  </si>
  <si>
    <t>Constants</t>
  </si>
  <si>
    <t>Nature of the costing perimeter (degree of difficulty of costing exercise)</t>
  </si>
  <si>
    <t>Palier/ Tier</t>
  </si>
  <si>
    <t>PCRA</t>
  </si>
  <si>
    <t>Point de décision</t>
  </si>
  <si>
    <t>CADRE Part C - onglet Phasing Model</t>
  </si>
  <si>
    <t>Costing Exercise Schedule and associated milestones - Costing Plan, Internal WebReport Dashboard and power BI dashboard for CLAD</t>
  </si>
  <si>
    <t>Hypothèses Financières</t>
  </si>
  <si>
    <t>8. Inflation Model</t>
  </si>
  <si>
    <t>Indices économiques et inflation</t>
  </si>
  <si>
    <t>Taux d’inflation annuel, indice utilisé (IPC, indice sectoriel), taux de déflation</t>
  </si>
  <si>
    <t>Inflation Model dans son propre document - Oracle db ID</t>
  </si>
  <si>
    <t>Taux EBP 27%</t>
  </si>
  <si>
    <t>Financial Constants Reports  - CSA-FIN-RPT-XXXX rev 3</t>
  </si>
  <si>
    <t>Modèle d'inflation appliqué</t>
  </si>
  <si>
    <t xml:space="preserve">Année de base / Base year </t>
  </si>
  <si>
    <t>SSC 4%</t>
  </si>
  <si>
    <t>PSPC 13%</t>
  </si>
  <si>
    <t xml:space="preserve">Taux du Fairness Monitor </t>
  </si>
  <si>
    <t>Taux de change</t>
  </si>
  <si>
    <t>Monnaies concernées et valeur de référence (CAD, USD, EUR, etc.)</t>
  </si>
  <si>
    <t>Seuil de variation accepté avant révision budgétaire</t>
  </si>
  <si>
    <t>Defined in constnats, used in risk analysis. risk reserve - Risk register</t>
  </si>
  <si>
    <t>Contingence et marges de sécurité</t>
  </si>
  <si>
    <t>Pourcentage de contingence sur le coût total du projet (p. ex. 10 à 20 %)</t>
  </si>
  <si>
    <t>Defined in constnats, used in risk analysis. risk register  onglet. Unknown-Unknown Risk margin</t>
  </si>
  <si>
    <t>Barème d’évaluation des risques majeurs pour justifier la marge appliquée (modèle d’analyse de risques)</t>
  </si>
  <si>
    <t xml:space="preserve">À définir ici </t>
  </si>
  <si>
    <t>Je ne comprends pas la question</t>
  </si>
  <si>
    <t>Stratégie contractuelle, coûts de main-d’œuvre et de sous-traitance</t>
  </si>
  <si>
    <t>Sunk Costs Report (STDP, EOADP, Cap Demo, Stedia FAST, ESA Program, Cubesats, space hub, Pre-Phase 0 etc)</t>
  </si>
  <si>
    <t>CADRe part C - Expenditure plan</t>
  </si>
  <si>
    <t>Stratégie contractuel Phase 0/A - 1 / 2 contrats</t>
  </si>
  <si>
    <t xml:space="preserve">CADRe Part C - Procurement strategy </t>
  </si>
  <si>
    <t>Nombre de contrats et valeur approximative prévus par phase</t>
  </si>
  <si>
    <t>CADRe Part C - Procurement Plan (list)</t>
  </si>
  <si>
    <t>Contrats en parallèle avec des concepts différents et un down select</t>
  </si>
  <si>
    <t>Agile ou waterfall</t>
  </si>
  <si>
    <t>STDP ou CapDemo en même temps que la phase 0 ou A</t>
  </si>
  <si>
    <t xml:space="preserve">Les fournisseurs attendus et leur capacite de production </t>
  </si>
  <si>
    <t>Type de SOW - SOW directif versus une architecture de mission proposée par le fournisseur</t>
  </si>
  <si>
    <t>Freedom of Design of Vendor</t>
  </si>
  <si>
    <t>CADRE Part C onglet OBS Maturité orgnisationelle du fourniseur</t>
  </si>
  <si>
    <t xml:space="preserve">Types de contrat – source unique ou compétitif (Contrat dirigé en Phase E ops aura une incidence sur le design du ground segment) </t>
  </si>
  <si>
    <t>Types de contrat – cout remboursable ou prix ferme</t>
  </si>
  <si>
    <t>Type de contrat: gonogo, options, milestones in April for CAFÉ</t>
  </si>
  <si>
    <t>Split next line into 2</t>
  </si>
  <si>
    <t>12 - Dispose, Divest, Descope, Delay</t>
  </si>
  <si>
    <t>Gestion du scope change et des risques dans chaque situation : cout remboursable (TA, options, gouvernance) ; prix ferme (descope, go no go, qualité du SOW a décrire le scope)</t>
  </si>
  <si>
    <t>Descope est dans DDD</t>
  </si>
  <si>
    <t>DDDD</t>
  </si>
  <si>
    <t>G&amp;C (cassiope ou radarsat 2) nous appartient pas</t>
  </si>
  <si>
    <t>Business model (CADRe part A) et le procurement strategy le repete</t>
  </si>
  <si>
    <t xml:space="preserve">incitatif commercial (ex. modele de commercialization comme WFS) </t>
  </si>
  <si>
    <t>Pour chaque phase et sous-systeme majeur -  CSA led, industry led, academia led (ex. En Phase E, CSA va mener les operations)</t>
  </si>
  <si>
    <t>Competitif - ouvert a l'international</t>
  </si>
  <si>
    <t>Competitif - ouvert au Canada</t>
  </si>
  <si>
    <t>Fausse competition</t>
  </si>
  <si>
    <t>monopole</t>
  </si>
  <si>
    <t>Dependences : Le fournisseur X doit etre le meme fournisseur que le fournisseur Y (Ex. Data processing handled by same supplier)</t>
  </si>
  <si>
    <t>Long lead Item - flux de trésorie en capital vs contrat vs échéancier</t>
  </si>
  <si>
    <t>CADRE Part C onglet QUANTITIES - LLI, spares, EM, PFM, RE-NRE</t>
  </si>
  <si>
    <t>Contenu Canadien</t>
  </si>
  <si>
    <t>Chaque contrat couvre quel partie du travail, liste d'inclusions et exclusions. List of inclusions and exclusions</t>
  </si>
  <si>
    <t>CBS Dictionary</t>
  </si>
  <si>
    <t>GFE and GFS (ex. DFL)</t>
  </si>
  <si>
    <t>Frais de transport et responsabilité</t>
  </si>
  <si>
    <t>Frais d'assurance et limitation de responsabilité</t>
  </si>
  <si>
    <t>Qualité du SOW</t>
  </si>
  <si>
    <t>RISK posture</t>
  </si>
  <si>
    <t>Stabilité des exigences. Par exemple, des exigences très instables, un nombre standard de demandes de modification technique, des exigences stables avec peu ou pas de changements attendus, etc.</t>
  </si>
  <si>
    <t>Résultats du RFI</t>
  </si>
  <si>
    <t>Procurement strategy</t>
  </si>
  <si>
    <t>Stratégie contractuelle Phase BCD - Concurrentiel, source unique (voir note de réflexion du point 2.4.1)</t>
  </si>
  <si>
    <t>Stratégie contractuelle Phase EF - Concurrentiel, source unique (voir note de réflexion du point 2.4.1)</t>
  </si>
  <si>
    <t>Capacité du vendeur dans le marché actuel, surcharge contractuel, effectif disponible</t>
  </si>
  <si>
    <t>OBS Maturité orgnisationelle du fourniseur</t>
  </si>
  <si>
    <t>Taux standard pour les ingénieurs, techniciens, gestionnaires, etc.</t>
  </si>
  <si>
    <t>Taux spécifiques pour les consultants ou experts externes</t>
  </si>
  <si>
    <t>Barème pour les appels d’offres et la sous-traitance (plafonds, politiques internes)</t>
  </si>
  <si>
    <t>Taux de frais et de profit appliqué au contrat</t>
  </si>
  <si>
    <t>Plan de gestion des risques financiers</t>
  </si>
  <si>
    <t>Existence d’une réserve pour risques identifiés (p. ex. volatilité du marché, retards de paiement)</t>
  </si>
  <si>
    <t>Registre de risque</t>
  </si>
  <si>
    <t xml:space="preserve">Descope Plan and other strategies to deal with funding shortfalls, </t>
  </si>
  <si>
    <t>À définir ici et lié au CADRE Part C - onglet DDDD</t>
  </si>
  <si>
    <t>Source of funding for each CBS element and Risk to A-Base</t>
  </si>
  <si>
    <t>Expenditure plan</t>
  </si>
  <si>
    <t xml:space="preserve">Taxes </t>
  </si>
  <si>
    <t>Pays, province et taux de taxes applicables</t>
  </si>
  <si>
    <t>Hypothèses Techniques (Space &amp; Ground Segment)</t>
  </si>
  <si>
    <t>TRRA</t>
  </si>
  <si>
    <t>Technologie et niveau de maturité (TRL)</t>
  </si>
  <si>
    <t>TRL initial prévu pour les composants clés</t>
  </si>
  <si>
    <t>CADRE Part C onglet TRL</t>
  </si>
  <si>
    <t>TRL</t>
  </si>
  <si>
    <t>Objectifs de TRL à atteindre pour chaque phase du projet</t>
  </si>
  <si>
    <t>4a. CBS and CBS Dictionary</t>
  </si>
  <si>
    <t xml:space="preserve">Sous-systèmes et architecture globale </t>
  </si>
  <si>
    <t>Liste et description des principaux sous-systèmes (structure, propulsion, contrôle d’attitude, communication, etc.)</t>
  </si>
  <si>
    <t>CBS</t>
  </si>
  <si>
    <t>Interfaces critiques (par ex. protocole de communication, alignement mécanique)</t>
  </si>
  <si>
    <t>TRL assessment tab - worry list</t>
  </si>
  <si>
    <t>This ground rule should state, at a high level, what is within scope of the estimate. For example, an estimate may cover the space segment, ground segment, and government oversight during phases B, C and D. Further clarification should be given if required, such as refurbishment of the ground segment rather than complete rebuild.</t>
  </si>
  <si>
    <t>Perimeter of costing exercise. Further Claraifications in CBs dictionary</t>
  </si>
  <si>
    <t>Durée de vie du projet et cycles de développement</t>
  </si>
  <si>
    <t>Stratégie de validation (modèles d’ingénierie, prototypes, simulations)</t>
  </si>
  <si>
    <t>Méthodes d’essais en environnement (thermique, vibration, vide, etc.)</t>
  </si>
  <si>
    <t>This assumption should state the expected build approach for the mission. For example, the bus/platform and payloads could be built in series or parallel.</t>
  </si>
  <si>
    <t>This assumption should state the cost improvement curve, as a percentile, for any items to be acquired with more than a single unit. If appropriate, items should be marked as Xth unit within a lot, such as the 8th unit, to allow for cost improvement curve theory to be reflected.</t>
  </si>
  <si>
    <t>Engineering Parameters in CADRe part B</t>
  </si>
  <si>
    <t>Contraintes techniques spécifiques</t>
  </si>
  <si>
    <t>Estimation de masse et de volume du système</t>
  </si>
  <si>
    <t>CADRE part B</t>
  </si>
  <si>
    <t>Consommation électrique maximale</t>
  </si>
  <si>
    <t>Besoins minimaux pour assurer la fiabilité</t>
  </si>
  <si>
    <t>Hypothèses Qualité, Fiabilité et Sécurité</t>
  </si>
  <si>
    <t>Normes et standards de qualité</t>
  </si>
  <si>
    <t>ECSS-Q-ST-20, ISO 9001, etc.</t>
  </si>
  <si>
    <t>Méthodes d’assurance qualité (revues, audits internes et externes)</t>
  </si>
  <si>
    <t>Safety and mission assurance</t>
  </si>
  <si>
    <t xml:space="preserve">Classe de Mission </t>
  </si>
  <si>
    <t>La mesure de la surveillance et de la rigueur appliquées par la CSA</t>
  </si>
  <si>
    <t>Hypothèses Opérationnelles</t>
  </si>
  <si>
    <t>Ressources humaines et expertise</t>
  </si>
  <si>
    <t>Équipe de base (ETP internes) et besoins en personnel spécialisé externe</t>
  </si>
  <si>
    <t>Disponibilité du personnel et plan de montée en compétence</t>
  </si>
  <si>
    <t>Calendrier, jalons et ressources temporelles</t>
  </si>
  <si>
    <t>Dates clés (ex. PDR – Preliminary Design Review, CDR – Critical Design Review, FRR – Flight Readiness Review) / Project Milestone Register (short report, detailed report)</t>
  </si>
  <si>
    <t>milestone Register</t>
  </si>
  <si>
    <t>Diagram of Phase Overlaps and Gaps</t>
  </si>
  <si>
    <t>we draw it form phasing</t>
  </si>
  <si>
    <t>GANTT Charts</t>
  </si>
  <si>
    <t>Schedule Constraints and Dependencies</t>
  </si>
  <si>
    <t>Phasing Model, phases</t>
  </si>
  <si>
    <t>Schedule Constraints</t>
  </si>
  <si>
    <t>Gestion des retards : conditions de replanification, procédures d’escalade</t>
  </si>
  <si>
    <t>Phasing Schedules</t>
  </si>
  <si>
    <t>Modèle de phase utilisé pour analyse de sensibilité (Phasing Model)</t>
  </si>
  <si>
    <t>Phasing model (for risk analysis)</t>
  </si>
  <si>
    <t xml:space="preserve">Échéancier de l'industrie </t>
  </si>
  <si>
    <t>Schedule Scenarios for sensitivity analysis : Adjust Durations - optimistic, pessimistic and expected</t>
  </si>
  <si>
    <t>Planification des infrastructures et installations</t>
  </si>
  <si>
    <t>Is DFL being used as GFE</t>
  </si>
  <si>
    <t>DFL being used? Strategy</t>
  </si>
  <si>
    <t>Lieux de développement, sites d’intégration et de test (chambres à vide, bancs de test)</t>
  </si>
  <si>
    <t>CBS Dictionary - Ground Segment - Test facilities</t>
  </si>
  <si>
    <t>Disponibilité des installations (ex. créneaux de test partagés avec d’autres projets)</t>
  </si>
  <si>
    <t>schedule risk =  risk register -&gt; pessimistic schedule model</t>
  </si>
  <si>
    <t>Gestion de la logistique et de la chaîne d’approvisionnement</t>
  </si>
  <si>
    <t>Délai de livraison des composants critiques (satellites, propulseurs, éléments électroniques)</t>
  </si>
  <si>
    <t>Plans de contingence en cas de rupture d’approvisionnement</t>
  </si>
  <si>
    <t>CADRE Part C onglet DDDD - dispose, descope, divest, delay</t>
  </si>
  <si>
    <t>Plan de gestion de mission (SatOps)</t>
  </si>
  <si>
    <t>Description des opérations prévues : phases de lancement, mise à l’orbite, opérations nominales, etc.</t>
  </si>
  <si>
    <t>Cadre part A</t>
  </si>
  <si>
    <t>Mode de supervision et contrôle (centres de contrôle, horaires, équipes)</t>
  </si>
  <si>
    <t>Cadre Part A</t>
  </si>
  <si>
    <t>Mission Operation Center</t>
  </si>
  <si>
    <t>GoC Science Operation Centers (SOCs)</t>
  </si>
  <si>
    <t>External Science Operation Centers (ESOCs)</t>
  </si>
  <si>
    <t>Hypothèses sur la science</t>
  </si>
  <si>
    <t>Science et applications</t>
  </si>
  <si>
    <t>Échéancier lié au volet de science du projet</t>
  </si>
  <si>
    <t>Expected cost of science utilization related to the mission.</t>
  </si>
  <si>
    <t>Portée de la mission sur le milieu public et académique</t>
  </si>
  <si>
    <t>Coût en lien avec la portée de la mission</t>
  </si>
  <si>
    <t>Hypothèses Lancement</t>
  </si>
  <si>
    <t>Véhicule de lancement</t>
  </si>
  <si>
    <t>Sélection du lanceur (ex. Falcon 9, Ariane, etc.) ou fenêtre de lancement partagée</t>
  </si>
  <si>
    <t>Capacités du lanceur (masse, volume, orbite cible)</t>
  </si>
  <si>
    <t>Cadre part A un petit peu et le reste dans le LV database CM list</t>
  </si>
  <si>
    <t>Calendrier de lancement</t>
  </si>
  <si>
    <t>Fenêtres de lancement disponibles (contraintes de météo, alignement orbital, etc.)</t>
  </si>
  <si>
    <t>Schedule assumptions and constraints for JCL Analysis</t>
  </si>
  <si>
    <t>Contingences pour reports éventuels</t>
  </si>
  <si>
    <t>Contrat et services associés</t>
  </si>
  <si>
    <t>Responsabilités du fournisseur de lancement (intégration, tests, qualification)</t>
  </si>
  <si>
    <t>OBS (roles et responsiblity) - CSa qui paye ou MDa qui paye</t>
  </si>
  <si>
    <t>Assurances (couverture du satellite, du lanceur, etc.)</t>
  </si>
  <si>
    <t>CBS Dictionary - if insurance</t>
  </si>
  <si>
    <t xml:space="preserve">Hypothèses Opérations en orbite </t>
  </si>
  <si>
    <t>Mode opératoire</t>
  </si>
  <si>
    <t>Gestion du satellite ou rover (téléopération vs. autonomie)</t>
  </si>
  <si>
    <t>Durée et fréquence des communications</t>
  </si>
  <si>
    <t>CADRE Part B</t>
  </si>
  <si>
    <t>Maintenance, réparations et évolutions</t>
  </si>
  <si>
    <t>Possibilité ou non de mise à jour logicielle en vol (OTA updates)</t>
  </si>
  <si>
    <t>CADRE part A - Bus FSW section</t>
  </si>
  <si>
    <t xml:space="preserve">Stratégiques de réparation ou d’assistance robotique </t>
  </si>
  <si>
    <t>CADRE part A - does it have any robotic repair interfaces</t>
  </si>
  <si>
    <t>Fin de mission et désorbitation</t>
  </si>
  <si>
    <t>Scénario de désorbitation contrôlée ou passivation (réservoirs, batteries)</t>
  </si>
  <si>
    <t>Dépôt sur orbite-cimetière pour le matériel en fin de vie (si admissible)</t>
  </si>
  <si>
    <t>Flux de documentation et reporting</t>
  </si>
  <si>
    <t>Fréquence des rapports d’avancement (hebdomadaires, mensuels)</t>
  </si>
  <si>
    <t>Classifications et diffusion</t>
  </si>
  <si>
    <t>Niveau de confidentialité (projet public, secret défense, propriété intellectuelle)</t>
  </si>
  <si>
    <t>Politiques de publication ou de diffusion des résultats</t>
  </si>
  <si>
    <t>À définir ici et/ou Business Case</t>
  </si>
  <si>
    <t>Hypothèses Légales, Réglementaires et Sécuritaires</t>
  </si>
  <si>
    <t>Réglementations gouvernementales</t>
  </si>
  <si>
    <t>Exigences fédérales (agences spatiales, ministères, etc.)</t>
  </si>
  <si>
    <t>Normes internationales (ECSS, ISO, NASA, CSA, etc.)</t>
  </si>
  <si>
    <t>Règles et régulations afférentes</t>
  </si>
  <si>
    <t>Contrôle à l’exportation (ex. ITAR, EAR)</t>
  </si>
  <si>
    <t>Identification des composants ou technologies soumis à licences</t>
  </si>
  <si>
    <t>Implications sur la gestion des fournisseurs et des partenaires étrangers</t>
  </si>
  <si>
    <t>Sécurité et sûreté</t>
  </si>
  <si>
    <t>Mesures de cybersécurité (protection des données, des communications, etc.)</t>
  </si>
  <si>
    <t>Exigences de sûreté pour le personnel et les installations (accès restreints, habilitations)</t>
  </si>
  <si>
    <t>Droit spatial et aspects juridiques</t>
  </si>
  <si>
    <t>Propriété et exploitation des données spatiales</t>
  </si>
  <si>
    <t>Protocole en cas de débris spatiaux, en fin de vie du satellite</t>
  </si>
  <si>
    <t>Propriété intellectuelle</t>
  </si>
  <si>
    <t xml:space="preserve">Propriété intellectuel en lien avec le projet - enjeux </t>
  </si>
  <si>
    <t>Hypothèses Environnementales</t>
  </si>
  <si>
    <t>Gestion des débris spatiaux</t>
  </si>
  <si>
    <t>Respect des lignes directrices d’atténuation des débris (liaisons, désorbitation en fin de vie)</t>
  </si>
  <si>
    <t>Méthodes envisagées pour minimiser la pollution orbitale</t>
  </si>
  <si>
    <t>Green space</t>
  </si>
  <si>
    <t>Impacts environnementaux terrestres</t>
  </si>
  <si>
    <t>Contrôle des émissions lors du lancement (polluants, bruit, etc.)</t>
  </si>
  <si>
    <t>CADRE Part C onglet Green Space</t>
  </si>
  <si>
    <t>Politique de recyclage ou de réutilisation des composants</t>
  </si>
  <si>
    <t>Hypothèses sur le risques</t>
  </si>
  <si>
    <t xml:space="preserve">Risques </t>
  </si>
  <si>
    <t>Risque du Projet Phase A à D</t>
  </si>
  <si>
    <t>Risque du Projet Phase E</t>
  </si>
  <si>
    <t>Risque du Projet Phase F</t>
  </si>
  <si>
    <t>Risque Science</t>
  </si>
  <si>
    <t>Risque Salaire</t>
  </si>
  <si>
    <t>Schedule Risk Assessment file (ms project) as input to the Joint Cost and Schedule Confidence Analysis Report</t>
  </si>
  <si>
    <t>Aspect critique de la mission et impact si la mission n'est pas respectée</t>
  </si>
  <si>
    <t>minimum mission success criteria - DRM - CADRE part C Taxon</t>
  </si>
  <si>
    <t>Hypothèse sur les mesures de performance par la valeur acquise</t>
  </si>
  <si>
    <t>CADRe part D - EVM</t>
  </si>
  <si>
    <t>Mesures de performance par la valeur acquise (EVM = Earn Value Management)</t>
  </si>
  <si>
    <t>Seuil orange et rouge pour EVM justifiant une réduction de la portée, une replanification</t>
  </si>
  <si>
    <t>pas dans ce fichier, pas avant PDR</t>
  </si>
  <si>
    <t>to salculate salaries</t>
  </si>
  <si>
    <t>New or Existing</t>
  </si>
  <si>
    <t>Exisiting</t>
  </si>
  <si>
    <t>EN-ENG-06</t>
  </si>
  <si>
    <t>EN-ENG-05</t>
  </si>
  <si>
    <t>EN-ENG-04</t>
  </si>
  <si>
    <t>Software</t>
  </si>
  <si>
    <t>New</t>
  </si>
  <si>
    <t>Parent CBS</t>
  </si>
  <si>
    <t>Impact on Analysis</t>
  </si>
  <si>
    <t>File Number</t>
  </si>
  <si>
    <t xml:space="preserve"> Manufacturing, Assembly, Integration and Test of Canadian Subsystems and Components</t>
  </si>
  <si>
    <t xml:space="preserve"> Nominal Operations (per design life)</t>
  </si>
  <si>
    <t xml:space="preserve"> Extended operations (mission extension)</t>
  </si>
  <si>
    <t xml:space="preserve"> Disposal (incl. post-mortem audit reports)</t>
  </si>
  <si>
    <t xml:space="preserve"> Post-Mortem science utilization</t>
  </si>
  <si>
    <t>Phase X</t>
  </si>
  <si>
    <t>9 - RAM LoE Inputs</t>
  </si>
  <si>
    <t>Risk Category</t>
  </si>
  <si>
    <t>Risk Sub-category</t>
  </si>
  <si>
    <t>Risk Name</t>
  </si>
  <si>
    <t>Internal Factors</t>
  </si>
  <si>
    <t>External Factors</t>
  </si>
  <si>
    <t>Cost - Impact in Phase</t>
  </si>
  <si>
    <t>Schedule - Initial Impact in Phase</t>
  </si>
  <si>
    <t>Governance</t>
  </si>
  <si>
    <t>Programmatic</t>
  </si>
  <si>
    <t>Technical</t>
  </si>
  <si>
    <t>Schedule</t>
  </si>
  <si>
    <t>Cost</t>
  </si>
  <si>
    <t>CADRe Part C - Essential Programmatic Inputs</t>
  </si>
  <si>
    <t>Version Draft 1.0</t>
  </si>
  <si>
    <t>Prepared by Mireille Bedirian</t>
  </si>
  <si>
    <t>Reviewed by [Name]</t>
  </si>
  <si>
    <t>Change history and associated files that contain the relevant data</t>
  </si>
  <si>
    <t>Draft 1</t>
  </si>
  <si>
    <t>CSA-FIN-RD-0545</t>
  </si>
  <si>
    <t>WildfireSat</t>
  </si>
  <si>
    <t>WFS @ PREP1</t>
  </si>
  <si>
    <t>WFS @ KDP-0</t>
  </si>
  <si>
    <t>WFS @ MDR#2</t>
  </si>
  <si>
    <t>WFS @ PREP2</t>
  </si>
  <si>
    <t>WFS @ KDP-A</t>
  </si>
  <si>
    <t>Initial document ahead of Phase B</t>
  </si>
  <si>
    <t>WFS @ KDP-B</t>
  </si>
  <si>
    <t>WFS @ PDR</t>
  </si>
  <si>
    <t>WFS @ CDR</t>
  </si>
  <si>
    <t>WFS @ SIR</t>
  </si>
  <si>
    <t>WFS @ Launch (as flown)</t>
  </si>
  <si>
    <t>WFS @ CR</t>
  </si>
  <si>
    <t>WFS @ KDP-X</t>
  </si>
  <si>
    <t>WFS @ end of life</t>
  </si>
  <si>
    <t>7 - Phasing Nomenclature</t>
  </si>
  <si>
    <t>SAIT</t>
  </si>
  <si>
    <t>Spacecraft Level Assembly, Test</t>
  </si>
  <si>
    <t>LEOP</t>
  </si>
  <si>
    <t>Lauch and early operations</t>
  </si>
  <si>
    <t>Nominal Schedule Used by Gaby for RAM calculation (PM Nomenclature)</t>
  </si>
  <si>
    <t>#</t>
  </si>
  <si>
    <t>Launch</t>
  </si>
  <si>
    <t>Performance</t>
  </si>
  <si>
    <t>Resources</t>
  </si>
  <si>
    <t>Requirements</t>
  </si>
  <si>
    <t>CA</t>
  </si>
  <si>
    <t>Milestone</t>
  </si>
  <si>
    <t>Worst case duration</t>
  </si>
  <si>
    <t>Worst case (2 months delay)</t>
  </si>
  <si>
    <t>realistic case duration</t>
  </si>
  <si>
    <t>Baseline: Realistic case date 
(1 month delay par phase)</t>
  </si>
  <si>
    <t>Optimistic case duration (EDA)</t>
  </si>
  <si>
    <t>Optimistic case</t>
  </si>
  <si>
    <t>Comments</t>
  </si>
  <si>
    <t>B2</t>
  </si>
  <si>
    <t>Contract Award (CA)</t>
  </si>
  <si>
    <t>Payload PDR</t>
  </si>
  <si>
    <t>CA + 6 mo</t>
  </si>
  <si>
    <t>Bus PDR</t>
  </si>
  <si>
    <t>CA + 8 mo</t>
  </si>
  <si>
    <t>Preliminary Design Review (PDR)</t>
  </si>
  <si>
    <t>CA + 7 mo</t>
  </si>
  <si>
    <t>C</t>
  </si>
  <si>
    <t>Payload CDR</t>
  </si>
  <si>
    <t>CA + 15 mo</t>
  </si>
  <si>
    <t>Bus CDR</t>
  </si>
  <si>
    <t>Overall CDR</t>
  </si>
  <si>
    <t>D</t>
  </si>
  <si>
    <t>Manufacturing Readiness Review (MRR)</t>
  </si>
  <si>
    <t>E</t>
  </si>
  <si>
    <t>Flatsat Integration &amp; Test</t>
  </si>
  <si>
    <t>Flight Hardware Complete</t>
  </si>
  <si>
    <t>CA + 20 mo</t>
  </si>
  <si>
    <t>CA + 18 mo</t>
  </si>
  <si>
    <t>Environmental Test Readiness Review (ETRR)</t>
  </si>
  <si>
    <t>CA + 31 mo</t>
  </si>
  <si>
    <t>Payload 1 ready for integration</t>
  </si>
  <si>
    <t>Acceptance Review (AR/SAR)</t>
  </si>
  <si>
    <t>CA + 30 mo</t>
  </si>
  <si>
    <t>CA + 34 mo</t>
  </si>
  <si>
    <t>CA + 27 mo</t>
  </si>
  <si>
    <t>Launch Readiness Review (LRR)</t>
  </si>
  <si>
    <t>Flight Units Complete</t>
  </si>
  <si>
    <t>CA + 40 mo</t>
  </si>
  <si>
    <t>CA + 35 mo</t>
  </si>
  <si>
    <t xml:space="preserve">56 MOIS </t>
  </si>
  <si>
    <t>Commissioning Complete Review (CCR)</t>
  </si>
  <si>
    <t>LEOP &amp; Commissioning Complete</t>
  </si>
  <si>
    <t>Operation</t>
  </si>
  <si>
    <t>Phase B1</t>
  </si>
  <si>
    <t>Phase B2</t>
  </si>
  <si>
    <t>SS</t>
  </si>
  <si>
    <t>COS</t>
  </si>
  <si>
    <t>CA + 5 mo</t>
  </si>
  <si>
    <t>CA + 9 mo</t>
  </si>
  <si>
    <t>CA + 11 mo</t>
  </si>
  <si>
    <t>Kick-off is 1 month after contract award.</t>
  </si>
  <si>
    <t>CSA develops the payload preliminary design and prepares for PDR.</t>
  </si>
  <si>
    <t>COS is the selected bus vendor and proceeds with spacecraft bus development.</t>
  </si>
  <si>
    <t>Overall PDR establishes the preliminary integrated spacecraft design baseline.</t>
  </si>
  <si>
    <t>CA + 13 mo</t>
  </si>
  <si>
    <t>CSA completes detailed payload design and payload-to-bus interfaces.</t>
  </si>
  <si>
    <t>CA + 21 mo</t>
  </si>
  <si>
    <t>CA + 16 mo</t>
  </si>
  <si>
    <t>COS completes the detailed spacecraft bus design.</t>
  </si>
  <si>
    <t>Final integrated spacecraft design is reviewed before manufacturing.</t>
  </si>
  <si>
    <t>CA + 23 mo</t>
  </si>
  <si>
    <t>Confirms readiness to begin major spacecraft and payload manufacturing.</t>
  </si>
  <si>
    <t>CA + 24 mo</t>
  </si>
  <si>
    <t>CA + 22 mo</t>
  </si>
  <si>
    <t>Verifies avionics, software, communications and payload interfaces before flight integration.</t>
  </si>
  <si>
    <t>Flight hardware for both spacecraft is complete and ready for environmental testing.</t>
  </si>
  <si>
    <t>CA + 28 mo</t>
  </si>
  <si>
    <t>Confirms readiness for spacecraft-level environmental testing.</t>
  </si>
  <si>
    <t>CA + 26 mo</t>
  </si>
  <si>
    <t>CSA delivers the first flight payload for integration with the COS spacecraft bus.</t>
  </si>
  <si>
    <t>CA + 32 mo</t>
  </si>
  <si>
    <t>Confirms completion of acceptance testing and required verification activities.</t>
  </si>
  <si>
    <t>CA + 37 mo</t>
  </si>
  <si>
    <t>CA + 42 mo</t>
  </si>
  <si>
    <t>Confirms spacecraft, ground segment, launch-site and operations readiness.</t>
  </si>
  <si>
    <t>Both SAM spacecraft are integrated, tested and accepted for launch.</t>
  </si>
  <si>
    <t>CSA support</t>
  </si>
  <si>
    <t>COS support</t>
  </si>
  <si>
    <t>CA + 39 mo</t>
  </si>
  <si>
    <t>CA + 36 mo</t>
  </si>
  <si>
    <t>Commercial launch of the two spacecraft into the required HEO configuration.</t>
  </si>
  <si>
    <t>Confirms completion of spacecraft checkout, payload activation, calibration and initial imaging.</t>
  </si>
  <si>
    <t>Launch and Early Orbit Phase followed by commissioning of both spacecraft and establishment of coordinated HEO operations.</t>
  </si>
  <si>
    <t>CA + 43 mo</t>
  </si>
  <si>
    <t>Routine mission operations begin following successful commissioning; Government of Canada performs mission operations.</t>
  </si>
  <si>
    <t>DND OPS</t>
  </si>
  <si>
    <t>Arian</t>
  </si>
  <si>
    <t>Existing</t>
  </si>
  <si>
    <t>Clara</t>
  </si>
  <si>
    <t>Thomas</t>
  </si>
  <si>
    <t>Sophie</t>
  </si>
  <si>
    <t>Marc</t>
  </si>
  <si>
    <t>Elena</t>
  </si>
  <si>
    <t>David</t>
  </si>
  <si>
    <t>Nadia</t>
  </si>
  <si>
    <t>Liam</t>
  </si>
  <si>
    <t>Amira</t>
  </si>
  <si>
    <t>Julien</t>
  </si>
  <si>
    <t>Émile</t>
  </si>
  <si>
    <t>Thermal Control</t>
  </si>
  <si>
    <t>Hannah</t>
  </si>
  <si>
    <t>Owen</t>
  </si>
  <si>
    <t>Payload Integration</t>
  </si>
  <si>
    <t>Claire</t>
  </si>
  <si>
    <t>Environmental Testing</t>
  </si>
  <si>
    <t>Noah</t>
  </si>
  <si>
    <t>Isabelle</t>
  </si>
  <si>
    <t>William</t>
  </si>
  <si>
    <t>Reliability</t>
  </si>
  <si>
    <t>Emma</t>
  </si>
  <si>
    <t>Configuration Management</t>
  </si>
  <si>
    <t>Alexandre</t>
  </si>
  <si>
    <t>Olivia</t>
  </si>
  <si>
    <t>Procurement</t>
  </si>
  <si>
    <t>Benjamin</t>
  </si>
  <si>
    <t>EN-ADM-04</t>
  </si>
  <si>
    <t>Charlotte</t>
  </si>
  <si>
    <t>Mission Operations</t>
  </si>
  <si>
    <t>Alex</t>
  </si>
  <si>
    <t>AS-06</t>
  </si>
  <si>
    <t>Mission Planning</t>
  </si>
  <si>
    <t>Jordan</t>
  </si>
  <si>
    <t>AS-05</t>
  </si>
  <si>
    <t>Data Exploitation</t>
  </si>
  <si>
    <t>Taylor</t>
  </si>
  <si>
    <t>Morgan</t>
  </si>
  <si>
    <t>Justin</t>
  </si>
  <si>
    <t>R-001</t>
  </si>
  <si>
    <t>Medium</t>
  </si>
  <si>
    <t>High</t>
  </si>
  <si>
    <t>R-002</t>
  </si>
  <si>
    <t>Launch Availability</t>
  </si>
  <si>
    <t>R-003</t>
  </si>
  <si>
    <t>Procurement Schedule Delay</t>
  </si>
  <si>
    <t>R-004</t>
  </si>
  <si>
    <t>Supply Chain and Long-Lead Procurement</t>
  </si>
  <si>
    <t>R-005</t>
  </si>
  <si>
    <t>Cost Growth</t>
  </si>
  <si>
    <t>R-006</t>
  </si>
  <si>
    <t>Payload Performance Shortfall</t>
  </si>
  <si>
    <t>R-007</t>
  </si>
  <si>
    <t>Stakeholder and Scope Growth</t>
  </si>
  <si>
    <t>R-008</t>
  </si>
  <si>
    <t>Ground Segment Capacity Growth</t>
  </si>
  <si>
    <t>R-009</t>
  </si>
  <si>
    <t>Specialized Resource Availability</t>
  </si>
  <si>
    <t>R-010</t>
  </si>
  <si>
    <t>Two-Spacecraft Technical Integration</t>
  </si>
  <si>
    <t>R-011</t>
  </si>
  <si>
    <t>Governance and Approval Delays</t>
  </si>
  <si>
    <t>R-012</t>
  </si>
  <si>
    <t>Requirements Maturity</t>
  </si>
  <si>
    <t>Operations</t>
  </si>
  <si>
    <t>R-013</t>
  </si>
  <si>
    <t>Operations LOE Growth</t>
  </si>
  <si>
    <t>R-014</t>
  </si>
  <si>
    <t>Data Product and User Growth</t>
  </si>
  <si>
    <t>R-015</t>
  </si>
  <si>
    <t>Launch Vehicle Interface Changes</t>
  </si>
  <si>
    <t>Low</t>
  </si>
  <si>
    <t>Integration Schedule</t>
  </si>
  <si>
    <t>SAM payload and COS bus integration may take longer than planned due to interface issues or design iterations.</t>
  </si>
  <si>
    <t>Payload-bus interface maturity and coordination</t>
  </si>
  <si>
    <t>External supplier schedule</t>
  </si>
  <si>
    <t>Development Schedule</t>
  </si>
  <si>
    <t>Development activities may take longer than planned, delaying major design reviews and downstream activities.</t>
  </si>
  <si>
    <t>Design iteration and project management</t>
  </si>
  <si>
    <t>Contractor performance and supply chain</t>
  </si>
  <si>
    <t>PSPC Procurement Delay</t>
  </si>
  <si>
    <t>PSPC procurement activities may take longer than assumed for the payload, bus or supporting services.</t>
  </si>
  <si>
    <t>Procurement planning and documentation</t>
  </si>
  <si>
    <t>Government procurement timelines</t>
  </si>
  <si>
    <t>Supply Chain Delay</t>
  </si>
  <si>
    <t>Long-lead spacecraft and payload components may not be available when required.</t>
  </si>
  <si>
    <t>Supplier selection and procurement planning</t>
  </si>
  <si>
    <t>Component availability and supplier capacity</t>
  </si>
  <si>
    <t>Actual program costs may exceed the preliminary estimate due to design growth, labour requirements or supplier pricing.</t>
  </si>
  <si>
    <t>Estimate maturity and scope definition</t>
  </si>
  <si>
    <t>Market pricing and supplier quotations</t>
  </si>
  <si>
    <t>Payload</t>
  </si>
  <si>
    <t>Payload Performance</t>
  </si>
  <si>
    <t>The payload may not simultaneously achieve the required spatial resolution, swath, imaging quality and data-generation performance.</t>
  </si>
  <si>
    <t>Payload design maturity</t>
  </si>
  <si>
    <t>Detector and component performance</t>
  </si>
  <si>
    <t>The CSA payload may experience mechanical, electrical, thermal or software interface issues during integration with the COS bus.</t>
  </si>
  <si>
    <t>Interface definition and integration testing</t>
  </si>
  <si>
    <t>Bus interface constraints</t>
  </si>
  <si>
    <t>Spacecraft Bus</t>
  </si>
  <si>
    <t>Bus Performance</t>
  </si>
  <si>
    <t>The COS spacecraft bus may experience performance issues involving power, thermal control, communications, ADCS or onboard processing.</t>
  </si>
  <si>
    <t>Bus design maturity and subsystem interactions</t>
  </si>
  <si>
    <t>Component availability and environmental conditions</t>
  </si>
  <si>
    <t>Constellation</t>
  </si>
  <si>
    <t>Two-Spacecraft Coordination</t>
  </si>
  <si>
    <t>Coordinating two spacecraft to provide continuous Arctic observation may introduce additional attitude, communications, mission-planning and operational complexity.</t>
  </si>
  <si>
    <t>Constellation architecture and mission planning</t>
  </si>
  <si>
    <t>Orbital and communications constraints</t>
  </si>
  <si>
    <t>Ground Capacity</t>
  </si>
  <si>
    <t>Ground receiving, processing and storage capacity may be insufficient for the final mission data volume.</t>
  </si>
  <si>
    <t>Initial data-volume assumptions</t>
  </si>
  <si>
    <t>Receiving-station and network availability</t>
  </si>
  <si>
    <t>Data processing may not achieve the required throughput or product latency.</t>
  </si>
  <si>
    <t>Processing architecture and software development</t>
  </si>
  <si>
    <t>External infrastructure dependencies</t>
  </si>
  <si>
    <t>Software Growth</t>
  </si>
  <si>
    <t>Mission planning, spacecraft control and data-processing software may require greater development effort than initially estimated.</t>
  </si>
  <si>
    <t>Requirements growth and software complexity</t>
  </si>
  <si>
    <t>Third-party software and interface dependencies</t>
  </si>
  <si>
    <t>The two-spacecraft constellation may require more operational staffing and automation than initially planned.</t>
  </si>
  <si>
    <t>Operational concept and automation level</t>
  </si>
  <si>
    <t>Mission anomalies and workload variability</t>
  </si>
  <si>
    <t>Data</t>
  </si>
  <si>
    <t>Data Product Requirements</t>
  </si>
  <si>
    <t>DND and other authorized users may require additional data products, processing or interfaces beyond the initial baseline.</t>
  </si>
  <si>
    <t>User requirements and product definition</t>
  </si>
  <si>
    <t>Changes in operational data needs</t>
  </si>
  <si>
    <t>Cybersecurity</t>
  </si>
  <si>
    <t>Data Security</t>
  </si>
  <si>
    <t>Ground systems and data-distribution interfaces may require additional cybersecurity controls or infrastructure.</t>
  </si>
  <si>
    <t>System architecture and security design</t>
  </si>
  <si>
    <t>Threat environment and government security requirements</t>
  </si>
  <si>
    <t>Launch Vehicle</t>
  </si>
  <si>
    <t>A suitable commercial launch opportunity may not be available when both spacecraft are ready.</t>
  </si>
  <si>
    <t>Launch campaign planning</t>
  </si>
  <si>
    <t>Commercial launch-provider availability</t>
  </si>
  <si>
    <t>Launch Interface</t>
  </si>
  <si>
    <t>Launch-vehicle requirements may require changes to spacecraft mechanical, electrical or separation interfaces.</t>
  </si>
  <si>
    <t>Spacecraft-launch interface definition</t>
  </si>
  <si>
    <t>Launch-provider requirements</t>
  </si>
  <si>
    <t>Launch Campaign</t>
  </si>
  <si>
    <t>Launch Campaign Delay</t>
  </si>
  <si>
    <t>Launch-site processing, transportation or campaign activities may take longer than planned.</t>
  </si>
  <si>
    <t>Campaign planning and logistics</t>
  </si>
  <si>
    <t>Launch-site conditions and provider schedule</t>
  </si>
  <si>
    <t>Requirements Growth</t>
  </si>
  <si>
    <t>Preliminary requirements may change following analysis of coverage, orbit, payload performance, data volume and operational needs.</t>
  </si>
  <si>
    <t>Requirements maturity</t>
  </si>
  <si>
    <t>Stakeholder changes</t>
  </si>
  <si>
    <t>Stakeholders</t>
  </si>
  <si>
    <t>Stakeholder Alignment</t>
  </si>
  <si>
    <t>Different government stakeholders may introduce conflicting or additional requirements during development.</t>
  </si>
  <si>
    <t>Stakeholder coordination</t>
  </si>
  <si>
    <t>Government user needs</t>
  </si>
  <si>
    <t>Approval Delays</t>
  </si>
  <si>
    <t>Governance, security, data-access or interdepartmental approvals may take longer than planned.</t>
  </si>
  <si>
    <t>Decision and approval processes</t>
  </si>
  <si>
    <t>Government organizational dependencies</t>
  </si>
  <si>
    <t>Personnel</t>
  </si>
  <si>
    <t>Specialized Skills</t>
  </si>
  <si>
    <t>Availability of specialized spacecraft, payload, remote-sensing and systems-engineering personnel may constrain project execution.</t>
  </si>
  <si>
    <t>Resource planning and retention</t>
  </si>
  <si>
    <t>Labour-market availability</t>
  </si>
  <si>
    <t>Operations Staffing</t>
  </si>
  <si>
    <t>24-hour operations for two spacecraft may require more personnel than initially estimated.</t>
  </si>
  <si>
    <t>Staffing model and automation</t>
  </si>
  <si>
    <t>Personnel availability</t>
  </si>
  <si>
    <t>Testing</t>
  </si>
  <si>
    <t>Environmental testing may identify hardware or interface problems requiring corrective action and retesting.</t>
  </si>
  <si>
    <t>Test planning and hardware maturity</t>
  </si>
  <si>
    <t>Unexpected test results</t>
  </si>
  <si>
    <t>Manufacturing</t>
  </si>
  <si>
    <t>Hardware Delivery</t>
  </si>
  <si>
    <t>Flight hardware may not be delivered according to the planned integration schedule.</t>
  </si>
  <si>
    <t>Manufacturing and supplier management</t>
  </si>
  <si>
    <t>Supplier delays and component shortages</t>
  </si>
  <si>
    <t>Commissioning</t>
  </si>
  <si>
    <t>Commissioning Delay</t>
  </si>
  <si>
    <t>Spacecraft or payload commissioning may take longer than planned before operational imaging begins.</t>
  </si>
  <si>
    <t>Commissioning procedures and spacecraft maturity</t>
  </si>
  <si>
    <t>On-orbit anomalies</t>
  </si>
  <si>
    <t>Availability</t>
  </si>
  <si>
    <t>Spacecraft Availability</t>
  </si>
  <si>
    <t>One spacecraft may experience an anomaly that reduces the planned continuous Arctic observation capability.</t>
  </si>
  <si>
    <t>Redundancy and spacecraft reliability</t>
  </si>
  <si>
    <t>On-orbit component failure</t>
  </si>
  <si>
    <t>User Data Usage</t>
  </si>
  <si>
    <t>DND users may require additional analyst support, data products or integration with operational systems.</t>
  </si>
  <si>
    <t>Initial user requirements</t>
  </si>
  <si>
    <t>Changes in user workflows</t>
  </si>
  <si>
    <t>These are defaults</t>
  </si>
  <si>
    <t>These are provided by PM</t>
  </si>
  <si>
    <t>Auto from Name</t>
  </si>
  <si>
    <t>Headers are populated from Tab #2 where you pick names</t>
  </si>
  <si>
    <t>Calculated using durations above, and rates on left</t>
  </si>
  <si>
    <t>dB ID</t>
  </si>
  <si>
    <t>Role on Project</t>
  </si>
  <si>
    <t>Planning</t>
  </si>
  <si>
    <t>B</t>
  </si>
  <si>
    <t>F</t>
  </si>
  <si>
    <t>0.1 FTE</t>
  </si>
  <si>
    <t>0.2 FTE</t>
  </si>
  <si>
    <t>-</t>
  </si>
  <si>
    <t>0.4 FTE</t>
  </si>
  <si>
    <t>0.3 FTE</t>
  </si>
  <si>
    <t>0.5 FTE</t>
  </si>
  <si>
    <t>0.8 FTE</t>
  </si>
  <si>
    <t>1.0 FTE</t>
  </si>
  <si>
    <t>0.9 FTE</t>
  </si>
  <si>
    <t>0.6 FTE</t>
  </si>
  <si>
    <t>0.0 FTE</t>
  </si>
  <si>
    <t>0.7 FTE</t>
  </si>
  <si>
    <t>Multiple roles</t>
  </si>
  <si>
    <t>Horizontal Services</t>
  </si>
  <si>
    <t>Infrastructure</t>
  </si>
  <si>
    <t>Fairness Monitor</t>
  </si>
  <si>
    <t>Salary without inflation in "Then Year"</t>
  </si>
  <si>
    <t>EBP 27%</t>
  </si>
  <si>
    <t>Salary and EBP in Then Year</t>
  </si>
  <si>
    <t>Apply inflation to future years</t>
  </si>
  <si>
    <t>Salary and EBP in "Base Year" 2026 with inflation</t>
  </si>
  <si>
    <t>Rate</t>
  </si>
  <si>
    <t>CSA - Project Team</t>
  </si>
  <si>
    <t>Project Manager; PM; Project Manager; Commitment=Commitment; Space Segment; SU; ESS; ZZZ-0001; Max Echelon; Labour Rates; FF-CSA</t>
  </si>
  <si>
    <t>Systems Engineering; Systems Engineering; Systems Engineer; Commitment=0.0; Space Segment; SU; ESS; ZZZ-0002; Max Echelon; Labour Rates; FF-CSA</t>
  </si>
  <si>
    <t>Systems Engineering; Mission Requirements; Requirements Engineer; Commitment=0.7; Space Segment; SU; ESS; ZZZ-0003; Max Echelon; Labour Rates; FF-CSA</t>
  </si>
  <si>
    <t>CSA - Payload Team</t>
  </si>
  <si>
    <t>Payload Engineering; Payload Systems; Payload Systems Engineer; Commitment=0.2; Space Segment; SU; ESS; ZZZ-0004; Max Echelon; Labour Rates; FF-CSA</t>
  </si>
  <si>
    <t>Payload Engineering; Optical Systems; Optical Engineer; Commitment=0.4; Space Segment; SU; ESS; ZZZ-0005; Max Echelon; Labour Rates; FF-CSA</t>
  </si>
  <si>
    <t>Payload Engineering; Detector Engineering; Detector Engineer; Commitment=0.9; Space Segment; SU; ESS; ZZZ-0006; Max Echelon; Labour Rates; FF-CSA</t>
  </si>
  <si>
    <t>Payload Engineering; Remote Sensing; Remote Sensing Specialist; Commitment=0.5; Space Segment; SU; ESS; ZZZ-0007; Max Echelon; Labour Rates; FF-CSA</t>
  </si>
  <si>
    <t>Payload Engineering; Payload Electronics; Payload Electronics Engineer; Commitment=0.9; Space Segment; SU; ESS; ZZZ-0008; Max Echelon; Labour Rates; FF-CSA</t>
  </si>
  <si>
    <t>Payload Engineering; Calibration; Payload Calibration Engineer; Commitment=1.0; Space Segment; SU; ESS; ZZZ-0009; Max Echelon; Labour Rates; FF-CSA</t>
  </si>
  <si>
    <t>Software Engineering; Payload Software; Payload Software Engineer; Commitment=0.9; Space Segment; SU; ESS; ZZZ-0010; Max Echelon; Labour Rates; FF-CSA</t>
  </si>
  <si>
    <t>Software Engineering; Data Processing; Payload Data Processing Engineer; Commitment=0.5; Space Segment; SU; ESS; ZZZ-0011; Max Echelon; Labour Rates; FF-CSA</t>
  </si>
  <si>
    <t>Electrical Engineering; Electrical Interfaces; Electrical Engineer; Commitment=0.7; Space Segment; SU; ESS; ZZZ-0012; Max Echelon; Labour Rates; FF-CSA</t>
  </si>
  <si>
    <t>Mechanical Engineering; Mechanical Integration; Mechanical Engineer; Commitment=0.3; Space Segment; SU; ESS; ZZZ-0013; Max Echelon; Labour Rates; FF-CSA</t>
  </si>
  <si>
    <t>Thermal Engineering; Thermal Control; Thermal Engineer; Commitment=0.5; Space Segment; SU; ESS; ZZZ-0014; Max Echelon; Labour Rates; FF-CSA</t>
  </si>
  <si>
    <t>Software Engineering; Flight Interfaces; Flight Software Engineer; Commitment=0.3; Space Segment; SU; ESS; ZZZ-0015; Max Echelon; Labour Rates; FF-CSA</t>
  </si>
  <si>
    <t>Integration and Test; Payload Integration; Integration and Test Engineer; Commitment=0.9; Space Segment; SU; ESS; ZZZ-0016; Max Echelon; Labour Rates; FF-CSA</t>
  </si>
  <si>
    <t>Integration and Test; Environmental Testing; Test Engineer; Commitment=0.7; Space Segment; SU; ESS; ZZZ-0017; Max Echelon; Labour Rates; FF-CSA</t>
  </si>
  <si>
    <t>Integration and Test; Verification and Validation; Verification Engineer; Commitment=0.9; Space Segment; SU; ESS; ZZZ-0018; Max Echelon; Labour Rates; FF-CSA</t>
  </si>
  <si>
    <t>Mission Assurance; Quality Assurance; Quality Assurance Engineer; Commitment=0.5; Space Segment; SU; ESS; ZZZ-0019; Max Echelon; Labour Rates; FF-CSA</t>
  </si>
  <si>
    <t>Mission Assurance; Reliability; Reliability Engineer; Commitment=0.8; Space Segment; SU; ESS; ZZZ-0020; Max Echelon; Labour Rates; FF-CSA</t>
  </si>
  <si>
    <t>Project Management; Configuration Management; Configuration Manager; Commitment=0.7; Space Segment; SU; ESS; ZZZ-0021; Max Echelon; Labour Rates; FF-CSA</t>
  </si>
  <si>
    <t>CSA - Operations Team</t>
  </si>
  <si>
    <t>Mission Operations; Spacecraft Operations; Mission Operations Officer; Commitment=0.5; Space Segment; SU; ESS; ZZZ-0022; Max Echelon; Labour Rates; FF-CSA</t>
  </si>
  <si>
    <t>Mission Operations; Spacecraft Operations; Flight Software Engineer; Commitment=0.4; Space Segment; SU; ESS; ZZZ-0023; Max Echelon; Labour Rates; FF-CSA</t>
  </si>
  <si>
    <t>Logistics; Logistics and Operations; Logistics Specialist; Commitment=0.7; Space Segment; SU; ESS; ZZZ-0024; Max Echelon; Labour Rates; FF-CSA</t>
  </si>
  <si>
    <t>DND - Operations Team</t>
  </si>
  <si>
    <t>Mission Operations; Spacecraft Operations; Mission Operations Officer; Commitment=0.8; DND Operations; DND; Space Operations; ZZZ-0025; Max Echelon; Labour Rates; FF-DND</t>
  </si>
  <si>
    <t>Mission Operations; Mission Planning; Mission Planner; Commitment=0.1; DND Operations; DND; Space Operations; ZZZ-0026; Max Echelon; Labour Rates; FF-DND</t>
  </si>
  <si>
    <t>DND - Data Team</t>
  </si>
  <si>
    <t>Data Exploitation; EO Data Analysis; Data Exploitation Analyst; Commitment=1.0; Data Usage; DND; Information Management; ZZZ-0027; Max Echelon; Labour Rates; FF-DND</t>
  </si>
  <si>
    <t>Data Exploitation; Intelligence Support; Geospatial Intelligence Analyst; Commitment=0.2; Data Usage; DND; Information Management; ZZZ-0028; Max Echelon; Labour Rates; FF-DND</t>
  </si>
  <si>
    <t>this is a percentage, economic constants used in analysis are defined in CADRe Part D</t>
  </si>
  <si>
    <t>SS support</t>
  </si>
  <si>
    <t>DND Client Departments</t>
  </si>
  <si>
    <t>Covered by DND Operations / Data Team rows 25-28</t>
  </si>
  <si>
    <t>16.20 FTE</t>
  </si>
  <si>
    <t>4.20 FTE</t>
  </si>
  <si>
    <t>6.55 FTE</t>
  </si>
  <si>
    <t>12.35 FTE</t>
  </si>
  <si>
    <t>19.15 FTE</t>
  </si>
  <si>
    <t>10.10 FTE</t>
  </si>
  <si>
    <t>3.85 FTE</t>
  </si>
  <si>
    <t>10.98 FTE</t>
  </si>
  <si>
    <t>8.97 FTE</t>
  </si>
  <si>
    <t>17.45 FTE</t>
  </si>
  <si>
    <t>13.12 FTE</t>
  </si>
  <si>
    <t>4.01 FTE</t>
  </si>
  <si>
    <t>Bring historic data into Base Year 2026</t>
  </si>
  <si>
    <t>Please provide an explanation why positions are required</t>
  </si>
  <si>
    <t>Type of Risk</t>
  </si>
  <si>
    <t>Probability</t>
  </si>
  <si>
    <t>Mitigation Strategy</t>
  </si>
  <si>
    <t>Mitigation Strategy Narrative</t>
  </si>
  <si>
    <t>Cost Impact – Optimistic ($000)</t>
  </si>
  <si>
    <t>Cost Impact – Most Likely ($000)</t>
  </si>
  <si>
    <t>Cost Impact – Pessimistic ($000)</t>
  </si>
  <si>
    <t>Weighted Exposure ($000)</t>
  </si>
  <si>
    <t>Cost Impact in Phase</t>
  </si>
  <si>
    <t>Schedule Impact in Phase</t>
  </si>
  <si>
    <t>Programmatic Integration &amp; Execution</t>
  </si>
  <si>
    <t>Schedule Planning &amp; Control</t>
  </si>
  <si>
    <t>Payload–Bus Integration Delay</t>
  </si>
  <si>
    <t>Integration of the CSA payload with the COS spacecraft bus takes longer than planned because interfaces, harnessing, thermal constraints, data interfaces or software dependencies are not closed before integration.</t>
  </si>
  <si>
    <t>Late ICD closure; interface changes; insufficient joint reviews; limited integration margin</t>
  </si>
  <si>
    <t>COS supplier delivery timing; payload vendor dependencies; test-facility availability</t>
  </si>
  <si>
    <t>Mitigate</t>
  </si>
  <si>
    <t>Freeze interface control documents before CDR, run joint interface audits, use flatsat/interface simulators, and protect D-phase integration float.</t>
  </si>
  <si>
    <t>B2–D</t>
  </si>
  <si>
    <t>C–D</t>
  </si>
  <si>
    <t>May delay payload integration, environmental testing and launch readiness.</t>
  </si>
  <si>
    <t>Adds systems-engineering and integration LOE plus schedule contingency to the estimate.</t>
  </si>
  <si>
    <t>Launch Availability Mismatch</t>
  </si>
  <si>
    <t>A suitable commercial launch opportunity for two spacecraft into the selected HEO is not available when SAM hardware is ready.</t>
  </si>
  <si>
    <t>Launch readiness date may move; limited schedule reserve; two-spacecraft deployment constraints</t>
  </si>
  <si>
    <t>Launch-provider manifest changes; vehicle availability; orbital insertion constraints</t>
  </si>
  <si>
    <t>Accept</t>
  </si>
  <si>
    <t>Retain a launch-window reserve and storage allowance, but treat residual provider-manifest uncertainty as an accepted program exposure after technical compatibility is demonstrated.</t>
  </si>
  <si>
    <t>D–E</t>
  </si>
  <si>
    <t>May extend storage, campaign and commissioning activities.</t>
  </si>
  <si>
    <t>Adds launch-campaign, storage, insurance and program-management exposure.</t>
  </si>
  <si>
    <t>Contracting &amp; Procurement</t>
  </si>
  <si>
    <t>PSPC procurement activities for the bus, payload-related procurement, launch or support services take longer than assumed.</t>
  </si>
  <si>
    <t>Incomplete SOWs; procurement staffing limits; late technical inputs</t>
  </si>
  <si>
    <t>Federal procurement review cycles; bid clarification; contracting timelines</t>
  </si>
  <si>
    <t>Complete acquisition strategy early, baseline technical data packages before solicitation, and maintain an integrated procurement schedule tied to B2 need dates.</t>
  </si>
  <si>
    <t>B1–B2</t>
  </si>
  <si>
    <t>Contract award or supplier start dates may slip.</t>
  </si>
  <si>
    <t>Increases PM/procurement LOE and schedule uncertainty.</t>
  </si>
  <si>
    <t>Supply Chain &amp; Commercial</t>
  </si>
  <si>
    <t>Long-Lead Components</t>
  </si>
  <si>
    <t>Space-qualified detectors, electronics, optics or other specialized components arrive later than required because of long lead times or constrained supply.</t>
  </si>
  <si>
    <t>Late purchase orders; incomplete forecasts; limited qualified alternates</t>
  </si>
  <si>
    <t>Supplier backlog; semiconductor/optical supply constraints; obsolescence</t>
  </si>
  <si>
    <t>Identify long-lead items before CDR, authorize early procurement for critical items, track supplier milestones, and qualify alternates where practical.</t>
  </si>
  <si>
    <t>May delay manufacturing and integration.</t>
  </si>
  <si>
    <t>Adds procurement management, inventory and contingency assumptions.</t>
  </si>
  <si>
    <t>Cost &amp; Budget Management</t>
  </si>
  <si>
    <t>Development Cost Growth</t>
  </si>
  <si>
    <t>Actual development costs exceed the preliminary CADRe estimate because of design growth, labour growth, supplier pricing and additional test effort.</t>
  </si>
  <si>
    <t>Immature design; optimistic labour assumptions; incomplete WBS</t>
  </si>
  <si>
    <t>Supplier quotation changes; inflation; market conditions</t>
  </si>
  <si>
    <t>Refresh bottoms-up estimates at PDR/CDR, maintain cost reserves, and reconcile cost growth with design maturity and Part C schedule scenarios.</t>
  </si>
  <si>
    <t>B1–D</t>
  </si>
  <si>
    <t>May require additional funding, descoping or schedule changes.</t>
  </si>
  <si>
    <t>Widens the cost uncertainty range and contingency requirement.</t>
  </si>
  <si>
    <t>Technological &amp; Engineering Factors</t>
  </si>
  <si>
    <t>The payload cannot simultaneously meet ≤5 m GSD, ≥50 km swath, radiometric performance, mass, power and data-rate requirements.</t>
  </si>
  <si>
    <t>Unclosed optical and detector trades; immature payload architecture; limited test data</t>
  </si>
  <si>
    <t>Detector availability; environmental sensitivity; HEO imaging geometry</t>
  </si>
  <si>
    <t>Run end-to-end performance models, prototype critical functions, maintain error budgets and demonstrate performance before CDR.</t>
  </si>
  <si>
    <t>May require redesign, additional test articles or payload changes.</t>
  </si>
  <si>
    <t>Increases payload engineering, verification and integration LOE.</t>
  </si>
  <si>
    <t>Requirements &amp; Scope Management</t>
  </si>
  <si>
    <t>CSA, DND and other authorized users introduce additional mission, security, operational or data requirements after the baseline is established.</t>
  </si>
  <si>
    <t>Incomplete stakeholder workshops; weak change control; ambiguous success criteria</t>
  </si>
  <si>
    <t>Changing user needs; departmental priorities; security requirements</t>
  </si>
  <si>
    <t>Baseline measurable requirements, operate a formal change-control board and require quantified cost/schedule impacts for changes.</t>
  </si>
  <si>
    <t>B1–C</t>
  </si>
  <si>
    <t>May increase scope, interfaces and development duration.</t>
  </si>
  <si>
    <t>Requires additional engineering, software and operations LOE.</t>
  </si>
  <si>
    <t>Ground Segment &amp; Operations</t>
  </si>
  <si>
    <t>Ground Infrastructure</t>
  </si>
  <si>
    <t>Final data rates, contact geometry, latency or processing requirements require more receiving, processing, storage or dissemination capability than planned.</t>
  </si>
  <si>
    <t>Incomplete link/data-volume models; early infrastructure assumptions</t>
  </si>
  <si>
    <t>Ground-station service levels; HEO contact geometry; supplier capacity</t>
  </si>
  <si>
    <t>Accept residual ground-capacity growth after confirming the baseline data-volume and contact model, while retaining scalable processing, storage and station-service options.</t>
  </si>
  <si>
    <t>May require additional ground infrastructure and software.</t>
  </si>
  <si>
    <t>Increases ground-segment CAPEX/OPEX and operations LOE.</t>
  </si>
  <si>
    <t>Organizational &amp; Human Factors</t>
  </si>
  <si>
    <t>Resource &amp; Staffing Capacity</t>
  </si>
  <si>
    <t>SAM cannot staff enough spacecraft, payload, software, systems-engineering or mission-operations specialists when needed.</t>
  </si>
  <si>
    <t>Small internal talent pool; hiring lead time; skill concentration</t>
  </si>
  <si>
    <t>Canadian space labour-market competition; supplier hiring demand</t>
  </si>
  <si>
    <t>Identify critical skills by phase, recruit early, cross-train staff and maintain qualified contractor/industry support options.</t>
  </si>
  <si>
    <t>B1–E</t>
  </si>
  <si>
    <t>May delay technical reviews, integration or operations readiness.</t>
  </si>
  <si>
    <t>Raises labour-rate and FTE assumptions.</t>
  </si>
  <si>
    <t>System Integration</t>
  </si>
  <si>
    <t>The two-spacecraft coordinated constellation introduces issues in common software, timing, mission planning, communications, ADCS, configuration or observation coordination.</t>
  </si>
  <si>
    <t>Inconsistent spacecraft baselines; insufficient constellation simulation</t>
  </si>
  <si>
    <t>COS build variation; ground-system interoperability; launch separation dispersions</t>
  </si>
  <si>
    <t>Use common interfaces, synchronized software/configuration baselines, constellation simulation and integrated flatsat/mission-scenario testing.</t>
  </si>
  <si>
    <t>May increase system integration and verification effort.</t>
  </si>
  <si>
    <t>Adds systems-engineering, software and test LOE.</t>
  </si>
  <si>
    <t>Leadership, Governance &amp; Culture</t>
  </si>
  <si>
    <t>Governance, security, data-access or interdepartmental approvals take longer than planned.</t>
  </si>
  <si>
    <t>Unclear authorities; slow decision cycles; incomplete approval packages</t>
  </si>
  <si>
    <t>Departmental review priorities; security or policy approvals</t>
  </si>
  <si>
    <t>Define authorities, decision timelines, data-access rules and approval gates in the governance baseline before CDR.</t>
  </si>
  <si>
    <t>May delay decisions and operational readiness.</t>
  </si>
  <si>
    <t>Adds PM, governance and stakeholder-coordination LOE.</t>
  </si>
  <si>
    <t>Quantitative requirements for coverage, resolution, swath, data rate, storage, availability, reliability and orbit remain unstable after B2.</t>
  </si>
  <si>
    <t>Incomplete trade studies; inadequate traceability</t>
  </si>
  <si>
    <t>Payload supplier findings; user changes; orbit-analysis results</t>
  </si>
  <si>
    <t>Maintain requirement-to-design traceability, close mission trades before CDR, and baseline threshold/objective values with verification methods.</t>
  </si>
  <si>
    <t>B2–C</t>
  </si>
  <si>
    <t>May cause redesign before or after CDR.</t>
  </si>
  <si>
    <t>Materially affects cost, schedule and technical uncertainty.</t>
  </si>
  <si>
    <t>Operational</t>
  </si>
  <si>
    <t>24-hour government operations for two spacecraft require more staffing, automation, training or infrastructure than assumed.</t>
  </si>
  <si>
    <t>Underdeveloped CONOPS; optimistic staffing model; limited simulator time</t>
  </si>
  <si>
    <t>Operational service demands; anomaly workload; staffing availability</t>
  </si>
  <si>
    <t>Accept residual operations-workload variance after completing the quantified 24-hour staffing model and setting a controlled automation/surge-staffing reserve.</t>
  </si>
  <si>
    <t>C–E</t>
  </si>
  <si>
    <t>May increase recurring operations staffing and infrastructure.</t>
  </si>
  <si>
    <t>Raises lifecycle labour and ground cost assumptions.</t>
  </si>
  <si>
    <t>DND or other authorized users request more products, lower latency, new formats or additional interfaces after initial demonstrations.</t>
  </si>
  <si>
    <t>Incomplete product catalogue; unclear release criteria</t>
  </si>
  <si>
    <t>User feedback; operational requirements; security constraints</t>
  </si>
  <si>
    <t>Baseline a product catalogue and interface requirements and process additions through configuration control.</t>
  </si>
  <si>
    <t>May increase processing, software and dissemination work.</t>
  </si>
  <si>
    <t>Adds software, storage and analyst LOE.</t>
  </si>
  <si>
    <t>Launch &amp; Early Orbit</t>
  </si>
  <si>
    <t>Launch-vehicle requirements alter spacecraft mechanical, electrical, separation, safety or deployment interfaces after the design is mature.</t>
  </si>
  <si>
    <t>Late interface definition; insufficient launch margin</t>
  </si>
  <si>
    <t>Provider-specific requirements; range/safety constraints</t>
  </si>
  <si>
    <t>Establish launch technical interface agreements early and freeze critical interface data before D-phase hardware completion.</t>
  </si>
  <si>
    <t>May require spacecraft modifications and additional qualification.</t>
  </si>
  <si>
    <t>Adds launch integration and systems-engineering LOE.</t>
  </si>
  <si>
    <t>R-016</t>
  </si>
  <si>
    <t>Orbit &amp; Mission Analysis</t>
  </si>
  <si>
    <t>HEO Coverage/24-Hour Objective Infeasible</t>
  </si>
  <si>
    <t>Detailed orbit and imaging analysis shows that the selected HEO geometry cannot meet the 24-hour concurrent observation objective over the defined Arctic area of interest.</t>
  </si>
  <si>
    <t>Insufficient early geometry analysis; optimistic phasing assumptions</t>
  </si>
  <si>
    <t>Actual orbit-insertion performance; Earth geometry; payload field of view</t>
  </si>
  <si>
    <t>Run high-fidelity constellation and imaging simulations before CDR and preserve alternate orbital/phasing options.</t>
  </si>
  <si>
    <t>May require orbit, payload or constellation redesign.</t>
  </si>
  <si>
    <t>Could materially change spacecraft, launch and operations cost assumptions.</t>
  </si>
  <si>
    <t>R-017</t>
  </si>
  <si>
    <t>Orbit Phasing and Geometry Changes</t>
  </si>
  <si>
    <t>Final mission analysis requires changes to apogee, perigee, inclination or spacecraft phasing to satisfy coverage and observation geometry.</t>
  </si>
  <si>
    <t>Orbit trade not closed; interface coupling with payload</t>
  </si>
  <si>
    <t>Launch insertion constraints; stationkeeping performance</t>
  </si>
  <si>
    <t>Accept residual uncertainty in exact HEO phasing until orbit analysis is closed; maintain bounded delta-v and mission-planning reserves.</t>
  </si>
  <si>
    <t>May alter propulsion, ADCS, thermal and launch requirements.</t>
  </si>
  <si>
    <t>Changes design drivers and cost-model assumptions across subsystems.</t>
  </si>
  <si>
    <t>R-018</t>
  </si>
  <si>
    <t>Mass &amp; Performance</t>
  </si>
  <si>
    <t>Spacecraft Mass Growth</t>
  </si>
  <si>
    <t>A spacecraft exceeds the ≤600 kg allocation because of payload, bus, harness, thermal, propulsion or margin growth.</t>
  </si>
  <si>
    <t>Underestimated subsystem mass; late configuration changes</t>
  </si>
  <si>
    <t>Supplier mass growth; integration findings</t>
  </si>
  <si>
    <t>Maintain a mass budget with ≥20% design margin, track mass at reviews and require quantified impacts for changes.</t>
  </si>
  <si>
    <t>May require redesign, reduced margin or launch changes.</t>
  </si>
  <si>
    <t>Adds engineering, structural and launch-performance uncertainty.</t>
  </si>
  <si>
    <t>R-019</t>
  </si>
  <si>
    <t>Power &amp; Energy</t>
  </si>
  <si>
    <t>Power Margin Shortfall</t>
  </si>
  <si>
    <t>End-of-life power generation or battery capacity is insufficient to maintain the required ≥20% nominal and ≥10% peak margins.</t>
  </si>
  <si>
    <t>Underestimated payload/X-band loads; degradation assumptions</t>
  </si>
  <si>
    <t>HEO illumination/eclipses; component performance</t>
  </si>
  <si>
    <t>Maintain mode-based power budgets, run end-of-life and worst-case cases, and preserve array/battery growth paths.</t>
  </si>
  <si>
    <t>May restrict payload duty cycle or require hardware changes.</t>
  </si>
  <si>
    <t>Adds power-system redesign and verification LOE.</t>
  </si>
  <si>
    <t>R-020</t>
  </si>
  <si>
    <t>HEO Thermal Margin Shortfall</t>
  </si>
  <si>
    <t>Thermal analysis shows hot/cold cases exceed component or payload limits in the highly elliptical orbit.</t>
  </si>
  <si>
    <t>Incomplete thermal model; insufficient payload dissipation data</t>
  </si>
  <si>
    <t>HEO radiation/eclipse environment; supplier thermal characteristics</t>
  </si>
  <si>
    <t>Complete hot/cold orbital analyses before CDR, correlate with thermal testing, and preserve radiator/heater margin.</t>
  </si>
  <si>
    <t>May require thermal redesign, additional testing or operational constraints.</t>
  </si>
  <si>
    <t>Adds thermal analysis, hardware and environmental-test costs.</t>
  </si>
  <si>
    <t>R-021</t>
  </si>
  <si>
    <t>ADCS &amp; Pointing</t>
  </si>
  <si>
    <t>Pointing Performance Shortfall</t>
  </si>
  <si>
    <t>Attitude knowledge and control errors exceed the ≤0.05° absolute pointing target during imaging.</t>
  </si>
  <si>
    <t>Insufficient sensor characterization; underestimated disturbance torques</t>
  </si>
  <si>
    <t>HEO dynamics; star-tracker performance; spacecraft flexibility</t>
  </si>
  <si>
    <t>Maintain an end-to-end pointing error budget, test sensor/actuator performance and validate pointing in representative simulations.</t>
  </si>
  <si>
    <t>May degrade imaging performance or require ADCS redesign.</t>
  </si>
  <si>
    <t>Increases ADCS, simulation and test LOE.</t>
  </si>
  <si>
    <t>R-022</t>
  </si>
  <si>
    <t>Reaction Wheel Saturation</t>
  </si>
  <si>
    <t>Disturbance torques or operational profiles cause reaction wheels to saturate more often than planned, interrupting observations or increasing propellant use.</t>
  </si>
  <si>
    <t>Incomplete disturbance model; insufficient momentum management analysis</t>
  </si>
  <si>
    <t>HEO environmental torques; payload operational modes</t>
  </si>
  <si>
    <t>Accept residual reaction-wheel saturation exposure after validating disturbance models and maintaining defined momentum-unloading and observation-recovery modes.</t>
  </si>
  <si>
    <t>May interrupt observation operations and increase propellant consumption.</t>
  </si>
  <si>
    <t>Adds ADCS analysis and operational constraints.</t>
  </si>
  <si>
    <t>R-023</t>
  </si>
  <si>
    <t>Navigation &amp; Flight Dynamics</t>
  </si>
  <si>
    <t>Orbit Knowledge Error</t>
  </si>
  <si>
    <t>Onboard or ground orbit determination performance is worse than assumed, reducing pointing, targeting or phasing accuracy.</t>
  </si>
  <si>
    <t>Navigation algorithm maturity; insufficient sensor validation</t>
  </si>
  <si>
    <t>GPS performance; HEO geometry; tracking-service availability</t>
  </si>
  <si>
    <t>Validate orbit-determination performance with representative trajectories and establish ground-support fallbacks.</t>
  </si>
  <si>
    <t>May increase calibration, planning and commissioning time.</t>
  </si>
  <si>
    <t>Adds flight-dynamics and software-support LOE.</t>
  </si>
  <si>
    <t>R-024</t>
  </si>
  <si>
    <t>Propulsion</t>
  </si>
  <si>
    <t>Delta-V Budget Shortfall</t>
  </si>
  <si>
    <t>The preliminary 99.6 m/s total delta-V budget is insufficient after orbit maintenance, phasing, collision avoidance and disposal needs are fully analyzed.</t>
  </si>
  <si>
    <t>Optimistic maneuver assumptions; contingency too low</t>
  </si>
  <si>
    <t>Injection dispersions; drag; collision-avoidance requirements</t>
  </si>
  <si>
    <t>Maintain a quantified delta-V budget through CDR and preserve the 40 m/s disposal allocation while validating maneuver requirements.</t>
  </si>
  <si>
    <t>May require propellant changes, reduced maneuver capability or orbit redesign.</t>
  </si>
  <si>
    <t>Increases propulsion and spacecraft mass uncertainty.</t>
  </si>
  <si>
    <t>R-025</t>
  </si>
  <si>
    <t>Iodine Propulsion Performance Below Model</t>
  </si>
  <si>
    <t>The selected iodine propulsion system does not achieve assumed thrust, efficiency or lifetime performance in the SAM configuration.</t>
  </si>
  <si>
    <t>Insufficient qualification evidence; incomplete system-level analysis</t>
  </si>
  <si>
    <t>Supplier performance; thermal environment; thruster lifetime</t>
  </si>
  <si>
    <t>Require supplier qualification evidence, system-level performance testing and conservative propulsion margins before flight.</t>
  </si>
  <si>
    <t>May reduce orbit-maintenance capability or require alternate propulsion hardware.</t>
  </si>
  <si>
    <t>Adds propulsion qualification and contingency cost.</t>
  </si>
  <si>
    <t>R-026</t>
  </si>
  <si>
    <t>Radiation &amp; Environment</t>
  </si>
  <si>
    <t>Radiation Environment Exceeds Design Basis</t>
  </si>
  <si>
    <t>Radiation exposure or single-event effects in the mission orbit exceed assumptions used for component selection and shielding.</t>
  </si>
  <si>
    <t>Insufficient radiation analysis; optimistic component tolerance</t>
  </si>
  <si>
    <t>Solar activity; HEO radiation environment</t>
  </si>
  <si>
    <t>Perform radiation analysis early, select appropriately qualified components and maintain shielding and fault-tolerance margins.</t>
  </si>
  <si>
    <t>May require component substitution, shielding or software changes.</t>
  </si>
  <si>
    <t>Adds radiation analysis, parts assurance and test LOE.</t>
  </si>
  <si>
    <t>R-027</t>
  </si>
  <si>
    <t>EMC &amp; RF</t>
  </si>
  <si>
    <t>EMC/EMI Performance Failure</t>
  </si>
  <si>
    <t>Spacecraft emissions or susceptibility cause interference between payload, ADCS, C&amp;DH and X-band/S-band systems.</t>
  </si>
  <si>
    <t>Insufficient EMC control plan; late harness/filter changes</t>
  </si>
  <si>
    <t>Supplier unit characteristics; combined spacecraft configuration</t>
  </si>
  <si>
    <t>Maintain an EMC control plan, test high-risk combinations early and preserve filtering/grounding options.</t>
  </si>
  <si>
    <t>May require harness, filtering or software changes and repeat tests.</t>
  </si>
  <si>
    <t>Adds EMC testing and integration LOE.</t>
  </si>
  <si>
    <t>R-028</t>
  </si>
  <si>
    <t>Payload Calibration</t>
  </si>
  <si>
    <t>Calibration Accuracy Insufficient</t>
  </si>
  <si>
    <t>The payload calibration approach cannot achieve the required radiometric/geometric accuracy or maintain performance over mission life.</t>
  </si>
  <si>
    <t>Incomplete calibration architecture; insufficient error budget</t>
  </si>
  <si>
    <t>Detector drift; thermal changes; reference-device stability</t>
  </si>
  <si>
    <t>Develop calibration error budgets, test representative references and plan periodic in-flight calibration observations.</t>
  </si>
  <si>
    <t>May reduce product quality or require payload/processing changes.</t>
  </si>
  <si>
    <t>Adds calibration hardware, testing and data-processing LOE.</t>
  </si>
  <si>
    <t>R-029</t>
  </si>
  <si>
    <t>Payload Detector</t>
  </si>
  <si>
    <t>Detector Performance Degradation</t>
  </si>
  <si>
    <t>Detector noise, sensitivity, defects or radiation degradation exceed assumptions and reduce imaging performance.</t>
  </si>
  <si>
    <t>Limited detector characterization; reliance on candidate/COTS technology</t>
  </si>
  <si>
    <t>Supplier process variation; radiation environment</t>
  </si>
  <si>
    <t>Transfer</t>
  </si>
  <si>
    <t>Use detector warranty, supplier performance clauses, acceptance criteria and replacement/spares provisions to transfer a defined portion of degradation exposure to the payload supplier.</t>
  </si>
  <si>
    <t>May reduce payload performance or require detector replacement.</t>
  </si>
  <si>
    <t>Adds detector screening, calibration and contingency cost.</t>
  </si>
  <si>
    <t>R-030</t>
  </si>
  <si>
    <t>Payload SWIR</t>
  </si>
  <si>
    <t>SWIR Instrument Selection Delay</t>
  </si>
  <si>
    <t>The SWIR payload trade study does not converge on a flight-ready instrument before the payload CDR need date.</t>
  </si>
  <si>
    <t>Open detector/optics trade; incomplete data-rate and accommodation analysis</t>
  </si>
  <si>
    <t>Limited qualified SWIR suppliers; supplier lead time</t>
  </si>
  <si>
    <t>Time-box the SWIR trade, establish quantitative selection criteria and maintain at least one alternate instrument concept.</t>
  </si>
  <si>
    <t>May delay payload CDR and downstream procurement.</t>
  </si>
  <si>
    <t>Adds payload engineering and procurement contingency.</t>
  </si>
  <si>
    <t>R-031</t>
  </si>
  <si>
    <t>Data Handling</t>
  </si>
  <si>
    <t>Onboard Storage/Throughput Shortfall</t>
  </si>
  <si>
    <t>The spacecraft data chain cannot sustain ≥1 TB storage, payload data generation, compression and prioritization requirements.</t>
  </si>
  <si>
    <t>Underestimated payload data rate; C&amp;DH processing assumptions</t>
  </si>
  <si>
    <t>Instrument output rates; compression performance</t>
  </si>
  <si>
    <t>Accept limited residual growth in storage/throughput demand after end-to-end data-flow testing and retention of scalable storage and compute options.</t>
  </si>
  <si>
    <t>May require additional storage or processing hardware/software.</t>
  </si>
  <si>
    <t>Adds C&amp;DH and payload-electronics LOE.</t>
  </si>
  <si>
    <t>R-032</t>
  </si>
  <si>
    <t>Communications</t>
  </si>
  <si>
    <t>X-Band Link Margin Shortfall</t>
  </si>
  <si>
    <t>The ≥500 Mbps peak mission-data downlink cannot be demonstrated with adequate end-to-end margin for the required contact geometry.</t>
  </si>
  <si>
    <t>Incomplete link budget; optimistic antenna assumptions</t>
  </si>
  <si>
    <t>Ground-station weather; interference; HEO geometry</t>
  </si>
  <si>
    <t>Validate link budgets with conservative losses, perform representative end-to-end tests and retain lower-rate contingency modes.</t>
  </si>
  <si>
    <t>May reduce data throughput or increase required ground contacts.</t>
  </si>
  <si>
    <t>Adds RF, ground-station and operations LOE.</t>
  </si>
  <si>
    <t>R-033</t>
  </si>
  <si>
    <t>Receiving Station Availability Below Requirement</t>
  </si>
  <si>
    <t>Available ground-station contacts are insufficient to sustain command, telemetry and mission-data requirements.</t>
  </si>
  <si>
    <t>Underestimated contact needs; single-station dependence</t>
  </si>
  <si>
    <t>Commercial station outages; Arctic geometry; weather</t>
  </si>
  <si>
    <t>Accept residual station-outage exposure within the ground availability requirement while maintaining geographically diverse contracted contacts.</t>
  </si>
  <si>
    <t>May delay data delivery or commanding.</t>
  </si>
  <si>
    <t>Adds station capacity, service fees and operational contingency.</t>
  </si>
  <si>
    <t>R-034</t>
  </si>
  <si>
    <t>Processing &amp; Archive</t>
  </si>
  <si>
    <t>Ground Processing Capacity Shortfall</t>
  </si>
  <si>
    <t>The ground segment cannot sustain the ≥1 TB/day raw-data-equivalent processing requirement with required reprocessing and product headroom.</t>
  </si>
  <si>
    <t>Incomplete workload model; insufficient compute/storage margin</t>
  </si>
  <si>
    <t>Cloud/service performance; software-processing efficiency</t>
  </si>
  <si>
    <t>Benchmark representative workloads, size processing for reprocessing peaks and maintain scalable compute capacity.</t>
  </si>
  <si>
    <t>May breach priority-data latency requirements.</t>
  </si>
  <si>
    <t>Adds compute, software and operations cost.</t>
  </si>
  <si>
    <t>R-035</t>
  </si>
  <si>
    <t>Archive</t>
  </si>
  <si>
    <t>Archive Capacity/Retention Shortfall</t>
  </si>
  <si>
    <t>The planned ~2 PB archive does not provide sufficient capacity for raw data, products, metadata, redundancy and five-year retention.</t>
  </si>
  <si>
    <t>Storage growth model incomplete; retention policy not frozen</t>
  </si>
  <si>
    <t>Cloud/storage pricing; product-volume growth</t>
  </si>
  <si>
    <t>Accept residual uncertainty in archive growth after sizing the 2 PB baseline and retaining scalable storage procurement options.</t>
  </si>
  <si>
    <t>May require storage expansion or retention-policy changes.</t>
  </si>
  <si>
    <t>Adds recurring archive and data-management cost.</t>
  </si>
  <si>
    <t>R-036</t>
  </si>
  <si>
    <t>Latency &amp; Availability</t>
  </si>
  <si>
    <t>Priority Product Latency Miss</t>
  </si>
  <si>
    <t>Priority observations cannot consistently achieve ≤6-hour processed-product availability after raw-data receipt.</t>
  </si>
  <si>
    <t>Slow processing chain; manual QC; bottlenecked contacts</t>
  </si>
  <si>
    <t>Ground outages; increased product complexity</t>
  </si>
  <si>
    <t>Accept residual latency variation after establishing an end-to-end latency budget, priority queues and operational thresholds for degraded conditions.</t>
  </si>
  <si>
    <t>May reduce usefulness of priority mission products.</t>
  </si>
  <si>
    <t>Adds software automation, staffing and ground-capacity LOE.</t>
  </si>
  <si>
    <t>R-037</t>
  </si>
  <si>
    <t>User Access &amp; Security</t>
  </si>
  <si>
    <t>Government Data Access Delay</t>
  </si>
  <si>
    <t>Authorized users cannot consistently receive released products within 30 minutes of product generation because of security, network or dissemination controls.</t>
  </si>
  <si>
    <t>Manual approval workflows; fragmented user-management processes</t>
  </si>
  <si>
    <t>Government network constraints; classification changes</t>
  </si>
  <si>
    <t>Define access-control architecture and automated release workflows early and conduct end-to-end user acceptance testing.</t>
  </si>
  <si>
    <t>May delay operational exploitation of products.</t>
  </si>
  <si>
    <t>Adds cybersecurity, dissemination and user-support LOE.</t>
  </si>
  <si>
    <t>R-038</t>
  </si>
  <si>
    <t>Autonomy</t>
  </si>
  <si>
    <t>72-Hour Autonomous Operation Shortfall</t>
  </si>
  <si>
    <t>A spacecraft cannot maintain safe autonomous operation for the required 72 hours without ground intervention.</t>
  </si>
  <si>
    <t>Insufficient fault-management analysis; limited simulation of communications gaps</t>
  </si>
  <si>
    <t>Extended contact outages; unexpected spacecraft anomalies</t>
  </si>
  <si>
    <t>Perform long-duration autonomy simulations, fault-injection testing and recovery rehearsals before flight.</t>
  </si>
  <si>
    <t>May increase commissioning risk and operator workload.</t>
  </si>
  <si>
    <t>Adds software, testing and operational contingency.</t>
  </si>
  <si>
    <t>R-039</t>
  </si>
  <si>
    <t>Software &amp; Autonomy</t>
  </si>
  <si>
    <t>Flight Software</t>
  </si>
  <si>
    <t>Flight Software Complexity Growth</t>
  </si>
  <si>
    <t>Flight software scope grows beyond estimates because of autonomy, constellation coordination, payload interfaces and fault-management requirements.</t>
  </si>
  <si>
    <t>Incomplete software architecture; underestimated integration complexity</t>
  </si>
  <si>
    <t>Late subsystem changes; vendor software dependencies</t>
  </si>
  <si>
    <t>Baseline software architecture early, prototype high-risk functions and maintain incremental integration milestones.</t>
  </si>
  <si>
    <t>May extend development and verification activities.</t>
  </si>
  <si>
    <t>Increases software labour, test automation and schedule contingency.</t>
  </si>
  <si>
    <t>R-040</t>
  </si>
  <si>
    <t>Software Verification</t>
  </si>
  <si>
    <t>Insufficient Software Validation</t>
  </si>
  <si>
    <t>Software defects or inadequate validation allow faults to survive into integrated system testing.</t>
  </si>
  <si>
    <t>Weak regression testing; late code drops; incomplete test coverage</t>
  </si>
  <si>
    <t>Supplier software interfaces; changing requirements</t>
  </si>
  <si>
    <t>Establish automated regression, requirements-based test coverage and independent software reviews before CDR.</t>
  </si>
  <si>
    <t>May delay integration and acceptance testing.</t>
  </si>
  <si>
    <t>Adds software verification LOE and test schedule.</t>
  </si>
  <si>
    <t>R-041</t>
  </si>
  <si>
    <t>Data, Knowledge &amp; Integration</t>
  </si>
  <si>
    <t>Configuration Management Lapses</t>
  </si>
  <si>
    <t>Hardware, software, requirements and test evidence become inconsistent between CSA, COS and ground-segment baselines.</t>
  </si>
  <si>
    <t>Weak CM discipline; inconsistent repositories</t>
  </si>
  <si>
    <t>Multiple suppliers; partner configuration practices</t>
  </si>
  <si>
    <t>Maintain a single controlled baseline, formal change board and configuration audits at each major review.</t>
  </si>
  <si>
    <t>May invalidate test evidence or cause rework.</t>
  </si>
  <si>
    <t>Adds configuration-management and reconciliation LOE.</t>
  </si>
  <si>
    <t>R-042</t>
  </si>
  <si>
    <t>Safety, Assurance &amp; Compliance</t>
  </si>
  <si>
    <t>Verification &amp; Validation</t>
  </si>
  <si>
    <t>Incomplete Test Coverage</t>
  </si>
  <si>
    <t>Verification plans do not fully demonstrate quantitative requirements before launch.</t>
  </si>
  <si>
    <t>Late verification planning; incomplete traceability</t>
  </si>
  <si>
    <t>Test facility limits; supplier evidence gaps</t>
  </si>
  <si>
    <t>Derive verification methods from requirements, close the verification matrix before CDR and conduct readiness audits.</t>
  </si>
  <si>
    <t>May lead to late qualification or acceptance rework.</t>
  </si>
  <si>
    <t>Adds test engineering and qualification contingency.</t>
  </si>
  <si>
    <t>R-043</t>
  </si>
  <si>
    <t>Environmental Test Failure</t>
  </si>
  <si>
    <t>Qualification or acceptance testing reveals a failure under vibration, thermal-vacuum or EMC conditions.</t>
  </si>
  <si>
    <t>Insufficient margin; design flaw; test-article differences</t>
  </si>
  <si>
    <t>Facility conditions; workmanship defects</t>
  </si>
  <si>
    <t>Retain environmental design margin, perform analysis-before-test reviews and maintain repair/retest plans.</t>
  </si>
  <si>
    <t>May require redesign, replacement hardware and repeat testing.</t>
  </si>
  <si>
    <t>Adds environmental test, hardware and schedule contingency.</t>
  </si>
  <si>
    <t>R-044</t>
  </si>
  <si>
    <t>Qualification &amp; Acceptance</t>
  </si>
  <si>
    <t>Qualification Model Diverges from Flight Design</t>
  </si>
  <si>
    <t>The QM does not adequately represent the final flight configuration, reducing the value of qualification evidence.</t>
  </si>
  <si>
    <t>Late flight design changes; inadequate configuration control</t>
  </si>
  <si>
    <t>Supplier substitutions; component obsolescence</t>
  </si>
  <si>
    <t>Avoid</t>
  </si>
  <si>
    <t>Prevent configuration divergence by making the QM configuration-controlled and requiring formal disposition of all design changes before qualification.</t>
  </si>
  <si>
    <t>May require supplemental qualification or re-test.</t>
  </si>
  <si>
    <t>Adds assurance and test LOE.</t>
  </si>
  <si>
    <t>R-045</t>
  </si>
  <si>
    <t>Manufacturing, Assembly &amp; Test</t>
  </si>
  <si>
    <t>Test Facilities</t>
  </si>
  <si>
    <t>Test Facility Availability</t>
  </si>
  <si>
    <t>Required thermal-vacuum, vibration, EMC or cleanroom facilities are unavailable at planned dates.</t>
  </si>
  <si>
    <t>Late booking; inaccurate duration estimates</t>
  </si>
  <si>
    <t>National test-facility demand; facility outages</t>
  </si>
  <si>
    <t>Reserve critical facilities early and maintain qualified alternate facilities where practical.</t>
  </si>
  <si>
    <t>May extend D-phase MAIT and launch readiness.</t>
  </si>
  <si>
    <t>Adds facility reservation, travel and schedule contingency.</t>
  </si>
  <si>
    <t>R-046</t>
  </si>
  <si>
    <t>Workmanship &amp; Quality</t>
  </si>
  <si>
    <t>Manufacturing Workmanship Defects</t>
  </si>
  <si>
    <t>Hardware defects discovered during inspection or test require repair, replacement or retest.</t>
  </si>
  <si>
    <t>Process variation; training gaps; inadequate inspection</t>
  </si>
  <si>
    <t>Supplier QA variability; staffing turnover</t>
  </si>
  <si>
    <t>Use certified processes, in-process inspections and first-article demonstrations for critical manufacturing steps.</t>
  </si>
  <si>
    <t>May slow MAIT and increase retest activity.</t>
  </si>
  <si>
    <t>Adds manufacturing rework and QA LOE.</t>
  </si>
  <si>
    <t>R-047</t>
  </si>
  <si>
    <t>Nonconformance Management</t>
  </si>
  <si>
    <t>Non-Conformance Backlog</t>
  </si>
  <si>
    <t>The number of material and process nonconformances exceeds the capacity of review boards to disposition them without affecting the build schedule.</t>
  </si>
  <si>
    <t>Insufficient MRB staffing; late defect trending</t>
  </si>
  <si>
    <t>Supplier defect rates; test-facility throughput</t>
  </si>
  <si>
    <t>Set disposition turnaround targets, staff review boards during peak activity and trend recurring defect causes.</t>
  </si>
  <si>
    <t>May stop hardware flow and consume schedule reserve.</t>
  </si>
  <si>
    <t>Adds QA/MRB labour and schedule contingency.</t>
  </si>
  <si>
    <t>R-048</t>
  </si>
  <si>
    <t>Manufacturing Processes</t>
  </si>
  <si>
    <t>Manufacturing Process Immaturity</t>
  </si>
  <si>
    <t>New or insufficiently validated processes produce variable hardware quality or unexpected production delays.</t>
  </si>
  <si>
    <t>Limited process qualification; incomplete work instructions</t>
  </si>
  <si>
    <t>Small supplier capacity; tooling maturity</t>
  </si>
  <si>
    <t>Qualify critical processes early and establish objective process-acceptance criteria before production.</t>
  </si>
  <si>
    <t>May cause rework or production delays.</t>
  </si>
  <si>
    <t>Adds manufacturing engineering and supplier-assurance LOE.</t>
  </si>
  <si>
    <t>R-049</t>
  </si>
  <si>
    <t>Supplier Performance</t>
  </si>
  <si>
    <t>COS Bus Contractor Performance</t>
  </si>
  <si>
    <t>Canadian Orbital Systems does not meet bus development milestones, technical deliverables or acceptance criteria within the baseline schedule.</t>
  </si>
  <si>
    <t>Weak schedule control; incomplete deliverable definitions</t>
  </si>
  <si>
    <t>Supplier staffing changes; subcontractor delays</t>
  </si>
  <si>
    <t>Place schedule and performance obligations, liquidated remedies and recovery support requirements in the COS contract while retaining government technical oversight.</t>
  </si>
  <si>
    <t>May delay PDR/CDR or flight-hardware readiness.</t>
  </si>
  <si>
    <t>Adds oversight, recovery and potential rework costs.</t>
  </si>
  <si>
    <t>R-050</t>
  </si>
  <si>
    <t>Ground Segment Supplier Performance</t>
  </si>
  <si>
    <t>Earth Daily Analytics does not deliver required receiving, processing, archive or integration capabilities to planned need dates.</t>
  </si>
  <si>
    <t>Incomplete ground requirements; integration complexity</t>
  </si>
  <si>
    <t>Subcontractor delays; software delivery issues</t>
  </si>
  <si>
    <t>Use phased ground deliveries, acceptance tests and clear interface milestones tied to spacecraft integration dates.</t>
  </si>
  <si>
    <t>May delay end-to-end mission testing or operations readiness.</t>
  </si>
  <si>
    <t>Adds contractor oversight and ground rework contingency.</t>
  </si>
  <si>
    <t>R-051</t>
  </si>
  <si>
    <t>Launch Provider Performance Issue</t>
  </si>
  <si>
    <t>Northern Launch Services experiences contractual, technical or execution issues that prevent the planned launch campaign from proceeding on baseline dates.</t>
  </si>
  <si>
    <t>Insufficient provider oversight; incomplete service definition</t>
  </si>
  <si>
    <t>Provider schedule; subcontractor issues; launch-site constraints</t>
  </si>
  <si>
    <t>Use launch-service contractual commitments, defined interfaces and launch insurance/financial remedies to transfer a portion of launch-provider performance exposure.</t>
  </si>
  <si>
    <t>May move launch and extend commissioning schedule.</t>
  </si>
  <si>
    <t>Adds launch-management and contingency costs.</t>
  </si>
  <si>
    <t>R-052</t>
  </si>
  <si>
    <t>Data Rights &amp; IP</t>
  </si>
  <si>
    <t>Insufficient Vendor Data Rights</t>
  </si>
  <si>
    <t>Contracts do not provide sufficient design, interface, software or maintenance information for government operation and sustainment.</t>
  </si>
  <si>
    <t>Incomplete procurement data-rights requirements</t>
  </si>
  <si>
    <t>Supplier IP restrictions; proprietary interfaces</t>
  </si>
  <si>
    <t>Define lifecycle data, software, interface and escrow requirements before contract award.</t>
  </si>
  <si>
    <t>B2–E</t>
  </si>
  <si>
    <t>May increase sustainment dependency and transition cost.</t>
  </si>
  <si>
    <t>Adds procurement/legal effort and long-term support assumptions.</t>
  </si>
  <si>
    <t>R-053</t>
  </si>
  <si>
    <t>Obsolescence</t>
  </si>
  <si>
    <t>EEE Component Obsolescence</t>
  </si>
  <si>
    <t>A selected electrical, electronic or detector component becomes obsolete before or during production.</t>
  </si>
  <si>
    <t>Long design-to-flight duration; insufficient obsolescence tracking</t>
  </si>
  <si>
    <t>Commercial technology cycles; manufacturer discontinuation</t>
  </si>
  <si>
    <t>Maintain obsolescence monitoring, qualify alternates and require supplier lifecycle notifications.</t>
  </si>
  <si>
    <t>May cause redesign or procurement delays.</t>
  </si>
  <si>
    <t>Adds redesign, qualification and inventory contingency.</t>
  </si>
  <si>
    <t>R-054</t>
  </si>
  <si>
    <t>External &amp; Environmental Factors</t>
  </si>
  <si>
    <t>Market &amp; Supply Chain</t>
  </si>
  <si>
    <t>Supplier Insolvency or Instability</t>
  </si>
  <si>
    <t>A critical supplier experiences financial or operational distress that disrupts delivery or technical support.</t>
  </si>
  <si>
    <t>Single-source dependency; limited transition documentation</t>
  </si>
  <si>
    <t>Market conditions; supplier financial health</t>
  </si>
  <si>
    <t>Require subcontractor continuity, escrow, transition assistance and supplier-performance provisions so a defined portion of insolvency exposure can be shifted contractually.</t>
  </si>
  <si>
    <t>May require redesign, reprocurement or schedule recovery.</t>
  </si>
  <si>
    <t>Adds supplier monitoring and contingency cost.</t>
  </si>
  <si>
    <t>R-055</t>
  </si>
  <si>
    <t>Geopolitical &amp; Economic</t>
  </si>
  <si>
    <t>Inflation and Cost Escalation</t>
  </si>
  <si>
    <t>Labour, materials, launch services or subcontractor prices increase beyond the cost model assumptions over the multi-year program.</t>
  </si>
  <si>
    <t>Long procurement horizon; limited fixed-price coverage</t>
  </si>
  <si>
    <t>Inflation; supplier repricing; economic conditions</t>
  </si>
  <si>
    <t>Apply explicit escalation assumptions, refresh estimates annually and align contract mechanisms and reserves with exposure.</t>
  </si>
  <si>
    <t>May reduce purchasing power and increase lifecycle funding requirements.</t>
  </si>
  <si>
    <t>Changes the economic constants and total cost estimate.</t>
  </si>
  <si>
    <t>R-056</t>
  </si>
  <si>
    <t>Funding &amp; Budget</t>
  </si>
  <si>
    <t>Funding Gap Between Phases</t>
  </si>
  <si>
    <t>Funding availability is insufficient to transition cleanly between development, manufacturing, launch or operations phases.</t>
  </si>
  <si>
    <t>Long-range budget uncertainty; incomplete phasing profile</t>
  </si>
  <si>
    <t>Government budget cycles; competing priorities</t>
  </si>
  <si>
    <t>Accept residual inter-phase funding uncertainty after defining minimum critical-path funding and protecting long-lead commitments.</t>
  </si>
  <si>
    <t>May defer procurement or compress downstream work.</t>
  </si>
  <si>
    <t>Adds schedule contingency and financing assumptions.</t>
  </si>
  <si>
    <t>R-057</t>
  </si>
  <si>
    <t>Insurance &amp; Liability</t>
  </si>
  <si>
    <t>Launch Insurance Coverage Gap</t>
  </si>
  <si>
    <t>Launch insurance exclusions, deductibles or limits leave material SAM development/launch exposure uninsured.</t>
  </si>
  <si>
    <t>Incomplete policy review; insufficient valuation basis</t>
  </si>
  <si>
    <t>Insurer terms; launch-provider liability regime</t>
  </si>
  <si>
    <t>Purchase launch insurance for defined physical-loss exposures and contractually require evidence of coverage, exclusions and deductibles before launch campaign entry.</t>
  </si>
  <si>
    <t>May increase retained financial exposure after launch anomaly.</t>
  </si>
  <si>
    <t>Adds insurance premium and reserve assumptions.</t>
  </si>
  <si>
    <t>R-058</t>
  </si>
  <si>
    <t>Weather &amp; Logistics</t>
  </si>
  <si>
    <t>Launch Weather Delay</t>
  </si>
  <si>
    <t>Weather repeatedly violates launch constraints or disrupts launch-site processing, extending campaign duration.</t>
  </si>
  <si>
    <t>Limited weather contingency; insufficient standby planning</t>
  </si>
  <si>
    <t>Seasonal weather; launch-site conditions</t>
  </si>
  <si>
    <t>Treat residual weather-driven launch delay as an accepted external exposure after incorporating seasonal statistics and standby/storage reserve into the schedule and estimate.</t>
  </si>
  <si>
    <t>May extend campaign and delay commissioning.</t>
  </si>
  <si>
    <t>Adds campaign and staffing contingency.</t>
  </si>
  <si>
    <t>R-059</t>
  </si>
  <si>
    <t>Regulatory, Environmental &amp; External</t>
  </si>
  <si>
    <t>Spectrum &amp; Licensing</t>
  </si>
  <si>
    <t>Spectrum Authorization Delay</t>
  </si>
  <si>
    <t>Required radio-frequency authorization or coordination is not completed in time for spacecraft and ground-system testing or operations.</t>
  </si>
  <si>
    <t>Late frequency application; incomplete technical data</t>
  </si>
  <si>
    <t>Coordination with other users; licensing timelines</t>
  </si>
  <si>
    <t>Submit coordination packages early and maintain a technically compliant contingency configuration.</t>
  </si>
  <si>
    <t>May delay communications testing or operations readiness.</t>
  </si>
  <si>
    <t>Adds RF coordination and licensing LOE.</t>
  </si>
  <si>
    <t>R-060</t>
  </si>
  <si>
    <t>Data Governance</t>
  </si>
  <si>
    <t>Security Classification or Data Policy Changes</t>
  </si>
  <si>
    <t>Changes in security classification or government data-release policy require redesigned dissemination, storage or user-access controls.</t>
  </si>
  <si>
    <t>Incomplete data-classification baseline; late security architecture</t>
  </si>
  <si>
    <t>Government security policy; authorized-user requirements</t>
  </si>
  <si>
    <t>Define classification and data-release rules early and design separable data products and access controls.</t>
  </si>
  <si>
    <t>May delay ground-system acceptance or limit product dissemination.</t>
  </si>
  <si>
    <t>Adds cybersecurity, data-management and user-acceptance LOE.</t>
  </si>
  <si>
    <t>R-061</t>
  </si>
  <si>
    <t>Arctic Logistics</t>
  </si>
  <si>
    <t>Arctic Logistics Disruption</t>
  </si>
  <si>
    <t>Remote Arctic field, calibration, validation or receiving-station activities are disrupted by transportation, weather or limited local infrastructure.</t>
  </si>
  <si>
    <t>Late logistics planning; dependence on limited transport windows</t>
  </si>
  <si>
    <t>Arctic weather; seasonal access; transportation availability</t>
  </si>
  <si>
    <t>Accept residual transportation disruption exposure after pre-positioning critical equipment, using alternate routes and maintaining schedule reserve.</t>
  </si>
  <si>
    <t>May delay calibration, validation or ground-site work.</t>
  </si>
  <si>
    <t>Adds travel, logistics and schedule-contingency cost.</t>
  </si>
  <si>
    <t>R-062</t>
  </si>
  <si>
    <t>Knowledge Management</t>
  </si>
  <si>
    <t>Knowledge Loss and Continuity Gaps</t>
  </si>
  <si>
    <t>Loss of key personnel or incomplete documentation reduces continuity between design, test, launch and operations phases.</t>
  </si>
  <si>
    <t>Single points of knowledge; incomplete technical records</t>
  </si>
  <si>
    <t>Staff turnover; retirement/mobility; supplier turnover</t>
  </si>
  <si>
    <t>Accept residual personnel-continuity exposure after establishing controlled records, deputies and handover requirements for critical functions.</t>
  </si>
  <si>
    <t>May slow decisions and increase rework.</t>
  </si>
  <si>
    <t>Adds documentation and transition LOE.</t>
  </si>
  <si>
    <t>R-063</t>
  </si>
  <si>
    <t>People, Safety &amp; Security</t>
  </si>
  <si>
    <t>Operations Fatigue and Staffing Shortfall</t>
  </si>
  <si>
    <t>Sustained 24-hour operations create fatigue or insufficient coverage during LEOP and nominal operations.</t>
  </si>
  <si>
    <t>Understaffed shifts; insufficient surge planning</t>
  </si>
  <si>
    <t>Hiring constraints; anomaly-driven workload</t>
  </si>
  <si>
    <t>Use shift and overtime limits, maintain backup staffing and rehearse high-workload anomaly scenarios.</t>
  </si>
  <si>
    <t>May increase operational errors or reduce response capability.</t>
  </si>
  <si>
    <t>Raises recurring operations FTE and training assumptions.</t>
  </si>
  <si>
    <t>R-064</t>
  </si>
  <si>
    <t>DND Data Exploitation Workload Growth</t>
  </si>
  <si>
    <t>DND analysts require greater data exploitation, geospatial analysis or product validation capacity than assumed.</t>
  </si>
  <si>
    <t>Underestimated analyst workload; immature product workflows</t>
  </si>
  <si>
    <t>User demand; data volume; priority tasking</t>
  </si>
  <si>
    <t>Accept residual DND exploitation workload uncertainty after quantifying analyst demand and defining a scalable surge-support model.</t>
  </si>
  <si>
    <t>May delay validation and product uptake.</t>
  </si>
  <si>
    <t>Adds user-support and data-analyst LOE.</t>
  </si>
  <si>
    <t>R-065</t>
  </si>
  <si>
    <t>Commissioning Exceeds 90 Days</t>
  </si>
  <si>
    <t>LEOP, calibration, software updates or constellation coordination require more than the planned 90 days after launch.</t>
  </si>
  <si>
    <t>Incomplete commissioning procedures; limited pre-launch rehearsal</t>
  </si>
  <si>
    <t>Launch insertion dispersions; early anomalies; ground readiness</t>
  </si>
  <si>
    <t>Run full mission simulations, validate commissioning scripts before launch and maintain contingency procedures.</t>
  </si>
  <si>
    <t>Delays start of nominal operations and consumes schedule reserve.</t>
  </si>
  <si>
    <t>Adds launch-support, contractor and operations costs.</t>
  </si>
  <si>
    <t>R-066</t>
  </si>
  <si>
    <t>Spacecraft &amp; Payload Technical</t>
  </si>
  <si>
    <t>Early-Life Spacecraft Anomaly</t>
  </si>
  <si>
    <t>One spacecraft experiences an early-life anomaly in power, ADCS, C&amp;DH, communications or payload systems after launch.</t>
  </si>
  <si>
    <t>Latent workmanship or integration defects</t>
  </si>
  <si>
    <t>Launch environment; component infant mortality</t>
  </si>
  <si>
    <t>Use rigorous acceptance testing, trend telemetry after launch and maintain anomaly-response staffing and spares.</t>
  </si>
  <si>
    <t>May reduce constellation availability and increase recovery effort.</t>
  </si>
  <si>
    <t>Adds anomaly-resolution and operations LOE.</t>
  </si>
  <si>
    <t>R-067</t>
  </si>
  <si>
    <t>Mission Reliability</t>
  </si>
  <si>
    <t>Mission-Success Probability Below Target</t>
  </si>
  <si>
    <t>Reliability analysis indicates the preliminary ≥0.85 five-year mission-success target is not supported by the current architecture or component reliability.</t>
  </si>
  <si>
    <t>Insufficient reliability allocation; common-cause risks</t>
  </si>
  <si>
    <t>Supplier reliability data; environmental loads</t>
  </si>
  <si>
    <t>Allocate reliability targets to subsystems, conduct fault-tree and reliability growth analyses, and maintain recovery paths for credible single-point failures.</t>
  </si>
  <si>
    <t>May drive redundancy or component changes.</t>
  </si>
  <si>
    <t>Adds reliability analysis, qualification and hardware contingency.</t>
  </si>
  <si>
    <t>R-068</t>
  </si>
  <si>
    <t>End of Life</t>
  </si>
  <si>
    <t>End-of-Life Disposal Capability Insufficient</t>
  </si>
  <si>
    <t>The spacecraft does not retain the required 40 m/s disposal allocation after actual orbit and stationkeeping requirements are closed.</t>
  </si>
  <si>
    <t>Delta-V growth; inadequate propellant margin</t>
  </si>
  <si>
    <t>Actual drag/insertion dispersions; collision avoidance needs</t>
  </si>
  <si>
    <t>Protect the 40 m/s disposal allocation in the propulsion budget and continuously reconcile remaining delta-V through operations.</t>
  </si>
  <si>
    <t>D–F</t>
  </si>
  <si>
    <t>May constrain mission extension or require revised disposal strategy.</t>
  </si>
  <si>
    <t>Adds propulsion analysis and operations planning.</t>
  </si>
  <si>
    <t>R-069</t>
  </si>
  <si>
    <t>Strategic &amp; Alignment Factors</t>
  </si>
  <si>
    <t>Strategic Direction &amp; Policy</t>
  </si>
  <si>
    <t>Government Priority Shift</t>
  </si>
  <si>
    <t>Strategic</t>
  </si>
  <si>
    <t>Changes in government or departmental priorities reduce funding, scope or support for the SAM mission.</t>
  </si>
  <si>
    <t>Weak strategic traceability; inflexible mission architecture</t>
  </si>
  <si>
    <t>Government priority changes; fiscal pressures</t>
  </si>
  <si>
    <t>Accept residual policy-priority exposure as external and maintain a traceable minimum viable mission configuration that can proceed if scope pressure emerges.</t>
  </si>
  <si>
    <t>May change scope, funding or operating period.</t>
  </si>
  <si>
    <t>Creates broad cost and schedule uncertainty across the baseline.</t>
  </si>
  <si>
    <t>R-070</t>
  </si>
  <si>
    <t>Mission &amp; Science</t>
  </si>
  <si>
    <t>Observation Concept</t>
  </si>
  <si>
    <t>Observation Cadence Shortfall</t>
  </si>
  <si>
    <t>End-to-end mission simulation shows that the planned observation cadence and 24-hour concurrent objective cannot be achieved within pointing, power, communications and data-volume limits.</t>
  </si>
  <si>
    <t>Insufficient integrated mission simulation; independent subsystem assumptions</t>
  </si>
  <si>
    <t>Actual orbit geometry; user tasking demand; environmental constraints</t>
  </si>
  <si>
    <t>Accept residual observation-loss exposure from geometry and Arctic environmental conditions after defining priority tasking and alternate observation modes.</t>
  </si>
  <si>
    <t>May reduce observation volume or require architecture changes.</t>
  </si>
  <si>
    <t>Adds mission analysis, software and operations modelling LOE.</t>
  </si>
  <si>
    <t>R-071</t>
  </si>
  <si>
    <t>Science &amp; Calibration</t>
  </si>
  <si>
    <t>Reference Data or Validation Shortfall</t>
  </si>
  <si>
    <t>Calibration/validation activities lack sufficient reference observations or independent data to demonstrate product quality.</t>
  </si>
  <si>
    <t>Late validation planning; incomplete ground-truth approach</t>
  </si>
  <si>
    <t>Reference-data access; seasonal conditions; field logistics</t>
  </si>
  <si>
    <t>Accept residual reference-data availability risk after securing baseline sources and defining alternate validation approaches.</t>
  </si>
  <si>
    <t>May delay product validation and acceptance.</t>
  </si>
  <si>
    <t>Adds science-support and data-acquisition LOE.</t>
  </si>
  <si>
    <t>R-072</t>
  </si>
  <si>
    <t>Cybersecurity Controls Arrive Late</t>
  </si>
  <si>
    <t>Security</t>
  </si>
  <si>
    <t>Security requirements or controls are introduced after spacecraft/ground-system interfaces have been established, causing redesign.</t>
  </si>
  <si>
    <t>Late threat modelling; fragmented security ownership</t>
  </si>
  <si>
    <t>Government cybersecurity requirements; threat environment</t>
  </si>
  <si>
    <t>Perform threat modelling at architecture start and integrate security verification into every major software and ground release.</t>
  </si>
  <si>
    <t>May require hardware/software changes and delay acceptance.</t>
  </si>
  <si>
    <t>Adds cybersecurity engineering and verification LOE.</t>
  </si>
  <si>
    <t>R-073</t>
  </si>
  <si>
    <t>Supply-Chain Cyber Compromise</t>
  </si>
  <si>
    <t>Vendor software, remote-access infrastructure or development environments introduce malicious code or unauthorized access pathways.</t>
  </si>
  <si>
    <t>Weak supplier-security requirements; insufficient scanning</t>
  </si>
  <si>
    <t>Supplier cyber incidents; third-party dependencies</t>
  </si>
  <si>
    <t>Require secure development evidence, software integrity checks, segmented supplier access and acceptance scanning.</t>
  </si>
  <si>
    <t>May delay acceptance and require remediation or rework.</t>
  </si>
  <si>
    <t>Adds cybersecurity assurance and supplier oversight cost.</t>
  </si>
  <si>
    <t>R-074</t>
  </si>
  <si>
    <t>Natural Events</t>
  </si>
  <si>
    <t>Facility Disruption from Natural Event</t>
  </si>
  <si>
    <t>Fire, flood, severe storm or other event closes a critical spacecraft, test or ground facility.</t>
  </si>
  <si>
    <t>Concentrated critical resources; inadequate continuity planning</t>
  </si>
  <si>
    <t>Extreme weather; facility incident</t>
  </si>
  <si>
    <t>Use facility insurance/contractual recovery provisions and geographically separated backup capacity to transfer and contain a portion of major site-disruption exposure.</t>
  </si>
  <si>
    <t>May disrupt integration, test or operations.</t>
  </si>
  <si>
    <t>Adds contingency facilities and schedule reserve.</t>
  </si>
  <si>
    <t>R-075</t>
  </si>
  <si>
    <t>Schedule &amp; Program Management</t>
  </si>
  <si>
    <t>Management Reserve</t>
  </si>
  <si>
    <t>Schedule Margin Insufficient</t>
  </si>
  <si>
    <t>The nominal schedule contains insufficient float to absorb integration, procurement, test or commissioning delays before the 1 January 2031 launch baseline.</t>
  </si>
  <si>
    <t>Compressed D-phase sequencing; limited slack between milestones</t>
  </si>
  <si>
    <t>Supplier delays; facility availability; launch dates</t>
  </si>
  <si>
    <t>Protect explicit schedule reserve in Part C and use critical-path reviews to prevent reserve consumption without governance approval.</t>
  </si>
  <si>
    <t>Small disruptions may directly move launch and operations dates.</t>
  </si>
  <si>
    <t>Increases schedule risk allowance and PM LOE.</t>
  </si>
  <si>
    <t>R-076</t>
  </si>
  <si>
    <t>Earned Value &amp; Reporting</t>
  </si>
  <si>
    <t>Cost/Schedule Baseline Misalignment</t>
  </si>
  <si>
    <t>Cost, schedule and technical baselines are updated inconsistently, obscuring emerging variance and making the cost model stale.</t>
  </si>
  <si>
    <t>Unlinked planning systems; inconsistent change control</t>
  </si>
  <si>
    <t>Supplier reporting differences; evolving Part C/Part D baselines</t>
  </si>
  <si>
    <t>Reconcile Part A, Part C and Part D baselines at formal control points and maintain a single change log.</t>
  </si>
  <si>
    <t>May lead to late management response and estimate revisions.</t>
  </si>
  <si>
    <t>Reduces estimate traceability and increases analysis uncertainty.</t>
  </si>
  <si>
    <t>R-077</t>
  </si>
  <si>
    <t>Procurement Pricing</t>
  </si>
  <si>
    <t>Vendor Estimate Understatement</t>
  </si>
  <si>
    <t>Supplier proposals omit engineering, testing, documentation or support activities that are later added after award.</t>
  </si>
  <si>
    <t>Incomplete SOW; insufficient independent estimate</t>
  </si>
  <si>
    <t>Vendor pricing strategy; subcontractor exclusions</t>
  </si>
  <si>
    <t>Require priced WBS, assumptions and exclusions and perform an independent government estimate before award.</t>
  </si>
  <si>
    <t>Contract value may increase after award.</t>
  </si>
  <si>
    <t>Increases procurement and contingency allowance.</t>
  </si>
  <si>
    <t>R-078</t>
  </si>
  <si>
    <t>Competitive Procurement</t>
  </si>
  <si>
    <t>Insufficient Bid Competition</t>
  </si>
  <si>
    <t>Too few compliant bids are received for a major contract, reducing pricing leverage or requiring procurement restart.</t>
  </si>
  <si>
    <t>Overly narrow requirements; unrealistic bid conditions</t>
  </si>
  <si>
    <t>Limited Canadian supplier base; market capacity</t>
  </si>
  <si>
    <t>Accept residual competition risk after conducting market sounding, provided procurement rules and minimum technical requirements remain satisfied.</t>
  </si>
  <si>
    <t>May delay contract award and increase procurement cost.</t>
  </si>
  <si>
    <t>Adds procurement schedule and price uncertainty.</t>
  </si>
  <si>
    <t>R-079</t>
  </si>
  <si>
    <t>Market &amp; Commercial</t>
  </si>
  <si>
    <t>Foreign Exchange Volatility</t>
  </si>
  <si>
    <t>Foreign-denominated procurement or services become more expensive than the estimate due to exchange-rate movement.</t>
  </si>
  <si>
    <t>High foreign content in selected components or services</t>
  </si>
  <si>
    <t>Currency-market volatility</t>
  </si>
  <si>
    <t>Identify foreign-currency exposure and include explicit exchange-rate assumptions or contingency in the estimate.</t>
  </si>
  <si>
    <t>May increase procurement cost.</t>
  </si>
  <si>
    <t>Adds economic-constant uncertainty to the estimate.</t>
  </si>
  <si>
    <t>R-080</t>
  </si>
  <si>
    <t>Security &amp; Handling</t>
  </si>
  <si>
    <t>Sensitive Information Handling Failure</t>
  </si>
  <si>
    <t>Sensitive mission, spacecraft or user data are mishandled during development or operations.</t>
  </si>
  <si>
    <t>Inconsistent access control; training gaps</t>
  </si>
  <si>
    <t>Contractor handling practices; personnel turnover</t>
  </si>
  <si>
    <t>Apply role-based access, controlled repositories, training and auditable handling procedures across CSA, DND and suppliers.</t>
  </si>
  <si>
    <t>May require security remediation and temporarily restrict information exchange.</t>
  </si>
  <si>
    <t>Adds security-management and compliance LOE.</t>
  </si>
  <si>
    <t>R-081</t>
  </si>
  <si>
    <t>Solar Array Deployment Failure</t>
  </si>
  <si>
    <t>One or both spacecraft solar-array panels fail to deploy or latch as required after launch, reducing available power for spacecraft and payload operations.</t>
  </si>
  <si>
    <t>Insufficient deployment test coverage; mechanism tolerance stack; thermal distortion; incomplete contingency procedures</t>
  </si>
  <si>
    <t>Launch shock; mechanism aging during storage; unexpected post-separation attitude or thermal conditions</t>
  </si>
  <si>
    <t>Qualify the deployment mechanism, perform release/deployment tests, protect battery margin and maintain recovery procedures for partial deployment.</t>
  </si>
  <si>
    <t>May reduce available spacecraft power and delay commissioning or constrain payload duty cycle.</t>
  </si>
  <si>
    <t>Adds deployment-test, mechanism assurance and contingency operations LOE.</t>
  </si>
  <si>
    <t>R-082</t>
  </si>
  <si>
    <t>Battery Capacity Degradation Exceeds Model</t>
  </si>
  <si>
    <t>Battery capacity degrades faster than predicted, reducing eclipse and peak-load capability during the mission.</t>
  </si>
  <si>
    <t>Conservative capacity model not maintained; insufficient life-test data; temperature excursions</t>
  </si>
  <si>
    <t>Battery supplier variability; long-term degradation environment</t>
  </si>
  <si>
    <t>Use life-test data, thermal limits, end-of-life sizing margin and battery state-of-charge management rules.</t>
  </si>
  <si>
    <t>May constrain payload operations or autonomy and reduce available mission modes.</t>
  </si>
  <si>
    <t>Adds battery analysis, test and operations-model effort.</t>
  </si>
  <si>
    <t>R-083</t>
  </si>
  <si>
    <t>Communications &amp; TT&amp;C</t>
  </si>
  <si>
    <t>Antenna Deployment or RF Hardware Failure</t>
  </si>
  <si>
    <t>A communications antenna or RF chain does not perform as required after launch, reducing commanding or mission-data downlink capability.</t>
  </si>
  <si>
    <t>Insufficient deployment verification; RF interface mismatch; component defect</t>
  </si>
  <si>
    <t>Launch environment; radiation; external interference</t>
  </si>
  <si>
    <t>Use supplier acceptance criteria, component screening, spare RF hardware and contractual replacement obligations for defined failures.</t>
  </si>
  <si>
    <t>May reduce command margin or mission-data return and require alternate operating modes.</t>
  </si>
  <si>
    <t>Adds RF test, spare hardware and contingency operations allowance.</t>
  </si>
  <si>
    <t>R-084</t>
  </si>
  <si>
    <t>ADCS &amp; Navigation</t>
  </si>
  <si>
    <t>Star Tracker Performance Degradation</t>
  </si>
  <si>
    <t>Star tracker performance is degraded by bright-object intrusion, contamination or unexpected HEO viewing geometry, reducing attitude knowledge during imaging.</t>
  </si>
  <si>
    <t>Incomplete keep-out analysis; insufficient sensor testing; thermal calibration gaps</t>
  </si>
  <si>
    <t>Sun/Moon geometry; contamination; stray light environment</t>
  </si>
  <si>
    <t>Perform representative HEO star-tracker testing, validate keep-out zones and retain alternate attitude sensors and operating modes.</t>
  </si>
  <si>
    <t>May reduce imaging opportunities or require alternate attitude modes.</t>
  </si>
  <si>
    <t>Adds ADCS analysis, testing and software LOE.</t>
  </si>
  <si>
    <t>R-085</t>
  </si>
  <si>
    <t>Payload Accommodation</t>
  </si>
  <si>
    <t>Payload Contamination Degrades Optical Performance</t>
  </si>
  <si>
    <t>Particulate or molecular contamination accumulates on optical surfaces and reduces imaging performance.</t>
  </si>
  <si>
    <t>Weak contamination-control implementation; insufficient witness samples; late cleanliness activities</t>
  </si>
  <si>
    <t>Launch vehicle plume; outgassing; facility contamination</t>
  </si>
  <si>
    <t>Set contamination budgets, use witness samples, bake-out and controlled handling, and verify optical performance before launch.</t>
  </si>
  <si>
    <t>May reduce payload sensitivity, calibration stability or image quality.</t>
  </si>
  <si>
    <t>Adds contamination-control, test and payload requalification effort.</t>
  </si>
  <si>
    <t>R-086</t>
  </si>
  <si>
    <t>Observation Environment</t>
  </si>
  <si>
    <t>Cloud/Weather Obscures Priority Observations</t>
  </si>
  <si>
    <t>Cloud cover, snow or atmospheric conditions reduce usable optical observations for priority targets during selected passes.</t>
  </si>
  <si>
    <t>Tasking assumptions too optimistic; insufficient cloud-aware scheduling</t>
  </si>
  <si>
    <t>Seasonal cloud cover; Arctic weather variability; atmospheric conditions</t>
  </si>
  <si>
    <t>Treat weather obscuration as an inherent optical Earth-observation limitation and compensate through priority tasking, repeat observations and trend analysis.</t>
  </si>
  <si>
    <t>May reduce useful observation yield without directly affecting spacecraft availability.</t>
  </si>
  <si>
    <t>Adds observation-yield uncertainty to mission-benefit and data-volume analysis.</t>
  </si>
  <si>
    <t>R-087</t>
  </si>
  <si>
    <t>Geolocation &amp; Product Quality</t>
  </si>
  <si>
    <t>Level-1B Geolocation Accuracy Miss</t>
  </si>
  <si>
    <t>The processed imagery does not meet the required geolocation accuracy under representative reference conditions.</t>
  </si>
  <si>
    <t>Inadequate geometric calibration; time synchronization error; attitude knowledge error</t>
  </si>
  <si>
    <t>Ground-control data quality; seasonal terrain/ice changes</t>
  </si>
  <si>
    <t>Maintain an end-to-end geolocation error budget, use calibration targets and validate products before operational declaration.</t>
  </si>
  <si>
    <t>May require calibration updates, software changes or payload rework before operational use.</t>
  </si>
  <si>
    <t>Adds validation campaigns, processing development and calibration LOE.</t>
  </si>
  <si>
    <t>R-088</t>
  </si>
  <si>
    <t>Calibration &amp; Validation</t>
  </si>
  <si>
    <t>Onboard Calibration Reference Degrades</t>
  </si>
  <si>
    <t>The onboard calibration reference degrades or drifts faster than expected, reducing radiometric stability over mission life.</t>
  </si>
  <si>
    <t>Insufficient lifetime characterization; thermal sensitivity</t>
  </si>
  <si>
    <t>Radiation, contamination and aging environment</t>
  </si>
  <si>
    <t>Characterize drift, include periodic ground/in-flight calibration and retain software correction approaches based on calibration trending.</t>
  </si>
  <si>
    <t>May increase calibration frequency and reduce confidence in long-term data products.</t>
  </si>
  <si>
    <t>Adds calibration-analysis and ground-processing LOE.</t>
  </si>
  <si>
    <t>R-089</t>
  </si>
  <si>
    <t>Mission Planning System Cannot Resolve Conflicting Priorities</t>
  </si>
  <si>
    <t>The mission planning system cannot consistently optimize competing observations, spacecraft constraints and government priorities within the required planning cadence.</t>
  </si>
  <si>
    <t>Unresolved priority rules; insufficient algorithm testing; incomplete constraint models</t>
  </si>
  <si>
    <t>Changing user priorities; late target requests</t>
  </si>
  <si>
    <t>Define tasking priorities, test representative scenarios and use operator override rules with auditable decision logic.</t>
  </si>
  <si>
    <t>May reduce observation efficiency or increase manual operations workload.</t>
  </si>
  <si>
    <t>Adds mission-planning software and operations LOE.</t>
  </si>
  <si>
    <t>R-090</t>
  </si>
  <si>
    <t>Processing Algorithm Changes Affect Archive Consistency</t>
  </si>
  <si>
    <t>Processing updates create inconsistent product versions or metadata across the archive.</t>
  </si>
  <si>
    <t>Weak software/configuration controls; incomplete provenance tracking</t>
  </si>
  <si>
    <t>User-driven algorithm revisions; third-party processing dependencies</t>
  </si>
  <si>
    <t>Version algorithms and products, retain processing provenance and validate backward compatibility before production release.</t>
  </si>
  <si>
    <t>May require reprocessing of historical data and increase storage demand.</t>
  </si>
  <si>
    <t>Adds data-management and reprocessing costs.</t>
  </si>
  <si>
    <t>R-091</t>
  </si>
  <si>
    <t>Cybersecurity &amp; Access</t>
  </si>
  <si>
    <t>Ground Segment Denial-of-Service Disrupts Operations</t>
  </si>
  <si>
    <t>A denial-of-service event reduces access to mission-control or data-processing infrastructure during a critical operational period.</t>
  </si>
  <si>
    <t>Insufficient network segmentation; inadequate capacity planning</t>
  </si>
  <si>
    <t>Internet-originated attacks; service-provider outages</t>
  </si>
  <si>
    <t>Include service-level commitments, redundant connectivity and incident-response responsibilities in ground-service contracts while retaining internal recovery capability.</t>
  </si>
  <si>
    <t>May delay commanding or data dissemination and increase recovery workload.</t>
  </si>
  <si>
    <t>Adds cybersecurity service and continuity provisions to operations cost.</t>
  </si>
  <si>
    <t>R-092</t>
  </si>
  <si>
    <t>Configuration &amp; Lifecycle</t>
  </si>
  <si>
    <t>Critical Component Obsolescence Before Procurement</t>
  </si>
  <si>
    <t>A critical component becomes obsolete or unavailable before sufficient flight quantities are procured.</t>
  </si>
  <si>
    <t>Slow component decisions; long design cycle; insufficient lifetime buy strategy</t>
  </si>
  <si>
    <t>Commercial product lifecycle changes; supplier discontinuation</t>
  </si>
  <si>
    <t>Avoid dependence on vulnerable parts by selecting long-life components where practical and completing lifetime-buys or qualified alternates before design freeze.</t>
  </si>
  <si>
    <t>May force redesign of electronics or payload interfaces.</t>
  </si>
  <si>
    <t>Adds component analysis, qualification and procurement effort.</t>
  </si>
  <si>
    <t>R-093</t>
  </si>
  <si>
    <t>Review Exit Criteria Are Not Met</t>
  </si>
  <si>
    <t>A major design or readiness review cannot close because required evidence or actions remain incomplete.</t>
  </si>
  <si>
    <t>Weak entry/exit criteria; late evidence generation; unclear action ownership</t>
  </si>
  <si>
    <t>Independent review availability; supplier evidence delays</t>
  </si>
  <si>
    <t>Accept limited residual review-slip risk after enforcing objective entry and exit criteria and retaining schedule reserve around major reviews.</t>
  </si>
  <si>
    <t>May delay release to the next lifecycle activity and consume schedule reserve.</t>
  </si>
  <si>
    <t>Adds review-management and rework contingency.</t>
  </si>
  <si>
    <t>R-094</t>
  </si>
  <si>
    <t>Procurement &amp; Contracting</t>
  </si>
  <si>
    <t>Contract Change Requests Increase After Award</t>
  </si>
  <si>
    <t>Supplier and government requirements generate more contract changes than planned after award.</t>
  </si>
  <si>
    <t>Incomplete SOW; unresolved interfaces; immature specifications</t>
  </si>
  <si>
    <t>Supplier interpretation; market changes; policy constraints</t>
  </si>
  <si>
    <t>Freeze priced requirements before award, use controlled change boards and require quantified cost and schedule impacts for each change.</t>
  </si>
  <si>
    <t>May increase contracted scope and reduce management reserve.</t>
  </si>
  <si>
    <t>Adds contract-management LOE and change-order contingency.</t>
  </si>
  <si>
    <t>R-095</t>
  </si>
  <si>
    <t>Launch Failure Results in Loss of One or Both Spacecraft</t>
  </si>
  <si>
    <t>A launch failure results in partial or total loss of spacecraft and launch investment.</t>
  </si>
  <si>
    <t>Limited opportunity for rapid rebuild; two-spacecraft dependence on one launch</t>
  </si>
  <si>
    <t>Launch vehicle failure; launch-site incident</t>
  </si>
  <si>
    <t>Maintain launch insurance for defined physical-loss exposures and preserve design records, critical spares and supplier support for potential rebuild.</t>
  </si>
  <si>
    <t>May cause major mission delay and require spacecraft replacement or rebuild.</t>
  </si>
  <si>
    <t>Requires explicit mission-loss and insurance assumptions in the estimate.</t>
  </si>
  <si>
    <t>R-096</t>
  </si>
  <si>
    <t>Orbit Insertion</t>
  </si>
  <si>
    <t>HEO Injection Error Exceeds Correction Capacity</t>
  </si>
  <si>
    <t>Launch vehicle injection dispersions exceed the propulsion margin available for orbit correction and constellation phasing.</t>
  </si>
  <si>
    <t>Insufficient dispersion analysis; optimistic delta-v reserve</t>
  </si>
  <si>
    <t>Launch vehicle performance dispersions; upper-stage performance</t>
  </si>
  <si>
    <t>Model worst-case insertion dispersions, reserve correction delta-v and confirm separation/phasing strategy with the launch provider.</t>
  </si>
  <si>
    <t>May prevent the spacecraft from reaching the required HEO geometry or alter observation coverage.</t>
  </si>
  <si>
    <t>Adds flight-dynamics, propulsion and mission-analysis contingency.</t>
  </si>
  <si>
    <t>R-097</t>
  </si>
  <si>
    <t>Thruster Lifetime Is Insufficient</t>
  </si>
  <si>
    <t>The propulsion system does not provide the required cumulative operating life for orbit maintenance, phasing, collision avoidance and disposal.</t>
  </si>
  <si>
    <t>Incomplete life testing; underestimated duty cycle; thermal cycling</t>
  </si>
  <si>
    <t>Thruster supplier performance variability; mission environment</t>
  </si>
  <si>
    <t>Use supplier life-performance guarantees, qualification evidence, warranty provisions and spare/repair obligations to transfer a defined portion of thruster lifetime exposure.</t>
  </si>
  <si>
    <t>May constrain orbit maintenance or end-of-life disposal.</t>
  </si>
  <si>
    <t>Adds propulsion qualification, analysis and operations planning.</t>
  </si>
  <si>
    <t>R-098</t>
  </si>
  <si>
    <t>LEOP &amp; Commissioning</t>
  </si>
  <si>
    <t>Commissioning Anomaly Requires Extended Ground Support</t>
  </si>
  <si>
    <t>A commissioning anomaly requires contractor support beyond the planned 90-day readiness window.</t>
  </si>
  <si>
    <t>Incomplete anomaly procedures; limited simulator fidelity; staffing constraints</t>
  </si>
  <si>
    <t>Supplier response time; ground-station availability; unexpected spacecraft behaviour</t>
  </si>
  <si>
    <t>Accept residual commissioning-support duration after reserving a defined contractor support extension and maintaining a validated anomaly-response simulator.</t>
  </si>
  <si>
    <t>May delay nominal operations and increase early operations labour.</t>
  </si>
  <si>
    <t>Adds commissioning staffing and contractor-support contingency.</t>
  </si>
  <si>
    <t>R-099</t>
  </si>
  <si>
    <t>Sustainment</t>
  </si>
  <si>
    <t>Operational Staffing Model Is Underestimated</t>
  </si>
  <si>
    <t>The 24-hour government operations concept requires more staff than planned to sustain shifts, leave coverage, training and anomaly response.</t>
  </si>
  <si>
    <t>Underestimated workload; insufficient cross-training; excessive manual procedures</t>
  </si>
  <si>
    <t>Labour availability; staffing policy; attrition</t>
  </si>
  <si>
    <t>Accept residual staffing uncertainty after completing a quantified workload study and defining minimum safe shift coverage.</t>
  </si>
  <si>
    <t>May increase recurring operations cost or require automation investment.</t>
  </si>
  <si>
    <t>Increases lifecycle LOE range and operations-cost uncertainty.</t>
  </si>
  <si>
    <t>R-100</t>
  </si>
  <si>
    <t>Disposal &amp; Decommissioning</t>
  </si>
  <si>
    <t>Deorbit Requirement Cannot Be Achieved</t>
  </si>
  <si>
    <t>At end of mission, remaining propulsion capability is insufficient to execute the planned controlled disposal profile.</t>
  </si>
  <si>
    <t>Propellant depletion; degraded propulsion efficiency; underestimated manoeuvre budget</t>
  </si>
  <si>
    <t>Orbit perturbations; launch injection dispersions; spacecraft degradation</t>
  </si>
  <si>
    <t>Avoid reliance on late-life performance by allocating disposal delta-v explicitly in the design, monitoring propellant reserves and defining an earlier disposal trigger.</t>
  </si>
  <si>
    <t>E–F</t>
  </si>
  <si>
    <t>May require an alternate disposal profile or extended operations to achieve compliance.</t>
  </si>
  <si>
    <t>Adds end-of-life analysis and contingency delta-v allowance.</t>
  </si>
  <si>
    <t>5 - 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</si>
</sst>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;;;@"/>
    <numFmt numFmtId="166" formatCode="0.0"/>
    <numFmt numFmtId="167" formatCode="[$-1009]mmmm\ d\,\ yyyy;@"/>
    <numFmt numFmtId="168" formatCode="_ * #,##0.00_)\ &quot;$&quot;_ ;_ * \(#,##0.00\)\ &quot;$&quot;_ ;_ * &quot;-&quot;??_)\ &quot;$&quot;_ ;_ @_ "/>
    <numFmt numFmtId="169" formatCode="0.0\ &quot;mo&quot;;;;"/>
    <numFmt numFmtId="170" formatCode="&quot;FY &quot;\ 0"/>
    <numFmt numFmtId="171" formatCode="_(* #,##0_)\ &quot;d&quot;;_(* \(#,##0\);_(* &quot;-&quot;??_);_(@_)"/>
    <numFmt numFmtId="172" formatCode="_(* #,##0.0_)&quot;mo&quot;;_(* \(#,##0.0\);_(* &quot;-&quot;??_);_(@_)"/>
    <numFmt numFmtId="173" formatCode="yyyy\-mmm\-dd"/>
    <numFmt numFmtId="174" formatCode="[$$-409]#,##0_);[Red]\([$$-409]#,##0\)"/>
    <numFmt numFmtId="175" formatCode="_ * #,##0.00_)\ _$_ ;_ * \(#,##0.00\)\ _$_ ;_ * &quot;-&quot;??_)\ _$_ ;_ @_ "/>
    <numFmt numFmtId="176" formatCode="&quot;$&quot;#,##0;[Red]\-&quot;$&quot;#,##0"/>
    <numFmt numFmtId="177" formatCode="&quot;$&quot;#,##0;[Red]\-&quot;$&quot;#,##0;\-"/>
  </numFmts>
  <fonts count="4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rgb="FF800080"/>
      <name val="Arial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Wingdings 3"/>
      <family val="1"/>
      <charset val="2"/>
    </font>
    <font>
      <u/>
      <sz val="11"/>
      <color theme="10"/>
      <name val="Calibri"/>
      <family val="1"/>
      <charset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ptos"/>
      <family val="2"/>
    </font>
    <font>
      <sz val="10"/>
      <color rgb="FF243447"/>
      <name val="Aptos"/>
      <family val="2"/>
    </font>
    <font>
      <b/>
      <sz val="10"/>
      <color rgb="FFFFFFFF"/>
      <name val="Aptos"/>
      <family val="2"/>
    </font>
    <font>
      <i/>
      <sz val="10"/>
      <color rgb="FF243447"/>
      <name val="Aptos"/>
      <family val="2"/>
    </font>
    <font>
      <b/>
      <i/>
      <sz val="10"/>
      <color rgb="FF243447"/>
      <name val="Aptos"/>
      <family val="2"/>
    </font>
    <font>
      <b/>
      <sz val="10"/>
      <color theme="1"/>
      <name val="Aptos"/>
      <family val="2"/>
    </font>
    <font>
      <sz val="10"/>
      <color rgb="FF7A4E00"/>
      <name val="Aptos"/>
      <family val="2"/>
    </font>
    <font>
      <b/>
      <sz val="10"/>
      <color rgb="FF17365D"/>
      <name val="Aptos"/>
      <family val="2"/>
    </font>
    <font>
      <sz val="9"/>
      <color rgb="FF243447"/>
      <name val="Aptos"/>
      <family val="2"/>
    </font>
    <font>
      <b/>
      <sz val="9"/>
      <color rgb="FF243447"/>
      <name val="Aptos"/>
      <family val="2"/>
    </font>
    <font>
      <b/>
      <sz val="9"/>
      <color rgb="FFFFFFFF"/>
      <name val="Aptos"/>
      <family val="2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1F6D7A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E8F4F3"/>
        <bgColor indexed="64"/>
      </patternFill>
    </fill>
    <fill>
      <patternFill patternType="solid">
        <fgColor rgb="FFD9A441"/>
        <bgColor indexed="64"/>
      </patternFill>
    </fill>
    <fill>
      <patternFill patternType="solid">
        <fgColor rgb="FF315B7D"/>
        <bgColor indexed="64"/>
      </patternFill>
    </fill>
    <fill>
      <patternFill patternType="solid">
        <fgColor rgb="FFFFF8E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7C5D3"/>
      </left>
      <right style="thin">
        <color rgb="FFDDE5EC"/>
      </right>
      <top style="thin">
        <color rgb="FFB7C5D3"/>
      </top>
      <bottom style="thin">
        <color rgb="FFDDE5EC"/>
      </bottom>
      <diagonal/>
    </border>
    <border>
      <left style="thin">
        <color rgb="FFDDE5EC"/>
      </left>
      <right style="thin">
        <color rgb="FFDDE5EC"/>
      </right>
      <top style="thin">
        <color rgb="FFB7C5D3"/>
      </top>
      <bottom style="thin">
        <color rgb="FFDDE5EC"/>
      </bottom>
      <diagonal/>
    </border>
    <border>
      <left style="thin">
        <color rgb="FFDDE5EC"/>
      </left>
      <right style="thin">
        <color rgb="FFB7C5D3"/>
      </right>
      <top style="thin">
        <color rgb="FFB7C5D3"/>
      </top>
      <bottom style="thin">
        <color rgb="FFDDE5EC"/>
      </bottom>
      <diagonal/>
    </border>
    <border>
      <left style="thin">
        <color rgb="FFB7C5D3"/>
      </left>
      <right style="thin">
        <color rgb="FFDDE5EC"/>
      </right>
      <top style="thin">
        <color rgb="FFDDE5EC"/>
      </top>
      <bottom style="thin">
        <color rgb="FFDDE5EC"/>
      </bottom>
      <diagonal/>
    </border>
    <border>
      <left style="thin">
        <color rgb="FFDDE5EC"/>
      </left>
      <right style="thin">
        <color rgb="FFDDE5EC"/>
      </right>
      <top style="thin">
        <color rgb="FFDDE5EC"/>
      </top>
      <bottom style="thin">
        <color rgb="FFDDE5EC"/>
      </bottom>
      <diagonal/>
    </border>
    <border>
      <left style="thin">
        <color rgb="FFDDE5EC"/>
      </left>
      <right style="thin">
        <color rgb="FFB7C5D3"/>
      </right>
      <top style="thin">
        <color rgb="FFDDE5EC"/>
      </top>
      <bottom style="thin">
        <color rgb="FFDDE5EC"/>
      </bottom>
      <diagonal/>
    </border>
    <border>
      <left style="thin">
        <color rgb="FFB7C5D3"/>
      </left>
      <right style="thin">
        <color rgb="FFDDE5EC"/>
      </right>
      <top style="thin">
        <color rgb="FFDDE5EC"/>
      </top>
      <bottom/>
      <diagonal/>
    </border>
    <border>
      <left style="thin">
        <color rgb="FFDDE5EC"/>
      </left>
      <right style="thin">
        <color rgb="FFDDE5EC"/>
      </right>
      <top style="thin">
        <color rgb="FFDDE5EC"/>
      </top>
      <bottom/>
      <diagonal/>
    </border>
    <border>
      <left style="thin">
        <color rgb="FFDDE5EC"/>
      </left>
      <right style="thin">
        <color rgb="FFB7C5D3"/>
      </right>
      <top style="thin">
        <color rgb="FFDDE5EC"/>
      </top>
      <bottom/>
      <diagonal/>
    </border>
    <border>
      <left style="thin">
        <color rgb="FFB7C5D3"/>
      </left>
      <right style="thin">
        <color rgb="FFDDE5EC"/>
      </right>
      <top style="double">
        <color rgb="FF17365D"/>
      </top>
      <bottom style="thin">
        <color rgb="FFB7C5D3"/>
      </bottom>
      <diagonal/>
    </border>
    <border>
      <left style="thin">
        <color rgb="FFDDE5EC"/>
      </left>
      <right style="thin">
        <color rgb="FFDDE5EC"/>
      </right>
      <top style="double">
        <color rgb="FF17365D"/>
      </top>
      <bottom style="thin">
        <color rgb="FFB7C5D3"/>
      </bottom>
      <diagonal/>
    </border>
    <border>
      <left style="thin">
        <color rgb="FFDDE5EC"/>
      </left>
      <right style="thin">
        <color rgb="FFB7C5D3"/>
      </right>
      <top style="double">
        <color rgb="FF17365D"/>
      </top>
      <bottom style="thin">
        <color rgb="FFB7C5D3"/>
      </bottom>
      <diagonal/>
    </border>
    <border>
      <left style="thin">
        <color rgb="FFB7C5D3"/>
      </left>
      <right style="thin">
        <color rgb="FFDDE5EC"/>
      </right>
      <top style="double">
        <color rgb="FF17365D"/>
      </top>
      <bottom style="thin">
        <color rgb="FF17365D"/>
      </bottom>
      <diagonal/>
    </border>
    <border>
      <left style="thin">
        <color rgb="FFDDE5EC"/>
      </left>
      <right style="thin">
        <color rgb="FFDDE5EC"/>
      </right>
      <top style="double">
        <color rgb="FF17365D"/>
      </top>
      <bottom style="thin">
        <color rgb="FF17365D"/>
      </bottom>
      <diagonal/>
    </border>
    <border>
      <left style="thin">
        <color rgb="FFDDE5EC"/>
      </left>
      <right style="thin">
        <color rgb="FFB7C5D3"/>
      </right>
      <top style="double">
        <color rgb="FF17365D"/>
      </top>
      <bottom style="thin">
        <color rgb="FF17365D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5B7894"/>
      </left>
      <right style="thin">
        <color indexed="64"/>
      </right>
      <top/>
      <bottom style="thin">
        <color indexed="64"/>
      </bottom>
      <diagonal/>
    </border>
    <border>
      <left style="medium">
        <color rgb="FF5B789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B789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167" fontId="12" fillId="0" borderId="0"/>
    <xf numFmtId="167" fontId="13" fillId="0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14" fillId="0" borderId="0" applyNumberFormat="0" applyFill="0" applyBorder="0" applyAlignment="0" applyProtection="0"/>
    <xf numFmtId="167" fontId="4" fillId="0" borderId="0"/>
    <xf numFmtId="168" fontId="13" fillId="0" borderId="0" applyFont="0" applyFill="0" applyBorder="0" applyAlignment="0" applyProtection="0"/>
    <xf numFmtId="167" fontId="16" fillId="0" borderId="0"/>
    <xf numFmtId="167" fontId="4" fillId="0" borderId="0"/>
    <xf numFmtId="167" fontId="13" fillId="0" borderId="0"/>
    <xf numFmtId="9" fontId="15" fillId="0" borderId="0" applyFont="0" applyFill="0" applyBorder="0" applyAlignment="0" applyProtection="0"/>
    <xf numFmtId="167" fontId="13" fillId="0" borderId="0"/>
    <xf numFmtId="0" fontId="4" fillId="0" borderId="0"/>
    <xf numFmtId="43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17" borderId="12" applyNumberFormat="0" applyAlignment="0" applyProtection="0"/>
    <xf numFmtId="174" fontId="4" fillId="0" borderId="0"/>
    <xf numFmtId="175" fontId="24" fillId="0" borderId="0" applyFont="0" applyFill="0" applyBorder="0" applyAlignment="0" applyProtection="0"/>
  </cellStyleXfs>
  <cellXfs count="28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8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vertical="center"/>
    </xf>
    <xf numFmtId="0" fontId="7" fillId="0" borderId="3" xfId="0" applyFont="1" applyBorder="1"/>
    <xf numFmtId="0" fontId="0" fillId="0" borderId="3" xfId="0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Continuous"/>
    </xf>
    <xf numFmtId="0" fontId="1" fillId="6" borderId="4" xfId="0" applyFont="1" applyFill="1" applyBorder="1" applyAlignment="1">
      <alignment horizontal="centerContinuous"/>
    </xf>
    <xf numFmtId="0" fontId="1" fillId="6" borderId="3" xfId="0" applyFont="1" applyFill="1" applyBorder="1" applyAlignment="1">
      <alignment horizontal="centerContinuous"/>
    </xf>
    <xf numFmtId="0" fontId="5" fillId="0" borderId="0" xfId="0" applyFont="1" applyAlignment="1">
      <alignment horizontal="center"/>
    </xf>
    <xf numFmtId="49" fontId="2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6" fillId="2" borderId="1" xfId="0" applyNumberFormat="1" applyFont="1" applyFill="1" applyBorder="1"/>
    <xf numFmtId="49" fontId="2" fillId="2" borderId="1" xfId="0" applyNumberFormat="1" applyFont="1" applyFill="1" applyBorder="1" applyAlignment="1">
      <alignment vertical="center"/>
    </xf>
    <xf numFmtId="0" fontId="9" fillId="0" borderId="0" xfId="2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/>
    <xf numFmtId="166" fontId="0" fillId="0" borderId="1" xfId="0" applyNumberFormat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 vertical="top"/>
    </xf>
    <xf numFmtId="0" fontId="0" fillId="9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 vertical="top"/>
    </xf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 vertical="top"/>
    </xf>
    <xf numFmtId="0" fontId="0" fillId="4" borderId="2" xfId="0" applyFill="1" applyBorder="1"/>
    <xf numFmtId="0" fontId="0" fillId="0" borderId="2" xfId="0" applyBorder="1"/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left" vertical="top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left" vertical="top"/>
    </xf>
    <xf numFmtId="0" fontId="0" fillId="4" borderId="6" xfId="0" applyFill="1" applyBorder="1"/>
    <xf numFmtId="0" fontId="0" fillId="0" borderId="6" xfId="0" applyBorder="1"/>
    <xf numFmtId="0" fontId="0" fillId="12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0" fontId="10" fillId="13" borderId="1" xfId="0" applyFont="1" applyFill="1" applyBorder="1"/>
    <xf numFmtId="0" fontId="10" fillId="13" borderId="1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vertic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left" vertical="top"/>
    </xf>
    <xf numFmtId="0" fontId="0" fillId="14" borderId="1" xfId="0" applyFill="1" applyBorder="1"/>
    <xf numFmtId="0" fontId="0" fillId="0" borderId="0" xfId="0" applyAlignment="1">
      <alignment horizontal="left" vertical="top"/>
    </xf>
    <xf numFmtId="169" fontId="0" fillId="15" borderId="7" xfId="1" applyNumberFormat="1" applyFont="1" applyFill="1" applyBorder="1" applyAlignment="1"/>
    <xf numFmtId="170" fontId="19" fillId="16" borderId="10" xfId="0" applyNumberFormat="1" applyFont="1" applyFill="1" applyBorder="1"/>
    <xf numFmtId="0" fontId="1" fillId="8" borderId="0" xfId="0" applyFont="1" applyFill="1"/>
    <xf numFmtId="165" fontId="0" fillId="2" borderId="1" xfId="0" applyNumberFormat="1" applyFill="1" applyBorder="1"/>
    <xf numFmtId="171" fontId="0" fillId="10" borderId="7" xfId="1" applyNumberFormat="1" applyFont="1" applyFill="1" applyBorder="1"/>
    <xf numFmtId="172" fontId="0" fillId="10" borderId="7" xfId="1" applyNumberFormat="1" applyFont="1" applyFill="1" applyBorder="1"/>
    <xf numFmtId="0" fontId="1" fillId="8" borderId="1" xfId="0" applyFont="1" applyFill="1" applyBorder="1" applyAlignment="1">
      <alignment horizontal="center"/>
    </xf>
    <xf numFmtId="171" fontId="0" fillId="10" borderId="1" xfId="1" applyNumberFormat="1" applyFont="1" applyFill="1" applyBorder="1"/>
    <xf numFmtId="172" fontId="0" fillId="10" borderId="1" xfId="1" applyNumberFormat="1" applyFont="1" applyFill="1" applyBorder="1"/>
    <xf numFmtId="0" fontId="3" fillId="2" borderId="7" xfId="0" applyFont="1" applyFill="1" applyBorder="1"/>
    <xf numFmtId="0" fontId="3" fillId="2" borderId="9" xfId="0" applyFont="1" applyFill="1" applyBorder="1"/>
    <xf numFmtId="0" fontId="3" fillId="2" borderId="7" xfId="0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1" fillId="0" borderId="0" xfId="0" applyFont="1" applyAlignment="1">
      <alignment horizontal="right"/>
    </xf>
    <xf numFmtId="15" fontId="22" fillId="0" borderId="0" xfId="0" applyNumberFormat="1" applyFont="1"/>
    <xf numFmtId="0" fontId="23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173" fontId="0" fillId="0" borderId="1" xfId="0" applyNumberFormat="1" applyBorder="1" applyAlignment="1">
      <alignment horizontal="left" vertical="top"/>
    </xf>
    <xf numFmtId="166" fontId="0" fillId="10" borderId="1" xfId="0" applyNumberFormat="1" applyFill="1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18" fillId="17" borderId="12" xfId="19" applyAlignment="1">
      <alignment vertical="top"/>
    </xf>
    <xf numFmtId="0" fontId="1" fillId="17" borderId="12" xfId="19" applyFont="1" applyAlignment="1">
      <alignment vertical="top"/>
    </xf>
    <xf numFmtId="14" fontId="18" fillId="17" borderId="12" xfId="19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14" borderId="0" xfId="0" applyFill="1" applyAlignment="1">
      <alignment vertical="top" wrapText="1"/>
    </xf>
    <xf numFmtId="0" fontId="28" fillId="17" borderId="13" xfId="19" applyFont="1" applyBorder="1" applyAlignment="1">
      <alignment vertical="top" wrapText="1"/>
    </xf>
    <xf numFmtId="0" fontId="29" fillId="17" borderId="13" xfId="19" applyFont="1" applyBorder="1" applyAlignment="1">
      <alignment vertical="top" wrapText="1"/>
    </xf>
    <xf numFmtId="0" fontId="31" fillId="14" borderId="13" xfId="19" applyFont="1" applyFill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30" fillId="0" borderId="1" xfId="0" applyFont="1" applyBorder="1" applyAlignment="1">
      <alignment horizontal="left" vertical="top" wrapText="1"/>
    </xf>
    <xf numFmtId="0" fontId="0" fillId="14" borderId="11" xfId="0" applyFill="1" applyBorder="1" applyAlignment="1">
      <alignment vertical="top"/>
    </xf>
    <xf numFmtId="0" fontId="30" fillId="14" borderId="1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vertical="top" wrapText="1"/>
    </xf>
    <xf numFmtId="0" fontId="0" fillId="14" borderId="1" xfId="0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30" fillId="0" borderId="1" xfId="0" applyFont="1" applyBorder="1" applyAlignment="1">
      <alignment horizontal="left" vertical="top" wrapText="1" indent="5"/>
    </xf>
    <xf numFmtId="0" fontId="5" fillId="2" borderId="2" xfId="0" applyFont="1" applyFill="1" applyBorder="1" applyAlignment="1">
      <alignment horizontal="left" vertical="top"/>
    </xf>
    <xf numFmtId="0" fontId="32" fillId="2" borderId="15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/>
    </xf>
    <xf numFmtId="173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10" borderId="1" xfId="0" applyFont="1" applyFill="1" applyBorder="1"/>
    <xf numFmtId="166" fontId="5" fillId="10" borderId="1" xfId="0" applyNumberFormat="1" applyFont="1" applyFill="1" applyBorder="1"/>
    <xf numFmtId="0" fontId="5" fillId="0" borderId="1" xfId="0" applyFont="1" applyBorder="1"/>
    <xf numFmtId="0" fontId="5" fillId="4" borderId="0" xfId="0" applyFont="1" applyFill="1"/>
    <xf numFmtId="14" fontId="0" fillId="4" borderId="0" xfId="0" applyNumberFormat="1" applyFill="1"/>
    <xf numFmtId="0" fontId="5" fillId="19" borderId="17" xfId="0" applyFont="1" applyFill="1" applyBorder="1"/>
    <xf numFmtId="0" fontId="5" fillId="19" borderId="11" xfId="0" applyFont="1" applyFill="1" applyBorder="1"/>
    <xf numFmtId="0" fontId="5" fillId="19" borderId="18" xfId="0" applyFont="1" applyFill="1" applyBorder="1"/>
    <xf numFmtId="0" fontId="5" fillId="20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1" borderId="11" xfId="0" applyFont="1" applyFill="1" applyBorder="1" applyAlignment="1">
      <alignment vertical="center" wrapText="1"/>
    </xf>
    <xf numFmtId="0" fontId="5" fillId="22" borderId="19" xfId="0" applyFont="1" applyFill="1" applyBorder="1" applyAlignment="1">
      <alignment vertical="center" wrapText="1"/>
    </xf>
    <xf numFmtId="0" fontId="0" fillId="18" borderId="11" xfId="0" applyFill="1" applyBorder="1"/>
    <xf numFmtId="0" fontId="5" fillId="18" borderId="17" xfId="0" applyFont="1" applyFill="1" applyBorder="1"/>
    <xf numFmtId="0" fontId="0" fillId="18" borderId="18" xfId="0" applyFill="1" applyBorder="1"/>
    <xf numFmtId="0" fontId="0" fillId="18" borderId="18" xfId="0" applyFill="1" applyBorder="1" applyAlignment="1">
      <alignment horizontal="center"/>
    </xf>
    <xf numFmtId="14" fontId="5" fillId="18" borderId="11" xfId="0" applyNumberFormat="1" applyFont="1" applyFill="1" applyBorder="1"/>
    <xf numFmtId="14" fontId="5" fillId="18" borderId="18" xfId="0" applyNumberFormat="1" applyFont="1" applyFill="1" applyBorder="1"/>
    <xf numFmtId="0" fontId="0" fillId="18" borderId="17" xfId="0" applyFill="1" applyBorder="1"/>
    <xf numFmtId="14" fontId="0" fillId="18" borderId="11" xfId="0" applyNumberFormat="1" applyFill="1" applyBorder="1"/>
    <xf numFmtId="14" fontId="0" fillId="18" borderId="18" xfId="0" applyNumberFormat="1" applyFill="1" applyBorder="1"/>
    <xf numFmtId="0" fontId="5" fillId="18" borderId="18" xfId="0" applyFont="1" applyFill="1" applyBorder="1" applyAlignment="1">
      <alignment horizontal="center"/>
    </xf>
    <xf numFmtId="0" fontId="0" fillId="18" borderId="11" xfId="0" applyFill="1" applyBorder="1" applyAlignment="1">
      <alignment wrapText="1"/>
    </xf>
    <xf numFmtId="0" fontId="0" fillId="4" borderId="11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14" fontId="0" fillId="4" borderId="11" xfId="0" applyNumberFormat="1" applyFill="1" applyBorder="1"/>
    <xf numFmtId="14" fontId="0" fillId="4" borderId="18" xfId="0" applyNumberFormat="1" applyFill="1" applyBorder="1"/>
    <xf numFmtId="14" fontId="0" fillId="0" borderId="0" xfId="0" applyNumberFormat="1"/>
    <xf numFmtId="0" fontId="0" fillId="4" borderId="19" xfId="0" applyFill="1" applyBorder="1"/>
    <xf numFmtId="0" fontId="5" fillId="4" borderId="20" xfId="0" applyFont="1" applyFill="1" applyBorder="1"/>
    <xf numFmtId="0" fontId="0" fillId="4" borderId="21" xfId="0" applyFill="1" applyBorder="1"/>
    <xf numFmtId="0" fontId="0" fillId="4" borderId="21" xfId="0" applyFill="1" applyBorder="1" applyAlignment="1">
      <alignment horizontal="center"/>
    </xf>
    <xf numFmtId="14" fontId="5" fillId="4" borderId="11" xfId="0" applyNumberFormat="1" applyFont="1" applyFill="1" applyBorder="1"/>
    <xf numFmtId="14" fontId="5" fillId="4" borderId="19" xfId="0" applyNumberFormat="1" applyFont="1" applyFill="1" applyBorder="1"/>
    <xf numFmtId="0" fontId="5" fillId="4" borderId="21" xfId="0" applyFont="1" applyFill="1" applyBorder="1"/>
    <xf numFmtId="14" fontId="5" fillId="4" borderId="18" xfId="0" applyNumberFormat="1" applyFont="1" applyFill="1" applyBorder="1"/>
    <xf numFmtId="0" fontId="0" fillId="4" borderId="19" xfId="0" applyFill="1" applyBorder="1" applyAlignment="1">
      <alignment wrapText="1"/>
    </xf>
    <xf numFmtId="0" fontId="0" fillId="12" borderId="11" xfId="0" applyFill="1" applyBorder="1"/>
    <xf numFmtId="0" fontId="0" fillId="12" borderId="11" xfId="0" applyFill="1" applyBorder="1" applyAlignment="1">
      <alignment wrapText="1"/>
    </xf>
    <xf numFmtId="0" fontId="0" fillId="12" borderId="11" xfId="0" applyFill="1" applyBorder="1" applyAlignment="1">
      <alignment horizontal="center"/>
    </xf>
    <xf numFmtId="14" fontId="0" fillId="12" borderId="11" xfId="0" applyNumberFormat="1" applyFill="1" applyBorder="1"/>
    <xf numFmtId="0" fontId="5" fillId="12" borderId="11" xfId="0" applyFont="1" applyFill="1" applyBorder="1"/>
    <xf numFmtId="0" fontId="5" fillId="12" borderId="11" xfId="0" applyFont="1" applyFill="1" applyBorder="1" applyAlignment="1">
      <alignment horizontal="center"/>
    </xf>
    <xf numFmtId="14" fontId="5" fillId="12" borderId="11" xfId="0" applyNumberFormat="1" applyFont="1" applyFill="1" applyBorder="1"/>
    <xf numFmtId="0" fontId="0" fillId="12" borderId="19" xfId="0" applyFill="1" applyBorder="1"/>
    <xf numFmtId="0" fontId="5" fillId="12" borderId="19" xfId="0" applyFont="1" applyFill="1" applyBorder="1"/>
    <xf numFmtId="0" fontId="5" fillId="12" borderId="19" xfId="0" applyFont="1" applyFill="1" applyBorder="1" applyAlignment="1">
      <alignment horizontal="center"/>
    </xf>
    <xf numFmtId="14" fontId="5" fillId="12" borderId="19" xfId="0" applyNumberFormat="1" applyFont="1" applyFill="1" applyBorder="1"/>
    <xf numFmtId="0" fontId="0" fillId="9" borderId="11" xfId="0" applyFill="1" applyBorder="1"/>
    <xf numFmtId="0" fontId="5" fillId="9" borderId="11" xfId="0" applyFont="1" applyFill="1" applyBorder="1"/>
    <xf numFmtId="14" fontId="5" fillId="9" borderId="11" xfId="0" applyNumberFormat="1" applyFont="1" applyFill="1" applyBorder="1"/>
    <xf numFmtId="14" fontId="0" fillId="2" borderId="1" xfId="0" applyNumberFormat="1" applyFill="1" applyBorder="1" applyAlignment="1">
      <alignment horizontal="center"/>
    </xf>
    <xf numFmtId="43" fontId="0" fillId="0" borderId="0" xfId="1" applyFont="1"/>
    <xf numFmtId="0" fontId="0" fillId="23" borderId="18" xfId="0" applyFill="1" applyBorder="1" applyAlignment="1">
      <alignment horizontal="center"/>
    </xf>
    <xf numFmtId="0" fontId="0" fillId="23" borderId="22" xfId="0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0" fontId="0" fillId="12" borderId="18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0" borderId="23" xfId="0" applyBorder="1"/>
    <xf numFmtId="0" fontId="34" fillId="0" borderId="28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5" fillId="24" borderId="25" xfId="0" applyFont="1" applyFill="1" applyBorder="1" applyAlignment="1">
      <alignment horizontal="center" vertical="center" wrapText="1"/>
    </xf>
    <xf numFmtId="0" fontId="35" fillId="24" borderId="26" xfId="0" applyFont="1" applyFill="1" applyBorder="1" applyAlignment="1">
      <alignment horizontal="center" vertical="center" wrapText="1"/>
    </xf>
    <xf numFmtId="0" fontId="35" fillId="25" borderId="26" xfId="0" applyFont="1" applyFill="1" applyBorder="1" applyAlignment="1">
      <alignment horizontal="center" vertical="center" wrapText="1"/>
    </xf>
    <xf numFmtId="0" fontId="35" fillId="25" borderId="27" xfId="0" applyFont="1" applyFill="1" applyBorder="1" applyAlignment="1">
      <alignment horizontal="center" vertical="center" wrapText="1"/>
    </xf>
    <xf numFmtId="0" fontId="34" fillId="26" borderId="29" xfId="0" applyFont="1" applyFill="1" applyBorder="1" applyAlignment="1">
      <alignment vertical="center"/>
    </xf>
    <xf numFmtId="0" fontId="34" fillId="27" borderId="29" xfId="0" applyFont="1" applyFill="1" applyBorder="1" applyAlignment="1">
      <alignment vertical="center"/>
    </xf>
    <xf numFmtId="0" fontId="37" fillId="28" borderId="29" xfId="0" applyFont="1" applyFill="1" applyBorder="1" applyAlignment="1">
      <alignment vertical="center"/>
    </xf>
    <xf numFmtId="0" fontId="34" fillId="26" borderId="28" xfId="0" applyFont="1" applyFill="1" applyBorder="1" applyAlignment="1">
      <alignment horizontal="center" vertical="center"/>
    </xf>
    <xf numFmtId="0" fontId="34" fillId="27" borderId="28" xfId="0" applyFont="1" applyFill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7" fillId="28" borderId="28" xfId="0" applyFont="1" applyFill="1" applyBorder="1" applyAlignment="1">
      <alignment horizontal="center" vertical="center"/>
    </xf>
    <xf numFmtId="0" fontId="34" fillId="26" borderId="29" xfId="0" applyFont="1" applyFill="1" applyBorder="1" applyAlignment="1">
      <alignment horizontal="left" vertical="center"/>
    </xf>
    <xf numFmtId="0" fontId="34" fillId="27" borderId="29" xfId="0" applyFont="1" applyFill="1" applyBorder="1" applyAlignment="1">
      <alignment horizontal="left" vertical="center"/>
    </xf>
    <xf numFmtId="0" fontId="34" fillId="0" borderId="29" xfId="0" applyFont="1" applyBorder="1" applyAlignment="1">
      <alignment horizontal="left" vertical="center"/>
    </xf>
    <xf numFmtId="0" fontId="37" fillId="28" borderId="29" xfId="0" applyFont="1" applyFill="1" applyBorder="1" applyAlignment="1">
      <alignment horizontal="left" vertical="center"/>
    </xf>
    <xf numFmtId="0" fontId="34" fillId="26" borderId="29" xfId="0" applyFont="1" applyFill="1" applyBorder="1" applyAlignment="1">
      <alignment vertical="center" wrapText="1"/>
    </xf>
    <xf numFmtId="0" fontId="34" fillId="27" borderId="29" xfId="0" applyFont="1" applyFill="1" applyBorder="1" applyAlignment="1">
      <alignment vertical="center" wrapText="1"/>
    </xf>
    <xf numFmtId="0" fontId="34" fillId="0" borderId="29" xfId="0" applyFont="1" applyBorder="1" applyAlignment="1">
      <alignment vertical="center" wrapText="1"/>
    </xf>
    <xf numFmtId="0" fontId="37" fillId="28" borderId="29" xfId="0" applyFont="1" applyFill="1" applyBorder="1" applyAlignment="1">
      <alignment vertical="center" wrapText="1"/>
    </xf>
    <xf numFmtId="0" fontId="34" fillId="26" borderId="29" xfId="0" applyFont="1" applyFill="1" applyBorder="1" applyAlignment="1">
      <alignment horizontal="center" vertical="center"/>
    </xf>
    <xf numFmtId="0" fontId="34" fillId="27" borderId="29" xfId="0" applyFont="1" applyFill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6" fillId="28" borderId="29" xfId="0" applyFont="1" applyFill="1" applyBorder="1" applyAlignment="1">
      <alignment horizontal="center" vertical="center"/>
    </xf>
    <xf numFmtId="6" fontId="34" fillId="26" borderId="29" xfId="0" applyNumberFormat="1" applyFont="1" applyFill="1" applyBorder="1" applyAlignment="1">
      <alignment horizontal="right" vertical="center"/>
    </xf>
    <xf numFmtId="6" fontId="34" fillId="27" borderId="29" xfId="0" applyNumberFormat="1" applyFont="1" applyFill="1" applyBorder="1" applyAlignment="1">
      <alignment horizontal="right" vertical="center"/>
    </xf>
    <xf numFmtId="0" fontId="34" fillId="0" borderId="29" xfId="0" applyFont="1" applyBorder="1" applyAlignment="1">
      <alignment horizontal="right" vertical="center"/>
    </xf>
    <xf numFmtId="0" fontId="36" fillId="28" borderId="29" xfId="0" applyFont="1" applyFill="1" applyBorder="1" applyAlignment="1">
      <alignment horizontal="right" vertical="center"/>
    </xf>
    <xf numFmtId="9" fontId="34" fillId="26" borderId="29" xfId="0" applyNumberFormat="1" applyFont="1" applyFill="1" applyBorder="1" applyAlignment="1">
      <alignment horizontal="center" vertical="center"/>
    </xf>
    <xf numFmtId="0" fontId="34" fillId="26" borderId="30" xfId="0" applyFont="1" applyFill="1" applyBorder="1" applyAlignment="1">
      <alignment horizontal="center" vertical="center"/>
    </xf>
    <xf numFmtId="9" fontId="34" fillId="27" borderId="29" xfId="0" applyNumberFormat="1" applyFont="1" applyFill="1" applyBorder="1" applyAlignment="1">
      <alignment horizontal="center" vertical="center"/>
    </xf>
    <xf numFmtId="0" fontId="34" fillId="27" borderId="30" xfId="0" applyFont="1" applyFill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6" fillId="28" borderId="30" xfId="0" applyFont="1" applyFill="1" applyBorder="1" applyAlignment="1">
      <alignment horizontal="center" vertical="center"/>
    </xf>
    <xf numFmtId="0" fontId="34" fillId="0" borderId="31" xfId="0" applyFont="1" applyBorder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32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5" fillId="25" borderId="37" xfId="0" applyFont="1" applyFill="1" applyBorder="1" applyAlignment="1">
      <alignment vertical="center"/>
    </xf>
    <xf numFmtId="0" fontId="35" fillId="25" borderId="38" xfId="0" applyFont="1" applyFill="1" applyBorder="1" applyAlignment="1">
      <alignment vertical="center"/>
    </xf>
    <xf numFmtId="0" fontId="35" fillId="25" borderId="38" xfId="0" applyFont="1" applyFill="1" applyBorder="1" applyAlignment="1">
      <alignment horizontal="center" vertical="center"/>
    </xf>
    <xf numFmtId="0" fontId="35" fillId="25" borderId="39" xfId="0" applyFont="1" applyFill="1" applyBorder="1" applyAlignment="1">
      <alignment horizontal="center" vertical="center"/>
    </xf>
    <xf numFmtId="0" fontId="35" fillId="24" borderId="25" xfId="0" applyFont="1" applyFill="1" applyBorder="1" applyAlignment="1">
      <alignment vertical="center" wrapText="1"/>
    </xf>
    <xf numFmtId="0" fontId="35" fillId="24" borderId="28" xfId="0" applyFont="1" applyFill="1" applyBorder="1" applyAlignment="1">
      <alignment vertical="center" wrapText="1"/>
    </xf>
    <xf numFmtId="176" fontId="33" fillId="29" borderId="26" xfId="0" applyNumberFormat="1" applyFont="1" applyFill="1" applyBorder="1" applyAlignment="1">
      <alignment horizontal="right" vertical="center"/>
    </xf>
    <xf numFmtId="176" fontId="33" fillId="29" borderId="27" xfId="0" applyNumberFormat="1" applyFont="1" applyFill="1" applyBorder="1" applyAlignment="1">
      <alignment horizontal="right" vertical="center"/>
    </xf>
    <xf numFmtId="176" fontId="33" fillId="27" borderId="29" xfId="0" applyNumberFormat="1" applyFont="1" applyFill="1" applyBorder="1" applyAlignment="1">
      <alignment horizontal="right" vertical="center"/>
    </xf>
    <xf numFmtId="176" fontId="33" fillId="27" borderId="30" xfId="0" applyNumberFormat="1" applyFont="1" applyFill="1" applyBorder="1" applyAlignment="1">
      <alignment horizontal="right" vertical="center"/>
    </xf>
    <xf numFmtId="176" fontId="33" fillId="29" borderId="29" xfId="0" applyNumberFormat="1" applyFont="1" applyFill="1" applyBorder="1" applyAlignment="1">
      <alignment horizontal="right" vertical="center"/>
    </xf>
    <xf numFmtId="176" fontId="33" fillId="29" borderId="30" xfId="0" applyNumberFormat="1" applyFont="1" applyFill="1" applyBorder="1" applyAlignment="1">
      <alignment horizontal="right" vertical="center"/>
    </xf>
    <xf numFmtId="0" fontId="35" fillId="24" borderId="31" xfId="0" applyFont="1" applyFill="1" applyBorder="1" applyAlignment="1">
      <alignment vertical="center" wrapText="1"/>
    </xf>
    <xf numFmtId="0" fontId="35" fillId="25" borderId="34" xfId="0" applyFont="1" applyFill="1" applyBorder="1" applyAlignment="1">
      <alignment vertical="center" wrapText="1"/>
    </xf>
    <xf numFmtId="176" fontId="35" fillId="25" borderId="35" xfId="0" applyNumberFormat="1" applyFont="1" applyFill="1" applyBorder="1" applyAlignment="1">
      <alignment horizontal="right" vertical="center"/>
    </xf>
    <xf numFmtId="176" fontId="35" fillId="25" borderId="36" xfId="0" applyNumberFormat="1" applyFont="1" applyFill="1" applyBorder="1" applyAlignment="1">
      <alignment horizontal="right" vertical="center"/>
    </xf>
    <xf numFmtId="176" fontId="39" fillId="27" borderId="29" xfId="0" applyNumberFormat="1" applyFont="1" applyFill="1" applyBorder="1" applyAlignment="1">
      <alignment horizontal="right" vertical="center"/>
    </xf>
    <xf numFmtId="176" fontId="39" fillId="27" borderId="30" xfId="0" applyNumberFormat="1" applyFont="1" applyFill="1" applyBorder="1" applyAlignment="1">
      <alignment horizontal="right" vertical="center"/>
    </xf>
    <xf numFmtId="0" fontId="40" fillId="30" borderId="28" xfId="0" applyFont="1" applyFill="1" applyBorder="1" applyAlignment="1">
      <alignment vertical="center" wrapText="1"/>
    </xf>
    <xf numFmtId="176" fontId="38" fillId="29" borderId="32" xfId="0" applyNumberFormat="1" applyFont="1" applyFill="1" applyBorder="1" applyAlignment="1">
      <alignment horizontal="right" vertical="center"/>
    </xf>
    <xf numFmtId="176" fontId="38" fillId="29" borderId="33" xfId="0" applyNumberFormat="1" applyFont="1" applyFill="1" applyBorder="1" applyAlignment="1">
      <alignment horizontal="right" vertical="center"/>
    </xf>
    <xf numFmtId="0" fontId="43" fillId="24" borderId="40" xfId="0" applyFont="1" applyFill="1" applyBorder="1" applyAlignment="1">
      <alignment horizontal="center" vertical="center" wrapText="1"/>
    </xf>
    <xf numFmtId="0" fontId="43" fillId="24" borderId="6" xfId="0" applyFont="1" applyFill="1" applyBorder="1" applyAlignment="1">
      <alignment horizontal="center" vertical="center" wrapText="1"/>
    </xf>
    <xf numFmtId="0" fontId="43" fillId="25" borderId="6" xfId="0" applyFont="1" applyFill="1" applyBorder="1" applyAlignment="1">
      <alignment horizontal="center" vertical="center" wrapText="1"/>
    </xf>
    <xf numFmtId="0" fontId="43" fillId="31" borderId="6" xfId="0" applyFont="1" applyFill="1" applyBorder="1" applyAlignment="1">
      <alignment horizontal="center" vertical="center" wrapText="1"/>
    </xf>
    <xf numFmtId="0" fontId="43" fillId="31" borderId="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center" vertical="top"/>
    </xf>
    <xf numFmtId="0" fontId="41" fillId="0" borderId="1" xfId="0" applyFont="1" applyBorder="1" applyAlignment="1">
      <alignment horizontal="center" vertical="top"/>
    </xf>
    <xf numFmtId="0" fontId="41" fillId="0" borderId="24" xfId="0" applyFont="1" applyBorder="1" applyAlignment="1">
      <alignment horizontal="center" vertical="top"/>
    </xf>
    <xf numFmtId="0" fontId="41" fillId="0" borderId="2" xfId="0" applyFont="1" applyBorder="1" applyAlignment="1">
      <alignment horizontal="center" vertical="top"/>
    </xf>
    <xf numFmtId="0" fontId="41" fillId="0" borderId="1" xfId="0" applyFont="1" applyBorder="1" applyAlignment="1">
      <alignment vertical="center"/>
    </xf>
    <xf numFmtId="0" fontId="41" fillId="0" borderId="2" xfId="0" applyFont="1" applyBorder="1" applyAlignment="1">
      <alignment vertical="center"/>
    </xf>
    <xf numFmtId="0" fontId="41" fillId="0" borderId="1" xfId="0" applyFont="1" applyBorder="1" applyAlignment="1">
      <alignment vertical="top" wrapText="1"/>
    </xf>
    <xf numFmtId="0" fontId="41" fillId="0" borderId="2" xfId="0" applyFont="1" applyBorder="1" applyAlignment="1">
      <alignment vertical="top" wrapText="1"/>
    </xf>
    <xf numFmtId="0" fontId="41" fillId="0" borderId="7" xfId="0" applyFont="1" applyBorder="1" applyAlignment="1">
      <alignment vertical="top" wrapText="1"/>
    </xf>
    <xf numFmtId="0" fontId="41" fillId="0" borderId="10" xfId="0" applyFont="1" applyBorder="1" applyAlignment="1">
      <alignment vertical="top" wrapText="1"/>
    </xf>
    <xf numFmtId="177" fontId="41" fillId="0" borderId="1" xfId="0" applyNumberFormat="1" applyFont="1" applyBorder="1" applyAlignment="1">
      <alignment horizontal="right" vertical="top"/>
    </xf>
    <xf numFmtId="177" fontId="41" fillId="0" borderId="2" xfId="0" applyNumberFormat="1" applyFont="1" applyBorder="1" applyAlignment="1">
      <alignment horizontal="right" vertical="top"/>
    </xf>
    <xf numFmtId="9" fontId="41" fillId="32" borderId="1" xfId="0" applyNumberFormat="1" applyFont="1" applyFill="1" applyBorder="1" applyAlignment="1">
      <alignment horizontal="center" vertical="top"/>
    </xf>
    <xf numFmtId="9" fontId="41" fillId="32" borderId="2" xfId="0" applyNumberFormat="1" applyFont="1" applyFill="1" applyBorder="1" applyAlignment="1">
      <alignment horizontal="center" vertical="top"/>
    </xf>
    <xf numFmtId="0" fontId="42" fillId="0" borderId="1" xfId="0" applyFont="1" applyBorder="1" applyAlignment="1">
      <alignment horizontal="center" vertical="top"/>
    </xf>
    <xf numFmtId="0" fontId="42" fillId="0" borderId="2" xfId="0" applyFont="1" applyBorder="1" applyAlignment="1">
      <alignment horizontal="center" vertical="top"/>
    </xf>
    <xf numFmtId="0" fontId="43" fillId="24" borderId="4" xfId="0" applyFont="1" applyFill="1" applyBorder="1" applyAlignment="1">
      <alignment horizontal="center" vertical="center" wrapText="1"/>
    </xf>
    <xf numFmtId="0" fontId="43" fillId="25" borderId="40" xfId="0" applyFont="1" applyFill="1" applyBorder="1" applyAlignment="1">
      <alignment horizontal="center" vertical="center" wrapText="1"/>
    </xf>
    <xf numFmtId="177" fontId="41" fillId="0" borderId="23" xfId="0" applyNumberFormat="1" applyFont="1" applyBorder="1" applyAlignment="1">
      <alignment horizontal="right" vertical="top"/>
    </xf>
    <xf numFmtId="177" fontId="41" fillId="0" borderId="24" xfId="0" applyNumberFormat="1" applyFont="1" applyBorder="1" applyAlignment="1">
      <alignment horizontal="right" vertical="top"/>
    </xf>
    <xf numFmtId="0" fontId="43" fillId="25" borderId="41" xfId="0" applyFont="1" applyFill="1" applyBorder="1" applyAlignment="1">
      <alignment horizontal="center" vertical="center" wrapText="1"/>
    </xf>
    <xf numFmtId="177" fontId="41" fillId="0" borderId="42" xfId="0" applyNumberFormat="1" applyFont="1" applyBorder="1" applyAlignment="1">
      <alignment horizontal="right" vertical="top"/>
    </xf>
    <xf numFmtId="177" fontId="41" fillId="0" borderId="43" xfId="0" applyNumberFormat="1" applyFont="1" applyBorder="1" applyAlignment="1">
      <alignment horizontal="right" vertical="top"/>
    </xf>
    <xf numFmtId="0" fontId="43" fillId="25" borderId="4" xfId="0" applyFont="1" applyFill="1" applyBorder="1" applyAlignment="1">
      <alignment horizontal="center" vertical="center" wrapText="1"/>
    </xf>
    <xf numFmtId="177" fontId="42" fillId="29" borderId="7" xfId="0" applyNumberFormat="1" applyFont="1" applyFill="1" applyBorder="1" applyAlignment="1">
      <alignment horizontal="right" vertical="top"/>
    </xf>
    <xf numFmtId="177" fontId="42" fillId="29" borderId="10" xfId="0" applyNumberFormat="1" applyFont="1" applyFill="1" applyBorder="1" applyAlignment="1">
      <alignment horizontal="right" vertical="top"/>
    </xf>
    <xf numFmtId="0" fontId="43" fillId="31" borderId="40" xfId="0" applyFont="1" applyFill="1" applyBorder="1" applyAlignment="1">
      <alignment horizontal="center" vertical="center" wrapText="1"/>
    </xf>
    <xf numFmtId="0" fontId="43" fillId="31" borderId="41" xfId="0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top"/>
    </xf>
    <xf numFmtId="0" fontId="41" fillId="0" borderId="43" xfId="0" applyFont="1" applyBorder="1" applyAlignment="1">
      <alignment horizontal="center" vertical="top"/>
    </xf>
    <xf numFmtId="0" fontId="4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21" fillId="0" borderId="0" xfId="18" applyFont="1" applyAlignment="1">
      <alignment horizontal="left"/>
    </xf>
    <xf numFmtId="0" fontId="0" fillId="10" borderId="1" xfId="0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vertical="center"/>
    </xf>
    <xf numFmtId="0" fontId="27" fillId="17" borderId="14" xfId="19" applyFont="1" applyBorder="1" applyAlignment="1">
      <alignment horizontal="left" vertical="top"/>
    </xf>
    <xf numFmtId="0" fontId="27" fillId="17" borderId="0" xfId="19" applyFont="1" applyBorder="1" applyAlignment="1">
      <alignment horizontal="left" vertical="top"/>
    </xf>
  </cellXfs>
  <cellStyles count="22">
    <cellStyle name="Check Cell" xfId="19" builtinId="23"/>
    <cellStyle name="Comma" xfId="1" builtinId="3"/>
    <cellStyle name="Comma 2" xfId="3" xr:uid="{1C95F41E-8A63-4E90-AECD-50414AA8872A}"/>
    <cellStyle name="Comma 2 2" xfId="7" xr:uid="{B427CE59-FF99-4C13-B470-BF326CA1522E}"/>
    <cellStyle name="Comma 3" xfId="17" xr:uid="{6C0FB4C1-AAB1-4909-B0DF-967D380674DA}"/>
    <cellStyle name="Comma 8" xfId="21" xr:uid="{80E44F94-18A4-4725-9AB6-BAF7F43A90FB}"/>
    <cellStyle name="Currency 2" xfId="10" xr:uid="{9CFD1185-6153-4D9F-A082-A4138EE86E98}"/>
    <cellStyle name="Hyperlink" xfId="18" builtinId="8"/>
    <cellStyle name="Hyperlink 2" xfId="8" xr:uid="{92D91EB7-D886-44F5-84F3-F17B1D07664A}"/>
    <cellStyle name="Normal" xfId="0" builtinId="0"/>
    <cellStyle name="Normal 12 3" xfId="5" xr:uid="{E31200E0-B610-440C-8CEB-B2760456C7AE}"/>
    <cellStyle name="Normal 2" xfId="2" xr:uid="{52D63EAD-53C9-4763-9780-962C539352E8}"/>
    <cellStyle name="Normal 2 10" xfId="11" xr:uid="{B41D522D-68F4-48E0-B4C6-DFE7B6D956D0}"/>
    <cellStyle name="Normal 2 2" xfId="4" xr:uid="{42E8D044-39DD-4347-A98F-3F8D130692E4}"/>
    <cellStyle name="Normal 2 2 2" xfId="16" xr:uid="{7428B1E7-E817-4946-B414-54646C6DC177}"/>
    <cellStyle name="Normal 2 3" xfId="15" xr:uid="{42E6DF24-2E48-405A-98EA-3A5DA25B0B1E}"/>
    <cellStyle name="Normal 2 5 3 3 2 2 2 2" xfId="12" xr:uid="{3F4B8B04-6A41-4613-81CA-9B84C8CA8060}"/>
    <cellStyle name="Normal 2 5 3 3 5" xfId="9" xr:uid="{74B71B64-949B-49DF-84A6-CCC559405DC0}"/>
    <cellStyle name="Normal 24" xfId="20" xr:uid="{590A71E1-5208-40EB-8BC9-DCB48F1112A1}"/>
    <cellStyle name="Normal 59" xfId="13" xr:uid="{9C6D30FE-EB80-4AB3-8CBF-D444EB70D35E}"/>
    <cellStyle name="Percent 2" xfId="6" xr:uid="{C77B8D38-A4CD-41AA-81B1-E3A7C5387821}"/>
    <cellStyle name="Percent 2 3" xfId="14" xr:uid="{BEFE5563-6D2B-46C1-8358-7E40EB486DD5}"/>
  </cellStyles>
  <dxfs count="152"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3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sz val="9"/>
        <color rgb="FF243447"/>
        <name val="Aptos"/>
      </font>
      <alignment vertical="top" wrapText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 diagonalUp="0" diagonalDown="0">
        <left style="medium">
          <color rgb="FF5B789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sz val="9"/>
        <color rgb="FF243447"/>
        <name val="Aptos"/>
      </font>
      <numFmt numFmtId="177" formatCode="&quot;$&quot;#,##0;[Red]\-&quot;$&quot;#,##0;\-"/>
      <fill>
        <patternFill patternType="solid">
          <fgColor indexed="64"/>
          <bgColor rgb="FFE8F4F3"/>
        </patternFill>
      </fill>
      <alignment horizontal="right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77" formatCode="&quot;$&quot;#,##0;[Red]\-&quot;$&quot;#,##0;\-"/>
      <alignment horizontal="right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77" formatCode="&quot;$&quot;#,##0;[Red]\-&quot;$&quot;#,##0;\-"/>
      <alignment horizontal="right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77" formatCode="&quot;$&quot;#,##0;[Red]\-&quot;$&quot;#,##0;\-"/>
      <alignment horizontal="right" vertical="top"/>
      <border diagonalUp="0" diagonalDown="0">
        <left style="medium">
          <color rgb="FF5B789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z val="9"/>
        <color rgb="FF243447"/>
        <name val="Aptos"/>
      </font>
      <alignment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9"/>
        <color rgb="FF243447"/>
        <name val="Aptos"/>
      </font>
      <alignment horizontal="center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3" formatCode="0%"/>
      <fill>
        <patternFill patternType="solid">
          <fgColor indexed="64"/>
          <bgColor rgb="FFFFF8E1"/>
        </patternFill>
      </fill>
      <alignment horizontal="center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rgb="FF243447"/>
        <name val="Aptos"/>
      </font>
      <alignment vertical="top"/>
    </dxf>
    <dxf>
      <border outline="0">
        <bottom style="thin">
          <color indexed="64"/>
        </bottom>
      </border>
    </dxf>
    <dxf>
      <font>
        <sz val="9"/>
        <color rgb="FF243447"/>
        <name val="Aptos"/>
      </font>
      <alignment vertical="top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360914162896307E-2"/>
          <c:y val="0.10785912093637717"/>
          <c:w val="0.92827284431323354"/>
          <c:h val="0.854111513424474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'3 - Phase Durations'!$C$15</c:f>
              <c:strCache>
                <c:ptCount val="1"/>
                <c:pt idx="0">
                  <c:v>Expected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CAD-40C3-BF50-7705FA0E97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CAD-40C3-BF50-7705FA0E97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CAD-40C3-BF50-7705FA0E978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CAD-40C3-BF50-7705FA0E978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CAD-40C3-BF50-7705FA0E978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CAD-40C3-BF50-7705FA0E978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CAD-40C3-BF50-7705FA0E978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CAD-40C3-BF50-7705FA0E97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'3 - Phase Durations'!$B$16:$B$23</c:f>
              <c:strCache>
                <c:ptCount val="8"/>
                <c:pt idx="0">
                  <c:v>Phase 0</c:v>
                </c:pt>
                <c:pt idx="1">
                  <c:v>Phase A</c:v>
                </c:pt>
                <c:pt idx="2">
                  <c:v>Phase B1</c:v>
                </c:pt>
                <c:pt idx="3">
                  <c:v>Phase B2</c:v>
                </c:pt>
                <c:pt idx="4">
                  <c:v>Phase C</c:v>
                </c:pt>
                <c:pt idx="5">
                  <c:v>Phase D</c:v>
                </c:pt>
                <c:pt idx="6">
                  <c:v>Phase E</c:v>
                </c:pt>
                <c:pt idx="7">
                  <c:v>Phase F</c:v>
                </c:pt>
              </c:strCache>
            </c:strRef>
          </c:cat>
          <c:val>
            <c:numRef>
              <c:f>'3 - Phase Durations'!$C$16:$C$23</c:f>
              <c:numCache>
                <c:formatCode>m/d/yyyy</c:formatCode>
                <c:ptCount val="8"/>
                <c:pt idx="0">
                  <c:v>46475</c:v>
                </c:pt>
                <c:pt idx="1">
                  <c:v>47013</c:v>
                </c:pt>
                <c:pt idx="2">
                  <c:v>49080</c:v>
                </c:pt>
                <c:pt idx="3">
                  <c:v>49432</c:v>
                </c:pt>
                <c:pt idx="4">
                  <c:v>49898</c:v>
                </c:pt>
                <c:pt idx="5">
                  <c:v>50264</c:v>
                </c:pt>
                <c:pt idx="6">
                  <c:v>51589</c:v>
                </c:pt>
                <c:pt idx="7">
                  <c:v>53318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'3 - Phase Durations'!$B$24</c15:f>
                <c15:dlblRangeCache>
                  <c:ptCount val="1"/>
                  <c:pt idx="0">
                    <c:v>Phase 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57D-46F3-B59F-55A006B45794}"/>
            </c:ext>
          </c:extLst>
        </c:ser>
        <c:ser>
          <c:idx val="1"/>
          <c:order val="1"/>
          <c:tx>
            <c:strRef>
              <c:f>'3 - Phase Durations'!$E$15</c:f>
              <c:strCache>
                <c:ptCount val="1"/>
                <c:pt idx="0">
                  <c:v>Total 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7D-46F3-B59F-55A006B4579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7D-46F3-B59F-55A006B457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57D-46F3-B59F-55A006B457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7D-46F3-B59F-55A006B457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57D-46F3-B59F-55A006B4579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7D-46F3-B59F-55A006B45794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57D-46F3-B59F-55A006B45794}"/>
              </c:ext>
            </c:extLst>
          </c:dPt>
          <c:val>
            <c:numRef>
              <c:f>'3 - Phase Durations'!$E$16:$E$23</c:f>
              <c:numCache>
                <c:formatCode>_(* #,##0_)\ "d";_(* \(#,##0\);_(* "-"??_);_(@_)</c:formatCode>
                <c:ptCount val="8"/>
                <c:pt idx="0">
                  <c:v>495</c:v>
                </c:pt>
                <c:pt idx="1">
                  <c:v>2049</c:v>
                </c:pt>
                <c:pt idx="2">
                  <c:v>316</c:v>
                </c:pt>
                <c:pt idx="3">
                  <c:v>435</c:v>
                </c:pt>
                <c:pt idx="4">
                  <c:v>366</c:v>
                </c:pt>
                <c:pt idx="5">
                  <c:v>1117</c:v>
                </c:pt>
                <c:pt idx="6">
                  <c:v>1642.5</c:v>
                </c:pt>
                <c:pt idx="7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D-46F3-B59F-55A006B45794}"/>
            </c:ext>
          </c:extLst>
        </c:ser>
        <c:ser>
          <c:idx val="2"/>
          <c:order val="2"/>
          <c:tx>
            <c:strRef>
              <c:f>'3 - Phase Durations'!$F$15</c:f>
              <c:strCache>
                <c:ptCount val="1"/>
                <c:pt idx="0">
                  <c:v>Total 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'3 - Phase Durations'!$F$16:$F$23</c:f>
              <c:numCache>
                <c:formatCode>_(* #,##0.0_)"mo";_(* \(#,##0.0\);_(* "-"??_);_(@_)</c:formatCode>
                <c:ptCount val="8"/>
                <c:pt idx="0">
                  <c:v>16.273972602739725</c:v>
                </c:pt>
                <c:pt idx="1">
                  <c:v>67.364383561643834</c:v>
                </c:pt>
                <c:pt idx="2">
                  <c:v>10.389041095890411</c:v>
                </c:pt>
                <c:pt idx="3">
                  <c:v>14.301369863013701</c:v>
                </c:pt>
                <c:pt idx="4">
                  <c:v>12.032876712328768</c:v>
                </c:pt>
                <c:pt idx="5">
                  <c:v>36.723287671232875</c:v>
                </c:pt>
                <c:pt idx="6">
                  <c:v>54</c:v>
                </c:pt>
                <c:pt idx="7">
                  <c:v>2.9589041095890409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7D-46F3-B59F-55A006B45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433232"/>
        <c:axId val="104623327"/>
      </c:barChart>
      <c:catAx>
        <c:axId val="1449433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23327"/>
        <c:crosses val="autoZero"/>
        <c:auto val="1"/>
        <c:lblAlgn val="ctr"/>
        <c:lblOffset val="100"/>
        <c:noMultiLvlLbl val="0"/>
      </c:catAx>
      <c:valAx>
        <c:axId val="10462332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33232"/>
        <c:crosses val="autoZero"/>
        <c:crossBetween val="between"/>
        <c:majorUnit val="365"/>
        <c:minorUnit val="36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</xdr:row>
      <xdr:rowOff>390526</xdr:rowOff>
    </xdr:from>
    <xdr:to>
      <xdr:col>9</xdr:col>
      <xdr:colOff>428625</xdr:colOff>
      <xdr:row>9</xdr:row>
      <xdr:rowOff>114300</xdr:rowOff>
    </xdr:to>
    <xdr:sp macro="" textlink="">
      <xdr:nvSpPr>
        <xdr:cNvPr id="2" name="Callout: Down Arrow 1">
          <a:extLst>
            <a:ext uri="{FF2B5EF4-FFF2-40B4-BE49-F238E27FC236}">
              <a16:creationId xmlns:a16="http://schemas.microsoft.com/office/drawing/2014/main" id="{FD44F609-458F-4202-8F86-01794D340A57}"/>
            </a:ext>
          </a:extLst>
        </xdr:cNvPr>
        <xdr:cNvSpPr/>
      </xdr:nvSpPr>
      <xdr:spPr>
        <a:xfrm>
          <a:off x="9648825" y="390526"/>
          <a:ext cx="2266950" cy="1266824"/>
        </a:xfrm>
        <a:prstGeom prst="downArrowCallout">
          <a:avLst>
            <a:gd name="adj1" fmla="val 18498"/>
            <a:gd name="adj2" fmla="val 25000"/>
            <a:gd name="adj3" fmla="val 25000"/>
            <a:gd name="adj4" fmla="val 68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Specify your labels</a:t>
          </a:r>
        </a:p>
        <a:p>
          <a:pPr algn="ctr"/>
          <a:r>
            <a:rPr lang="en-CA" sz="1100"/>
            <a:t>here. Repeat</a:t>
          </a:r>
          <a:r>
            <a:rPr lang="en-CA" sz="1100" baseline="0"/>
            <a:t> text if necessary. Leave blank if not included in your scope</a:t>
          </a:r>
          <a:endParaRPr lang="en-CA" sz="1100"/>
        </a:p>
      </xdr:txBody>
    </xdr:sp>
    <xdr:clientData/>
  </xdr:twoCellAnchor>
  <xdr:twoCellAnchor>
    <xdr:from>
      <xdr:col>7</xdr:col>
      <xdr:colOff>104775</xdr:colOff>
      <xdr:row>2</xdr:row>
      <xdr:rowOff>390526</xdr:rowOff>
    </xdr:from>
    <xdr:to>
      <xdr:col>9</xdr:col>
      <xdr:colOff>428625</xdr:colOff>
      <xdr:row>9</xdr:row>
      <xdr:rowOff>114300</xdr:rowOff>
    </xdr:to>
    <xdr:sp macro="" textlink="">
      <xdr:nvSpPr>
        <xdr:cNvPr id="3" name="Callout: Down Arrow 2">
          <a:extLst>
            <a:ext uri="{FF2B5EF4-FFF2-40B4-BE49-F238E27FC236}">
              <a16:creationId xmlns:a16="http://schemas.microsoft.com/office/drawing/2014/main" id="{CB3CD3C7-6DDF-4C3D-873D-1ECA98381D85}"/>
            </a:ext>
          </a:extLst>
        </xdr:cNvPr>
        <xdr:cNvSpPr/>
      </xdr:nvSpPr>
      <xdr:spPr>
        <a:xfrm>
          <a:off x="6858000" y="771526"/>
          <a:ext cx="1914525" cy="1266824"/>
        </a:xfrm>
        <a:prstGeom prst="downArrowCallout">
          <a:avLst>
            <a:gd name="adj1" fmla="val 18498"/>
            <a:gd name="adj2" fmla="val 25000"/>
            <a:gd name="adj3" fmla="val 25000"/>
            <a:gd name="adj4" fmla="val 68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Specify your labels</a:t>
          </a:r>
        </a:p>
        <a:p>
          <a:pPr algn="ctr"/>
          <a:r>
            <a:rPr lang="en-CA" sz="1100"/>
            <a:t>here. Repeat</a:t>
          </a:r>
          <a:r>
            <a:rPr lang="en-CA" sz="1100" baseline="0"/>
            <a:t> text if necessary. Leave blank if not included in your scope</a:t>
          </a:r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1275952</xdr:colOff>
      <xdr:row>27</xdr:row>
      <xdr:rowOff>116680</xdr:rowOff>
    </xdr:from>
    <xdr:to>
      <xdr:col>17</xdr:col>
      <xdr:colOff>297656</xdr:colOff>
      <xdr:row>47</xdr:row>
      <xdr:rowOff>19844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0F724-C90D-96D4-A7D5-557F19DA1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180975</xdr:rowOff>
    </xdr:from>
    <xdr:to>
      <xdr:col>6</xdr:col>
      <xdr:colOff>447675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E25CDE-8ADF-4DD3-9EC4-2FEAF8757F2E}"/>
            </a:ext>
            <a:ext uri="{147F2762-F138-4A5C-976F-8EAC2B608ADB}">
              <a16:predDERef xmlns:a16="http://schemas.microsoft.com/office/drawing/2014/main" pred="{1434556B-7DDC-5FA7-D99A-7219057B5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277975"/>
          <a:ext cx="8982075" cy="4924425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65</xdr:row>
      <xdr:rowOff>123825</xdr:rowOff>
    </xdr:from>
    <xdr:to>
      <xdr:col>14</xdr:col>
      <xdr:colOff>657225</xdr:colOff>
      <xdr:row>91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1041F5-CF16-4EC8-8BA9-73C23B9636E8}"/>
            </a:ext>
            <a:ext uri="{147F2762-F138-4A5C-976F-8EAC2B608ADB}">
              <a16:predDERef xmlns:a16="http://schemas.microsoft.com/office/drawing/2014/main" pred="{A617898D-97C7-21D3-BDE3-63FB59FDB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0" y="14220825"/>
          <a:ext cx="9163050" cy="49815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9119D-D3FE-4EA7-9563-D6E62D30D8D0}" name="RiskRegisterTable" displayName="RiskRegisterTable" ref="B3:U103" totalsRowShown="0" headerRowDxfId="151" dataDxfId="149" headerRowBorderDxfId="150" tableBorderDxfId="148" totalsRowBorderDxfId="147">
  <autoFilter ref="B3:U103" xr:uid="{C9A9119D-D3FE-4EA7-9563-D6E62D30D8D0}"/>
  <tableColumns count="20">
    <tableColumn id="1" xr3:uid="{CAF97812-9089-432D-B647-77F272B1EB22}" name="#" dataDxfId="146"/>
    <tableColumn id="2" xr3:uid="{54382D87-AF5E-42AC-9409-FAA0A0FE73A7}" name="ID" dataDxfId="145"/>
    <tableColumn id="3" xr3:uid="{3E627FFF-95CB-4544-A7BB-4228D9E32995}" name="Risk Category" dataDxfId="144"/>
    <tableColumn id="4" xr3:uid="{53CA1A60-0650-48C9-9E99-C85F91F2F8F8}" name="Risk Sub-category" dataDxfId="143"/>
    <tableColumn id="5" xr3:uid="{7E28FA66-46E2-4F70-A99D-7803C2AA121B}" name="Risk Name" dataDxfId="142"/>
    <tableColumn id="6" xr3:uid="{8A432DE5-B002-4065-9E29-F11F65DE71AC}" name="Type of Risk" dataDxfId="141"/>
    <tableColumn id="7" xr3:uid="{57670BF4-A214-463A-8F92-4378382A5084}" name="Description" dataDxfId="140"/>
    <tableColumn id="8" xr3:uid="{D401A268-7018-4722-94AC-BF6A11C2D4F7}" name="Internal Factors" dataDxfId="139"/>
    <tableColumn id="9" xr3:uid="{4D1BF57A-3F92-4499-89C2-840501A97B4D}" name="External Factors" dataDxfId="138"/>
    <tableColumn id="10" xr3:uid="{C322788C-043C-4C9B-A389-C2851A9FFC09}" name="Probability" dataDxfId="137"/>
    <tableColumn id="11" xr3:uid="{3D1D86AB-C137-49BF-B8A9-516916056222}" name="Mitigation Strategy" dataDxfId="136"/>
    <tableColumn id="12" xr3:uid="{507F4E31-5BE2-4975-A71A-9A971F8FBB88}" name="Mitigation Strategy Narrative" dataDxfId="135"/>
    <tableColumn id="13" xr3:uid="{4DF88FBD-5102-4131-B158-6D543528ABF3}" name="Cost Impact – Optimistic ($000)" dataDxfId="134"/>
    <tableColumn id="14" xr3:uid="{DFBAD1A5-550B-45B6-8DF4-E9064849B923}" name="Cost Impact – Most Likely ($000)" dataDxfId="133"/>
    <tableColumn id="15" xr3:uid="{83423C86-DB2C-4B90-8000-254314D53A8A}" name="Cost Impact – Pessimistic ($000)" dataDxfId="132"/>
    <tableColumn id="16" xr3:uid="{71A9DEB9-C61C-473D-B236-FFCD342A1505}" name="Weighted Exposure ($000)" dataDxfId="131"/>
    <tableColumn id="17" xr3:uid="{03AEA857-FB24-4F4E-A799-D765D41BD0CD}" name="Cost Impact in Phase" dataDxfId="130"/>
    <tableColumn id="18" xr3:uid="{F2B1FDE9-3E39-4D3C-99AB-EDF68CCE6B73}" name="Schedule Impact in Phase" dataDxfId="129"/>
    <tableColumn id="19" xr3:uid="{580C5E90-4718-4299-9831-093683FF863E}" name="Impact on Project" dataDxfId="128"/>
    <tableColumn id="20" xr3:uid="{05C6581E-18AF-41AD-9A60-2B2858ED80F7}" name="Impact on Analysis" dataDxfId="1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6AE1-2A92-47C8-98F7-D9FE86B4842A}">
  <dimension ref="A1:H20"/>
  <sheetViews>
    <sheetView showGridLines="0" topLeftCell="A4" workbookViewId="0">
      <selection activeCell="B9" sqref="B9"/>
    </sheetView>
  </sheetViews>
  <sheetFormatPr defaultColWidth="0" defaultRowHeight="15" customHeight="1" zeroHeight="1"/>
  <cols>
    <col min="1" max="8" width="9.140625" customWidth="1"/>
    <col min="9" max="16384" width="9.140625" hidden="1"/>
  </cols>
  <sheetData>
    <row r="1" spans="2:7"/>
    <row r="2" spans="2:7"/>
    <row r="3" spans="2:7">
      <c r="B3" t="s">
        <v>885</v>
      </c>
      <c r="G3" s="74"/>
    </row>
    <row r="4" spans="2:7">
      <c r="B4" t="s">
        <v>880</v>
      </c>
    </row>
    <row r="5" spans="2:7">
      <c r="B5" s="75">
        <v>46251</v>
      </c>
    </row>
    <row r="6" spans="2:7"/>
    <row r="7" spans="2:7"/>
    <row r="8" spans="2:7" ht="21">
      <c r="B8" s="267" t="s">
        <v>1</v>
      </c>
      <c r="C8" s="267"/>
      <c r="D8" s="267"/>
      <c r="E8" s="267"/>
      <c r="F8" s="267"/>
      <c r="G8" s="267"/>
    </row>
    <row r="9" spans="2:7" ht="21">
      <c r="B9" s="76"/>
      <c r="C9" s="76"/>
      <c r="D9" s="17" t="s">
        <v>879</v>
      </c>
      <c r="E9" s="76"/>
      <c r="F9" s="76"/>
      <c r="G9" s="76"/>
    </row>
    <row r="10" spans="2:7">
      <c r="D10" s="7" t="s">
        <v>886</v>
      </c>
    </row>
    <row r="11" spans="2:7">
      <c r="D11" s="7"/>
    </row>
    <row r="12" spans="2:7"/>
    <row r="13" spans="2:7"/>
    <row r="14" spans="2:7" ht="15" customHeight="1">
      <c r="B14" s="268"/>
      <c r="C14" s="268"/>
      <c r="D14" s="268"/>
      <c r="E14" s="268"/>
      <c r="F14" s="268"/>
      <c r="G14" s="268"/>
    </row>
    <row r="15" spans="2:7"/>
    <row r="16" spans="2:7">
      <c r="C16" t="s">
        <v>881</v>
      </c>
    </row>
    <row r="17" spans="3:4">
      <c r="C17" t="s">
        <v>882</v>
      </c>
      <c r="D17" t="s">
        <v>2</v>
      </c>
    </row>
    <row r="18" spans="3:4"/>
    <row r="19" spans="3:4"/>
    <row r="20" spans="3:4" ht="15" customHeight="1"/>
  </sheetData>
  <mergeCells count="2">
    <mergeCell ref="B8:G8"/>
    <mergeCell ref="B14:G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A8ED-5DA4-461C-BDCD-330884F2B01E}">
  <dimension ref="A1:K23"/>
  <sheetViews>
    <sheetView workbookViewId="0">
      <selection sqref="A1:B1"/>
    </sheetView>
  </sheetViews>
  <sheetFormatPr defaultRowHeight="15"/>
  <cols>
    <col min="2" max="2" width="15.42578125" bestFit="1" customWidth="1"/>
    <col min="3" max="3" width="11.85546875" bestFit="1" customWidth="1"/>
    <col min="4" max="4" width="6.5703125" bestFit="1" customWidth="1"/>
    <col min="5" max="5" width="3.5703125" bestFit="1" customWidth="1"/>
    <col min="6" max="6" width="38.85546875" bestFit="1" customWidth="1"/>
    <col min="7" max="7" width="25.85546875" bestFit="1" customWidth="1"/>
    <col min="8" max="8" width="10.42578125" bestFit="1" customWidth="1"/>
    <col min="9" max="9" width="16.42578125" bestFit="1" customWidth="1"/>
    <col min="10" max="10" width="14" bestFit="1" customWidth="1"/>
    <col min="15" max="15" width="16.42578125" bestFit="1" customWidth="1"/>
  </cols>
  <sheetData>
    <row r="1" spans="1:11">
      <c r="A1" s="269" t="s">
        <v>9</v>
      </c>
      <c r="B1" s="269"/>
    </row>
    <row r="3" spans="1:11" ht="31.5">
      <c r="A3" s="11" t="s">
        <v>20</v>
      </c>
      <c r="B3" s="23"/>
      <c r="C3" s="12"/>
      <c r="D3" s="12"/>
      <c r="E3" s="12"/>
      <c r="F3" s="12"/>
      <c r="G3" s="12"/>
      <c r="H3" s="12"/>
      <c r="I3" s="12"/>
      <c r="J3" s="12"/>
      <c r="K3" s="12"/>
    </row>
    <row r="4" spans="1:11">
      <c r="A4" t="s">
        <v>10</v>
      </c>
      <c r="B4" t="s">
        <v>21</v>
      </c>
    </row>
    <row r="5" spans="1:11">
      <c r="A5" s="22"/>
      <c r="B5" s="22" t="s">
        <v>22</v>
      </c>
    </row>
    <row r="9" spans="1:11">
      <c r="B9" t="s">
        <v>883</v>
      </c>
      <c r="G9" s="270" t="s">
        <v>11</v>
      </c>
      <c r="H9" s="270"/>
    </row>
    <row r="10" spans="1:11">
      <c r="B10" s="102" t="s">
        <v>859</v>
      </c>
      <c r="C10" s="102" t="s">
        <v>0</v>
      </c>
      <c r="D10" s="102" t="s">
        <v>23</v>
      </c>
      <c r="E10" s="102" t="s">
        <v>24</v>
      </c>
      <c r="F10" s="102" t="s">
        <v>25</v>
      </c>
      <c r="G10" s="102" t="s">
        <v>26</v>
      </c>
      <c r="H10" s="77" t="s">
        <v>27</v>
      </c>
    </row>
    <row r="11" spans="1:11">
      <c r="B11" s="1"/>
      <c r="C11" s="78"/>
      <c r="D11" s="40"/>
      <c r="E11" s="40"/>
      <c r="F11" s="40"/>
      <c r="G11" s="28" t="s">
        <v>887</v>
      </c>
      <c r="H11" s="79">
        <v>1</v>
      </c>
    </row>
    <row r="12" spans="1:11">
      <c r="B12" s="1"/>
      <c r="C12" s="78"/>
      <c r="D12" s="40"/>
      <c r="E12" s="40"/>
      <c r="F12" s="40"/>
      <c r="G12" s="28" t="s">
        <v>888</v>
      </c>
      <c r="H12" s="79">
        <v>2</v>
      </c>
    </row>
    <row r="13" spans="1:11">
      <c r="B13" s="1"/>
      <c r="C13" s="78"/>
      <c r="D13" s="40"/>
      <c r="E13" s="40"/>
      <c r="F13" s="40"/>
      <c r="G13" s="28" t="s">
        <v>889</v>
      </c>
      <c r="H13" s="79">
        <v>3</v>
      </c>
    </row>
    <row r="14" spans="1:11">
      <c r="B14" s="1"/>
      <c r="C14" s="78"/>
      <c r="D14" s="40"/>
      <c r="E14" s="40"/>
      <c r="F14" s="40"/>
      <c r="G14" s="28" t="s">
        <v>890</v>
      </c>
      <c r="H14" s="79">
        <v>4</v>
      </c>
    </row>
    <row r="15" spans="1:11">
      <c r="B15" s="109"/>
      <c r="C15" s="105"/>
      <c r="D15" s="106"/>
      <c r="E15" s="40"/>
      <c r="F15" s="106"/>
      <c r="G15" s="28" t="s">
        <v>891</v>
      </c>
      <c r="H15" s="79">
        <v>5</v>
      </c>
    </row>
    <row r="16" spans="1:11">
      <c r="E16" s="40"/>
      <c r="G16" s="28" t="s">
        <v>893</v>
      </c>
      <c r="H16" s="108">
        <v>6</v>
      </c>
    </row>
    <row r="17" spans="2:9">
      <c r="B17" s="1"/>
      <c r="C17" s="78"/>
      <c r="D17" s="40"/>
      <c r="E17" s="40"/>
      <c r="F17" s="40"/>
      <c r="G17" s="28" t="s">
        <v>894</v>
      </c>
      <c r="H17" s="79">
        <v>7</v>
      </c>
    </row>
    <row r="18" spans="2:9">
      <c r="B18" s="109" t="s">
        <v>885</v>
      </c>
      <c r="C18" s="105">
        <v>46251</v>
      </c>
      <c r="D18" s="106" t="s">
        <v>884</v>
      </c>
      <c r="E18" s="40" t="s">
        <v>958</v>
      </c>
      <c r="F18" s="106" t="s">
        <v>892</v>
      </c>
      <c r="G18" s="107" t="s">
        <v>895</v>
      </c>
      <c r="H18" s="79">
        <v>8</v>
      </c>
      <c r="I18" t="s">
        <v>28</v>
      </c>
    </row>
    <row r="19" spans="2:9">
      <c r="B19" s="1"/>
      <c r="C19" s="78"/>
      <c r="D19" s="40"/>
      <c r="E19" s="40"/>
      <c r="F19" s="40"/>
      <c r="G19" s="28" t="s">
        <v>896</v>
      </c>
      <c r="H19" s="79">
        <v>9</v>
      </c>
    </row>
    <row r="20" spans="2:9">
      <c r="B20" s="1"/>
      <c r="C20" s="78"/>
      <c r="D20" s="40"/>
      <c r="E20" s="40"/>
      <c r="F20" s="40"/>
      <c r="G20" s="28" t="s">
        <v>897</v>
      </c>
      <c r="H20" s="79">
        <v>10</v>
      </c>
    </row>
    <row r="21" spans="2:9">
      <c r="B21" s="1"/>
      <c r="C21" s="78"/>
      <c r="D21" s="40"/>
      <c r="E21" s="40"/>
      <c r="F21" s="40"/>
      <c r="G21" s="28" t="s">
        <v>898</v>
      </c>
      <c r="H21" s="79">
        <v>11</v>
      </c>
    </row>
    <row r="22" spans="2:9">
      <c r="B22" s="1"/>
      <c r="C22" s="78"/>
      <c r="D22" s="40"/>
      <c r="E22" s="40"/>
      <c r="F22" s="40"/>
      <c r="G22" s="28" t="s">
        <v>899</v>
      </c>
      <c r="H22" s="79">
        <v>12</v>
      </c>
    </row>
    <row r="23" spans="2:9">
      <c r="B23" s="1"/>
      <c r="C23" s="78"/>
      <c r="D23" s="1"/>
      <c r="E23" s="40"/>
      <c r="F23" s="1"/>
      <c r="G23" s="28" t="s">
        <v>900</v>
      </c>
      <c r="H23" s="79">
        <v>13</v>
      </c>
    </row>
  </sheetData>
  <mergeCells count="2">
    <mergeCell ref="A1:B1"/>
    <mergeCell ref="G9:H9"/>
  </mergeCells>
  <phoneticPr fontId="8" type="noConversion"/>
  <conditionalFormatting sqref="A3:B5">
    <cfRule type="expression" dxfId="126" priority="1">
      <formula>IF($A3="Subsystem", TRUE, FALSE)</formula>
    </cfRule>
    <cfRule type="expression" dxfId="125" priority="2">
      <formula>IF($A3="Assembly", TRUE, FALSE)</formula>
    </cfRule>
    <cfRule type="expression" dxfId="124" priority="3">
      <formula>IF($A3="System", TRUE, FALSE)</formula>
    </cfRule>
    <cfRule type="expression" dxfId="123" priority="4">
      <formula>IF($A3="SoS", TRUE, FALSE)</formula>
    </cfRule>
    <cfRule type="expression" dxfId="122" priority="5">
      <formula>IF($A3="Segment", TRUE, FALSE)</formula>
    </cfRule>
    <cfRule type="expression" dxfId="121" priority="6">
      <formula>IF($A3="SEITPM", TRUE, FALSE)</formula>
    </cfRule>
  </conditionalFormatting>
  <hyperlinks>
    <hyperlink ref="A1" location="'Table of contents'!A1" display="` ToC" xr:uid="{45D8FC66-3F84-4EC0-B159-006304AE96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FF83-14AA-43F2-AF76-298B03BB7083}">
  <sheetPr codeName="Sheet3"/>
  <dimension ref="A1:O508"/>
  <sheetViews>
    <sheetView zoomScale="98" zoomScaleNormal="98" workbookViewId="0">
      <selection sqref="A1:C1"/>
    </sheetView>
  </sheetViews>
  <sheetFormatPr defaultRowHeight="15"/>
  <cols>
    <col min="1" max="1" width="4.140625" bestFit="1" customWidth="1"/>
    <col min="3" max="3" width="5.7109375" bestFit="1" customWidth="1"/>
    <col min="4" max="4" width="75.85546875" bestFit="1" customWidth="1"/>
    <col min="5" max="5" width="11.42578125" bestFit="1" customWidth="1"/>
    <col min="6" max="6" width="24.28515625" bestFit="1" customWidth="1"/>
    <col min="7" max="7" width="16.140625" bestFit="1" customWidth="1"/>
    <col min="8" max="8" width="11.42578125" customWidth="1"/>
    <col min="10" max="10" width="130.5703125" bestFit="1" customWidth="1"/>
    <col min="14" max="14" width="24.28515625" bestFit="1" customWidth="1"/>
  </cols>
  <sheetData>
    <row r="1" spans="1:15">
      <c r="A1" s="269" t="s">
        <v>9</v>
      </c>
      <c r="B1" s="269"/>
      <c r="C1" s="269"/>
    </row>
    <row r="3" spans="1:15" ht="31.5">
      <c r="A3" s="11" t="s">
        <v>313</v>
      </c>
      <c r="B3" s="23"/>
      <c r="C3" s="12"/>
      <c r="D3" s="12"/>
      <c r="E3" s="12"/>
      <c r="F3" s="12"/>
      <c r="G3" s="12"/>
      <c r="H3" s="12"/>
      <c r="I3" s="12"/>
      <c r="J3" s="12"/>
      <c r="K3" s="12"/>
      <c r="L3" s="12"/>
      <c r="M3" s="22"/>
      <c r="N3" s="22"/>
      <c r="O3" s="22"/>
    </row>
    <row r="4" spans="1:15">
      <c r="A4" t="s">
        <v>314</v>
      </c>
      <c r="B4" s="7"/>
      <c r="M4" s="22"/>
      <c r="N4" s="22"/>
      <c r="O4" s="22"/>
    </row>
    <row r="5" spans="1:15">
      <c r="B5" t="s">
        <v>315</v>
      </c>
    </row>
    <row r="6" spans="1:15">
      <c r="E6" t="s">
        <v>316</v>
      </c>
    </row>
    <row r="8" spans="1:15">
      <c r="A8" s="5" t="s">
        <v>317</v>
      </c>
      <c r="B8" s="5" t="s">
        <v>318</v>
      </c>
      <c r="C8" s="5" t="s">
        <v>319</v>
      </c>
      <c r="D8" s="1" t="s">
        <v>320</v>
      </c>
      <c r="E8" s="1" t="s">
        <v>35</v>
      </c>
      <c r="F8" s="1" t="s">
        <v>34</v>
      </c>
      <c r="G8" s="1" t="s">
        <v>321</v>
      </c>
      <c r="H8" s="25" t="s">
        <v>322</v>
      </c>
      <c r="J8" t="s">
        <v>323</v>
      </c>
      <c r="N8" t="s">
        <v>34</v>
      </c>
    </row>
    <row r="9" spans="1:15">
      <c r="A9" s="5">
        <v>1</v>
      </c>
      <c r="B9" s="5">
        <v>-1</v>
      </c>
      <c r="C9" s="5">
        <v>1</v>
      </c>
      <c r="D9" s="1" t="s">
        <v>324</v>
      </c>
      <c r="E9" s="24"/>
      <c r="F9" s="1" t="s">
        <v>325</v>
      </c>
      <c r="G9" s="1" t="s">
        <v>326</v>
      </c>
      <c r="J9" t="str">
        <f>"datatable["&amp;A9-1&amp;"] = new Array(""" &amp; A9 &amp;""",""" &amp; B9 &amp;""",""" &amp; D9 &amp; """,""" &amp; C9&amp;""","""&amp;""&amp;G9&amp;""");"</f>
        <v>datatable[0] = new Array("1","-1","Space Missions","1","Box.png");</v>
      </c>
      <c r="N9" t="s">
        <v>325</v>
      </c>
    </row>
    <row r="10" spans="1:15">
      <c r="A10" s="5">
        <v>2</v>
      </c>
      <c r="B10" s="5">
        <f>A9</f>
        <v>1</v>
      </c>
      <c r="C10" s="5">
        <v>2</v>
      </c>
      <c r="D10" s="1" t="s">
        <v>29</v>
      </c>
      <c r="E10" s="24"/>
      <c r="F10" s="1" t="s">
        <v>327</v>
      </c>
      <c r="G10" s="1" t="s">
        <v>328</v>
      </c>
      <c r="J10" t="str">
        <f>"datatable["&amp;A10-1&amp;"] = new Array(""" &amp; A10 &amp;""",""" &amp; B10 &amp;""",""" &amp; D10 &amp; """,""" &amp; C10&amp;""","""&amp;""&amp;G10&amp;""");"</f>
        <v>datatable[1] = new Array("2","1","EO SAR Missions","2","EO.png");</v>
      </c>
      <c r="N10" t="s">
        <v>327</v>
      </c>
    </row>
    <row r="11" spans="1:15">
      <c r="A11" s="5">
        <f>A10+1</f>
        <v>3</v>
      </c>
      <c r="B11" s="5">
        <f>A10</f>
        <v>2</v>
      </c>
      <c r="C11" s="5">
        <v>3</v>
      </c>
      <c r="D11" s="1" t="s">
        <v>329</v>
      </c>
      <c r="E11" s="24"/>
      <c r="F11" s="1" t="s">
        <v>330</v>
      </c>
      <c r="G11" s="1" t="s">
        <v>331</v>
      </c>
      <c r="J11" t="str">
        <f t="shared" ref="J11:J74" si="0">"datatable["&amp;A11-1&amp;"] = new Array(""" &amp; A11 &amp;""",""" &amp; B11 &amp;""",""" &amp; D11 &amp; """,""" &amp; C11&amp;""","""&amp;""&amp;G11&amp;""");"</f>
        <v>datatable[2] = new Array("3","2","Radarsat Portfolio","3","Pouch.png");</v>
      </c>
      <c r="N11" t="s">
        <v>330</v>
      </c>
    </row>
    <row r="12" spans="1:15">
      <c r="A12" s="5">
        <f t="shared" ref="A12:A75" si="1">A11+1</f>
        <v>4</v>
      </c>
      <c r="B12" s="5">
        <f>A$6</f>
        <v>0</v>
      </c>
      <c r="C12" s="5">
        <v>4</v>
      </c>
      <c r="D12" s="1" t="s">
        <v>30</v>
      </c>
      <c r="E12" s="24"/>
      <c r="F12" s="1" t="s">
        <v>332</v>
      </c>
      <c r="G12" s="1" t="s">
        <v>333</v>
      </c>
      <c r="J12" t="str">
        <f t="shared" si="0"/>
        <v>datatable[3] = new Array("4","0","Radarsat 1","4","Satellite.png");</v>
      </c>
      <c r="N12" t="s">
        <v>332</v>
      </c>
    </row>
    <row r="13" spans="1:15">
      <c r="A13" s="5">
        <f t="shared" si="1"/>
        <v>5</v>
      </c>
      <c r="B13" s="5">
        <f t="shared" ref="B13:B16" si="2">A$6</f>
        <v>0</v>
      </c>
      <c r="C13" s="5">
        <v>4</v>
      </c>
      <c r="D13" s="1" t="s">
        <v>31</v>
      </c>
      <c r="E13" s="24"/>
      <c r="F13" s="1" t="s">
        <v>332</v>
      </c>
      <c r="G13" s="1" t="s">
        <v>333</v>
      </c>
      <c r="J13" t="str">
        <f t="shared" si="0"/>
        <v>datatable[4] = new Array("5","0","Radarsat 2","4","Satellite.png");</v>
      </c>
      <c r="N13" t="s">
        <v>334</v>
      </c>
    </row>
    <row r="14" spans="1:15">
      <c r="A14" s="5">
        <f t="shared" si="1"/>
        <v>6</v>
      </c>
      <c r="B14" s="5">
        <f t="shared" si="2"/>
        <v>0</v>
      </c>
      <c r="C14" s="5">
        <v>4</v>
      </c>
      <c r="D14" s="1" t="s">
        <v>335</v>
      </c>
      <c r="E14" s="24"/>
      <c r="F14" s="1" t="s">
        <v>332</v>
      </c>
      <c r="G14" s="1" t="s">
        <v>333</v>
      </c>
      <c r="J14" t="str">
        <f t="shared" si="0"/>
        <v>datatable[5] = new Array("6","0","Radarsat Constellation Mission","4","Satellite.png");</v>
      </c>
      <c r="N14" t="s">
        <v>36</v>
      </c>
    </row>
    <row r="15" spans="1:15">
      <c r="A15" s="5">
        <f t="shared" si="1"/>
        <v>7</v>
      </c>
      <c r="B15" s="5">
        <f t="shared" si="2"/>
        <v>0</v>
      </c>
      <c r="C15" s="5">
        <v>4</v>
      </c>
      <c r="D15" s="1" t="s">
        <v>336</v>
      </c>
      <c r="E15" s="26">
        <v>1</v>
      </c>
      <c r="F15" s="1" t="s">
        <v>332</v>
      </c>
      <c r="G15" s="1" t="s">
        <v>333</v>
      </c>
      <c r="J15" t="str">
        <f t="shared" si="0"/>
        <v>datatable[6] = new Array("7","0","Radarsat+ Replenishment","4","Satellite.png");</v>
      </c>
      <c r="N15" t="s">
        <v>37</v>
      </c>
    </row>
    <row r="16" spans="1:15">
      <c r="A16" s="5">
        <f t="shared" si="1"/>
        <v>8</v>
      </c>
      <c r="B16" s="5">
        <f t="shared" si="2"/>
        <v>0</v>
      </c>
      <c r="C16" s="5">
        <v>4</v>
      </c>
      <c r="D16" s="1" t="s">
        <v>32</v>
      </c>
      <c r="E16" s="26"/>
      <c r="F16" s="1" t="s">
        <v>332</v>
      </c>
      <c r="G16" s="1" t="s">
        <v>333</v>
      </c>
      <c r="J16" t="str">
        <f t="shared" si="0"/>
        <v>datatable[7] = new Array("8","0","Radarsat+ Next Generation","4","Satellite.png");</v>
      </c>
      <c r="N16" t="s">
        <v>38</v>
      </c>
    </row>
    <row r="17" spans="1:14">
      <c r="A17" s="5">
        <f t="shared" si="1"/>
        <v>9</v>
      </c>
      <c r="B17" s="5">
        <f>A$10</f>
        <v>2</v>
      </c>
      <c r="C17" s="5">
        <v>5</v>
      </c>
      <c r="D17" s="1" t="s">
        <v>337</v>
      </c>
      <c r="E17" s="26"/>
      <c r="F17" s="1" t="s">
        <v>334</v>
      </c>
      <c r="G17" s="1" t="s">
        <v>338</v>
      </c>
      <c r="J17" t="str">
        <f t="shared" si="0"/>
        <v>datatable[8] = new Array("9","2","Analysis Scenario 1: RCM Proxy","5","Scenario.png");</v>
      </c>
      <c r="N17" t="s">
        <v>39</v>
      </c>
    </row>
    <row r="18" spans="1:14">
      <c r="A18" s="5">
        <f t="shared" si="1"/>
        <v>10</v>
      </c>
      <c r="B18" s="5">
        <f t="shared" ref="B18:B22" si="3">A$10</f>
        <v>2</v>
      </c>
      <c r="C18" s="5">
        <v>5</v>
      </c>
      <c r="D18" s="1" t="s">
        <v>339</v>
      </c>
      <c r="E18" s="26"/>
      <c r="F18" s="1" t="s">
        <v>334</v>
      </c>
      <c r="G18" s="1" t="s">
        <v>338</v>
      </c>
      <c r="J18" t="str">
        <f t="shared" si="0"/>
        <v>datatable[9] = new Array("10","2","Analysis Scenario 2: RCM+","5","Scenario.png");</v>
      </c>
      <c r="N18" t="s">
        <v>40</v>
      </c>
    </row>
    <row r="19" spans="1:14">
      <c r="A19" s="5">
        <f t="shared" si="1"/>
        <v>11</v>
      </c>
      <c r="B19" s="5">
        <f t="shared" si="3"/>
        <v>2</v>
      </c>
      <c r="C19" s="5">
        <v>5</v>
      </c>
      <c r="D19" s="1" t="s">
        <v>340</v>
      </c>
      <c r="E19" s="26"/>
      <c r="F19" s="1" t="s">
        <v>334</v>
      </c>
      <c r="G19" s="1" t="s">
        <v>338</v>
      </c>
      <c r="J19" t="str">
        <f t="shared" si="0"/>
        <v>datatable[10] = new Array("11","2","Analysis Scenario 3: Airbus concept","5","Scenario.png");</v>
      </c>
      <c r="N19" t="s">
        <v>41</v>
      </c>
    </row>
    <row r="20" spans="1:14">
      <c r="A20" s="5">
        <f t="shared" si="1"/>
        <v>12</v>
      </c>
      <c r="B20" s="5">
        <f t="shared" si="3"/>
        <v>2</v>
      </c>
      <c r="C20" s="5">
        <v>5</v>
      </c>
      <c r="D20" s="1" t="s">
        <v>341</v>
      </c>
      <c r="E20" s="26"/>
      <c r="F20" s="1" t="s">
        <v>334</v>
      </c>
      <c r="G20" s="1" t="s">
        <v>338</v>
      </c>
      <c r="J20" t="str">
        <f t="shared" si="0"/>
        <v>datatable[11] = new Array("12","2","Analysis Scenario 4: MDA Chorus Data Buy","5","Scenario.png");</v>
      </c>
    </row>
    <row r="21" spans="1:14">
      <c r="A21" s="5">
        <f t="shared" si="1"/>
        <v>13</v>
      </c>
      <c r="B21" s="5">
        <f t="shared" si="3"/>
        <v>2</v>
      </c>
      <c r="C21" s="5">
        <v>5</v>
      </c>
      <c r="D21" s="1" t="s">
        <v>342</v>
      </c>
      <c r="E21" s="26"/>
      <c r="F21" s="1" t="s">
        <v>334</v>
      </c>
      <c r="G21" s="1" t="s">
        <v>338</v>
      </c>
      <c r="J21" t="str">
        <f t="shared" si="0"/>
        <v>datatable[12] = new Array("13","2","Analysis Scenario 5: MDA Chorus+","5","Scenario.png");</v>
      </c>
    </row>
    <row r="22" spans="1:14">
      <c r="A22" s="5">
        <f t="shared" si="1"/>
        <v>14</v>
      </c>
      <c r="B22" s="5">
        <f t="shared" si="3"/>
        <v>2</v>
      </c>
      <c r="C22" s="5">
        <v>5</v>
      </c>
      <c r="D22" s="1" t="s">
        <v>343</v>
      </c>
      <c r="E22" s="26"/>
      <c r="F22" s="1" t="s">
        <v>334</v>
      </c>
      <c r="G22" s="1" t="s">
        <v>338</v>
      </c>
      <c r="J22" t="str">
        <f t="shared" si="0"/>
        <v>datatable[13] = new Array("14","2","Analysis Scenario 6: Airbus Sentinel 2","5","Scenario.png");</v>
      </c>
    </row>
    <row r="23" spans="1:14">
      <c r="A23" s="27">
        <f t="shared" si="1"/>
        <v>15</v>
      </c>
      <c r="B23" s="27">
        <f>A$16</f>
        <v>8</v>
      </c>
      <c r="C23" s="27">
        <v>6</v>
      </c>
      <c r="D23" s="28" t="s">
        <v>344</v>
      </c>
      <c r="E23" s="29">
        <v>1.1000000000000001</v>
      </c>
      <c r="F23" s="28" t="s">
        <v>36</v>
      </c>
      <c r="G23" s="1" t="s">
        <v>345</v>
      </c>
      <c r="H23" s="1" t="s">
        <v>346</v>
      </c>
      <c r="J23" t="str">
        <f t="shared" si="0"/>
        <v>datatable[14] = new Array("15","8","Government Overhead and Oversight","6","Government.png");</v>
      </c>
    </row>
    <row r="24" spans="1:14">
      <c r="A24" s="27">
        <f t="shared" si="1"/>
        <v>16</v>
      </c>
      <c r="B24" s="27">
        <f t="shared" ref="B24:B28" si="4">A$16</f>
        <v>8</v>
      </c>
      <c r="C24" s="27">
        <v>6</v>
      </c>
      <c r="D24" s="28" t="s">
        <v>73</v>
      </c>
      <c r="E24" s="29">
        <v>1.2</v>
      </c>
      <c r="F24" s="28" t="s">
        <v>36</v>
      </c>
      <c r="G24" s="1" t="s">
        <v>333</v>
      </c>
      <c r="H24" s="1" t="s">
        <v>347</v>
      </c>
      <c r="J24" t="str">
        <f t="shared" si="0"/>
        <v>datatable[15] = new Array("16","8","Space Segment","6","Satellite.png");</v>
      </c>
    </row>
    <row r="25" spans="1:14">
      <c r="A25" s="27">
        <f t="shared" si="1"/>
        <v>17</v>
      </c>
      <c r="B25" s="27">
        <f t="shared" si="4"/>
        <v>8</v>
      </c>
      <c r="C25" s="27">
        <v>6</v>
      </c>
      <c r="D25" s="28" t="s">
        <v>298</v>
      </c>
      <c r="E25" s="29">
        <v>1.3</v>
      </c>
      <c r="F25" s="28" t="s">
        <v>36</v>
      </c>
      <c r="G25" s="1" t="s">
        <v>348</v>
      </c>
      <c r="H25" s="1" t="s">
        <v>349</v>
      </c>
      <c r="J25" t="str">
        <f t="shared" si="0"/>
        <v>datatable[16] = new Array("17","8","Launch Segment","6","Rocket.png");</v>
      </c>
    </row>
    <row r="26" spans="1:14">
      <c r="A26" s="27">
        <f t="shared" si="1"/>
        <v>18</v>
      </c>
      <c r="B26" s="27">
        <f t="shared" si="4"/>
        <v>8</v>
      </c>
      <c r="C26" s="27">
        <v>6</v>
      </c>
      <c r="D26" s="28" t="s">
        <v>304</v>
      </c>
      <c r="E26" s="29">
        <v>1.4</v>
      </c>
      <c r="F26" s="28" t="s">
        <v>36</v>
      </c>
      <c r="G26" s="1" t="s">
        <v>350</v>
      </c>
      <c r="H26" s="1" t="s">
        <v>351</v>
      </c>
      <c r="J26" t="str">
        <f t="shared" si="0"/>
        <v>datatable[17] = new Array("18","8","Ground Segment","6","Facility.png");</v>
      </c>
    </row>
    <row r="27" spans="1:14">
      <c r="A27" s="27">
        <f t="shared" si="1"/>
        <v>19</v>
      </c>
      <c r="B27" s="27">
        <f t="shared" si="4"/>
        <v>8</v>
      </c>
      <c r="C27" s="27">
        <v>6</v>
      </c>
      <c r="D27" s="28" t="s">
        <v>305</v>
      </c>
      <c r="E27" s="29">
        <v>1.5</v>
      </c>
      <c r="F27" s="28" t="s">
        <v>36</v>
      </c>
      <c r="G27" s="1" t="s">
        <v>352</v>
      </c>
      <c r="H27" s="1" t="s">
        <v>353</v>
      </c>
      <c r="J27" t="str">
        <f t="shared" si="0"/>
        <v>datatable[18] = new Array("19","8","Ops Segment","6","Ops.png");</v>
      </c>
    </row>
    <row r="28" spans="1:14">
      <c r="A28" s="27">
        <f t="shared" si="1"/>
        <v>20</v>
      </c>
      <c r="B28" s="27">
        <f t="shared" si="4"/>
        <v>8</v>
      </c>
      <c r="C28" s="27">
        <v>6</v>
      </c>
      <c r="D28" s="28" t="s">
        <v>306</v>
      </c>
      <c r="E28" s="29">
        <v>1.6</v>
      </c>
      <c r="F28" s="28" t="s">
        <v>36</v>
      </c>
      <c r="G28" s="1" t="s">
        <v>354</v>
      </c>
      <c r="H28" s="1" t="s">
        <v>355</v>
      </c>
      <c r="J28" t="str">
        <f t="shared" si="0"/>
        <v>datatable[19] = new Array("20","8","Science Segment","6","Science.png");</v>
      </c>
    </row>
    <row r="29" spans="1:14">
      <c r="A29" s="30">
        <f t="shared" si="1"/>
        <v>21</v>
      </c>
      <c r="B29" s="30">
        <f>A$18</f>
        <v>10</v>
      </c>
      <c r="C29" s="30">
        <v>7</v>
      </c>
      <c r="D29" s="31" t="s">
        <v>42</v>
      </c>
      <c r="E29" s="32" t="s">
        <v>356</v>
      </c>
      <c r="F29" s="32" t="s">
        <v>37</v>
      </c>
      <c r="G29" s="1" t="s">
        <v>345</v>
      </c>
      <c r="J29" t="str">
        <f t="shared" si="0"/>
        <v>datatable[20] = new Array("21","10","Gov't Oversight (Salaries and EBP)","7","Government.png");</v>
      </c>
    </row>
    <row r="30" spans="1:14">
      <c r="A30" s="30">
        <f t="shared" si="1"/>
        <v>22</v>
      </c>
      <c r="B30" s="30">
        <f>A$18</f>
        <v>10</v>
      </c>
      <c r="C30" s="30">
        <v>7</v>
      </c>
      <c r="D30" s="31" t="s">
        <v>54</v>
      </c>
      <c r="E30" s="32" t="s">
        <v>357</v>
      </c>
      <c r="F30" s="32" t="s">
        <v>37</v>
      </c>
      <c r="G30" s="1" t="s">
        <v>345</v>
      </c>
      <c r="J30" t="str">
        <f t="shared" si="0"/>
        <v>datatable[21] = new Array("22","10","Government Overhead","7","Government.png");</v>
      </c>
    </row>
    <row r="31" spans="1:14">
      <c r="A31" s="30">
        <f t="shared" si="1"/>
        <v>23</v>
      </c>
      <c r="B31" s="30">
        <f>A29</f>
        <v>21</v>
      </c>
      <c r="C31" s="30">
        <v>8</v>
      </c>
      <c r="D31" s="31" t="s">
        <v>358</v>
      </c>
      <c r="E31" s="32" t="s">
        <v>359</v>
      </c>
      <c r="F31" s="32" t="s">
        <v>38</v>
      </c>
      <c r="G31" s="1" t="s">
        <v>345</v>
      </c>
      <c r="J31" t="str">
        <f t="shared" si="0"/>
        <v>datatable[22] = new Array("23","21","CSA Oversight","8","Government.png");</v>
      </c>
    </row>
    <row r="32" spans="1:14">
      <c r="A32" s="30">
        <f t="shared" si="1"/>
        <v>24</v>
      </c>
      <c r="B32" s="30">
        <f>A29</f>
        <v>21</v>
      </c>
      <c r="C32" s="30">
        <v>8</v>
      </c>
      <c r="D32" s="31" t="s">
        <v>360</v>
      </c>
      <c r="E32" s="32" t="s">
        <v>361</v>
      </c>
      <c r="F32" s="32" t="s">
        <v>38</v>
      </c>
      <c r="G32" s="1" t="s">
        <v>345</v>
      </c>
      <c r="J32" t="str">
        <f t="shared" si="0"/>
        <v>datatable[23] = new Array("24","21","OGD Oversight","8","Government.png");</v>
      </c>
    </row>
    <row r="33" spans="1:10">
      <c r="A33" s="30">
        <f t="shared" si="1"/>
        <v>25</v>
      </c>
      <c r="B33" s="30">
        <f>A31</f>
        <v>23</v>
      </c>
      <c r="C33" s="30">
        <v>9</v>
      </c>
      <c r="D33" s="31" t="s">
        <v>43</v>
      </c>
      <c r="E33" s="32" t="s">
        <v>362</v>
      </c>
      <c r="F33" s="32" t="s">
        <v>39</v>
      </c>
      <c r="G33" s="1" t="s">
        <v>345</v>
      </c>
      <c r="H33" s="1" t="s">
        <v>363</v>
      </c>
      <c r="J33" t="str">
        <f t="shared" si="0"/>
        <v>datatable[24] = new Array("25","23","CSA Project Team","9","Government.png");</v>
      </c>
    </row>
    <row r="34" spans="1:10">
      <c r="A34" s="30">
        <f t="shared" si="1"/>
        <v>26</v>
      </c>
      <c r="B34" s="30">
        <f>A31</f>
        <v>23</v>
      </c>
      <c r="C34" s="30">
        <v>9</v>
      </c>
      <c r="D34" s="31" t="s">
        <v>45</v>
      </c>
      <c r="E34" s="32" t="s">
        <v>364</v>
      </c>
      <c r="F34" s="32" t="s">
        <v>39</v>
      </c>
      <c r="G34" s="1" t="s">
        <v>345</v>
      </c>
      <c r="H34" s="1" t="s">
        <v>365</v>
      </c>
      <c r="J34" t="str">
        <f t="shared" si="0"/>
        <v>datatable[25] = new Array("26","23","CSA Internal Services","9","Government.png");</v>
      </c>
    </row>
    <row r="35" spans="1:10">
      <c r="A35" s="30">
        <f t="shared" si="1"/>
        <v>27</v>
      </c>
      <c r="B35" s="30">
        <f>A32</f>
        <v>24</v>
      </c>
      <c r="C35" s="30">
        <v>9</v>
      </c>
      <c r="D35" s="31" t="s">
        <v>46</v>
      </c>
      <c r="E35" s="32" t="s">
        <v>366</v>
      </c>
      <c r="F35" s="32" t="s">
        <v>39</v>
      </c>
      <c r="G35" s="1" t="s">
        <v>345</v>
      </c>
      <c r="J35" t="str">
        <f t="shared" si="0"/>
        <v>datatable[26] = new Array("27","24","OGD Internal Services by MOU","9","Government.png");</v>
      </c>
    </row>
    <row r="36" spans="1:10">
      <c r="A36" s="30">
        <f t="shared" si="1"/>
        <v>28</v>
      </c>
      <c r="B36" s="30">
        <f>A32</f>
        <v>24</v>
      </c>
      <c r="C36" s="30">
        <v>9</v>
      </c>
      <c r="D36" s="31" t="s">
        <v>50</v>
      </c>
      <c r="E36" s="32" t="s">
        <v>367</v>
      </c>
      <c r="F36" s="32" t="s">
        <v>39</v>
      </c>
      <c r="G36" s="1" t="s">
        <v>345</v>
      </c>
      <c r="J36" t="str">
        <f t="shared" si="0"/>
        <v>datatable[27] = new Array("28","24","OGD User Departments by MOU (RAM portion)","9","Government.png");</v>
      </c>
    </row>
    <row r="37" spans="1:10">
      <c r="A37" s="30">
        <f t="shared" si="1"/>
        <v>29</v>
      </c>
      <c r="B37" s="30">
        <f>A$29</f>
        <v>21</v>
      </c>
      <c r="C37" s="30">
        <v>10</v>
      </c>
      <c r="D37" s="31" t="s">
        <v>47</v>
      </c>
      <c r="E37" s="32" t="s">
        <v>368</v>
      </c>
      <c r="F37" s="32" t="s">
        <v>40</v>
      </c>
      <c r="G37" s="1" t="s">
        <v>345</v>
      </c>
      <c r="J37" t="str">
        <f t="shared" si="0"/>
        <v>datatable[28] = new Array("29","21","Shared Services","10","Government.png");</v>
      </c>
    </row>
    <row r="38" spans="1:10">
      <c r="A38" s="30">
        <f t="shared" si="1"/>
        <v>30</v>
      </c>
      <c r="B38" s="30">
        <f t="shared" ref="B38:B39" si="5">A$29</f>
        <v>21</v>
      </c>
      <c r="C38" s="30">
        <v>10</v>
      </c>
      <c r="D38" s="31" t="s">
        <v>48</v>
      </c>
      <c r="E38" s="32" t="s">
        <v>369</v>
      </c>
      <c r="F38" s="32" t="s">
        <v>40</v>
      </c>
      <c r="G38" s="1" t="s">
        <v>345</v>
      </c>
      <c r="J38" t="str">
        <f t="shared" si="0"/>
        <v>datatable[29] = new Array("30","21","SPAC","10","Government.png");</v>
      </c>
    </row>
    <row r="39" spans="1:10">
      <c r="A39" s="30">
        <f t="shared" si="1"/>
        <v>31</v>
      </c>
      <c r="B39" s="30">
        <f t="shared" si="5"/>
        <v>21</v>
      </c>
      <c r="C39" s="30">
        <v>10</v>
      </c>
      <c r="D39" s="31" t="s">
        <v>49</v>
      </c>
      <c r="E39" s="32" t="s">
        <v>370</v>
      </c>
      <c r="F39" s="32" t="s">
        <v>40</v>
      </c>
      <c r="G39" s="1" t="s">
        <v>345</v>
      </c>
      <c r="J39" t="str">
        <f t="shared" si="0"/>
        <v>datatable[30] = new Array("31","21","Justice Canada","10","Government.png");</v>
      </c>
    </row>
    <row r="40" spans="1:10">
      <c r="A40" s="30">
        <f t="shared" si="1"/>
        <v>32</v>
      </c>
      <c r="B40" s="30">
        <f>A$31</f>
        <v>23</v>
      </c>
      <c r="C40" s="30">
        <v>10</v>
      </c>
      <c r="D40" s="31" t="s">
        <v>51</v>
      </c>
      <c r="E40" s="32" t="s">
        <v>371</v>
      </c>
      <c r="F40" s="32" t="s">
        <v>40</v>
      </c>
      <c r="G40" s="1" t="s">
        <v>345</v>
      </c>
      <c r="J40" t="str">
        <f t="shared" si="0"/>
        <v>datatable[31] = new Array("32","23","ECCC","10","Government.png");</v>
      </c>
    </row>
    <row r="41" spans="1:10">
      <c r="A41" s="30">
        <f t="shared" si="1"/>
        <v>33</v>
      </c>
      <c r="B41" s="30">
        <f t="shared" ref="B41:B42" si="6">A$31</f>
        <v>23</v>
      </c>
      <c r="C41" s="30">
        <v>10</v>
      </c>
      <c r="D41" s="31" t="s">
        <v>52</v>
      </c>
      <c r="E41" s="32" t="s">
        <v>372</v>
      </c>
      <c r="F41" s="32" t="s">
        <v>40</v>
      </c>
      <c r="G41" s="1" t="s">
        <v>345</v>
      </c>
      <c r="J41" t="str">
        <f t="shared" si="0"/>
        <v>datatable[32] = new Array("33","23","NRCAN","10","Government.png");</v>
      </c>
    </row>
    <row r="42" spans="1:10">
      <c r="A42" s="30">
        <f t="shared" si="1"/>
        <v>34</v>
      </c>
      <c r="B42" s="30">
        <f t="shared" si="6"/>
        <v>23</v>
      </c>
      <c r="C42" s="30">
        <v>10</v>
      </c>
      <c r="D42" s="31" t="s">
        <v>53</v>
      </c>
      <c r="E42" s="32" t="s">
        <v>373</v>
      </c>
      <c r="F42" s="32" t="s">
        <v>40</v>
      </c>
      <c r="G42" s="1" t="s">
        <v>345</v>
      </c>
      <c r="J42" t="str">
        <f t="shared" si="0"/>
        <v>datatable[33] = new Array("34","23","DND","10","Government.png");</v>
      </c>
    </row>
    <row r="43" spans="1:10">
      <c r="A43" s="30">
        <f t="shared" si="1"/>
        <v>35</v>
      </c>
      <c r="B43" s="30">
        <f>A33</f>
        <v>25</v>
      </c>
      <c r="C43" s="30">
        <v>11</v>
      </c>
      <c r="D43" s="31" t="s">
        <v>44</v>
      </c>
      <c r="E43" s="32" t="s">
        <v>374</v>
      </c>
      <c r="F43" s="32" t="s">
        <v>41</v>
      </c>
      <c r="G43" s="1" t="s">
        <v>345</v>
      </c>
      <c r="J43" t="str">
        <f t="shared" si="0"/>
        <v>datatable[34] = new Array("35","25","RAM per Person per FY and Phase","11","Government.png");</v>
      </c>
    </row>
    <row r="44" spans="1:10">
      <c r="A44" s="30">
        <f t="shared" si="1"/>
        <v>36</v>
      </c>
      <c r="B44" s="30">
        <f>A$33</f>
        <v>25</v>
      </c>
      <c r="C44" s="30">
        <v>11</v>
      </c>
      <c r="D44" s="31" t="s">
        <v>375</v>
      </c>
      <c r="E44" s="32" t="s">
        <v>376</v>
      </c>
      <c r="F44" s="32" t="s">
        <v>41</v>
      </c>
      <c r="G44" s="1" t="s">
        <v>345</v>
      </c>
      <c r="J44" t="str">
        <f t="shared" si="0"/>
        <v>datatable[35] = new Array("36","25","PSPC Procurement Services","11","Government.png");</v>
      </c>
    </row>
    <row r="45" spans="1:10">
      <c r="A45" s="30">
        <f t="shared" si="1"/>
        <v>37</v>
      </c>
      <c r="B45" s="30">
        <f>A$33</f>
        <v>25</v>
      </c>
      <c r="C45" s="30">
        <v>11</v>
      </c>
      <c r="D45" s="31" t="s">
        <v>377</v>
      </c>
      <c r="E45" s="32" t="s">
        <v>378</v>
      </c>
      <c r="F45" s="32" t="s">
        <v>41</v>
      </c>
      <c r="G45" s="1" t="s">
        <v>345</v>
      </c>
      <c r="J45" t="str">
        <f t="shared" si="0"/>
        <v>datatable[36] = new Array("37","25","PSPC Fairness Monitor","11","Government.png");</v>
      </c>
    </row>
    <row r="46" spans="1:10">
      <c r="A46" s="30">
        <f t="shared" si="1"/>
        <v>38</v>
      </c>
      <c r="B46" s="30">
        <f>A39</f>
        <v>31</v>
      </c>
      <c r="C46" s="30">
        <v>11</v>
      </c>
      <c r="D46" s="31" t="s">
        <v>379</v>
      </c>
      <c r="E46" s="32" t="s">
        <v>380</v>
      </c>
      <c r="F46" s="32" t="s">
        <v>41</v>
      </c>
      <c r="G46" s="1" t="s">
        <v>345</v>
      </c>
      <c r="J46" t="str">
        <f t="shared" si="0"/>
        <v>datatable[37] = new Array("38","31","Legal Services","11","Government.png");</v>
      </c>
    </row>
    <row r="47" spans="1:10">
      <c r="A47" s="30">
        <f t="shared" si="1"/>
        <v>39</v>
      </c>
      <c r="B47" s="30">
        <f>A30</f>
        <v>22</v>
      </c>
      <c r="C47" s="30">
        <v>8</v>
      </c>
      <c r="D47" s="31" t="s">
        <v>381</v>
      </c>
      <c r="E47" s="32" t="s">
        <v>382</v>
      </c>
      <c r="F47" s="32" t="s">
        <v>38</v>
      </c>
      <c r="G47" s="1" t="s">
        <v>345</v>
      </c>
      <c r="J47" t="str">
        <f t="shared" si="0"/>
        <v>datatable[38] = new Array("39","22","CSA Overhead","8","Government.png");</v>
      </c>
    </row>
    <row r="48" spans="1:10">
      <c r="A48" s="30">
        <f t="shared" si="1"/>
        <v>40</v>
      </c>
      <c r="B48" s="30">
        <f>A$42</f>
        <v>34</v>
      </c>
      <c r="C48" s="30">
        <v>9</v>
      </c>
      <c r="D48" s="32" t="s">
        <v>55</v>
      </c>
      <c r="E48" s="32" t="s">
        <v>383</v>
      </c>
      <c r="F48" s="32" t="s">
        <v>39</v>
      </c>
      <c r="G48" s="1" t="s">
        <v>345</v>
      </c>
      <c r="J48" t="str">
        <f t="shared" si="0"/>
        <v>datatable[39] = new Array("40","34","IS Management Overhead ","9","Government.png");</v>
      </c>
    </row>
    <row r="49" spans="1:10">
      <c r="A49" s="30">
        <f t="shared" si="1"/>
        <v>41</v>
      </c>
      <c r="B49" s="30">
        <f t="shared" ref="B49:B57" si="7">A$42</f>
        <v>34</v>
      </c>
      <c r="C49" s="30">
        <v>9</v>
      </c>
      <c r="D49" s="32" t="s">
        <v>56</v>
      </c>
      <c r="E49" s="32" t="s">
        <v>384</v>
      </c>
      <c r="F49" s="32" t="s">
        <v>39</v>
      </c>
      <c r="G49" s="1" t="s">
        <v>345</v>
      </c>
      <c r="J49" t="str">
        <f t="shared" si="0"/>
        <v>datatable[40] = new Array("41","34","Management Consulting Services","9","Government.png");</v>
      </c>
    </row>
    <row r="50" spans="1:10">
      <c r="A50" s="30">
        <f t="shared" si="1"/>
        <v>42</v>
      </c>
      <c r="B50" s="30">
        <f t="shared" si="7"/>
        <v>34</v>
      </c>
      <c r="C50" s="30">
        <v>9</v>
      </c>
      <c r="D50" s="32" t="s">
        <v>60</v>
      </c>
      <c r="E50" s="32" t="s">
        <v>385</v>
      </c>
      <c r="F50" s="32" t="s">
        <v>39</v>
      </c>
      <c r="G50" s="1" t="s">
        <v>345</v>
      </c>
      <c r="J50" t="str">
        <f t="shared" si="0"/>
        <v>datatable[41] = new Array("42","34","Temporary Help","9","Government.png");</v>
      </c>
    </row>
    <row r="51" spans="1:10">
      <c r="A51" s="30">
        <f t="shared" si="1"/>
        <v>43</v>
      </c>
      <c r="B51" s="30">
        <f t="shared" si="7"/>
        <v>34</v>
      </c>
      <c r="C51" s="30">
        <v>9</v>
      </c>
      <c r="D51" s="32" t="s">
        <v>61</v>
      </c>
      <c r="E51" s="32" t="s">
        <v>386</v>
      </c>
      <c r="F51" s="32" t="s">
        <v>39</v>
      </c>
      <c r="G51" s="1" t="s">
        <v>345</v>
      </c>
      <c r="H51" s="1" t="s">
        <v>387</v>
      </c>
      <c r="J51" t="str">
        <f t="shared" si="0"/>
        <v>datatable[42] = new Array("43","34","Students","9","Government.png");</v>
      </c>
    </row>
    <row r="52" spans="1:10">
      <c r="A52" s="30">
        <f t="shared" si="1"/>
        <v>44</v>
      </c>
      <c r="B52" s="30">
        <f t="shared" si="7"/>
        <v>34</v>
      </c>
      <c r="C52" s="30">
        <v>9</v>
      </c>
      <c r="D52" s="32" t="s">
        <v>62</v>
      </c>
      <c r="E52" s="32" t="s">
        <v>388</v>
      </c>
      <c r="F52" s="32" t="s">
        <v>39</v>
      </c>
      <c r="G52" s="1" t="s">
        <v>345</v>
      </c>
      <c r="H52" s="1" t="s">
        <v>389</v>
      </c>
      <c r="J52" t="str">
        <f t="shared" si="0"/>
        <v>datatable[43] = new Array("44","34","Government Travel &amp; Living","9","Government.png");</v>
      </c>
    </row>
    <row r="53" spans="1:10">
      <c r="A53" s="30">
        <f t="shared" si="1"/>
        <v>45</v>
      </c>
      <c r="B53" s="30">
        <f t="shared" si="7"/>
        <v>34</v>
      </c>
      <c r="C53" s="30">
        <v>9</v>
      </c>
      <c r="D53" s="32" t="s">
        <v>63</v>
      </c>
      <c r="E53" s="32" t="s">
        <v>390</v>
      </c>
      <c r="F53" s="32" t="s">
        <v>39</v>
      </c>
      <c r="G53" s="1" t="s">
        <v>345</v>
      </c>
      <c r="H53" s="1" t="s">
        <v>391</v>
      </c>
      <c r="J53" t="str">
        <f t="shared" si="0"/>
        <v>datatable[44] = new Array("45","34","Translation","9","Government.png");</v>
      </c>
    </row>
    <row r="54" spans="1:10">
      <c r="A54" s="30">
        <f t="shared" si="1"/>
        <v>46</v>
      </c>
      <c r="B54" s="30">
        <f t="shared" si="7"/>
        <v>34</v>
      </c>
      <c r="C54" s="30">
        <v>9</v>
      </c>
      <c r="D54" s="32" t="s">
        <v>64</v>
      </c>
      <c r="E54" s="32" t="s">
        <v>392</v>
      </c>
      <c r="F54" s="32" t="s">
        <v>39</v>
      </c>
      <c r="G54" s="1" t="s">
        <v>345</v>
      </c>
      <c r="H54" s="1" t="s">
        <v>393</v>
      </c>
      <c r="J54" t="str">
        <f t="shared" si="0"/>
        <v>datatable[45] = new Array("46","34","Shipping","9","Government.png");</v>
      </c>
    </row>
    <row r="55" spans="1:10">
      <c r="A55" s="30">
        <f t="shared" si="1"/>
        <v>47</v>
      </c>
      <c r="B55" s="30">
        <f t="shared" si="7"/>
        <v>34</v>
      </c>
      <c r="C55" s="30">
        <v>9</v>
      </c>
      <c r="D55" s="32" t="s">
        <v>65</v>
      </c>
      <c r="E55" s="32" t="s">
        <v>394</v>
      </c>
      <c r="F55" s="32" t="s">
        <v>39</v>
      </c>
      <c r="G55" s="1" t="s">
        <v>345</v>
      </c>
      <c r="H55" s="1" t="s">
        <v>395</v>
      </c>
      <c r="J55" t="str">
        <f t="shared" si="0"/>
        <v>datatable[46] = new Array("47","34","Software Licenses","9","Government.png");</v>
      </c>
    </row>
    <row r="56" spans="1:10">
      <c r="A56" s="30">
        <f t="shared" si="1"/>
        <v>48</v>
      </c>
      <c r="B56" s="30">
        <f t="shared" si="7"/>
        <v>34</v>
      </c>
      <c r="C56" s="30">
        <v>9</v>
      </c>
      <c r="D56" s="32" t="s">
        <v>66</v>
      </c>
      <c r="E56" s="32" t="s">
        <v>396</v>
      </c>
      <c r="F56" s="32" t="s">
        <v>39</v>
      </c>
      <c r="G56" s="1" t="s">
        <v>345</v>
      </c>
      <c r="H56" s="1" t="s">
        <v>397</v>
      </c>
      <c r="J56" t="str">
        <f t="shared" si="0"/>
        <v>datatable[47] = new Array("48","34","Public Outreach and STEM initiatives","9","Government.png");</v>
      </c>
    </row>
    <row r="57" spans="1:10">
      <c r="A57" s="30">
        <f t="shared" si="1"/>
        <v>49</v>
      </c>
      <c r="B57" s="30">
        <f t="shared" si="7"/>
        <v>34</v>
      </c>
      <c r="C57" s="30">
        <v>9</v>
      </c>
      <c r="D57" s="32" t="s">
        <v>67</v>
      </c>
      <c r="E57" s="32" t="s">
        <v>398</v>
      </c>
      <c r="F57" s="32" t="s">
        <v>39</v>
      </c>
      <c r="G57" s="1" t="s">
        <v>345</v>
      </c>
      <c r="H57" s="1" t="s">
        <v>399</v>
      </c>
      <c r="J57" t="str">
        <f t="shared" si="0"/>
        <v>datatable[48] = new Array("49","34","Other Overhead (Specify)","9","Government.png");</v>
      </c>
    </row>
    <row r="58" spans="1:10">
      <c r="A58" s="30">
        <f t="shared" si="1"/>
        <v>50</v>
      </c>
      <c r="B58" s="30">
        <f>A$44</f>
        <v>36</v>
      </c>
      <c r="C58" s="30">
        <v>10</v>
      </c>
      <c r="D58" s="32" t="s">
        <v>57</v>
      </c>
      <c r="E58" s="32" t="s">
        <v>400</v>
      </c>
      <c r="F58" s="32" t="s">
        <v>40</v>
      </c>
      <c r="G58" s="1" t="s">
        <v>345</v>
      </c>
      <c r="J58" t="str">
        <f t="shared" si="0"/>
        <v>datatable[49] = new Array("50","36","Consultants - Industrial Space Experts","10","Government.png");</v>
      </c>
    </row>
    <row r="59" spans="1:10">
      <c r="A59" s="30">
        <f t="shared" si="1"/>
        <v>51</v>
      </c>
      <c r="B59" s="30">
        <f t="shared" ref="B59:B60" si="8">A$44</f>
        <v>36</v>
      </c>
      <c r="C59" s="30">
        <v>10</v>
      </c>
      <c r="D59" s="32" t="s">
        <v>58</v>
      </c>
      <c r="E59" s="32" t="s">
        <v>401</v>
      </c>
      <c r="F59" s="32" t="s">
        <v>40</v>
      </c>
      <c r="G59" s="1" t="s">
        <v>345</v>
      </c>
      <c r="J59" t="str">
        <f t="shared" si="0"/>
        <v>datatable[50] = new Array("51","36","Consultants - Academia","10","Government.png");</v>
      </c>
    </row>
    <row r="60" spans="1:10">
      <c r="A60" s="30">
        <f t="shared" si="1"/>
        <v>52</v>
      </c>
      <c r="B60" s="30">
        <f t="shared" si="8"/>
        <v>36</v>
      </c>
      <c r="C60" s="30">
        <v>10</v>
      </c>
      <c r="D60" s="32" t="s">
        <v>59</v>
      </c>
      <c r="E60" s="32" t="s">
        <v>402</v>
      </c>
      <c r="F60" s="32" t="s">
        <v>40</v>
      </c>
      <c r="G60" s="1" t="s">
        <v>345</v>
      </c>
      <c r="J60" t="str">
        <f t="shared" si="0"/>
        <v>datatable[51] = new Array("52","36","Consultants - Non-Space Experts","10","Government.png");</v>
      </c>
    </row>
    <row r="61" spans="1:10">
      <c r="A61" s="33">
        <f t="shared" si="1"/>
        <v>53</v>
      </c>
      <c r="B61" s="33">
        <v>12</v>
      </c>
      <c r="C61" s="33">
        <v>6</v>
      </c>
      <c r="D61" s="34" t="s">
        <v>403</v>
      </c>
      <c r="E61" s="34"/>
      <c r="F61" s="35" t="s">
        <v>36</v>
      </c>
      <c r="G61" s="1" t="s">
        <v>404</v>
      </c>
      <c r="J61" t="str">
        <f t="shared" si="0"/>
        <v>datatable[52] = new Array("53","12","Mission SEITPM and Support Equipment","6","SEITPM.png");</v>
      </c>
    </row>
    <row r="62" spans="1:10">
      <c r="A62" s="33">
        <f t="shared" si="1"/>
        <v>54</v>
      </c>
      <c r="B62" s="33">
        <f>A$56</f>
        <v>48</v>
      </c>
      <c r="C62" s="33">
        <v>7</v>
      </c>
      <c r="D62" s="34" t="s">
        <v>68</v>
      </c>
      <c r="E62" s="35"/>
      <c r="F62" s="35" t="s">
        <v>37</v>
      </c>
      <c r="G62" s="1" t="s">
        <v>404</v>
      </c>
      <c r="J62" t="str">
        <f t="shared" si="0"/>
        <v>datatable[53] = new Array("54","48","Project Management","7","SEITPM.png");</v>
      </c>
    </row>
    <row r="63" spans="1:10">
      <c r="A63" s="33">
        <f t="shared" si="1"/>
        <v>55</v>
      </c>
      <c r="B63" s="33">
        <f t="shared" ref="B63:B66" si="9">A$56</f>
        <v>48</v>
      </c>
      <c r="C63" s="33">
        <v>7</v>
      </c>
      <c r="D63" s="34" t="s">
        <v>69</v>
      </c>
      <c r="E63" s="35"/>
      <c r="F63" s="35" t="s">
        <v>37</v>
      </c>
      <c r="G63" s="1" t="s">
        <v>404</v>
      </c>
      <c r="J63" t="str">
        <f t="shared" si="0"/>
        <v>datatable[54] = new Array("55","48","Systems Engineering","7","SEITPM.png");</v>
      </c>
    </row>
    <row r="64" spans="1:10">
      <c r="A64" s="33">
        <f t="shared" si="1"/>
        <v>56</v>
      </c>
      <c r="B64" s="33">
        <f t="shared" si="9"/>
        <v>48</v>
      </c>
      <c r="C64" s="33">
        <v>7</v>
      </c>
      <c r="D64" s="34" t="s">
        <v>70</v>
      </c>
      <c r="E64" s="35"/>
      <c r="F64" s="35" t="s">
        <v>37</v>
      </c>
      <c r="G64" s="1" t="s">
        <v>404</v>
      </c>
      <c r="J64" t="str">
        <f t="shared" si="0"/>
        <v>datatable[55] = new Array("56","48","Mission Assurance","7","SEITPM.png");</v>
      </c>
    </row>
    <row r="65" spans="1:10">
      <c r="A65" s="33">
        <f t="shared" si="1"/>
        <v>57</v>
      </c>
      <c r="B65" s="33">
        <f t="shared" si="9"/>
        <v>48</v>
      </c>
      <c r="C65" s="33">
        <v>7</v>
      </c>
      <c r="D65" s="34" t="s">
        <v>71</v>
      </c>
      <c r="E65" s="35"/>
      <c r="F65" s="35" t="s">
        <v>37</v>
      </c>
      <c r="G65" s="1" t="s">
        <v>404</v>
      </c>
      <c r="J65" t="str">
        <f t="shared" si="0"/>
        <v>datatable[56] = new Array("57","48","Assembly, Integration and Testing","7","SEITPM.png");</v>
      </c>
    </row>
    <row r="66" spans="1:10">
      <c r="A66" s="33">
        <f t="shared" si="1"/>
        <v>58</v>
      </c>
      <c r="B66" s="33">
        <f t="shared" si="9"/>
        <v>48</v>
      </c>
      <c r="C66" s="33">
        <v>7</v>
      </c>
      <c r="D66" s="34" t="s">
        <v>72</v>
      </c>
      <c r="E66" s="35"/>
      <c r="F66" s="35" t="s">
        <v>37</v>
      </c>
      <c r="G66" s="1" t="s">
        <v>404</v>
      </c>
      <c r="J66" t="str">
        <f t="shared" si="0"/>
        <v>datatable[57] = new Array("58","48","Support Equipment","7","SEITPM.png");</v>
      </c>
    </row>
    <row r="67" spans="1:10">
      <c r="A67" s="36">
        <f t="shared" si="1"/>
        <v>59</v>
      </c>
      <c r="B67" s="36">
        <f>A24</f>
        <v>16</v>
      </c>
      <c r="C67" s="36">
        <v>7</v>
      </c>
      <c r="D67" s="37" t="s">
        <v>311</v>
      </c>
      <c r="E67" s="37"/>
      <c r="F67" s="37" t="s">
        <v>37</v>
      </c>
      <c r="G67" s="1" t="s">
        <v>333</v>
      </c>
      <c r="J67" t="str">
        <f t="shared" si="0"/>
        <v>datatable[58] = new Array("59","16","Space Vehicle 1 … i","7","Satellite.png");</v>
      </c>
    </row>
    <row r="68" spans="1:10">
      <c r="A68" s="36">
        <f t="shared" si="1"/>
        <v>60</v>
      </c>
      <c r="B68" s="36">
        <f>A67</f>
        <v>59</v>
      </c>
      <c r="C68" s="36">
        <v>8</v>
      </c>
      <c r="D68" s="37" t="s">
        <v>405</v>
      </c>
      <c r="E68" s="37"/>
      <c r="F68" s="37" t="s">
        <v>38</v>
      </c>
      <c r="G68" s="1" t="s">
        <v>404</v>
      </c>
      <c r="J68" t="str">
        <f t="shared" si="0"/>
        <v>datatable[59] = new Array("60","59","Spacecraft SEITPM and Support Equipment","8","SEITPM.png");</v>
      </c>
    </row>
    <row r="69" spans="1:10">
      <c r="A69" s="36">
        <f t="shared" si="1"/>
        <v>61</v>
      </c>
      <c r="B69" s="36">
        <f>A$63</f>
        <v>55</v>
      </c>
      <c r="C69" s="36">
        <v>9</v>
      </c>
      <c r="D69" s="37" t="s">
        <v>68</v>
      </c>
      <c r="E69" s="37"/>
      <c r="F69" s="37" t="s">
        <v>39</v>
      </c>
      <c r="G69" s="1" t="s">
        <v>404</v>
      </c>
      <c r="J69" t="str">
        <f t="shared" si="0"/>
        <v>datatable[60] = new Array("61","55","Project Management","9","SEITPM.png");</v>
      </c>
    </row>
    <row r="70" spans="1:10">
      <c r="A70" s="36">
        <f t="shared" si="1"/>
        <v>62</v>
      </c>
      <c r="B70" s="36">
        <f t="shared" ref="B70:B73" si="10">A$63</f>
        <v>55</v>
      </c>
      <c r="C70" s="36">
        <v>9</v>
      </c>
      <c r="D70" s="37" t="s">
        <v>69</v>
      </c>
      <c r="E70" s="37"/>
      <c r="F70" s="37" t="s">
        <v>39</v>
      </c>
      <c r="G70" s="1" t="s">
        <v>404</v>
      </c>
      <c r="J70" t="str">
        <f t="shared" si="0"/>
        <v>datatable[61] = new Array("62","55","Systems Engineering","9","SEITPM.png");</v>
      </c>
    </row>
    <row r="71" spans="1:10">
      <c r="A71" s="36">
        <f t="shared" si="1"/>
        <v>63</v>
      </c>
      <c r="B71" s="36">
        <f t="shared" si="10"/>
        <v>55</v>
      </c>
      <c r="C71" s="36">
        <v>9</v>
      </c>
      <c r="D71" s="37" t="s">
        <v>70</v>
      </c>
      <c r="E71" s="37"/>
      <c r="F71" s="37" t="s">
        <v>39</v>
      </c>
      <c r="G71" s="1" t="s">
        <v>404</v>
      </c>
      <c r="J71" t="str">
        <f t="shared" si="0"/>
        <v>datatable[62] = new Array("63","55","Mission Assurance","9","SEITPM.png");</v>
      </c>
    </row>
    <row r="72" spans="1:10">
      <c r="A72" s="36">
        <f t="shared" si="1"/>
        <v>64</v>
      </c>
      <c r="B72" s="36">
        <f t="shared" si="10"/>
        <v>55</v>
      </c>
      <c r="C72" s="36">
        <v>9</v>
      </c>
      <c r="D72" s="37" t="s">
        <v>71</v>
      </c>
      <c r="E72" s="37"/>
      <c r="F72" s="37" t="s">
        <v>39</v>
      </c>
      <c r="G72" s="1" t="s">
        <v>404</v>
      </c>
      <c r="J72" t="str">
        <f t="shared" si="0"/>
        <v>datatable[63] = new Array("64","55","Assembly, Integration and Testing","9","SEITPM.png");</v>
      </c>
    </row>
    <row r="73" spans="1:10">
      <c r="A73" s="36">
        <f t="shared" si="1"/>
        <v>65</v>
      </c>
      <c r="B73" s="36">
        <f t="shared" si="10"/>
        <v>55</v>
      </c>
      <c r="C73" s="36">
        <v>9</v>
      </c>
      <c r="D73" s="37" t="s">
        <v>72</v>
      </c>
      <c r="E73" s="37"/>
      <c r="F73" s="37" t="s">
        <v>39</v>
      </c>
      <c r="G73" s="1" t="s">
        <v>404</v>
      </c>
      <c r="J73" t="str">
        <f t="shared" si="0"/>
        <v>datatable[64] = new Array("65","55","Support Equipment","9","SEITPM.png");</v>
      </c>
    </row>
    <row r="74" spans="1:10">
      <c r="A74" s="36">
        <f t="shared" si="1"/>
        <v>66</v>
      </c>
      <c r="B74" s="36">
        <f>A67</f>
        <v>59</v>
      </c>
      <c r="C74" s="36">
        <v>8</v>
      </c>
      <c r="D74" s="37" t="s">
        <v>74</v>
      </c>
      <c r="E74" s="37"/>
      <c r="F74" s="37" t="s">
        <v>38</v>
      </c>
      <c r="G74" s="1" t="s">
        <v>406</v>
      </c>
      <c r="J74" t="str">
        <f t="shared" si="0"/>
        <v>datatable[65] = new Array("66","59","Bus/Platform","8","Widget.png");</v>
      </c>
    </row>
    <row r="75" spans="1:10">
      <c r="A75" s="36">
        <f t="shared" si="1"/>
        <v>67</v>
      </c>
      <c r="B75" s="36">
        <f>A74</f>
        <v>66</v>
      </c>
      <c r="C75" s="36">
        <v>9</v>
      </c>
      <c r="D75" s="37" t="s">
        <v>407</v>
      </c>
      <c r="E75" s="37"/>
      <c r="F75" s="37" t="s">
        <v>39</v>
      </c>
      <c r="G75" s="1" t="s">
        <v>404</v>
      </c>
      <c r="J75" t="str">
        <f t="shared" ref="J75:J138" si="11">"datatable["&amp;A75-1&amp;"] = new Array(""" &amp; A75 &amp;""",""" &amp; B75 &amp;""",""" &amp; D75 &amp; """,""" &amp; C75&amp;""","""&amp;""&amp;G75&amp;""");"</f>
        <v>datatable[66] = new Array("67","66","Platform SEITPM and Support Equipment","9","SEITPM.png");</v>
      </c>
    </row>
    <row r="76" spans="1:10">
      <c r="A76" s="36">
        <f t="shared" ref="A76:A139" si="12">A75+1</f>
        <v>68</v>
      </c>
      <c r="B76" s="36">
        <f>A$70</f>
        <v>62</v>
      </c>
      <c r="C76" s="36">
        <v>10</v>
      </c>
      <c r="D76" s="37" t="s">
        <v>68</v>
      </c>
      <c r="E76" s="37"/>
      <c r="F76" s="37" t="s">
        <v>40</v>
      </c>
      <c r="G76" s="1" t="s">
        <v>404</v>
      </c>
      <c r="J76" t="str">
        <f t="shared" si="11"/>
        <v>datatable[67] = new Array("68","62","Project Management","10","SEITPM.png");</v>
      </c>
    </row>
    <row r="77" spans="1:10">
      <c r="A77" s="36">
        <f t="shared" si="12"/>
        <v>69</v>
      </c>
      <c r="B77" s="36">
        <f t="shared" ref="B77:B80" si="13">A$70</f>
        <v>62</v>
      </c>
      <c r="C77" s="36">
        <v>10</v>
      </c>
      <c r="D77" s="37" t="s">
        <v>69</v>
      </c>
      <c r="E77" s="37"/>
      <c r="F77" s="37" t="s">
        <v>40</v>
      </c>
      <c r="G77" s="1" t="s">
        <v>404</v>
      </c>
      <c r="J77" t="str">
        <f t="shared" si="11"/>
        <v>datatable[68] = new Array("69","62","Systems Engineering","10","SEITPM.png");</v>
      </c>
    </row>
    <row r="78" spans="1:10">
      <c r="A78" s="36">
        <f t="shared" si="12"/>
        <v>70</v>
      </c>
      <c r="B78" s="36">
        <f t="shared" si="13"/>
        <v>62</v>
      </c>
      <c r="C78" s="36">
        <v>10</v>
      </c>
      <c r="D78" s="37" t="s">
        <v>70</v>
      </c>
      <c r="E78" s="37"/>
      <c r="F78" s="37" t="s">
        <v>40</v>
      </c>
      <c r="G78" s="1" t="s">
        <v>404</v>
      </c>
      <c r="J78" t="str">
        <f t="shared" si="11"/>
        <v>datatable[69] = new Array("70","62","Mission Assurance","10","SEITPM.png");</v>
      </c>
    </row>
    <row r="79" spans="1:10">
      <c r="A79" s="36">
        <f t="shared" si="12"/>
        <v>71</v>
      </c>
      <c r="B79" s="36">
        <f t="shared" si="13"/>
        <v>62</v>
      </c>
      <c r="C79" s="36">
        <v>10</v>
      </c>
      <c r="D79" s="37" t="s">
        <v>71</v>
      </c>
      <c r="E79" s="37"/>
      <c r="F79" s="37" t="s">
        <v>40</v>
      </c>
      <c r="G79" s="1" t="s">
        <v>404</v>
      </c>
      <c r="J79" t="str">
        <f t="shared" si="11"/>
        <v>datatable[70] = new Array("71","62","Assembly, Integration and Testing","10","SEITPM.png");</v>
      </c>
    </row>
    <row r="80" spans="1:10">
      <c r="A80" s="36">
        <f t="shared" si="12"/>
        <v>72</v>
      </c>
      <c r="B80" s="36">
        <f t="shared" si="13"/>
        <v>62</v>
      </c>
      <c r="C80" s="36">
        <v>10</v>
      </c>
      <c r="D80" s="37" t="s">
        <v>72</v>
      </c>
      <c r="E80" s="37"/>
      <c r="F80" s="37" t="s">
        <v>40</v>
      </c>
      <c r="G80" s="1" t="s">
        <v>404</v>
      </c>
      <c r="J80" t="str">
        <f t="shared" si="11"/>
        <v>datatable[71] = new Array("72","62","Support Equipment","10","SEITPM.png");</v>
      </c>
    </row>
    <row r="81" spans="1:10">
      <c r="A81" s="36">
        <f t="shared" si="12"/>
        <v>73</v>
      </c>
      <c r="B81" s="36">
        <f>A$69</f>
        <v>61</v>
      </c>
      <c r="C81" s="36">
        <v>9</v>
      </c>
      <c r="D81" s="37" t="s">
        <v>75</v>
      </c>
      <c r="E81" s="37"/>
      <c r="F81" s="37" t="s">
        <v>39</v>
      </c>
      <c r="G81" s="1" t="s">
        <v>406</v>
      </c>
      <c r="J81" t="str">
        <f t="shared" si="11"/>
        <v>datatable[72] = new Array("73","61","Structures and Mechanisms Subsystem (SMS)","9","Widget.png");</v>
      </c>
    </row>
    <row r="82" spans="1:10">
      <c r="A82" s="36">
        <f t="shared" si="12"/>
        <v>74</v>
      </c>
      <c r="B82" s="36">
        <f>A$76</f>
        <v>68</v>
      </c>
      <c r="C82" s="36">
        <v>10</v>
      </c>
      <c r="D82" s="37" t="s">
        <v>408</v>
      </c>
      <c r="E82" s="37"/>
      <c r="F82" s="37" t="s">
        <v>40</v>
      </c>
      <c r="G82" s="1" t="s">
        <v>404</v>
      </c>
      <c r="J82" t="str">
        <f t="shared" si="11"/>
        <v>datatable[73] = new Array("74","68","Structures and Mechanisms Subsystem SEITPM","10","SEITPM.png");</v>
      </c>
    </row>
    <row r="83" spans="1:10">
      <c r="A83" s="36">
        <f t="shared" si="12"/>
        <v>75</v>
      </c>
      <c r="B83" s="36">
        <f>A$77</f>
        <v>69</v>
      </c>
      <c r="C83" s="36">
        <v>11</v>
      </c>
      <c r="D83" s="37" t="s">
        <v>68</v>
      </c>
      <c r="E83" s="37"/>
      <c r="F83" s="37" t="s">
        <v>41</v>
      </c>
      <c r="G83" s="1" t="s">
        <v>404</v>
      </c>
      <c r="J83" t="str">
        <f t="shared" si="11"/>
        <v>datatable[74] = new Array("75","69","Project Management","11","SEITPM.png");</v>
      </c>
    </row>
    <row r="84" spans="1:10">
      <c r="A84" s="36">
        <f t="shared" si="12"/>
        <v>76</v>
      </c>
      <c r="B84" s="36">
        <f t="shared" ref="B84:B87" si="14">A$77</f>
        <v>69</v>
      </c>
      <c r="C84" s="36">
        <v>11</v>
      </c>
      <c r="D84" s="37" t="s">
        <v>69</v>
      </c>
      <c r="E84" s="37"/>
      <c r="F84" s="37" t="s">
        <v>41</v>
      </c>
      <c r="G84" s="1" t="s">
        <v>404</v>
      </c>
      <c r="J84" t="str">
        <f t="shared" si="11"/>
        <v>datatable[75] = new Array("76","69","Systems Engineering","11","SEITPM.png");</v>
      </c>
    </row>
    <row r="85" spans="1:10">
      <c r="A85" s="36">
        <f t="shared" si="12"/>
        <v>77</v>
      </c>
      <c r="B85" s="36">
        <f t="shared" si="14"/>
        <v>69</v>
      </c>
      <c r="C85" s="36">
        <v>11</v>
      </c>
      <c r="D85" s="37" t="s">
        <v>70</v>
      </c>
      <c r="E85" s="37"/>
      <c r="F85" s="37" t="s">
        <v>41</v>
      </c>
      <c r="G85" s="1" t="s">
        <v>404</v>
      </c>
      <c r="J85" t="str">
        <f t="shared" si="11"/>
        <v>datatable[76] = new Array("77","69","Mission Assurance","11","SEITPM.png");</v>
      </c>
    </row>
    <row r="86" spans="1:10">
      <c r="A86" s="36">
        <f t="shared" si="12"/>
        <v>78</v>
      </c>
      <c r="B86" s="36">
        <f t="shared" si="14"/>
        <v>69</v>
      </c>
      <c r="C86" s="36">
        <v>11</v>
      </c>
      <c r="D86" s="37" t="s">
        <v>71</v>
      </c>
      <c r="E86" s="37"/>
      <c r="F86" s="37" t="s">
        <v>41</v>
      </c>
      <c r="G86" s="1" t="s">
        <v>404</v>
      </c>
      <c r="J86" t="str">
        <f t="shared" si="11"/>
        <v>datatable[77] = new Array("78","69","Assembly, Integration and Testing","11","SEITPM.png");</v>
      </c>
    </row>
    <row r="87" spans="1:10">
      <c r="A87" s="36">
        <f t="shared" si="12"/>
        <v>79</v>
      </c>
      <c r="B87" s="36">
        <f t="shared" si="14"/>
        <v>69</v>
      </c>
      <c r="C87" s="36">
        <v>11</v>
      </c>
      <c r="D87" s="37" t="s">
        <v>72</v>
      </c>
      <c r="E87" s="37"/>
      <c r="F87" s="37" t="s">
        <v>41</v>
      </c>
      <c r="G87" s="1" t="s">
        <v>404</v>
      </c>
      <c r="J87" t="str">
        <f t="shared" si="11"/>
        <v>datatable[78] = new Array("79","69","Support Equipment","11","SEITPM.png");</v>
      </c>
    </row>
    <row r="88" spans="1:10">
      <c r="A88" s="36">
        <f t="shared" si="12"/>
        <v>80</v>
      </c>
      <c r="B88" s="36">
        <f>A$76</f>
        <v>68</v>
      </c>
      <c r="C88" s="36">
        <v>10</v>
      </c>
      <c r="D88" s="37" t="s">
        <v>76</v>
      </c>
      <c r="E88" s="37"/>
      <c r="F88" s="37" t="s">
        <v>40</v>
      </c>
      <c r="G88" s="1" t="s">
        <v>406</v>
      </c>
      <c r="J88" t="str">
        <f t="shared" si="11"/>
        <v>datatable[79] = new Array("80","68","Primary Structures","10","Widget.png");</v>
      </c>
    </row>
    <row r="89" spans="1:10">
      <c r="A89" s="36">
        <f t="shared" si="12"/>
        <v>81</v>
      </c>
      <c r="B89" s="36">
        <f>A$83</f>
        <v>75</v>
      </c>
      <c r="C89" s="36">
        <v>11</v>
      </c>
      <c r="D89" s="37" t="s">
        <v>77</v>
      </c>
      <c r="E89" s="37"/>
      <c r="F89" s="37" t="s">
        <v>41</v>
      </c>
      <c r="G89" s="1" t="s">
        <v>406</v>
      </c>
      <c r="J89" t="str">
        <f t="shared" si="11"/>
        <v>datatable[80] = new Array("81","75","Load Carrying Shell/Truss","11","Widget.png");</v>
      </c>
    </row>
    <row r="90" spans="1:10">
      <c r="A90" s="36">
        <f t="shared" si="12"/>
        <v>82</v>
      </c>
      <c r="B90" s="36">
        <f t="shared" ref="B90:B93" si="15">A$83</f>
        <v>75</v>
      </c>
      <c r="C90" s="36">
        <v>11</v>
      </c>
      <c r="D90" s="37" t="s">
        <v>78</v>
      </c>
      <c r="E90" s="37"/>
      <c r="F90" s="37" t="s">
        <v>41</v>
      </c>
      <c r="G90" s="1" t="s">
        <v>406</v>
      </c>
      <c r="J90" t="str">
        <f t="shared" si="11"/>
        <v>datatable[81] = new Array("82","75","Equipment Compartments","11","Widget.png");</v>
      </c>
    </row>
    <row r="91" spans="1:10">
      <c r="A91" s="36">
        <f t="shared" si="12"/>
        <v>83</v>
      </c>
      <c r="B91" s="36">
        <f t="shared" si="15"/>
        <v>75</v>
      </c>
      <c r="C91" s="36">
        <v>11</v>
      </c>
      <c r="D91" s="37" t="s">
        <v>79</v>
      </c>
      <c r="E91" s="37"/>
      <c r="F91" s="37" t="s">
        <v>41</v>
      </c>
      <c r="G91" s="1" t="s">
        <v>406</v>
      </c>
      <c r="J91" t="str">
        <f t="shared" si="11"/>
        <v>datatable[82] = new Array("83","75","Booms","11","Widget.png");</v>
      </c>
    </row>
    <row r="92" spans="1:10">
      <c r="A92" s="36">
        <f t="shared" si="12"/>
        <v>84</v>
      </c>
      <c r="B92" s="36">
        <f t="shared" si="15"/>
        <v>75</v>
      </c>
      <c r="C92" s="36">
        <v>11</v>
      </c>
      <c r="D92" s="37" t="s">
        <v>80</v>
      </c>
      <c r="E92" s="37"/>
      <c r="F92" s="37" t="s">
        <v>41</v>
      </c>
      <c r="G92" s="1" t="s">
        <v>406</v>
      </c>
      <c r="J92" t="str">
        <f t="shared" si="11"/>
        <v>datatable[83] = new Array("84","75","Adapters","11","Widget.png");</v>
      </c>
    </row>
    <row r="93" spans="1:10">
      <c r="A93" s="36">
        <f t="shared" si="12"/>
        <v>85</v>
      </c>
      <c r="B93" s="36">
        <f t="shared" si="15"/>
        <v>75</v>
      </c>
      <c r="C93" s="36">
        <v>11</v>
      </c>
      <c r="D93" s="37" t="s">
        <v>81</v>
      </c>
      <c r="E93" s="37"/>
      <c r="F93" s="37" t="s">
        <v>41</v>
      </c>
      <c r="G93" s="1" t="s">
        <v>406</v>
      </c>
      <c r="J93" t="str">
        <f t="shared" si="11"/>
        <v>datatable[84] = new Array("85","75","Other Structures (Specify)","11","Widget.png");</v>
      </c>
    </row>
    <row r="94" spans="1:10">
      <c r="A94" s="36">
        <f t="shared" si="12"/>
        <v>86</v>
      </c>
      <c r="B94" s="36">
        <f>A$76</f>
        <v>68</v>
      </c>
      <c r="C94" s="36">
        <v>10</v>
      </c>
      <c r="D94" s="37" t="s">
        <v>82</v>
      </c>
      <c r="E94" s="37"/>
      <c r="F94" s="37" t="s">
        <v>40</v>
      </c>
      <c r="G94" s="1" t="s">
        <v>406</v>
      </c>
      <c r="J94" t="str">
        <f t="shared" si="11"/>
        <v>datatable[85] = new Array("86","68","Secondary Structures","10","Widget.png");</v>
      </c>
    </row>
    <row r="95" spans="1:10">
      <c r="A95" s="36">
        <f t="shared" si="12"/>
        <v>87</v>
      </c>
      <c r="B95" s="36">
        <f>A$89</f>
        <v>81</v>
      </c>
      <c r="C95" s="36">
        <v>11</v>
      </c>
      <c r="D95" s="37" t="s">
        <v>83</v>
      </c>
      <c r="E95" s="37"/>
      <c r="F95" s="37" t="s">
        <v>41</v>
      </c>
      <c r="G95" s="1" t="s">
        <v>406</v>
      </c>
      <c r="J95" t="str">
        <f t="shared" si="11"/>
        <v>datatable[86] = new Array("87","81","Equipment (Instrument) Mountings","11","Widget.png");</v>
      </c>
    </row>
    <row r="96" spans="1:10">
      <c r="A96" s="36">
        <f t="shared" si="12"/>
        <v>88</v>
      </c>
      <c r="B96" s="36">
        <f t="shared" ref="B96:B97" si="16">A$89</f>
        <v>81</v>
      </c>
      <c r="C96" s="36">
        <v>11</v>
      </c>
      <c r="D96" s="37" t="s">
        <v>84</v>
      </c>
      <c r="E96" s="37"/>
      <c r="F96" s="37" t="s">
        <v>41</v>
      </c>
      <c r="G96" s="1" t="s">
        <v>406</v>
      </c>
      <c r="J96" t="str">
        <f t="shared" si="11"/>
        <v>datatable[87] = new Array("88","81","Ballast Mass","11","Widget.png");</v>
      </c>
    </row>
    <row r="97" spans="1:10">
      <c r="A97" s="36">
        <f t="shared" si="12"/>
        <v>89</v>
      </c>
      <c r="B97" s="36">
        <f t="shared" si="16"/>
        <v>81</v>
      </c>
      <c r="C97" s="36">
        <v>11</v>
      </c>
      <c r="D97" s="37" t="s">
        <v>85</v>
      </c>
      <c r="E97" s="37"/>
      <c r="F97" s="37" t="s">
        <v>41</v>
      </c>
      <c r="G97" s="1" t="s">
        <v>406</v>
      </c>
      <c r="J97" t="str">
        <f t="shared" si="11"/>
        <v>datatable[88] = new Array("89","81","Other Secondary Structures (Specify)","11","Widget.png");</v>
      </c>
    </row>
    <row r="98" spans="1:10">
      <c r="A98" s="36">
        <f t="shared" si="12"/>
        <v>90</v>
      </c>
      <c r="B98" s="36">
        <f>A$76</f>
        <v>68</v>
      </c>
      <c r="C98" s="36">
        <v>10</v>
      </c>
      <c r="D98" s="37" t="s">
        <v>86</v>
      </c>
      <c r="E98" s="37"/>
      <c r="F98" s="37" t="s">
        <v>40</v>
      </c>
      <c r="G98" s="1" t="s">
        <v>406</v>
      </c>
      <c r="J98" t="str">
        <f t="shared" si="11"/>
        <v>datatable[89] = new Array("90","68","Mechanisms and Pyrotechnics","10","Widget.png");</v>
      </c>
    </row>
    <row r="99" spans="1:10">
      <c r="A99" s="36">
        <f t="shared" si="12"/>
        <v>91</v>
      </c>
      <c r="B99" s="36">
        <f>A$93</f>
        <v>85</v>
      </c>
      <c r="C99" s="36">
        <v>11</v>
      </c>
      <c r="D99" s="37" t="s">
        <v>87</v>
      </c>
      <c r="E99" s="37"/>
      <c r="F99" s="37" t="s">
        <v>41</v>
      </c>
      <c r="G99" s="1" t="s">
        <v>406</v>
      </c>
      <c r="J99" t="str">
        <f t="shared" si="11"/>
        <v>datatable[90] = new Array("91","85","Positioning","11","Widget.png");</v>
      </c>
    </row>
    <row r="100" spans="1:10">
      <c r="A100" s="36">
        <f t="shared" si="12"/>
        <v>92</v>
      </c>
      <c r="B100" s="36">
        <f t="shared" ref="B100:B103" si="17">A$93</f>
        <v>85</v>
      </c>
      <c r="C100" s="36">
        <v>11</v>
      </c>
      <c r="D100" s="37" t="s">
        <v>88</v>
      </c>
      <c r="E100" s="37"/>
      <c r="F100" s="37" t="s">
        <v>41</v>
      </c>
      <c r="G100" s="1" t="s">
        <v>406</v>
      </c>
      <c r="J100" t="str">
        <f t="shared" si="11"/>
        <v>datatable[91] = new Array("92","85","Deployment and Storage Equipment","11","Widget.png");</v>
      </c>
    </row>
    <row r="101" spans="1:10">
      <c r="A101" s="36">
        <f t="shared" si="12"/>
        <v>93</v>
      </c>
      <c r="B101" s="36">
        <f t="shared" si="17"/>
        <v>85</v>
      </c>
      <c r="C101" s="36">
        <v>11</v>
      </c>
      <c r="D101" s="37" t="s">
        <v>89</v>
      </c>
      <c r="E101" s="37"/>
      <c r="F101" s="37" t="s">
        <v>41</v>
      </c>
      <c r="G101" s="1" t="s">
        <v>406</v>
      </c>
      <c r="J101" t="str">
        <f t="shared" si="11"/>
        <v>datatable[92] = new Array("93","85","Docking Mechanisms","11","Widget.png");</v>
      </c>
    </row>
    <row r="102" spans="1:10">
      <c r="A102" s="36">
        <f t="shared" si="12"/>
        <v>94</v>
      </c>
      <c r="B102" s="36">
        <f t="shared" si="17"/>
        <v>85</v>
      </c>
      <c r="C102" s="36">
        <v>11</v>
      </c>
      <c r="D102" s="37" t="s">
        <v>90</v>
      </c>
      <c r="E102" s="37"/>
      <c r="F102" s="37" t="s">
        <v>41</v>
      </c>
      <c r="G102" s="1" t="s">
        <v>406</v>
      </c>
      <c r="J102" t="str">
        <f t="shared" si="11"/>
        <v>datatable[93] = new Array("94","85","Other Mechanisms (Specify)","11","Widget.png");</v>
      </c>
    </row>
    <row r="103" spans="1:10">
      <c r="A103" s="36">
        <f t="shared" si="12"/>
        <v>95</v>
      </c>
      <c r="B103" s="36">
        <f t="shared" si="17"/>
        <v>85</v>
      </c>
      <c r="C103" s="36">
        <v>11</v>
      </c>
      <c r="D103" s="37" t="s">
        <v>91</v>
      </c>
      <c r="E103" s="37"/>
      <c r="F103" s="37" t="s">
        <v>41</v>
      </c>
      <c r="G103" s="1" t="s">
        <v>406</v>
      </c>
      <c r="J103" t="str">
        <f t="shared" si="11"/>
        <v>datatable[94] = new Array("95","85","Pyrotechnics","11","Widget.png");</v>
      </c>
    </row>
    <row r="104" spans="1:10">
      <c r="A104" s="36">
        <f t="shared" si="12"/>
        <v>96</v>
      </c>
      <c r="B104" s="36">
        <f>A$76</f>
        <v>68</v>
      </c>
      <c r="C104" s="36">
        <v>10</v>
      </c>
      <c r="D104" s="37" t="s">
        <v>92</v>
      </c>
      <c r="E104" s="37"/>
      <c r="F104" s="37" t="s">
        <v>40</v>
      </c>
      <c r="G104" s="1" t="s">
        <v>406</v>
      </c>
      <c r="J104" t="str">
        <f t="shared" si="11"/>
        <v>datatable[95] = new Array("96","68","SMS Other (Specify)","10","Widget.png");</v>
      </c>
    </row>
    <row r="105" spans="1:10">
      <c r="A105" s="36">
        <f t="shared" si="12"/>
        <v>97</v>
      </c>
      <c r="B105" s="36">
        <f>A$69</f>
        <v>61</v>
      </c>
      <c r="C105" s="36">
        <v>9</v>
      </c>
      <c r="D105" s="37" t="s">
        <v>93</v>
      </c>
      <c r="E105" s="37"/>
      <c r="F105" s="37" t="s">
        <v>39</v>
      </c>
      <c r="G105" s="1" t="s">
        <v>406</v>
      </c>
      <c r="J105" t="str">
        <f t="shared" si="11"/>
        <v>datatable[96] = new Array("97","61","Thermal Control Subsystem (TCS)","9","Widget.png");</v>
      </c>
    </row>
    <row r="106" spans="1:10">
      <c r="A106" s="36">
        <f t="shared" si="12"/>
        <v>98</v>
      </c>
      <c r="B106" s="36">
        <f>A$100</f>
        <v>92</v>
      </c>
      <c r="C106" s="36">
        <v>10</v>
      </c>
      <c r="D106" s="37" t="s">
        <v>409</v>
      </c>
      <c r="E106" s="37"/>
      <c r="F106" s="37" t="s">
        <v>40</v>
      </c>
      <c r="G106" s="1" t="s">
        <v>404</v>
      </c>
      <c r="J106" t="str">
        <f t="shared" si="11"/>
        <v>datatable[97] = new Array("98","92","Thermal Control Subsystem SEITPM","10","SEITPM.png");</v>
      </c>
    </row>
    <row r="107" spans="1:10">
      <c r="A107" s="36">
        <f t="shared" si="12"/>
        <v>99</v>
      </c>
      <c r="B107" s="36">
        <f>A$101</f>
        <v>93</v>
      </c>
      <c r="C107" s="36">
        <v>11</v>
      </c>
      <c r="D107" s="37" t="s">
        <v>68</v>
      </c>
      <c r="E107" s="37"/>
      <c r="F107" s="37" t="s">
        <v>41</v>
      </c>
      <c r="G107" s="1" t="s">
        <v>404</v>
      </c>
      <c r="J107" t="str">
        <f t="shared" si="11"/>
        <v>datatable[98] = new Array("99","93","Project Management","11","SEITPM.png");</v>
      </c>
    </row>
    <row r="108" spans="1:10">
      <c r="A108" s="36">
        <f t="shared" si="12"/>
        <v>100</v>
      </c>
      <c r="B108" s="36">
        <f t="shared" ref="B108:B111" si="18">A$101</f>
        <v>93</v>
      </c>
      <c r="C108" s="36">
        <v>11</v>
      </c>
      <c r="D108" s="37" t="s">
        <v>69</v>
      </c>
      <c r="E108" s="37"/>
      <c r="F108" s="37" t="s">
        <v>41</v>
      </c>
      <c r="G108" s="1" t="s">
        <v>404</v>
      </c>
      <c r="J108" t="str">
        <f t="shared" si="11"/>
        <v>datatable[99] = new Array("100","93","Systems Engineering","11","SEITPM.png");</v>
      </c>
    </row>
    <row r="109" spans="1:10">
      <c r="A109" s="36">
        <f t="shared" si="12"/>
        <v>101</v>
      </c>
      <c r="B109" s="36">
        <f t="shared" si="18"/>
        <v>93</v>
      </c>
      <c r="C109" s="36">
        <v>11</v>
      </c>
      <c r="D109" s="37" t="s">
        <v>70</v>
      </c>
      <c r="E109" s="37"/>
      <c r="F109" s="37" t="s">
        <v>41</v>
      </c>
      <c r="G109" s="1" t="s">
        <v>404</v>
      </c>
      <c r="J109" t="str">
        <f t="shared" si="11"/>
        <v>datatable[100] = new Array("101","93","Mission Assurance","11","SEITPM.png");</v>
      </c>
    </row>
    <row r="110" spans="1:10">
      <c r="A110" s="36">
        <f t="shared" si="12"/>
        <v>102</v>
      </c>
      <c r="B110" s="36">
        <f t="shared" si="18"/>
        <v>93</v>
      </c>
      <c r="C110" s="36">
        <v>11</v>
      </c>
      <c r="D110" s="37" t="s">
        <v>71</v>
      </c>
      <c r="E110" s="37"/>
      <c r="F110" s="37" t="s">
        <v>41</v>
      </c>
      <c r="G110" s="1" t="s">
        <v>404</v>
      </c>
      <c r="J110" t="str">
        <f t="shared" si="11"/>
        <v>datatable[101] = new Array("102","93","Assembly, Integration and Testing","11","SEITPM.png");</v>
      </c>
    </row>
    <row r="111" spans="1:10">
      <c r="A111" s="36">
        <f t="shared" si="12"/>
        <v>103</v>
      </c>
      <c r="B111" s="36">
        <f t="shared" si="18"/>
        <v>93</v>
      </c>
      <c r="C111" s="36">
        <v>11</v>
      </c>
      <c r="D111" s="37" t="s">
        <v>72</v>
      </c>
      <c r="E111" s="37"/>
      <c r="F111" s="37" t="s">
        <v>41</v>
      </c>
      <c r="G111" s="1" t="s">
        <v>404</v>
      </c>
      <c r="J111" t="str">
        <f t="shared" si="11"/>
        <v>datatable[102] = new Array("103","93","Support Equipment","11","SEITPM.png");</v>
      </c>
    </row>
    <row r="112" spans="1:10">
      <c r="A112" s="36">
        <f t="shared" si="12"/>
        <v>104</v>
      </c>
      <c r="B112" s="36">
        <f>A$100</f>
        <v>92</v>
      </c>
      <c r="C112" s="36">
        <v>10</v>
      </c>
      <c r="D112" s="37" t="s">
        <v>94</v>
      </c>
      <c r="E112" s="37"/>
      <c r="F112" s="37" t="s">
        <v>40</v>
      </c>
      <c r="G112" s="1" t="s">
        <v>406</v>
      </c>
      <c r="J112" t="str">
        <f t="shared" si="11"/>
        <v>datatable[103] = new Array("104","92","Active Devices","10","Widget.png");</v>
      </c>
    </row>
    <row r="113" spans="1:10">
      <c r="A113" s="36">
        <f t="shared" si="12"/>
        <v>105</v>
      </c>
      <c r="B113" s="36">
        <f>A$107</f>
        <v>99</v>
      </c>
      <c r="C113" s="36">
        <v>11</v>
      </c>
      <c r="D113" s="37" t="s">
        <v>95</v>
      </c>
      <c r="E113" s="37"/>
      <c r="F113" s="37" t="s">
        <v>41</v>
      </c>
      <c r="G113" s="1" t="s">
        <v>406</v>
      </c>
      <c r="J113" t="str">
        <f t="shared" si="11"/>
        <v>datatable[104] = new Array("105","99","Cryogenic Devices","11","Widget.png");</v>
      </c>
    </row>
    <row r="114" spans="1:10">
      <c r="A114" s="36">
        <f t="shared" si="12"/>
        <v>106</v>
      </c>
      <c r="B114" s="36">
        <f t="shared" ref="B114:B117" si="19">A$107</f>
        <v>99</v>
      </c>
      <c r="C114" s="36">
        <v>11</v>
      </c>
      <c r="D114" s="37" t="s">
        <v>96</v>
      </c>
      <c r="E114" s="37"/>
      <c r="F114" s="37" t="s">
        <v>41</v>
      </c>
      <c r="G114" s="1" t="s">
        <v>406</v>
      </c>
      <c r="J114" t="str">
        <f t="shared" si="11"/>
        <v>datatable[105] = new Array("106","99","Liquid Loops","11","Widget.png");</v>
      </c>
    </row>
    <row r="115" spans="1:10">
      <c r="A115" s="36">
        <f t="shared" si="12"/>
        <v>107</v>
      </c>
      <c r="B115" s="36">
        <f t="shared" si="19"/>
        <v>99</v>
      </c>
      <c r="C115" s="36">
        <v>11</v>
      </c>
      <c r="D115" s="37" t="s">
        <v>97</v>
      </c>
      <c r="E115" s="37"/>
      <c r="F115" s="37" t="s">
        <v>41</v>
      </c>
      <c r="G115" s="1" t="s">
        <v>406</v>
      </c>
      <c r="J115" t="str">
        <f t="shared" si="11"/>
        <v>datatable[106] = new Array("107","99","Electric Coolers","11","Widget.png");</v>
      </c>
    </row>
    <row r="116" spans="1:10">
      <c r="A116" s="36">
        <f t="shared" si="12"/>
        <v>108</v>
      </c>
      <c r="B116" s="36">
        <f t="shared" si="19"/>
        <v>99</v>
      </c>
      <c r="C116" s="36">
        <v>11</v>
      </c>
      <c r="D116" s="37" t="s">
        <v>98</v>
      </c>
      <c r="E116" s="37"/>
      <c r="F116" s="37" t="s">
        <v>41</v>
      </c>
      <c r="G116" s="1" t="s">
        <v>406</v>
      </c>
      <c r="J116" t="str">
        <f t="shared" si="11"/>
        <v>datatable[107] = new Array("108","99","Heaters, Thermistors, and Thermostats","11","Widget.png");</v>
      </c>
    </row>
    <row r="117" spans="1:10">
      <c r="A117" s="36">
        <f t="shared" si="12"/>
        <v>109</v>
      </c>
      <c r="B117" s="36">
        <f t="shared" si="19"/>
        <v>99</v>
      </c>
      <c r="C117" s="36">
        <v>11</v>
      </c>
      <c r="D117" s="37" t="s">
        <v>99</v>
      </c>
      <c r="E117" s="37"/>
      <c r="F117" s="37" t="s">
        <v>41</v>
      </c>
      <c r="G117" s="1" t="s">
        <v>406</v>
      </c>
      <c r="J117" t="str">
        <f t="shared" si="11"/>
        <v>datatable[108] = new Array("109","99","Other Active Devices (Specify)","11","Widget.png");</v>
      </c>
    </row>
    <row r="118" spans="1:10">
      <c r="A118" s="36">
        <f t="shared" si="12"/>
        <v>110</v>
      </c>
      <c r="B118" s="36">
        <f>A$100</f>
        <v>92</v>
      </c>
      <c r="C118" s="36">
        <v>10</v>
      </c>
      <c r="D118" s="37" t="s">
        <v>100</v>
      </c>
      <c r="E118" s="37"/>
      <c r="F118" s="37" t="s">
        <v>40</v>
      </c>
      <c r="G118" s="1" t="s">
        <v>406</v>
      </c>
      <c r="J118" t="str">
        <f t="shared" si="11"/>
        <v>datatable[109] = new Array("110","92","Passive Devices","10","Widget.png");</v>
      </c>
    </row>
    <row r="119" spans="1:10">
      <c r="A119" s="36">
        <f t="shared" si="12"/>
        <v>111</v>
      </c>
      <c r="B119" s="36">
        <f>A$113</f>
        <v>105</v>
      </c>
      <c r="C119" s="36">
        <v>11</v>
      </c>
      <c r="D119" s="37" t="s">
        <v>101</v>
      </c>
      <c r="E119" s="37"/>
      <c r="F119" s="37" t="s">
        <v>41</v>
      </c>
      <c r="G119" s="1" t="s">
        <v>406</v>
      </c>
      <c r="J119" t="str">
        <f t="shared" si="11"/>
        <v>datatable[110] = new Array("111","105","Radiator Panel/Fins","11","Widget.png");</v>
      </c>
    </row>
    <row r="120" spans="1:10">
      <c r="A120" s="36">
        <f t="shared" si="12"/>
        <v>112</v>
      </c>
      <c r="B120" s="36">
        <f t="shared" ref="B120:B128" si="20">A$113</f>
        <v>105</v>
      </c>
      <c r="C120" s="36">
        <v>11</v>
      </c>
      <c r="D120" s="37" t="s">
        <v>102</v>
      </c>
      <c r="E120" s="37"/>
      <c r="F120" s="37" t="s">
        <v>41</v>
      </c>
      <c r="G120" s="1" t="s">
        <v>406</v>
      </c>
      <c r="J120" t="str">
        <f t="shared" si="11"/>
        <v>datatable[111] = new Array("112","105","Coatings","11","Widget.png");</v>
      </c>
    </row>
    <row r="121" spans="1:10">
      <c r="A121" s="36">
        <f t="shared" si="12"/>
        <v>113</v>
      </c>
      <c r="B121" s="36">
        <f t="shared" si="20"/>
        <v>105</v>
      </c>
      <c r="C121" s="36">
        <v>11</v>
      </c>
      <c r="D121" s="37" t="s">
        <v>103</v>
      </c>
      <c r="E121" s="37"/>
      <c r="F121" s="37" t="s">
        <v>41</v>
      </c>
      <c r="G121" s="1" t="s">
        <v>406</v>
      </c>
      <c r="J121" t="str">
        <f t="shared" si="11"/>
        <v>datatable[112] = new Array("113","105","Heat Pipes","11","Widget.png");</v>
      </c>
    </row>
    <row r="122" spans="1:10">
      <c r="A122" s="36">
        <f t="shared" si="12"/>
        <v>114</v>
      </c>
      <c r="B122" s="36">
        <f t="shared" si="20"/>
        <v>105</v>
      </c>
      <c r="C122" s="36">
        <v>11</v>
      </c>
      <c r="D122" s="37" t="s">
        <v>104</v>
      </c>
      <c r="E122" s="37"/>
      <c r="F122" s="37" t="s">
        <v>41</v>
      </c>
      <c r="G122" s="1" t="s">
        <v>406</v>
      </c>
      <c r="J122" t="str">
        <f t="shared" si="11"/>
        <v>datatable[113] = new Array("114","105","Insulation","11","Widget.png");</v>
      </c>
    </row>
    <row r="123" spans="1:10">
      <c r="A123" s="36">
        <f t="shared" si="12"/>
        <v>115</v>
      </c>
      <c r="B123" s="36">
        <f t="shared" si="20"/>
        <v>105</v>
      </c>
      <c r="C123" s="36">
        <v>11</v>
      </c>
      <c r="D123" s="37" t="s">
        <v>105</v>
      </c>
      <c r="E123" s="37"/>
      <c r="F123" s="37" t="s">
        <v>41</v>
      </c>
      <c r="G123" s="1" t="s">
        <v>406</v>
      </c>
      <c r="J123" t="str">
        <f t="shared" si="11"/>
        <v>datatable[114] = new Array("115","105","Conductive Structures","11","Widget.png");</v>
      </c>
    </row>
    <row r="124" spans="1:10">
      <c r="A124" s="36">
        <f t="shared" si="12"/>
        <v>116</v>
      </c>
      <c r="B124" s="36">
        <f t="shared" si="20"/>
        <v>105</v>
      </c>
      <c r="C124" s="36">
        <v>11</v>
      </c>
      <c r="D124" s="37" t="s">
        <v>106</v>
      </c>
      <c r="E124" s="37"/>
      <c r="F124" s="37" t="s">
        <v>41</v>
      </c>
      <c r="G124" s="1" t="s">
        <v>406</v>
      </c>
      <c r="J124" t="str">
        <f t="shared" si="11"/>
        <v>datatable[115] = new Array("116","105","Heat Activated Structures","11","Widget.png");</v>
      </c>
    </row>
    <row r="125" spans="1:10">
      <c r="A125" s="36">
        <f t="shared" si="12"/>
        <v>117</v>
      </c>
      <c r="B125" s="36">
        <f t="shared" si="20"/>
        <v>105</v>
      </c>
      <c r="C125" s="36">
        <v>11</v>
      </c>
      <c r="D125" s="37" t="s">
        <v>107</v>
      </c>
      <c r="E125" s="37"/>
      <c r="F125" s="37" t="s">
        <v>41</v>
      </c>
      <c r="G125" s="1" t="s">
        <v>406</v>
      </c>
      <c r="J125" t="str">
        <f t="shared" si="11"/>
        <v>datatable[116] = new Array("117","105","Sun Shields","11","Widget.png");</v>
      </c>
    </row>
    <row r="126" spans="1:10">
      <c r="A126" s="36">
        <f t="shared" si="12"/>
        <v>118</v>
      </c>
      <c r="B126" s="36">
        <f t="shared" si="20"/>
        <v>105</v>
      </c>
      <c r="C126" s="36">
        <v>11</v>
      </c>
      <c r="D126" s="37" t="s">
        <v>108</v>
      </c>
      <c r="E126" s="37"/>
      <c r="F126" s="37" t="s">
        <v>41</v>
      </c>
      <c r="G126" s="1" t="s">
        <v>406</v>
      </c>
      <c r="J126" t="str">
        <f t="shared" si="11"/>
        <v>datatable[117] = new Array("118","105","Second Surface Mirrors","11","Widget.png");</v>
      </c>
    </row>
    <row r="127" spans="1:10">
      <c r="A127" s="36">
        <f t="shared" si="12"/>
        <v>119</v>
      </c>
      <c r="B127" s="36">
        <f t="shared" si="20"/>
        <v>105</v>
      </c>
      <c r="C127" s="36">
        <v>11</v>
      </c>
      <c r="D127" s="37" t="s">
        <v>109</v>
      </c>
      <c r="E127" s="37"/>
      <c r="F127" s="37" t="s">
        <v>41</v>
      </c>
      <c r="G127" s="1" t="s">
        <v>406</v>
      </c>
      <c r="J127" t="str">
        <f t="shared" si="11"/>
        <v>datatable[118] = new Array("119","105","Shutters and Louvers","11","Widget.png");</v>
      </c>
    </row>
    <row r="128" spans="1:10">
      <c r="A128" s="36">
        <f t="shared" si="12"/>
        <v>120</v>
      </c>
      <c r="B128" s="36">
        <f t="shared" si="20"/>
        <v>105</v>
      </c>
      <c r="C128" s="36">
        <v>11</v>
      </c>
      <c r="D128" s="37" t="s">
        <v>110</v>
      </c>
      <c r="E128" s="37"/>
      <c r="F128" s="37" t="s">
        <v>41</v>
      </c>
      <c r="G128" s="1" t="s">
        <v>406</v>
      </c>
      <c r="J128" t="str">
        <f t="shared" si="11"/>
        <v>datatable[119] = new Array("120","105","Other Passive Devices (Specify)","11","Widget.png");</v>
      </c>
    </row>
    <row r="129" spans="1:10">
      <c r="A129" s="36">
        <f t="shared" si="12"/>
        <v>121</v>
      </c>
      <c r="B129" s="36">
        <f>A$100</f>
        <v>92</v>
      </c>
      <c r="C129" s="36">
        <v>10</v>
      </c>
      <c r="D129" s="37" t="s">
        <v>111</v>
      </c>
      <c r="E129" s="37"/>
      <c r="F129" s="37" t="s">
        <v>40</v>
      </c>
      <c r="G129" s="1" t="s">
        <v>406</v>
      </c>
      <c r="J129" t="str">
        <f t="shared" si="11"/>
        <v>datatable[120] = new Array("121","92","TCS Other (Specify)","10","Widget.png");</v>
      </c>
    </row>
    <row r="130" spans="1:10">
      <c r="A130" s="36">
        <f t="shared" si="12"/>
        <v>122</v>
      </c>
      <c r="B130" s="36">
        <f>A$69</f>
        <v>61</v>
      </c>
      <c r="C130" s="36">
        <v>9</v>
      </c>
      <c r="D130" s="37" t="s">
        <v>112</v>
      </c>
      <c r="E130" s="37"/>
      <c r="F130" s="37" t="s">
        <v>39</v>
      </c>
      <c r="G130" s="1" t="s">
        <v>406</v>
      </c>
      <c r="J130" t="str">
        <f t="shared" si="11"/>
        <v>datatable[121] = new Array("122","61","Electric Power Subsystem (EPS)","9","Widget.png");</v>
      </c>
    </row>
    <row r="131" spans="1:10">
      <c r="A131" s="36">
        <f t="shared" si="12"/>
        <v>123</v>
      </c>
      <c r="B131" s="36">
        <f>A$125</f>
        <v>117</v>
      </c>
      <c r="C131" s="36">
        <v>10</v>
      </c>
      <c r="D131" s="37" t="s">
        <v>410</v>
      </c>
      <c r="E131" s="37"/>
      <c r="F131" s="37" t="s">
        <v>40</v>
      </c>
      <c r="G131" s="1" t="s">
        <v>404</v>
      </c>
      <c r="J131" t="str">
        <f t="shared" si="11"/>
        <v>datatable[122] = new Array("123","117","Electric Power Subsystem SEITPM","10","SEITPM.png");</v>
      </c>
    </row>
    <row r="132" spans="1:10">
      <c r="A132" s="36">
        <f t="shared" si="12"/>
        <v>124</v>
      </c>
      <c r="B132" s="36">
        <f>A$126</f>
        <v>118</v>
      </c>
      <c r="C132" s="36">
        <v>11</v>
      </c>
      <c r="D132" s="37" t="s">
        <v>68</v>
      </c>
      <c r="E132" s="37"/>
      <c r="F132" s="37" t="s">
        <v>41</v>
      </c>
      <c r="G132" s="1" t="s">
        <v>404</v>
      </c>
      <c r="J132" t="str">
        <f t="shared" si="11"/>
        <v>datatable[123] = new Array("124","118","Project Management","11","SEITPM.png");</v>
      </c>
    </row>
    <row r="133" spans="1:10">
      <c r="A133" s="36">
        <f t="shared" si="12"/>
        <v>125</v>
      </c>
      <c r="B133" s="36">
        <f t="shared" ref="B133:B136" si="21">A$126</f>
        <v>118</v>
      </c>
      <c r="C133" s="36">
        <v>11</v>
      </c>
      <c r="D133" s="37" t="s">
        <v>69</v>
      </c>
      <c r="E133" s="37"/>
      <c r="F133" s="37" t="s">
        <v>41</v>
      </c>
      <c r="G133" s="1" t="s">
        <v>404</v>
      </c>
      <c r="J133" t="str">
        <f t="shared" si="11"/>
        <v>datatable[124] = new Array("125","118","Systems Engineering","11","SEITPM.png");</v>
      </c>
    </row>
    <row r="134" spans="1:10">
      <c r="A134" s="36">
        <f t="shared" si="12"/>
        <v>126</v>
      </c>
      <c r="B134" s="36">
        <f t="shared" si="21"/>
        <v>118</v>
      </c>
      <c r="C134" s="36">
        <v>11</v>
      </c>
      <c r="D134" s="37" t="s">
        <v>70</v>
      </c>
      <c r="E134" s="37"/>
      <c r="F134" s="37" t="s">
        <v>41</v>
      </c>
      <c r="G134" s="1" t="s">
        <v>404</v>
      </c>
      <c r="J134" t="str">
        <f t="shared" si="11"/>
        <v>datatable[125] = new Array("126","118","Mission Assurance","11","SEITPM.png");</v>
      </c>
    </row>
    <row r="135" spans="1:10">
      <c r="A135" s="36">
        <f t="shared" si="12"/>
        <v>127</v>
      </c>
      <c r="B135" s="36">
        <f t="shared" si="21"/>
        <v>118</v>
      </c>
      <c r="C135" s="36">
        <v>11</v>
      </c>
      <c r="D135" s="37" t="s">
        <v>71</v>
      </c>
      <c r="E135" s="37"/>
      <c r="F135" s="37" t="s">
        <v>41</v>
      </c>
      <c r="G135" s="1" t="s">
        <v>404</v>
      </c>
      <c r="J135" t="str">
        <f t="shared" si="11"/>
        <v>datatable[126] = new Array("127","118","Assembly, Integration and Testing","11","SEITPM.png");</v>
      </c>
    </row>
    <row r="136" spans="1:10">
      <c r="A136" s="36">
        <f t="shared" si="12"/>
        <v>128</v>
      </c>
      <c r="B136" s="36">
        <f t="shared" si="21"/>
        <v>118</v>
      </c>
      <c r="C136" s="36">
        <v>11</v>
      </c>
      <c r="D136" s="37" t="s">
        <v>72</v>
      </c>
      <c r="E136" s="37"/>
      <c r="F136" s="37" t="s">
        <v>41</v>
      </c>
      <c r="G136" s="1" t="s">
        <v>404</v>
      </c>
      <c r="J136" t="str">
        <f t="shared" si="11"/>
        <v>datatable[127] = new Array("128","118","Support Equipment","11","SEITPM.png");</v>
      </c>
    </row>
    <row r="137" spans="1:10">
      <c r="A137" s="36">
        <f t="shared" si="12"/>
        <v>129</v>
      </c>
      <c r="B137" s="36">
        <f>A$125</f>
        <v>117</v>
      </c>
      <c r="C137" s="36">
        <v>10</v>
      </c>
      <c r="D137" s="37" t="s">
        <v>113</v>
      </c>
      <c r="E137" s="37"/>
      <c r="F137" s="37" t="s">
        <v>40</v>
      </c>
      <c r="G137" s="1" t="s">
        <v>406</v>
      </c>
      <c r="J137" t="str">
        <f t="shared" si="11"/>
        <v>datatable[128] = new Array("129","117","Electrical Power Generation","10","Widget.png");</v>
      </c>
    </row>
    <row r="138" spans="1:10">
      <c r="A138" s="36">
        <f t="shared" si="12"/>
        <v>130</v>
      </c>
      <c r="B138" s="36">
        <f>A$132</f>
        <v>124</v>
      </c>
      <c r="C138" s="36">
        <v>11</v>
      </c>
      <c r="D138" s="37" t="s">
        <v>114</v>
      </c>
      <c r="E138" s="37"/>
      <c r="F138" s="37" t="s">
        <v>41</v>
      </c>
      <c r="G138" s="1" t="s">
        <v>406</v>
      </c>
      <c r="J138" t="str">
        <f t="shared" si="11"/>
        <v>datatable[129] = new Array("130","124","Solar Array","11","Widget.png");</v>
      </c>
    </row>
    <row r="139" spans="1:10">
      <c r="A139" s="36">
        <f t="shared" si="12"/>
        <v>131</v>
      </c>
      <c r="B139" s="36">
        <f t="shared" ref="B139:B143" si="22">A$132</f>
        <v>124</v>
      </c>
      <c r="C139" s="36">
        <v>11</v>
      </c>
      <c r="D139" s="37" t="s">
        <v>115</v>
      </c>
      <c r="E139" s="37"/>
      <c r="F139" s="37" t="s">
        <v>41</v>
      </c>
      <c r="G139" s="1" t="s">
        <v>406</v>
      </c>
      <c r="J139" t="str">
        <f t="shared" ref="J139:J202" si="23">"datatable["&amp;A139-1&amp;"] = new Array(""" &amp; A139 &amp;""",""" &amp; B139 &amp;""",""" &amp; D139 &amp; """,""" &amp; C139&amp;""","""&amp;""&amp;G139&amp;""");"</f>
        <v>datatable[130] = new Array("131","124","Solar Array Positioner","11","Widget.png");</v>
      </c>
    </row>
    <row r="140" spans="1:10">
      <c r="A140" s="36">
        <f t="shared" ref="A140:A203" si="24">A139+1</f>
        <v>132</v>
      </c>
      <c r="B140" s="36">
        <f t="shared" si="22"/>
        <v>124</v>
      </c>
      <c r="C140" s="36">
        <v>11</v>
      </c>
      <c r="D140" s="37" t="s">
        <v>116</v>
      </c>
      <c r="E140" s="37"/>
      <c r="F140" s="37" t="s">
        <v>41</v>
      </c>
      <c r="G140" s="1" t="s">
        <v>406</v>
      </c>
      <c r="J140" t="str">
        <f t="shared" si="23"/>
        <v>datatable[131] = new Array("132","124","Radioisotope Thermionic Generator","11","Widget.png");</v>
      </c>
    </row>
    <row r="141" spans="1:10">
      <c r="A141" s="36">
        <f t="shared" si="24"/>
        <v>133</v>
      </c>
      <c r="B141" s="36">
        <f t="shared" si="22"/>
        <v>124</v>
      </c>
      <c r="C141" s="36">
        <v>11</v>
      </c>
      <c r="D141" s="37" t="s">
        <v>117</v>
      </c>
      <c r="E141" s="37"/>
      <c r="F141" s="37" t="s">
        <v>41</v>
      </c>
      <c r="G141" s="1" t="s">
        <v>406</v>
      </c>
      <c r="J141" t="str">
        <f t="shared" si="23"/>
        <v>datatable[132] = new Array("133","124","Chemical (Fuel Cells)","11","Widget.png");</v>
      </c>
    </row>
    <row r="142" spans="1:10">
      <c r="A142" s="36">
        <f t="shared" si="24"/>
        <v>134</v>
      </c>
      <c r="B142" s="36">
        <f t="shared" si="22"/>
        <v>124</v>
      </c>
      <c r="C142" s="36">
        <v>11</v>
      </c>
      <c r="D142" s="37" t="s">
        <v>118</v>
      </c>
      <c r="E142" s="37"/>
      <c r="F142" s="37" t="s">
        <v>41</v>
      </c>
      <c r="G142" s="1" t="s">
        <v>406</v>
      </c>
      <c r="J142" t="str">
        <f t="shared" si="23"/>
        <v>datatable[133] = new Array("134","124","Auxiliary Power Units","11","Widget.png");</v>
      </c>
    </row>
    <row r="143" spans="1:10">
      <c r="A143" s="36">
        <f t="shared" si="24"/>
        <v>135</v>
      </c>
      <c r="B143" s="36">
        <f t="shared" si="22"/>
        <v>124</v>
      </c>
      <c r="C143" s="36">
        <v>11</v>
      </c>
      <c r="D143" s="37" t="s">
        <v>119</v>
      </c>
      <c r="E143" s="37"/>
      <c r="F143" s="37" t="s">
        <v>41</v>
      </c>
      <c r="G143" s="1" t="s">
        <v>406</v>
      </c>
      <c r="J143" t="str">
        <f t="shared" si="23"/>
        <v>datatable[134] = new Array("135","124","Other Power Sources","11","Widget.png");</v>
      </c>
    </row>
    <row r="144" spans="1:10">
      <c r="A144" s="36">
        <f t="shared" si="24"/>
        <v>136</v>
      </c>
      <c r="B144" s="36">
        <f>A$125</f>
        <v>117</v>
      </c>
      <c r="C144" s="36">
        <v>10</v>
      </c>
      <c r="D144" s="37" t="s">
        <v>120</v>
      </c>
      <c r="E144" s="37"/>
      <c r="F144" s="37" t="s">
        <v>40</v>
      </c>
      <c r="G144" s="1" t="s">
        <v>406</v>
      </c>
      <c r="J144" t="str">
        <f t="shared" si="23"/>
        <v>datatable[135] = new Array("136","117","Electrical Power Conditioning","10","Widget.png");</v>
      </c>
    </row>
    <row r="145" spans="1:10">
      <c r="A145" s="36">
        <f t="shared" si="24"/>
        <v>137</v>
      </c>
      <c r="B145" s="36">
        <f>A$139</f>
        <v>131</v>
      </c>
      <c r="C145" s="36">
        <v>11</v>
      </c>
      <c r="D145" s="37" t="s">
        <v>121</v>
      </c>
      <c r="E145" s="37"/>
      <c r="F145" s="37" t="s">
        <v>41</v>
      </c>
      <c r="G145" s="1" t="s">
        <v>406</v>
      </c>
      <c r="J145" t="str">
        <f t="shared" si="23"/>
        <v>datatable[136] = new Array("137","131","Power Control Electronics","11","Widget.png");</v>
      </c>
    </row>
    <row r="146" spans="1:10">
      <c r="A146" s="36">
        <f t="shared" si="24"/>
        <v>138</v>
      </c>
      <c r="B146" s="36">
        <f t="shared" ref="B146:B151" si="25">A$139</f>
        <v>131</v>
      </c>
      <c r="C146" s="36">
        <v>11</v>
      </c>
      <c r="D146" s="37" t="s">
        <v>122</v>
      </c>
      <c r="E146" s="37"/>
      <c r="F146" s="37" t="s">
        <v>41</v>
      </c>
      <c r="G146" s="1" t="s">
        <v>406</v>
      </c>
      <c r="J146" t="str">
        <f t="shared" si="23"/>
        <v>datatable[137] = new Array("138","131","Power Conversion Electronics","11","Widget.png");</v>
      </c>
    </row>
    <row r="147" spans="1:10">
      <c r="A147" s="36">
        <f t="shared" si="24"/>
        <v>139</v>
      </c>
      <c r="B147" s="36">
        <f t="shared" si="25"/>
        <v>131</v>
      </c>
      <c r="C147" s="36">
        <v>11</v>
      </c>
      <c r="D147" s="37" t="s">
        <v>123</v>
      </c>
      <c r="E147" s="37"/>
      <c r="F147" s="37" t="s">
        <v>41</v>
      </c>
      <c r="G147" s="1" t="s">
        <v>406</v>
      </c>
      <c r="J147" t="str">
        <f t="shared" si="23"/>
        <v>datatable[138] = new Array("139","131","Power Dissipation Devices","11","Widget.png");</v>
      </c>
    </row>
    <row r="148" spans="1:10">
      <c r="A148" s="36">
        <f t="shared" si="24"/>
        <v>140</v>
      </c>
      <c r="B148" s="36">
        <f t="shared" si="25"/>
        <v>131</v>
      </c>
      <c r="C148" s="36">
        <v>11</v>
      </c>
      <c r="D148" s="37" t="s">
        <v>124</v>
      </c>
      <c r="E148" s="37"/>
      <c r="F148" s="37" t="s">
        <v>41</v>
      </c>
      <c r="G148" s="1" t="s">
        <v>406</v>
      </c>
      <c r="J148" t="str">
        <f t="shared" si="23"/>
        <v>datatable[139] = new Array("140","131","Power Distribution Electronics","11","Widget.png");</v>
      </c>
    </row>
    <row r="149" spans="1:10">
      <c r="A149" s="36">
        <f t="shared" si="24"/>
        <v>141</v>
      </c>
      <c r="B149" s="36">
        <f t="shared" si="25"/>
        <v>131</v>
      </c>
      <c r="C149" s="36">
        <v>11</v>
      </c>
      <c r="D149" s="37" t="s">
        <v>125</v>
      </c>
      <c r="E149" s="37"/>
      <c r="F149" s="37" t="s">
        <v>41</v>
      </c>
      <c r="G149" s="1" t="s">
        <v>406</v>
      </c>
      <c r="J149" t="str">
        <f t="shared" si="23"/>
        <v>datatable[140] = new Array("141","131","Power Switching Electronics","11","Widget.png");</v>
      </c>
    </row>
    <row r="150" spans="1:10">
      <c r="A150" s="36">
        <f t="shared" si="24"/>
        <v>142</v>
      </c>
      <c r="B150" s="36">
        <f t="shared" si="25"/>
        <v>131</v>
      </c>
      <c r="C150" s="36">
        <v>11</v>
      </c>
      <c r="D150" s="37" t="s">
        <v>126</v>
      </c>
      <c r="E150" s="37"/>
      <c r="F150" s="37" t="s">
        <v>41</v>
      </c>
      <c r="G150" s="1" t="s">
        <v>406</v>
      </c>
      <c r="J150" t="str">
        <f t="shared" si="23"/>
        <v>datatable[141] = new Array("142","131","Power Regulation Electronics","11","Widget.png");</v>
      </c>
    </row>
    <row r="151" spans="1:10">
      <c r="A151" s="36">
        <f t="shared" si="24"/>
        <v>143</v>
      </c>
      <c r="B151" s="36">
        <f t="shared" si="25"/>
        <v>131</v>
      </c>
      <c r="C151" s="36">
        <v>11</v>
      </c>
      <c r="D151" s="37" t="s">
        <v>127</v>
      </c>
      <c r="E151" s="37"/>
      <c r="F151" s="37" t="s">
        <v>41</v>
      </c>
      <c r="G151" s="1" t="s">
        <v>406</v>
      </c>
      <c r="J151" t="str">
        <f t="shared" si="23"/>
        <v>datatable[142] = new Array("143","131","Other Power Conditioning Devices (Specify)","11","Widget.png");</v>
      </c>
    </row>
    <row r="152" spans="1:10">
      <c r="A152" s="36">
        <f t="shared" si="24"/>
        <v>144</v>
      </c>
      <c r="B152" s="36">
        <f>A$125</f>
        <v>117</v>
      </c>
      <c r="C152" s="36">
        <v>10</v>
      </c>
      <c r="D152" s="37" t="s">
        <v>128</v>
      </c>
      <c r="E152" s="37"/>
      <c r="F152" s="37" t="s">
        <v>40</v>
      </c>
      <c r="G152" s="1" t="s">
        <v>406</v>
      </c>
      <c r="J152" t="str">
        <f t="shared" si="23"/>
        <v>datatable[143] = new Array("144","117","Electrical Power Storage","10","Widget.png");</v>
      </c>
    </row>
    <row r="153" spans="1:10">
      <c r="A153" s="36">
        <f t="shared" si="24"/>
        <v>145</v>
      </c>
      <c r="B153" s="36">
        <f>A$147</f>
        <v>139</v>
      </c>
      <c r="C153" s="36">
        <v>11</v>
      </c>
      <c r="D153" s="37" t="s">
        <v>129</v>
      </c>
      <c r="E153" s="37"/>
      <c r="F153" s="37" t="s">
        <v>41</v>
      </c>
      <c r="G153" s="1" t="s">
        <v>406</v>
      </c>
      <c r="J153" t="str">
        <f t="shared" si="23"/>
        <v>datatable[144] = new Array("145","139","Rechargeable Batteries","11","Widget.png");</v>
      </c>
    </row>
    <row r="154" spans="1:10">
      <c r="A154" s="36">
        <f t="shared" si="24"/>
        <v>146</v>
      </c>
      <c r="B154" s="36">
        <f t="shared" ref="B154:B155" si="26">A$147</f>
        <v>139</v>
      </c>
      <c r="C154" s="36">
        <v>11</v>
      </c>
      <c r="D154" s="37" t="s">
        <v>130</v>
      </c>
      <c r="E154" s="37"/>
      <c r="F154" s="37" t="s">
        <v>41</v>
      </c>
      <c r="G154" s="1" t="s">
        <v>406</v>
      </c>
      <c r="J154" t="str">
        <f t="shared" si="23"/>
        <v>datatable[145] = new Array("146","139","Charge Control Electronics","11","Widget.png");</v>
      </c>
    </row>
    <row r="155" spans="1:10">
      <c r="A155" s="36">
        <f t="shared" si="24"/>
        <v>147</v>
      </c>
      <c r="B155" s="36">
        <f t="shared" si="26"/>
        <v>139</v>
      </c>
      <c r="C155" s="36">
        <v>11</v>
      </c>
      <c r="D155" s="37" t="s">
        <v>131</v>
      </c>
      <c r="E155" s="37"/>
      <c r="F155" s="37" t="s">
        <v>41</v>
      </c>
      <c r="G155" s="1" t="s">
        <v>406</v>
      </c>
      <c r="J155" t="str">
        <f t="shared" si="23"/>
        <v>datatable[146] = new Array("147","139","Other Electrical Power Storage Devices (Specify)","11","Widget.png");</v>
      </c>
    </row>
    <row r="156" spans="1:10">
      <c r="A156" s="36">
        <f t="shared" si="24"/>
        <v>148</v>
      </c>
      <c r="B156" s="36">
        <f>A$125</f>
        <v>117</v>
      </c>
      <c r="C156" s="36">
        <v>10</v>
      </c>
      <c r="D156" s="37" t="s">
        <v>132</v>
      </c>
      <c r="E156" s="37"/>
      <c r="F156" s="37" t="s">
        <v>40</v>
      </c>
      <c r="G156" s="1" t="s">
        <v>406</v>
      </c>
      <c r="J156" t="str">
        <f t="shared" si="23"/>
        <v>datatable[147] = new Array("148","117","Harnesses and Cables","10","Widget.png");</v>
      </c>
    </row>
    <row r="157" spans="1:10">
      <c r="A157" s="36">
        <f t="shared" si="24"/>
        <v>149</v>
      </c>
      <c r="B157" s="36">
        <f>A$125</f>
        <v>117</v>
      </c>
      <c r="C157" s="36">
        <v>10</v>
      </c>
      <c r="D157" s="37" t="s">
        <v>133</v>
      </c>
      <c r="E157" s="37"/>
      <c r="F157" s="37" t="s">
        <v>40</v>
      </c>
      <c r="G157" s="1" t="s">
        <v>406</v>
      </c>
      <c r="J157" t="str">
        <f t="shared" si="23"/>
        <v>datatable[148] = new Array("149","117","EPS Other (Specify)","10","Widget.png");</v>
      </c>
    </row>
    <row r="158" spans="1:10">
      <c r="A158" s="36">
        <f t="shared" si="24"/>
        <v>150</v>
      </c>
      <c r="B158" s="36">
        <f>A$69</f>
        <v>61</v>
      </c>
      <c r="C158" s="36">
        <v>9</v>
      </c>
      <c r="D158" s="37" t="s">
        <v>134</v>
      </c>
      <c r="E158" s="37"/>
      <c r="F158" s="37" t="s">
        <v>39</v>
      </c>
      <c r="G158" s="1" t="s">
        <v>406</v>
      </c>
      <c r="J158" t="str">
        <f t="shared" si="23"/>
        <v>datatable[149] = new Array("150","61","Attitude Control Subsystem (ACS)","9","Widget.png");</v>
      </c>
    </row>
    <row r="159" spans="1:10">
      <c r="A159" s="36">
        <f t="shared" si="24"/>
        <v>151</v>
      </c>
      <c r="B159" s="36">
        <f>A$153</f>
        <v>145</v>
      </c>
      <c r="C159" s="36">
        <v>10</v>
      </c>
      <c r="D159" s="37" t="s">
        <v>411</v>
      </c>
      <c r="E159" s="37"/>
      <c r="F159" s="37" t="s">
        <v>40</v>
      </c>
      <c r="G159" s="1" t="s">
        <v>404</v>
      </c>
      <c r="J159" t="str">
        <f t="shared" si="23"/>
        <v>datatable[150] = new Array("151","145","Attitude Control Subsystem SEITPM","10","SEITPM.png");</v>
      </c>
    </row>
    <row r="160" spans="1:10">
      <c r="A160" s="36">
        <f t="shared" si="24"/>
        <v>152</v>
      </c>
      <c r="B160" s="36">
        <f>A$154</f>
        <v>146</v>
      </c>
      <c r="C160" s="36">
        <v>11</v>
      </c>
      <c r="D160" s="37" t="s">
        <v>68</v>
      </c>
      <c r="E160" s="37"/>
      <c r="F160" s="37" t="s">
        <v>41</v>
      </c>
      <c r="G160" s="1" t="s">
        <v>404</v>
      </c>
      <c r="J160" t="str">
        <f t="shared" si="23"/>
        <v>datatable[151] = new Array("152","146","Project Management","11","SEITPM.png");</v>
      </c>
    </row>
    <row r="161" spans="1:10">
      <c r="A161" s="36">
        <f t="shared" si="24"/>
        <v>153</v>
      </c>
      <c r="B161" s="36">
        <f t="shared" ref="B161:B164" si="27">A$154</f>
        <v>146</v>
      </c>
      <c r="C161" s="36">
        <v>11</v>
      </c>
      <c r="D161" s="37" t="s">
        <v>69</v>
      </c>
      <c r="E161" s="37"/>
      <c r="F161" s="37" t="s">
        <v>41</v>
      </c>
      <c r="G161" s="1" t="s">
        <v>404</v>
      </c>
      <c r="J161" t="str">
        <f t="shared" si="23"/>
        <v>datatable[152] = new Array("153","146","Systems Engineering","11","SEITPM.png");</v>
      </c>
    </row>
    <row r="162" spans="1:10">
      <c r="A162" s="36">
        <f t="shared" si="24"/>
        <v>154</v>
      </c>
      <c r="B162" s="36">
        <f t="shared" si="27"/>
        <v>146</v>
      </c>
      <c r="C162" s="36">
        <v>11</v>
      </c>
      <c r="D162" s="37" t="s">
        <v>70</v>
      </c>
      <c r="E162" s="37"/>
      <c r="F162" s="37" t="s">
        <v>41</v>
      </c>
      <c r="G162" s="1" t="s">
        <v>404</v>
      </c>
      <c r="J162" t="str">
        <f t="shared" si="23"/>
        <v>datatable[153] = new Array("154","146","Mission Assurance","11","SEITPM.png");</v>
      </c>
    </row>
    <row r="163" spans="1:10">
      <c r="A163" s="36">
        <f t="shared" si="24"/>
        <v>155</v>
      </c>
      <c r="B163" s="36">
        <f t="shared" si="27"/>
        <v>146</v>
      </c>
      <c r="C163" s="36">
        <v>11</v>
      </c>
      <c r="D163" s="37" t="s">
        <v>71</v>
      </c>
      <c r="E163" s="37"/>
      <c r="F163" s="37" t="s">
        <v>41</v>
      </c>
      <c r="G163" s="1" t="s">
        <v>404</v>
      </c>
      <c r="J163" t="str">
        <f t="shared" si="23"/>
        <v>datatable[154] = new Array("155","146","Assembly, Integration and Testing","11","SEITPM.png");</v>
      </c>
    </row>
    <row r="164" spans="1:10">
      <c r="A164" s="36">
        <f t="shared" si="24"/>
        <v>156</v>
      </c>
      <c r="B164" s="36">
        <f t="shared" si="27"/>
        <v>146</v>
      </c>
      <c r="C164" s="36">
        <v>11</v>
      </c>
      <c r="D164" s="37" t="s">
        <v>72</v>
      </c>
      <c r="E164" s="37"/>
      <c r="F164" s="37" t="s">
        <v>41</v>
      </c>
      <c r="G164" s="1" t="s">
        <v>404</v>
      </c>
      <c r="J164" t="str">
        <f t="shared" si="23"/>
        <v>datatable[155] = new Array("156","146","Support Equipment","11","SEITPM.png");</v>
      </c>
    </row>
    <row r="165" spans="1:10">
      <c r="A165" s="36">
        <f t="shared" si="24"/>
        <v>157</v>
      </c>
      <c r="B165" s="36">
        <f t="shared" ref="B165" si="28">A$153</f>
        <v>145</v>
      </c>
      <c r="C165" s="36">
        <v>10</v>
      </c>
      <c r="D165" s="37" t="s">
        <v>135</v>
      </c>
      <c r="E165" s="37"/>
      <c r="F165" s="37" t="s">
        <v>40</v>
      </c>
      <c r="G165" s="1" t="s">
        <v>406</v>
      </c>
      <c r="J165" t="str">
        <f t="shared" si="23"/>
        <v>datatable[156] = new Array("157","145","Attitude Determination","10","Widget.png");</v>
      </c>
    </row>
    <row r="166" spans="1:10">
      <c r="A166" s="36">
        <f t="shared" si="24"/>
        <v>158</v>
      </c>
      <c r="B166" s="36">
        <f>A$160</f>
        <v>152</v>
      </c>
      <c r="C166" s="36">
        <v>11</v>
      </c>
      <c r="D166" s="37" t="s">
        <v>136</v>
      </c>
      <c r="E166" s="37"/>
      <c r="F166" s="37" t="s">
        <v>41</v>
      </c>
      <c r="G166" s="1" t="s">
        <v>406</v>
      </c>
      <c r="J166" t="str">
        <f t="shared" si="23"/>
        <v>datatable[157] = new Array("158","152","Earth (Horizon) Sensors","11","Widget.png");</v>
      </c>
    </row>
    <row r="167" spans="1:10">
      <c r="A167" s="36">
        <f t="shared" si="24"/>
        <v>159</v>
      </c>
      <c r="B167" s="36">
        <f t="shared" ref="B167:B178" si="29">A$160</f>
        <v>152</v>
      </c>
      <c r="C167" s="36">
        <v>11</v>
      </c>
      <c r="D167" s="37" t="s">
        <v>137</v>
      </c>
      <c r="E167" s="37"/>
      <c r="F167" s="37" t="s">
        <v>41</v>
      </c>
      <c r="G167" s="1" t="s">
        <v>406</v>
      </c>
      <c r="J167" t="str">
        <f t="shared" si="23"/>
        <v>datatable[158] = new Array("159","152","Sun Sensors","11","Widget.png");</v>
      </c>
    </row>
    <row r="168" spans="1:10">
      <c r="A168" s="36">
        <f t="shared" si="24"/>
        <v>160</v>
      </c>
      <c r="B168" s="36">
        <f t="shared" si="29"/>
        <v>152</v>
      </c>
      <c r="C168" s="36">
        <v>11</v>
      </c>
      <c r="D168" s="37" t="s">
        <v>138</v>
      </c>
      <c r="E168" s="37"/>
      <c r="F168" s="37" t="s">
        <v>41</v>
      </c>
      <c r="G168" s="1" t="s">
        <v>406</v>
      </c>
      <c r="J168" t="str">
        <f t="shared" si="23"/>
        <v>datatable[159] = new Array("160","152","Star Tracker/Sensors","11","Widget.png");</v>
      </c>
    </row>
    <row r="169" spans="1:10">
      <c r="A169" s="36">
        <f t="shared" si="24"/>
        <v>161</v>
      </c>
      <c r="B169" s="36">
        <f t="shared" si="29"/>
        <v>152</v>
      </c>
      <c r="C169" s="36">
        <v>11</v>
      </c>
      <c r="D169" s="37" t="s">
        <v>139</v>
      </c>
      <c r="E169" s="37"/>
      <c r="F169" s="37" t="s">
        <v>41</v>
      </c>
      <c r="G169" s="1" t="s">
        <v>406</v>
      </c>
      <c r="J169" t="str">
        <f t="shared" si="23"/>
        <v>datatable[160] = new Array("161","152","Global Positioning System (GPS) Receiver","11","Widget.png");</v>
      </c>
    </row>
    <row r="170" spans="1:10">
      <c r="A170" s="36">
        <f t="shared" si="24"/>
        <v>162</v>
      </c>
      <c r="B170" s="36">
        <f t="shared" si="29"/>
        <v>152</v>
      </c>
      <c r="C170" s="36">
        <v>11</v>
      </c>
      <c r="D170" s="37" t="s">
        <v>140</v>
      </c>
      <c r="E170" s="37"/>
      <c r="F170" s="37" t="s">
        <v>41</v>
      </c>
      <c r="G170" s="1" t="s">
        <v>406</v>
      </c>
      <c r="J170" t="str">
        <f t="shared" si="23"/>
        <v>datatable[161] = new Array("162","152","Imagers","11","Widget.png");</v>
      </c>
    </row>
    <row r="171" spans="1:10">
      <c r="A171" s="36">
        <f t="shared" si="24"/>
        <v>163</v>
      </c>
      <c r="B171" s="36">
        <f t="shared" si="29"/>
        <v>152</v>
      </c>
      <c r="C171" s="36">
        <v>11</v>
      </c>
      <c r="D171" s="37" t="s">
        <v>141</v>
      </c>
      <c r="E171" s="37"/>
      <c r="F171" s="37" t="s">
        <v>41</v>
      </c>
      <c r="G171" s="1" t="s">
        <v>406</v>
      </c>
      <c r="J171" t="str">
        <f t="shared" si="23"/>
        <v>datatable[162] = new Array("163","152","Magnetometers","11","Widget.png");</v>
      </c>
    </row>
    <row r="172" spans="1:10">
      <c r="A172" s="36">
        <f t="shared" si="24"/>
        <v>164</v>
      </c>
      <c r="B172" s="36">
        <f t="shared" si="29"/>
        <v>152</v>
      </c>
      <c r="C172" s="36">
        <v>11</v>
      </c>
      <c r="D172" s="37" t="s">
        <v>142</v>
      </c>
      <c r="E172" s="37"/>
      <c r="F172" s="37" t="s">
        <v>41</v>
      </c>
      <c r="G172" s="1" t="s">
        <v>406</v>
      </c>
      <c r="J172" t="str">
        <f t="shared" si="23"/>
        <v>datatable[163] = new Array("164","152","Altimeters","11","Widget.png");</v>
      </c>
    </row>
    <row r="173" spans="1:10">
      <c r="A173" s="36">
        <f t="shared" si="24"/>
        <v>165</v>
      </c>
      <c r="B173" s="36">
        <f t="shared" si="29"/>
        <v>152</v>
      </c>
      <c r="C173" s="36">
        <v>11</v>
      </c>
      <c r="D173" s="37" t="s">
        <v>143</v>
      </c>
      <c r="E173" s="37"/>
      <c r="F173" s="37" t="s">
        <v>41</v>
      </c>
      <c r="G173" s="1" t="s">
        <v>406</v>
      </c>
      <c r="J173" t="str">
        <f t="shared" si="23"/>
        <v>datatable[164] = new Array("165","152","Inertial Reference Unit (IRU)/Inertial Measurement Unit (IMU)","11","Widget.png");</v>
      </c>
    </row>
    <row r="174" spans="1:10">
      <c r="A174" s="36">
        <f t="shared" si="24"/>
        <v>166</v>
      </c>
      <c r="B174" s="36">
        <f t="shared" si="29"/>
        <v>152</v>
      </c>
      <c r="C174" s="36">
        <v>11</v>
      </c>
      <c r="D174" s="37" t="s">
        <v>144</v>
      </c>
      <c r="E174" s="37"/>
      <c r="F174" s="37" t="s">
        <v>41</v>
      </c>
      <c r="G174" s="1" t="s">
        <v>406</v>
      </c>
      <c r="J174" t="str">
        <f t="shared" si="23"/>
        <v>datatable[165] = new Array("166","152","Radar","11","Widget.png");</v>
      </c>
    </row>
    <row r="175" spans="1:10">
      <c r="A175" s="36">
        <f t="shared" si="24"/>
        <v>167</v>
      </c>
      <c r="B175" s="36">
        <f t="shared" si="29"/>
        <v>152</v>
      </c>
      <c r="C175" s="36">
        <v>11</v>
      </c>
      <c r="D175" s="37" t="s">
        <v>145</v>
      </c>
      <c r="E175" s="37"/>
      <c r="F175" s="37" t="s">
        <v>41</v>
      </c>
      <c r="G175" s="1" t="s">
        <v>406</v>
      </c>
      <c r="J175" t="str">
        <f t="shared" si="23"/>
        <v>datatable[166] = new Array("167","152","Rate Gyros","11","Widget.png");</v>
      </c>
    </row>
    <row r="176" spans="1:10">
      <c r="A176" s="36">
        <f t="shared" si="24"/>
        <v>168</v>
      </c>
      <c r="B176" s="36">
        <f t="shared" si="29"/>
        <v>152</v>
      </c>
      <c r="C176" s="36">
        <v>11</v>
      </c>
      <c r="D176" s="37" t="s">
        <v>146</v>
      </c>
      <c r="E176" s="37"/>
      <c r="F176" s="37" t="s">
        <v>41</v>
      </c>
      <c r="G176" s="1" t="s">
        <v>406</v>
      </c>
      <c r="J176" t="str">
        <f t="shared" si="23"/>
        <v>datatable[167] = new Array("168","152","Accelerometers","11","Widget.png");</v>
      </c>
    </row>
    <row r="177" spans="1:10">
      <c r="A177" s="36">
        <f t="shared" si="24"/>
        <v>169</v>
      </c>
      <c r="B177" s="36">
        <f t="shared" si="29"/>
        <v>152</v>
      </c>
      <c r="C177" s="36">
        <v>11</v>
      </c>
      <c r="D177" s="37" t="s">
        <v>147</v>
      </c>
      <c r="E177" s="37"/>
      <c r="F177" s="37" t="s">
        <v>41</v>
      </c>
      <c r="G177" s="1" t="s">
        <v>406</v>
      </c>
      <c r="J177" t="str">
        <f t="shared" si="23"/>
        <v>datatable[168] = new Array("169","152","Bearing and Power Transfer Assembly","11","Widget.png");</v>
      </c>
    </row>
    <row r="178" spans="1:10">
      <c r="A178" s="36">
        <f t="shared" si="24"/>
        <v>170</v>
      </c>
      <c r="B178" s="36">
        <f t="shared" si="29"/>
        <v>152</v>
      </c>
      <c r="C178" s="36">
        <v>11</v>
      </c>
      <c r="D178" s="37" t="s">
        <v>148</v>
      </c>
      <c r="E178" s="37"/>
      <c r="F178" s="37" t="s">
        <v>41</v>
      </c>
      <c r="G178" s="1" t="s">
        <v>406</v>
      </c>
      <c r="J178" t="str">
        <f t="shared" si="23"/>
        <v>datatable[169] = new Array("170","152","Other Attitude Determination Devices (Specify)","11","Widget.png");</v>
      </c>
    </row>
    <row r="179" spans="1:10">
      <c r="A179" s="36">
        <f t="shared" si="24"/>
        <v>171</v>
      </c>
      <c r="B179" s="36">
        <f>A$153</f>
        <v>145</v>
      </c>
      <c r="C179" s="36">
        <v>10</v>
      </c>
      <c r="D179" s="37" t="s">
        <v>149</v>
      </c>
      <c r="E179" s="37"/>
      <c r="F179" s="37" t="s">
        <v>40</v>
      </c>
      <c r="G179" s="1" t="s">
        <v>406</v>
      </c>
      <c r="J179" t="str">
        <f t="shared" si="23"/>
        <v>datatable[170] = new Array("171","145","Attitude Control","10","Widget.png");</v>
      </c>
    </row>
    <row r="180" spans="1:10">
      <c r="A180" s="36">
        <f t="shared" si="24"/>
        <v>172</v>
      </c>
      <c r="B180" s="36">
        <f>A$174</f>
        <v>166</v>
      </c>
      <c r="C180" s="36">
        <v>11</v>
      </c>
      <c r="D180" s="37" t="s">
        <v>150</v>
      </c>
      <c r="E180" s="37"/>
      <c r="F180" s="37" t="s">
        <v>41</v>
      </c>
      <c r="G180" s="1" t="s">
        <v>406</v>
      </c>
      <c r="J180" t="str">
        <f t="shared" si="23"/>
        <v>datatable[171] = new Array("172","166","Reaction Wheel","11","Widget.png");</v>
      </c>
    </row>
    <row r="181" spans="1:10">
      <c r="A181" s="36">
        <f t="shared" si="24"/>
        <v>173</v>
      </c>
      <c r="B181" s="36">
        <f t="shared" ref="B181:B187" si="30">A$174</f>
        <v>166</v>
      </c>
      <c r="C181" s="36">
        <v>11</v>
      </c>
      <c r="D181" s="37" t="s">
        <v>151</v>
      </c>
      <c r="E181" s="37"/>
      <c r="F181" s="37" t="s">
        <v>41</v>
      </c>
      <c r="G181" s="1" t="s">
        <v>406</v>
      </c>
      <c r="J181" t="str">
        <f t="shared" si="23"/>
        <v>datatable[172] = new Array("173","166","Momentum Wheel","11","Widget.png");</v>
      </c>
    </row>
    <row r="182" spans="1:10">
      <c r="A182" s="36">
        <f t="shared" si="24"/>
        <v>174</v>
      </c>
      <c r="B182" s="36">
        <f t="shared" si="30"/>
        <v>166</v>
      </c>
      <c r="C182" s="36">
        <v>11</v>
      </c>
      <c r="D182" s="37" t="s">
        <v>152</v>
      </c>
      <c r="E182" s="37"/>
      <c r="F182" s="37" t="s">
        <v>41</v>
      </c>
      <c r="G182" s="1" t="s">
        <v>406</v>
      </c>
      <c r="J182" t="str">
        <f t="shared" si="23"/>
        <v>datatable[173] = new Array("174","166","Control Moment Gyro","11","Widget.png");</v>
      </c>
    </row>
    <row r="183" spans="1:10">
      <c r="A183" s="36">
        <f t="shared" si="24"/>
        <v>175</v>
      </c>
      <c r="B183" s="36">
        <f t="shared" si="30"/>
        <v>166</v>
      </c>
      <c r="C183" s="36">
        <v>11</v>
      </c>
      <c r="D183" s="37" t="s">
        <v>153</v>
      </c>
      <c r="E183" s="37"/>
      <c r="F183" s="37" t="s">
        <v>41</v>
      </c>
      <c r="G183" s="1" t="s">
        <v>406</v>
      </c>
      <c r="J183" t="str">
        <f t="shared" si="23"/>
        <v>datatable[174] = new Array("175","166","Other Energy Storage Devices","11","Widget.png");</v>
      </c>
    </row>
    <row r="184" spans="1:10">
      <c r="A184" s="36">
        <f t="shared" si="24"/>
        <v>176</v>
      </c>
      <c r="B184" s="36">
        <f t="shared" si="30"/>
        <v>166</v>
      </c>
      <c r="C184" s="36">
        <v>11</v>
      </c>
      <c r="D184" s="37" t="s">
        <v>154</v>
      </c>
      <c r="E184" s="37"/>
      <c r="F184" s="37" t="s">
        <v>41</v>
      </c>
      <c r="G184" s="1" t="s">
        <v>406</v>
      </c>
      <c r="J184" t="str">
        <f t="shared" si="23"/>
        <v>datatable[175] = new Array("176","166","Magnetic Control Devices","11","Widget.png");</v>
      </c>
    </row>
    <row r="185" spans="1:10">
      <c r="A185" s="36">
        <f t="shared" si="24"/>
        <v>177</v>
      </c>
      <c r="B185" s="36">
        <f t="shared" si="30"/>
        <v>166</v>
      </c>
      <c r="C185" s="36">
        <v>11</v>
      </c>
      <c r="D185" s="37" t="s">
        <v>155</v>
      </c>
      <c r="E185" s="37"/>
      <c r="F185" s="37" t="s">
        <v>41</v>
      </c>
      <c r="G185" s="1" t="s">
        <v>406</v>
      </c>
      <c r="J185" t="str">
        <f t="shared" si="23"/>
        <v>datatable[176] = new Array("177","166","Spin Control Devices","11","Widget.png");</v>
      </c>
    </row>
    <row r="186" spans="1:10">
      <c r="A186" s="36">
        <f t="shared" si="24"/>
        <v>178</v>
      </c>
      <c r="B186" s="36">
        <f t="shared" si="30"/>
        <v>166</v>
      </c>
      <c r="C186" s="36">
        <v>11</v>
      </c>
      <c r="D186" s="37" t="s">
        <v>156</v>
      </c>
      <c r="E186" s="37"/>
      <c r="F186" s="37" t="s">
        <v>41</v>
      </c>
      <c r="G186" s="1" t="s">
        <v>406</v>
      </c>
      <c r="J186" t="str">
        <f t="shared" si="23"/>
        <v>datatable[177] = new Array("178","166","Control Electronics","11","Widget.png");</v>
      </c>
    </row>
    <row r="187" spans="1:10">
      <c r="A187" s="36">
        <f t="shared" si="24"/>
        <v>179</v>
      </c>
      <c r="B187" s="36">
        <f t="shared" si="30"/>
        <v>166</v>
      </c>
      <c r="C187" s="36">
        <v>11</v>
      </c>
      <c r="D187" s="37" t="s">
        <v>157</v>
      </c>
      <c r="E187" s="37"/>
      <c r="F187" s="37" t="s">
        <v>41</v>
      </c>
      <c r="G187" s="1" t="s">
        <v>406</v>
      </c>
      <c r="J187" t="str">
        <f t="shared" si="23"/>
        <v>datatable[178] = new Array("179","166","Other Attitude Control Devices (Specify)","11","Widget.png");</v>
      </c>
    </row>
    <row r="188" spans="1:10">
      <c r="A188" s="36">
        <f t="shared" si="24"/>
        <v>180</v>
      </c>
      <c r="B188" s="36">
        <f>A$153</f>
        <v>145</v>
      </c>
      <c r="C188" s="36">
        <v>10</v>
      </c>
      <c r="D188" s="37" t="s">
        <v>158</v>
      </c>
      <c r="E188" s="37"/>
      <c r="F188" s="37" t="s">
        <v>40</v>
      </c>
      <c r="G188" s="1" t="s">
        <v>406</v>
      </c>
      <c r="J188" t="str">
        <f t="shared" si="23"/>
        <v>datatable[179] = new Array("180","145","ACS Other (Specify)","10","Widget.png");</v>
      </c>
    </row>
    <row r="189" spans="1:10">
      <c r="A189" s="36">
        <f t="shared" si="24"/>
        <v>181</v>
      </c>
      <c r="B189" s="36">
        <f>A$69</f>
        <v>61</v>
      </c>
      <c r="C189" s="36">
        <v>9</v>
      </c>
      <c r="D189" s="37" t="s">
        <v>159</v>
      </c>
      <c r="E189" s="37"/>
      <c r="F189" s="37" t="s">
        <v>39</v>
      </c>
      <c r="G189" s="1" t="s">
        <v>406</v>
      </c>
      <c r="J189" t="str">
        <f t="shared" si="23"/>
        <v>datatable[180] = new Array("181","61","Propulsion Subsystem","9","Widget.png");</v>
      </c>
    </row>
    <row r="190" spans="1:10">
      <c r="A190" s="36">
        <f t="shared" si="24"/>
        <v>182</v>
      </c>
      <c r="B190" s="36">
        <f>A$184</f>
        <v>176</v>
      </c>
      <c r="C190" s="36">
        <v>10</v>
      </c>
      <c r="D190" s="37" t="s">
        <v>412</v>
      </c>
      <c r="E190" s="37"/>
      <c r="F190" s="37" t="s">
        <v>40</v>
      </c>
      <c r="G190" s="1" t="s">
        <v>404</v>
      </c>
      <c r="J190" t="str">
        <f t="shared" si="23"/>
        <v>datatable[181] = new Array("182","176","Propulsion Subsystem SEITPM","10","SEITPM.png");</v>
      </c>
    </row>
    <row r="191" spans="1:10">
      <c r="A191" s="36">
        <f t="shared" si="24"/>
        <v>183</v>
      </c>
      <c r="B191" s="36">
        <f>A$185</f>
        <v>177</v>
      </c>
      <c r="C191" s="36">
        <v>11</v>
      </c>
      <c r="D191" s="37" t="s">
        <v>68</v>
      </c>
      <c r="E191" s="37"/>
      <c r="F191" s="37" t="s">
        <v>41</v>
      </c>
      <c r="G191" s="1" t="s">
        <v>404</v>
      </c>
      <c r="J191" t="str">
        <f t="shared" si="23"/>
        <v>datatable[182] = new Array("183","177","Project Management","11","SEITPM.png");</v>
      </c>
    </row>
    <row r="192" spans="1:10">
      <c r="A192" s="36">
        <f t="shared" si="24"/>
        <v>184</v>
      </c>
      <c r="B192" s="36">
        <f t="shared" ref="B192:B195" si="31">A$185</f>
        <v>177</v>
      </c>
      <c r="C192" s="36">
        <v>11</v>
      </c>
      <c r="D192" s="37" t="s">
        <v>69</v>
      </c>
      <c r="E192" s="37"/>
      <c r="F192" s="37" t="s">
        <v>41</v>
      </c>
      <c r="G192" s="1" t="s">
        <v>404</v>
      </c>
      <c r="J192" t="str">
        <f t="shared" si="23"/>
        <v>datatable[183] = new Array("184","177","Systems Engineering","11","SEITPM.png");</v>
      </c>
    </row>
    <row r="193" spans="1:10">
      <c r="A193" s="36">
        <f t="shared" si="24"/>
        <v>185</v>
      </c>
      <c r="B193" s="36">
        <f t="shared" si="31"/>
        <v>177</v>
      </c>
      <c r="C193" s="36">
        <v>11</v>
      </c>
      <c r="D193" s="37" t="s">
        <v>70</v>
      </c>
      <c r="E193" s="37"/>
      <c r="F193" s="37" t="s">
        <v>41</v>
      </c>
      <c r="G193" s="1" t="s">
        <v>404</v>
      </c>
      <c r="J193" t="str">
        <f t="shared" si="23"/>
        <v>datatable[184] = new Array("185","177","Mission Assurance","11","SEITPM.png");</v>
      </c>
    </row>
    <row r="194" spans="1:10">
      <c r="A194" s="36">
        <f t="shared" si="24"/>
        <v>186</v>
      </c>
      <c r="B194" s="36">
        <f t="shared" si="31"/>
        <v>177</v>
      </c>
      <c r="C194" s="36">
        <v>11</v>
      </c>
      <c r="D194" s="37" t="s">
        <v>71</v>
      </c>
      <c r="E194" s="37"/>
      <c r="F194" s="37" t="s">
        <v>41</v>
      </c>
      <c r="G194" s="1" t="s">
        <v>404</v>
      </c>
      <c r="J194" t="str">
        <f t="shared" si="23"/>
        <v>datatable[185] = new Array("186","177","Assembly, Integration and Testing","11","SEITPM.png");</v>
      </c>
    </row>
    <row r="195" spans="1:10">
      <c r="A195" s="36">
        <f t="shared" si="24"/>
        <v>187</v>
      </c>
      <c r="B195" s="36">
        <f t="shared" si="31"/>
        <v>177</v>
      </c>
      <c r="C195" s="36">
        <v>11</v>
      </c>
      <c r="D195" s="37" t="s">
        <v>72</v>
      </c>
      <c r="E195" s="37"/>
      <c r="F195" s="37" t="s">
        <v>41</v>
      </c>
      <c r="G195" s="1" t="s">
        <v>404</v>
      </c>
      <c r="J195" t="str">
        <f t="shared" si="23"/>
        <v>datatable[186] = new Array("187","177","Support Equipment","11","SEITPM.png");</v>
      </c>
    </row>
    <row r="196" spans="1:10">
      <c r="A196" s="36">
        <f t="shared" si="24"/>
        <v>188</v>
      </c>
      <c r="B196" s="36">
        <f>A$184</f>
        <v>176</v>
      </c>
      <c r="C196" s="36">
        <v>10</v>
      </c>
      <c r="D196" s="37" t="s">
        <v>160</v>
      </c>
      <c r="E196" s="37"/>
      <c r="F196" s="37" t="s">
        <v>40</v>
      </c>
      <c r="G196" s="1" t="s">
        <v>406</v>
      </c>
      <c r="J196" t="str">
        <f t="shared" si="23"/>
        <v>datatable[187] = new Array("188","176","Tanks","10","Widget.png");</v>
      </c>
    </row>
    <row r="197" spans="1:10">
      <c r="A197" s="36">
        <f t="shared" si="24"/>
        <v>189</v>
      </c>
      <c r="B197" s="36">
        <f>A$191</f>
        <v>183</v>
      </c>
      <c r="C197" s="36">
        <v>11</v>
      </c>
      <c r="D197" s="37" t="s">
        <v>161</v>
      </c>
      <c r="E197" s="37"/>
      <c r="F197" s="37" t="s">
        <v>41</v>
      </c>
      <c r="G197" s="1" t="s">
        <v>406</v>
      </c>
      <c r="J197" t="str">
        <f t="shared" si="23"/>
        <v>datatable[188] = new Array("189","183","Oxidizer Tanks","11","Widget.png");</v>
      </c>
    </row>
    <row r="198" spans="1:10">
      <c r="A198" s="36">
        <f t="shared" si="24"/>
        <v>190</v>
      </c>
      <c r="B198" s="36">
        <f t="shared" ref="B198:B202" si="32">A$191</f>
        <v>183</v>
      </c>
      <c r="C198" s="36">
        <v>11</v>
      </c>
      <c r="D198" s="37" t="s">
        <v>162</v>
      </c>
      <c r="E198" s="37"/>
      <c r="F198" s="37" t="s">
        <v>41</v>
      </c>
      <c r="G198" s="1" t="s">
        <v>406</v>
      </c>
      <c r="J198" t="str">
        <f t="shared" si="23"/>
        <v>datatable[189] = new Array("190","183","Fuel Tanks","11","Widget.png");</v>
      </c>
    </row>
    <row r="199" spans="1:10">
      <c r="A199" s="36">
        <f t="shared" si="24"/>
        <v>191</v>
      </c>
      <c r="B199" s="36">
        <f t="shared" si="32"/>
        <v>183</v>
      </c>
      <c r="C199" s="36">
        <v>11</v>
      </c>
      <c r="D199" s="37" t="s">
        <v>163</v>
      </c>
      <c r="E199" s="37"/>
      <c r="F199" s="37" t="s">
        <v>41</v>
      </c>
      <c r="G199" s="1" t="s">
        <v>406</v>
      </c>
      <c r="J199" t="str">
        <f t="shared" si="23"/>
        <v>datatable[190] = new Array("191","183","Propellant Tanks","11","Widget.png");</v>
      </c>
    </row>
    <row r="200" spans="1:10">
      <c r="A200" s="36">
        <f t="shared" si="24"/>
        <v>192</v>
      </c>
      <c r="B200" s="36">
        <f t="shared" si="32"/>
        <v>183</v>
      </c>
      <c r="C200" s="36">
        <v>11</v>
      </c>
      <c r="D200" s="37" t="s">
        <v>164</v>
      </c>
      <c r="E200" s="37"/>
      <c r="F200" s="37" t="s">
        <v>41</v>
      </c>
      <c r="G200" s="1" t="s">
        <v>406</v>
      </c>
      <c r="J200" t="str">
        <f t="shared" si="23"/>
        <v>datatable[191] = new Array("192","183","Pressurance Tanks","11","Widget.png");</v>
      </c>
    </row>
    <row r="201" spans="1:10">
      <c r="A201" s="36">
        <f t="shared" si="24"/>
        <v>193</v>
      </c>
      <c r="B201" s="36">
        <f t="shared" si="32"/>
        <v>183</v>
      </c>
      <c r="C201" s="36">
        <v>11</v>
      </c>
      <c r="D201" s="37" t="s">
        <v>165</v>
      </c>
      <c r="E201" s="37"/>
      <c r="F201" s="37" t="s">
        <v>41</v>
      </c>
      <c r="G201" s="1" t="s">
        <v>406</v>
      </c>
      <c r="J201" t="str">
        <f t="shared" si="23"/>
        <v>datatable[192] = new Array("193","183","Plumbing","11","Widget.png");</v>
      </c>
    </row>
    <row r="202" spans="1:10">
      <c r="A202" s="36">
        <f t="shared" si="24"/>
        <v>194</v>
      </c>
      <c r="B202" s="36">
        <f t="shared" si="32"/>
        <v>183</v>
      </c>
      <c r="C202" s="36">
        <v>11</v>
      </c>
      <c r="D202" s="37" t="s">
        <v>166</v>
      </c>
      <c r="E202" s="37"/>
      <c r="F202" s="37" t="s">
        <v>41</v>
      </c>
      <c r="G202" s="1" t="s">
        <v>406</v>
      </c>
      <c r="J202" t="str">
        <f t="shared" si="23"/>
        <v>datatable[193] = new Array("194","183","Other Tanks (Specify)","11","Widget.png");</v>
      </c>
    </row>
    <row r="203" spans="1:10">
      <c r="A203" s="36">
        <f t="shared" si="24"/>
        <v>195</v>
      </c>
      <c r="B203" s="36">
        <f>A$184</f>
        <v>176</v>
      </c>
      <c r="C203" s="36">
        <v>10</v>
      </c>
      <c r="D203" s="37" t="s">
        <v>167</v>
      </c>
      <c r="E203" s="37"/>
      <c r="F203" s="37" t="s">
        <v>40</v>
      </c>
      <c r="G203" s="1" t="s">
        <v>406</v>
      </c>
      <c r="J203" t="str">
        <f t="shared" ref="J203:J266" si="33">"datatable["&amp;A203-1&amp;"] = new Array(""" &amp; A203 &amp;""",""" &amp; B203 &amp;""",""" &amp; D203 &amp; """,""" &amp; C203&amp;""","""&amp;""&amp;G203&amp;""");"</f>
        <v>datatable[194] = new Array("195","176","Maneuvering Thrusters","10","Widget.png");</v>
      </c>
    </row>
    <row r="204" spans="1:10">
      <c r="A204" s="36">
        <f t="shared" ref="A204:A267" si="34">A203+1</f>
        <v>196</v>
      </c>
      <c r="B204" s="36">
        <f>A$198</f>
        <v>190</v>
      </c>
      <c r="C204" s="36">
        <v>11</v>
      </c>
      <c r="D204" s="37" t="s">
        <v>168</v>
      </c>
      <c r="E204" s="37"/>
      <c r="F204" s="37" t="s">
        <v>41</v>
      </c>
      <c r="G204" s="1" t="s">
        <v>406</v>
      </c>
      <c r="J204" t="str">
        <f t="shared" si="33"/>
        <v>datatable[195] = new Array("196","190","Bipropellant","11","Widget.png");</v>
      </c>
    </row>
    <row r="205" spans="1:10">
      <c r="A205" s="36">
        <f t="shared" si="34"/>
        <v>197</v>
      </c>
      <c r="B205" s="36">
        <f t="shared" ref="B205:B209" si="35">A$198</f>
        <v>190</v>
      </c>
      <c r="C205" s="36">
        <v>11</v>
      </c>
      <c r="D205" s="37" t="s">
        <v>169</v>
      </c>
      <c r="E205" s="37"/>
      <c r="F205" s="37" t="s">
        <v>41</v>
      </c>
      <c r="G205" s="1" t="s">
        <v>406</v>
      </c>
      <c r="J205" t="str">
        <f t="shared" si="33"/>
        <v>datatable[196] = new Array("197","190","Monopropellant","11","Widget.png");</v>
      </c>
    </row>
    <row r="206" spans="1:10">
      <c r="A206" s="36">
        <f t="shared" si="34"/>
        <v>198</v>
      </c>
      <c r="B206" s="36">
        <f t="shared" si="35"/>
        <v>190</v>
      </c>
      <c r="C206" s="36">
        <v>11</v>
      </c>
      <c r="D206" s="37" t="s">
        <v>170</v>
      </c>
      <c r="E206" s="37"/>
      <c r="F206" s="37" t="s">
        <v>41</v>
      </c>
      <c r="G206" s="1" t="s">
        <v>406</v>
      </c>
      <c r="J206" t="str">
        <f t="shared" si="33"/>
        <v>datatable[197] = new Array("198","190","Solar Electric","11","Widget.png");</v>
      </c>
    </row>
    <row r="207" spans="1:10">
      <c r="A207" s="36">
        <f t="shared" si="34"/>
        <v>199</v>
      </c>
      <c r="B207" s="36">
        <f t="shared" si="35"/>
        <v>190</v>
      </c>
      <c r="C207" s="36">
        <v>11</v>
      </c>
      <c r="D207" s="37" t="s">
        <v>171</v>
      </c>
      <c r="E207" s="37"/>
      <c r="F207" s="37" t="s">
        <v>41</v>
      </c>
      <c r="G207" s="1" t="s">
        <v>406</v>
      </c>
      <c r="J207" t="str">
        <f t="shared" si="33"/>
        <v>datatable[198] = new Array("199","190","Ion","11","Widget.png");</v>
      </c>
    </row>
    <row r="208" spans="1:10">
      <c r="A208" s="36">
        <f t="shared" si="34"/>
        <v>200</v>
      </c>
      <c r="B208" s="36">
        <f t="shared" si="35"/>
        <v>190</v>
      </c>
      <c r="C208" s="36">
        <v>11</v>
      </c>
      <c r="D208" s="37" t="s">
        <v>172</v>
      </c>
      <c r="E208" s="37"/>
      <c r="F208" s="37" t="s">
        <v>41</v>
      </c>
      <c r="G208" s="1" t="s">
        <v>406</v>
      </c>
      <c r="J208" t="str">
        <f t="shared" si="33"/>
        <v>datatable[199] = new Array("200","190","Cold Gas","11","Widget.png");</v>
      </c>
    </row>
    <row r="209" spans="1:10">
      <c r="A209" s="36">
        <f t="shared" si="34"/>
        <v>201</v>
      </c>
      <c r="B209" s="36">
        <f t="shared" si="35"/>
        <v>190</v>
      </c>
      <c r="C209" s="36">
        <v>11</v>
      </c>
      <c r="D209" s="37" t="s">
        <v>173</v>
      </c>
      <c r="E209" s="37"/>
      <c r="F209" s="37" t="s">
        <v>41</v>
      </c>
      <c r="G209" s="1" t="s">
        <v>406</v>
      </c>
      <c r="J209" t="str">
        <f t="shared" si="33"/>
        <v>datatable[200] = new Array("201","190","Other Maneuvering Thrusters (Specify)","11","Widget.png");</v>
      </c>
    </row>
    <row r="210" spans="1:10">
      <c r="A210" s="36">
        <f t="shared" si="34"/>
        <v>202</v>
      </c>
      <c r="B210" s="36">
        <f>A$184</f>
        <v>176</v>
      </c>
      <c r="C210" s="36">
        <v>10</v>
      </c>
      <c r="D210" s="37" t="s">
        <v>174</v>
      </c>
      <c r="E210" s="37"/>
      <c r="F210" s="37" t="s">
        <v>40</v>
      </c>
      <c r="G210" s="1" t="s">
        <v>406</v>
      </c>
      <c r="J210" t="str">
        <f t="shared" si="33"/>
        <v>datatable[201] = new Array("202","176","Translation Thrusters","10","Widget.png");</v>
      </c>
    </row>
    <row r="211" spans="1:10">
      <c r="A211" s="36">
        <f t="shared" si="34"/>
        <v>203</v>
      </c>
      <c r="B211" s="36">
        <f>A$205</f>
        <v>197</v>
      </c>
      <c r="C211" s="36">
        <v>11</v>
      </c>
      <c r="D211" s="37" t="s">
        <v>168</v>
      </c>
      <c r="E211" s="37"/>
      <c r="F211" s="37" t="s">
        <v>41</v>
      </c>
      <c r="G211" s="1" t="s">
        <v>406</v>
      </c>
      <c r="J211" t="str">
        <f t="shared" si="33"/>
        <v>datatable[202] = new Array("203","197","Bipropellant","11","Widget.png");</v>
      </c>
    </row>
    <row r="212" spans="1:10">
      <c r="A212" s="36">
        <f t="shared" si="34"/>
        <v>204</v>
      </c>
      <c r="B212" s="36">
        <f t="shared" ref="B212:B216" si="36">A$205</f>
        <v>197</v>
      </c>
      <c r="C212" s="36">
        <v>11</v>
      </c>
      <c r="D212" s="37" t="s">
        <v>169</v>
      </c>
      <c r="E212" s="37"/>
      <c r="F212" s="37" t="s">
        <v>41</v>
      </c>
      <c r="G212" s="1" t="s">
        <v>406</v>
      </c>
      <c r="J212" t="str">
        <f t="shared" si="33"/>
        <v>datatable[203] = new Array("204","197","Monopropellant","11","Widget.png");</v>
      </c>
    </row>
    <row r="213" spans="1:10">
      <c r="A213" s="36">
        <f t="shared" si="34"/>
        <v>205</v>
      </c>
      <c r="B213" s="36">
        <f t="shared" si="36"/>
        <v>197</v>
      </c>
      <c r="C213" s="36">
        <v>11</v>
      </c>
      <c r="D213" s="37" t="s">
        <v>170</v>
      </c>
      <c r="E213" s="37"/>
      <c r="F213" s="37" t="s">
        <v>41</v>
      </c>
      <c r="G213" s="1" t="s">
        <v>406</v>
      </c>
      <c r="J213" t="str">
        <f t="shared" si="33"/>
        <v>datatable[204] = new Array("205","197","Solar Electric","11","Widget.png");</v>
      </c>
    </row>
    <row r="214" spans="1:10">
      <c r="A214" s="36">
        <f t="shared" si="34"/>
        <v>206</v>
      </c>
      <c r="B214" s="36">
        <f t="shared" si="36"/>
        <v>197</v>
      </c>
      <c r="C214" s="36">
        <v>11</v>
      </c>
      <c r="D214" s="37" t="s">
        <v>171</v>
      </c>
      <c r="E214" s="37"/>
      <c r="F214" s="37" t="s">
        <v>41</v>
      </c>
      <c r="G214" s="1" t="s">
        <v>406</v>
      </c>
      <c r="J214" t="str">
        <f t="shared" si="33"/>
        <v>datatable[205] = new Array("206","197","Ion","11","Widget.png");</v>
      </c>
    </row>
    <row r="215" spans="1:10">
      <c r="A215" s="36">
        <f t="shared" si="34"/>
        <v>207</v>
      </c>
      <c r="B215" s="36">
        <f t="shared" si="36"/>
        <v>197</v>
      </c>
      <c r="C215" s="36">
        <v>11</v>
      </c>
      <c r="D215" s="37" t="s">
        <v>172</v>
      </c>
      <c r="E215" s="37"/>
      <c r="F215" s="37" t="s">
        <v>41</v>
      </c>
      <c r="G215" s="1" t="s">
        <v>406</v>
      </c>
      <c r="J215" t="str">
        <f t="shared" si="33"/>
        <v>datatable[206] = new Array("207","197","Cold Gas","11","Widget.png");</v>
      </c>
    </row>
    <row r="216" spans="1:10">
      <c r="A216" s="36">
        <f t="shared" si="34"/>
        <v>208</v>
      </c>
      <c r="B216" s="36">
        <f t="shared" si="36"/>
        <v>197</v>
      </c>
      <c r="C216" s="36">
        <v>11</v>
      </c>
      <c r="D216" s="37" t="s">
        <v>175</v>
      </c>
      <c r="E216" s="37"/>
      <c r="F216" s="37" t="s">
        <v>41</v>
      </c>
      <c r="G216" s="1" t="s">
        <v>406</v>
      </c>
      <c r="J216" t="str">
        <f t="shared" si="33"/>
        <v>datatable[207] = new Array("208","197","Other Translation Thrusters (Specify)","11","Widget.png");</v>
      </c>
    </row>
    <row r="217" spans="1:10">
      <c r="A217" s="36">
        <f t="shared" si="34"/>
        <v>209</v>
      </c>
      <c r="B217" s="36">
        <f>A$184</f>
        <v>176</v>
      </c>
      <c r="C217" s="36">
        <v>10</v>
      </c>
      <c r="D217" s="37" t="s">
        <v>176</v>
      </c>
      <c r="E217" s="37"/>
      <c r="F217" s="37" t="s">
        <v>40</v>
      </c>
      <c r="G217" s="1" t="s">
        <v>406</v>
      </c>
      <c r="J217" t="str">
        <f t="shared" si="33"/>
        <v>datatable[208] = new Array("209","176","Propellant","10","Widget.png");</v>
      </c>
    </row>
    <row r="218" spans="1:10">
      <c r="A218" s="36">
        <f t="shared" si="34"/>
        <v>210</v>
      </c>
      <c r="B218" s="36">
        <f>A$212</f>
        <v>204</v>
      </c>
      <c r="C218" s="36">
        <v>11</v>
      </c>
      <c r="D218" s="37" t="s">
        <v>177</v>
      </c>
      <c r="E218" s="37"/>
      <c r="F218" s="37" t="s">
        <v>41</v>
      </c>
      <c r="G218" s="1" t="s">
        <v>406</v>
      </c>
      <c r="J218" t="str">
        <f t="shared" si="33"/>
        <v>datatable[209] = new Array("210","204","Solid Propellant","11","Widget.png");</v>
      </c>
    </row>
    <row r="219" spans="1:10">
      <c r="A219" s="36">
        <f t="shared" si="34"/>
        <v>211</v>
      </c>
      <c r="B219" s="36">
        <f t="shared" ref="B219:B221" si="37">A$212</f>
        <v>204</v>
      </c>
      <c r="C219" s="36">
        <v>11</v>
      </c>
      <c r="D219" s="37" t="s">
        <v>178</v>
      </c>
      <c r="E219" s="37"/>
      <c r="F219" s="37" t="s">
        <v>41</v>
      </c>
      <c r="G219" s="1" t="s">
        <v>406</v>
      </c>
      <c r="J219" t="str">
        <f t="shared" si="33"/>
        <v>datatable[210] = new Array("211","204","Liquid Propellant","11","Widget.png");</v>
      </c>
    </row>
    <row r="220" spans="1:10">
      <c r="A220" s="36">
        <f t="shared" si="34"/>
        <v>212</v>
      </c>
      <c r="B220" s="36">
        <f t="shared" si="37"/>
        <v>204</v>
      </c>
      <c r="C220" s="36">
        <v>11</v>
      </c>
      <c r="D220" s="37" t="s">
        <v>179</v>
      </c>
      <c r="E220" s="37"/>
      <c r="F220" s="37" t="s">
        <v>41</v>
      </c>
      <c r="G220" s="1" t="s">
        <v>406</v>
      </c>
      <c r="J220" t="str">
        <f t="shared" si="33"/>
        <v>datatable[211] = new Array("212","204","Prussurant Propellant","11","Widget.png");</v>
      </c>
    </row>
    <row r="221" spans="1:10">
      <c r="A221" s="36">
        <f t="shared" si="34"/>
        <v>213</v>
      </c>
      <c r="B221" s="36">
        <f t="shared" si="37"/>
        <v>204</v>
      </c>
      <c r="C221" s="36">
        <v>11</v>
      </c>
      <c r="D221" s="37" t="s">
        <v>180</v>
      </c>
      <c r="E221" s="37"/>
      <c r="F221" s="37" t="s">
        <v>41</v>
      </c>
      <c r="G221" s="1" t="s">
        <v>406</v>
      </c>
      <c r="J221" t="str">
        <f t="shared" si="33"/>
        <v>datatable[212] = new Array("213","204","Other Propellant (Specify)","11","Widget.png");</v>
      </c>
    </row>
    <row r="222" spans="1:10">
      <c r="A222" s="36">
        <f t="shared" si="34"/>
        <v>214</v>
      </c>
      <c r="B222" s="36">
        <f>A$184</f>
        <v>176</v>
      </c>
      <c r="C222" s="36">
        <v>11</v>
      </c>
      <c r="D222" s="37" t="s">
        <v>181</v>
      </c>
      <c r="E222" s="37"/>
      <c r="F222" s="37" t="s">
        <v>41</v>
      </c>
      <c r="G222" s="1" t="s">
        <v>406</v>
      </c>
      <c r="J222" t="str">
        <f t="shared" si="33"/>
        <v>datatable[213] = new Array("214","176","Solid Rocket Motors","11","Widget.png");</v>
      </c>
    </row>
    <row r="223" spans="1:10">
      <c r="A223" s="36">
        <f t="shared" si="34"/>
        <v>215</v>
      </c>
      <c r="B223" s="36">
        <f>A$184</f>
        <v>176</v>
      </c>
      <c r="C223" s="36">
        <v>11</v>
      </c>
      <c r="D223" s="37" t="s">
        <v>182</v>
      </c>
      <c r="E223" s="37"/>
      <c r="F223" s="37" t="s">
        <v>41</v>
      </c>
      <c r="G223" s="1" t="s">
        <v>406</v>
      </c>
      <c r="J223" t="str">
        <f t="shared" si="33"/>
        <v>datatable[214] = new Array("215","176","Power Electronics","11","Widget.png");</v>
      </c>
    </row>
    <row r="224" spans="1:10">
      <c r="A224" s="36">
        <f t="shared" si="34"/>
        <v>216</v>
      </c>
      <c r="B224" s="36">
        <f>A$184</f>
        <v>176</v>
      </c>
      <c r="C224" s="36">
        <v>11</v>
      </c>
      <c r="D224" s="37" t="s">
        <v>183</v>
      </c>
      <c r="E224" s="37"/>
      <c r="F224" s="37" t="s">
        <v>41</v>
      </c>
      <c r="G224" s="1" t="s">
        <v>406</v>
      </c>
      <c r="J224" t="str">
        <f t="shared" si="33"/>
        <v>datatable[215] = new Array("216","176","Propulsion Other (Specify)","11","Widget.png");</v>
      </c>
    </row>
    <row r="225" spans="1:10">
      <c r="A225" s="36">
        <f t="shared" si="34"/>
        <v>217</v>
      </c>
      <c r="B225" s="36">
        <f>A$69</f>
        <v>61</v>
      </c>
      <c r="C225" s="36">
        <v>9</v>
      </c>
      <c r="D225" s="37" t="s">
        <v>184</v>
      </c>
      <c r="E225" s="37"/>
      <c r="F225" s="37" t="s">
        <v>39</v>
      </c>
      <c r="G225" s="1" t="s">
        <v>406</v>
      </c>
      <c r="J225" t="str">
        <f t="shared" si="33"/>
        <v>datatable[216] = new Array("217","61","Telemetry, Tracking, and Command Subsystem (TT&amp;C)","9","Widget.png");</v>
      </c>
    </row>
    <row r="226" spans="1:10">
      <c r="A226" s="36">
        <f t="shared" si="34"/>
        <v>218</v>
      </c>
      <c r="B226" s="36">
        <f>A$220</f>
        <v>212</v>
      </c>
      <c r="C226" s="36">
        <v>10</v>
      </c>
      <c r="D226" s="37" t="s">
        <v>413</v>
      </c>
      <c r="E226" s="37"/>
      <c r="F226" s="37" t="s">
        <v>40</v>
      </c>
      <c r="G226" s="1" t="s">
        <v>404</v>
      </c>
      <c r="J226" t="str">
        <f t="shared" si="33"/>
        <v>datatable[217] = new Array("218","212","TT&amp;C Subsystem SEITPM","10","SEITPM.png");</v>
      </c>
    </row>
    <row r="227" spans="1:10">
      <c r="A227" s="36">
        <f t="shared" si="34"/>
        <v>219</v>
      </c>
      <c r="B227" s="36">
        <f>A$221</f>
        <v>213</v>
      </c>
      <c r="C227" s="36">
        <v>11</v>
      </c>
      <c r="D227" s="37" t="s">
        <v>68</v>
      </c>
      <c r="E227" s="37"/>
      <c r="F227" s="37" t="s">
        <v>41</v>
      </c>
      <c r="G227" s="1" t="s">
        <v>404</v>
      </c>
      <c r="J227" t="str">
        <f t="shared" si="33"/>
        <v>datatable[218] = new Array("219","213","Project Management","11","SEITPM.png");</v>
      </c>
    </row>
    <row r="228" spans="1:10">
      <c r="A228" s="36">
        <f t="shared" si="34"/>
        <v>220</v>
      </c>
      <c r="B228" s="36">
        <f t="shared" ref="B228:B231" si="38">A$221</f>
        <v>213</v>
      </c>
      <c r="C228" s="36">
        <v>11</v>
      </c>
      <c r="D228" s="37" t="s">
        <v>69</v>
      </c>
      <c r="E228" s="37"/>
      <c r="F228" s="37" t="s">
        <v>41</v>
      </c>
      <c r="G228" s="1" t="s">
        <v>404</v>
      </c>
      <c r="J228" t="str">
        <f t="shared" si="33"/>
        <v>datatable[219] = new Array("220","213","Systems Engineering","11","SEITPM.png");</v>
      </c>
    </row>
    <row r="229" spans="1:10">
      <c r="A229" s="36">
        <f t="shared" si="34"/>
        <v>221</v>
      </c>
      <c r="B229" s="36">
        <f t="shared" si="38"/>
        <v>213</v>
      </c>
      <c r="C229" s="36">
        <v>11</v>
      </c>
      <c r="D229" s="37" t="s">
        <v>70</v>
      </c>
      <c r="E229" s="37"/>
      <c r="F229" s="37" t="s">
        <v>41</v>
      </c>
      <c r="G229" s="1" t="s">
        <v>404</v>
      </c>
      <c r="J229" t="str">
        <f t="shared" si="33"/>
        <v>datatable[220] = new Array("221","213","Mission Assurance","11","SEITPM.png");</v>
      </c>
    </row>
    <row r="230" spans="1:10">
      <c r="A230" s="36">
        <f t="shared" si="34"/>
        <v>222</v>
      </c>
      <c r="B230" s="36">
        <f t="shared" si="38"/>
        <v>213</v>
      </c>
      <c r="C230" s="36">
        <v>11</v>
      </c>
      <c r="D230" s="37" t="s">
        <v>71</v>
      </c>
      <c r="E230" s="37"/>
      <c r="F230" s="37" t="s">
        <v>41</v>
      </c>
      <c r="G230" s="1" t="s">
        <v>404</v>
      </c>
      <c r="J230" t="str">
        <f t="shared" si="33"/>
        <v>datatable[221] = new Array("222","213","Assembly, Integration and Testing","11","SEITPM.png");</v>
      </c>
    </row>
    <row r="231" spans="1:10">
      <c r="A231" s="36">
        <f t="shared" si="34"/>
        <v>223</v>
      </c>
      <c r="B231" s="36">
        <f t="shared" si="38"/>
        <v>213</v>
      </c>
      <c r="C231" s="36">
        <v>11</v>
      </c>
      <c r="D231" s="37" t="s">
        <v>72</v>
      </c>
      <c r="E231" s="37"/>
      <c r="F231" s="37" t="s">
        <v>41</v>
      </c>
      <c r="G231" s="1" t="s">
        <v>404</v>
      </c>
      <c r="J231" t="str">
        <f t="shared" si="33"/>
        <v>datatable[222] = new Array("223","213","Support Equipment","11","SEITPM.png");</v>
      </c>
    </row>
    <row r="232" spans="1:10">
      <c r="A232" s="36">
        <f t="shared" si="34"/>
        <v>224</v>
      </c>
      <c r="B232" s="36">
        <f>A$220</f>
        <v>212</v>
      </c>
      <c r="C232" s="36">
        <v>10</v>
      </c>
      <c r="D232" s="37" t="s">
        <v>185</v>
      </c>
      <c r="E232" s="37"/>
      <c r="F232" s="37" t="s">
        <v>40</v>
      </c>
      <c r="G232" s="1" t="s">
        <v>406</v>
      </c>
      <c r="J232" t="str">
        <f t="shared" si="33"/>
        <v>datatable[223] = new Array("224","212","Antennas","10","Widget.png");</v>
      </c>
    </row>
    <row r="233" spans="1:10">
      <c r="A233" s="36">
        <f t="shared" si="34"/>
        <v>225</v>
      </c>
      <c r="B233" s="36">
        <f>A$227</f>
        <v>219</v>
      </c>
      <c r="C233" s="36">
        <v>11</v>
      </c>
      <c r="D233" s="37" t="s">
        <v>186</v>
      </c>
      <c r="E233" s="37"/>
      <c r="F233" s="37" t="s">
        <v>41</v>
      </c>
      <c r="G233" s="1" t="s">
        <v>406</v>
      </c>
      <c r="J233" t="str">
        <f t="shared" si="33"/>
        <v>datatable[224] = new Array("225","219","Omnidirectional","11","Widget.png");</v>
      </c>
    </row>
    <row r="234" spans="1:10">
      <c r="A234" s="36">
        <f t="shared" si="34"/>
        <v>226</v>
      </c>
      <c r="B234" s="36">
        <f t="shared" ref="B234:B239" si="39">A$227</f>
        <v>219</v>
      </c>
      <c r="C234" s="36">
        <v>11</v>
      </c>
      <c r="D234" s="37" t="s">
        <v>187</v>
      </c>
      <c r="E234" s="37"/>
      <c r="F234" s="37" t="s">
        <v>41</v>
      </c>
      <c r="G234" s="1" t="s">
        <v>406</v>
      </c>
      <c r="J234" t="str">
        <f t="shared" si="33"/>
        <v>datatable[225] = new Array("226","219","Spiral","11","Widget.png");</v>
      </c>
    </row>
    <row r="235" spans="1:10">
      <c r="A235" s="36">
        <f t="shared" si="34"/>
        <v>227</v>
      </c>
      <c r="B235" s="36">
        <f t="shared" si="39"/>
        <v>219</v>
      </c>
      <c r="C235" s="36">
        <v>11</v>
      </c>
      <c r="D235" s="37" t="s">
        <v>188</v>
      </c>
      <c r="E235" s="37"/>
      <c r="F235" s="37" t="s">
        <v>41</v>
      </c>
      <c r="G235" s="1" t="s">
        <v>406</v>
      </c>
      <c r="J235" t="str">
        <f t="shared" si="33"/>
        <v>datatable[226] = new Array("227","219","Horn","11","Widget.png");</v>
      </c>
    </row>
    <row r="236" spans="1:10">
      <c r="A236" s="36">
        <f t="shared" si="34"/>
        <v>228</v>
      </c>
      <c r="B236" s="36">
        <f t="shared" si="39"/>
        <v>219</v>
      </c>
      <c r="C236" s="36">
        <v>11</v>
      </c>
      <c r="D236" s="37" t="s">
        <v>189</v>
      </c>
      <c r="E236" s="37"/>
      <c r="F236" s="37" t="s">
        <v>41</v>
      </c>
      <c r="G236" s="1" t="s">
        <v>406</v>
      </c>
      <c r="J236" t="str">
        <f t="shared" si="33"/>
        <v>datatable[227] = new Array("228","219","Patch","11","Widget.png");</v>
      </c>
    </row>
    <row r="237" spans="1:10">
      <c r="A237" s="36">
        <f t="shared" si="34"/>
        <v>229</v>
      </c>
      <c r="B237" s="36">
        <f t="shared" si="39"/>
        <v>219</v>
      </c>
      <c r="C237" s="36">
        <v>11</v>
      </c>
      <c r="D237" s="37" t="s">
        <v>190</v>
      </c>
      <c r="E237" s="37"/>
      <c r="F237" s="37" t="s">
        <v>41</v>
      </c>
      <c r="G237" s="1" t="s">
        <v>406</v>
      </c>
      <c r="J237" t="str">
        <f t="shared" si="33"/>
        <v>datatable[228] = new Array("229","219","Parabolic","11","Widget.png");</v>
      </c>
    </row>
    <row r="238" spans="1:10">
      <c r="A238" s="36">
        <f t="shared" si="34"/>
        <v>230</v>
      </c>
      <c r="B238" s="36">
        <f t="shared" si="39"/>
        <v>219</v>
      </c>
      <c r="C238" s="36">
        <v>11</v>
      </c>
      <c r="D238" s="37" t="s">
        <v>191</v>
      </c>
      <c r="E238" s="37"/>
      <c r="F238" s="37" t="s">
        <v>41</v>
      </c>
      <c r="G238" s="1" t="s">
        <v>406</v>
      </c>
      <c r="J238" t="str">
        <f t="shared" si="33"/>
        <v>datatable[229] = new Array("230","219","Phased Array","11","Widget.png");</v>
      </c>
    </row>
    <row r="239" spans="1:10">
      <c r="A239" s="36">
        <f t="shared" si="34"/>
        <v>231</v>
      </c>
      <c r="B239" s="36">
        <f t="shared" si="39"/>
        <v>219</v>
      </c>
      <c r="C239" s="36">
        <v>11</v>
      </c>
      <c r="D239" s="37" t="s">
        <v>192</v>
      </c>
      <c r="E239" s="37"/>
      <c r="F239" s="37" t="s">
        <v>41</v>
      </c>
      <c r="G239" s="1" t="s">
        <v>406</v>
      </c>
      <c r="J239" t="str">
        <f t="shared" si="33"/>
        <v>datatable[230] = new Array("231","219","Other Antennas (Specify)","11","Widget.png");</v>
      </c>
    </row>
    <row r="240" spans="1:10">
      <c r="A240" s="36">
        <f t="shared" si="34"/>
        <v>232</v>
      </c>
      <c r="B240" s="36">
        <f>A$220</f>
        <v>212</v>
      </c>
      <c r="C240" s="36">
        <v>10</v>
      </c>
      <c r="D240" s="37" t="s">
        <v>193</v>
      </c>
      <c r="E240" s="37"/>
      <c r="F240" s="37" t="s">
        <v>40</v>
      </c>
      <c r="G240" s="1" t="s">
        <v>406</v>
      </c>
      <c r="J240" t="str">
        <f t="shared" si="33"/>
        <v>datatable[231] = new Array("232","212","Waveguides/Routers","10","Widget.png");</v>
      </c>
    </row>
    <row r="241" spans="1:10">
      <c r="A241" s="36">
        <f t="shared" si="34"/>
        <v>233</v>
      </c>
      <c r="B241" s="36">
        <f>A$235</f>
        <v>227</v>
      </c>
      <c r="C241" s="36">
        <v>11</v>
      </c>
      <c r="D241" s="37" t="s">
        <v>194</v>
      </c>
      <c r="E241" s="37"/>
      <c r="F241" s="37" t="s">
        <v>41</v>
      </c>
      <c r="G241" s="1" t="s">
        <v>406</v>
      </c>
      <c r="J241" t="str">
        <f t="shared" si="33"/>
        <v>datatable[232] = new Array("233","227","Diplexers","11","Widget.png");</v>
      </c>
    </row>
    <row r="242" spans="1:10">
      <c r="A242" s="36">
        <f t="shared" si="34"/>
        <v>234</v>
      </c>
      <c r="B242" s="36">
        <f t="shared" ref="B242:B249" si="40">A$235</f>
        <v>227</v>
      </c>
      <c r="C242" s="36">
        <v>11</v>
      </c>
      <c r="D242" s="37" t="s">
        <v>195</v>
      </c>
      <c r="E242" s="37"/>
      <c r="F242" s="37" t="s">
        <v>41</v>
      </c>
      <c r="G242" s="1" t="s">
        <v>406</v>
      </c>
      <c r="J242" t="str">
        <f t="shared" si="33"/>
        <v>datatable[233] = new Array("234","227","Triplexers","11","Widget.png");</v>
      </c>
    </row>
    <row r="243" spans="1:10">
      <c r="A243" s="36">
        <f t="shared" si="34"/>
        <v>235</v>
      </c>
      <c r="B243" s="36">
        <f t="shared" si="40"/>
        <v>227</v>
      </c>
      <c r="C243" s="36">
        <v>11</v>
      </c>
      <c r="D243" s="37" t="s">
        <v>196</v>
      </c>
      <c r="E243" s="37"/>
      <c r="F243" s="37" t="s">
        <v>41</v>
      </c>
      <c r="G243" s="1" t="s">
        <v>406</v>
      </c>
      <c r="J243" t="str">
        <f t="shared" si="33"/>
        <v>datatable[234] = new Array("235","227","Multiplexers","11","Widget.png");</v>
      </c>
    </row>
    <row r="244" spans="1:10">
      <c r="A244" s="36">
        <f t="shared" si="34"/>
        <v>236</v>
      </c>
      <c r="B244" s="36">
        <f t="shared" si="40"/>
        <v>227</v>
      </c>
      <c r="C244" s="36">
        <v>11</v>
      </c>
      <c r="D244" s="37" t="s">
        <v>197</v>
      </c>
      <c r="E244" s="37"/>
      <c r="F244" s="37" t="s">
        <v>41</v>
      </c>
      <c r="G244" s="1" t="s">
        <v>406</v>
      </c>
      <c r="J244" t="str">
        <f t="shared" si="33"/>
        <v>datatable[235] = new Array("236","227","Multicouplers","11","Widget.png");</v>
      </c>
    </row>
    <row r="245" spans="1:10">
      <c r="A245" s="36">
        <f t="shared" si="34"/>
        <v>237</v>
      </c>
      <c r="B245" s="36">
        <f t="shared" si="40"/>
        <v>227</v>
      </c>
      <c r="C245" s="36">
        <v>11</v>
      </c>
      <c r="D245" s="37" t="s">
        <v>198</v>
      </c>
      <c r="E245" s="37"/>
      <c r="F245" s="37" t="s">
        <v>41</v>
      </c>
      <c r="G245" s="1" t="s">
        <v>406</v>
      </c>
      <c r="J245" t="str">
        <f t="shared" si="33"/>
        <v>datatable[236] = new Array("237","227","Coaxial Switches","11","Widget.png");</v>
      </c>
    </row>
    <row r="246" spans="1:10">
      <c r="A246" s="36">
        <f t="shared" si="34"/>
        <v>238</v>
      </c>
      <c r="B246" s="36">
        <f t="shared" si="40"/>
        <v>227</v>
      </c>
      <c r="C246" s="36">
        <v>11</v>
      </c>
      <c r="D246" s="37" t="s">
        <v>199</v>
      </c>
      <c r="E246" s="37"/>
      <c r="F246" s="37" t="s">
        <v>41</v>
      </c>
      <c r="G246" s="1" t="s">
        <v>406</v>
      </c>
      <c r="J246" t="str">
        <f t="shared" si="33"/>
        <v>datatable[237] = new Array("238","227","RF Switches","11","Widget.png");</v>
      </c>
    </row>
    <row r="247" spans="1:10">
      <c r="A247" s="36">
        <f t="shared" si="34"/>
        <v>239</v>
      </c>
      <c r="B247" s="36">
        <f t="shared" si="40"/>
        <v>227</v>
      </c>
      <c r="C247" s="36">
        <v>11</v>
      </c>
      <c r="D247" s="37" t="s">
        <v>200</v>
      </c>
      <c r="E247" s="37"/>
      <c r="F247" s="37" t="s">
        <v>41</v>
      </c>
      <c r="G247" s="1" t="s">
        <v>406</v>
      </c>
      <c r="J247" t="str">
        <f t="shared" si="33"/>
        <v>datatable[238] = new Array("239","227","Filters","11","Widget.png");</v>
      </c>
    </row>
    <row r="248" spans="1:10">
      <c r="A248" s="36">
        <f t="shared" si="34"/>
        <v>240</v>
      </c>
      <c r="B248" s="36">
        <f t="shared" si="40"/>
        <v>227</v>
      </c>
      <c r="C248" s="36">
        <v>11</v>
      </c>
      <c r="D248" s="37" t="s">
        <v>201</v>
      </c>
      <c r="E248" s="37"/>
      <c r="F248" s="37" t="s">
        <v>41</v>
      </c>
      <c r="G248" s="1" t="s">
        <v>406</v>
      </c>
      <c r="J248" t="str">
        <f t="shared" si="33"/>
        <v>datatable[239] = new Array("240","227","Waveguides","11","Widget.png");</v>
      </c>
    </row>
    <row r="249" spans="1:10">
      <c r="A249" s="36">
        <f t="shared" si="34"/>
        <v>241</v>
      </c>
      <c r="B249" s="36">
        <f t="shared" si="40"/>
        <v>227</v>
      </c>
      <c r="C249" s="36">
        <v>11</v>
      </c>
      <c r="D249" s="37" t="s">
        <v>202</v>
      </c>
      <c r="E249" s="37"/>
      <c r="F249" s="37" t="s">
        <v>41</v>
      </c>
      <c r="G249" s="1" t="s">
        <v>406</v>
      </c>
      <c r="J249" t="str">
        <f t="shared" si="33"/>
        <v>datatable[240] = new Array("241","227","Other Routers (Specify)","11","Widget.png");</v>
      </c>
    </row>
    <row r="250" spans="1:10">
      <c r="A250" s="36">
        <f t="shared" si="34"/>
        <v>242</v>
      </c>
      <c r="B250" s="36">
        <f>A$220</f>
        <v>212</v>
      </c>
      <c r="C250" s="36">
        <v>10</v>
      </c>
      <c r="D250" s="37" t="s">
        <v>203</v>
      </c>
      <c r="E250" s="37"/>
      <c r="F250" s="37" t="s">
        <v>40</v>
      </c>
      <c r="G250" s="1" t="s">
        <v>406</v>
      </c>
      <c r="J250" t="str">
        <f t="shared" si="33"/>
        <v>datatable[241] = new Array("242","212","Radio Frequency Equipment","10","Widget.png");</v>
      </c>
    </row>
    <row r="251" spans="1:10">
      <c r="A251" s="36">
        <f t="shared" si="34"/>
        <v>243</v>
      </c>
      <c r="B251" s="36">
        <f>A$245</f>
        <v>237</v>
      </c>
      <c r="C251" s="36">
        <v>11</v>
      </c>
      <c r="D251" s="37" t="s">
        <v>204</v>
      </c>
      <c r="E251" s="37"/>
      <c r="F251" s="37" t="s">
        <v>41</v>
      </c>
      <c r="G251" s="1" t="s">
        <v>406</v>
      </c>
      <c r="J251" t="str">
        <f t="shared" si="33"/>
        <v>datatable[242] = new Array("243","237","Amplifiers","11","Widget.png");</v>
      </c>
    </row>
    <row r="252" spans="1:10">
      <c r="A252" s="36">
        <f t="shared" si="34"/>
        <v>244</v>
      </c>
      <c r="B252" s="36">
        <f t="shared" ref="B252:B264" si="41">A$245</f>
        <v>237</v>
      </c>
      <c r="C252" s="36">
        <v>11</v>
      </c>
      <c r="D252" s="37" t="s">
        <v>205</v>
      </c>
      <c r="E252" s="37"/>
      <c r="F252" s="37" t="s">
        <v>41</v>
      </c>
      <c r="G252" s="1" t="s">
        <v>406</v>
      </c>
      <c r="J252" t="str">
        <f t="shared" si="33"/>
        <v>datatable[243] = new Array("244","237","Receivers","11","Widget.png");</v>
      </c>
    </row>
    <row r="253" spans="1:10">
      <c r="A253" s="36">
        <f t="shared" si="34"/>
        <v>245</v>
      </c>
      <c r="B253" s="36">
        <f t="shared" si="41"/>
        <v>237</v>
      </c>
      <c r="C253" s="36">
        <v>11</v>
      </c>
      <c r="D253" s="37" t="s">
        <v>206</v>
      </c>
      <c r="E253" s="37"/>
      <c r="F253" s="37" t="s">
        <v>41</v>
      </c>
      <c r="G253" s="1" t="s">
        <v>406</v>
      </c>
      <c r="J253" t="str">
        <f t="shared" si="33"/>
        <v>datatable[244] = new Array("245","237","Transmitters","11","Widget.png");</v>
      </c>
    </row>
    <row r="254" spans="1:10">
      <c r="A254" s="36">
        <f t="shared" si="34"/>
        <v>246</v>
      </c>
      <c r="B254" s="36">
        <f t="shared" si="41"/>
        <v>237</v>
      </c>
      <c r="C254" s="36">
        <v>11</v>
      </c>
      <c r="D254" s="37" t="s">
        <v>207</v>
      </c>
      <c r="E254" s="37"/>
      <c r="F254" s="37" t="s">
        <v>41</v>
      </c>
      <c r="G254" s="1" t="s">
        <v>406</v>
      </c>
      <c r="J254" t="str">
        <f t="shared" si="33"/>
        <v>datatable[245] = new Array("246","237","Transceivers","11","Widget.png");</v>
      </c>
    </row>
    <row r="255" spans="1:10">
      <c r="A255" s="36">
        <f t="shared" si="34"/>
        <v>247</v>
      </c>
      <c r="B255" s="36">
        <f t="shared" si="41"/>
        <v>237</v>
      </c>
      <c r="C255" s="36">
        <v>11</v>
      </c>
      <c r="D255" s="37" t="s">
        <v>208</v>
      </c>
      <c r="E255" s="37"/>
      <c r="F255" s="37" t="s">
        <v>41</v>
      </c>
      <c r="G255" s="1" t="s">
        <v>406</v>
      </c>
      <c r="J255" t="str">
        <f t="shared" si="33"/>
        <v>datatable[246] = new Array("247","237","Transponders","11","Widget.png");</v>
      </c>
    </row>
    <row r="256" spans="1:10">
      <c r="A256" s="36">
        <f t="shared" si="34"/>
        <v>248</v>
      </c>
      <c r="B256" s="36">
        <f t="shared" si="41"/>
        <v>237</v>
      </c>
      <c r="C256" s="36">
        <v>11</v>
      </c>
      <c r="D256" s="37" t="s">
        <v>209</v>
      </c>
      <c r="E256" s="37"/>
      <c r="F256" s="37" t="s">
        <v>41</v>
      </c>
      <c r="G256" s="1" t="s">
        <v>406</v>
      </c>
      <c r="J256" t="str">
        <f t="shared" si="33"/>
        <v>datatable[247] = new Array("248","237","Modulators","11","Widget.png");</v>
      </c>
    </row>
    <row r="257" spans="1:10">
      <c r="A257" s="36">
        <f t="shared" si="34"/>
        <v>249</v>
      </c>
      <c r="B257" s="36">
        <f t="shared" si="41"/>
        <v>237</v>
      </c>
      <c r="C257" s="36">
        <v>11</v>
      </c>
      <c r="D257" s="37" t="s">
        <v>210</v>
      </c>
      <c r="E257" s="37"/>
      <c r="F257" s="37" t="s">
        <v>41</v>
      </c>
      <c r="G257" s="1" t="s">
        <v>406</v>
      </c>
      <c r="J257" t="str">
        <f t="shared" si="33"/>
        <v>datatable[248] = new Array("249","237","Demodulators","11","Widget.png");</v>
      </c>
    </row>
    <row r="258" spans="1:10">
      <c r="A258" s="36">
        <f t="shared" si="34"/>
        <v>250</v>
      </c>
      <c r="B258" s="36">
        <f t="shared" si="41"/>
        <v>237</v>
      </c>
      <c r="C258" s="36">
        <v>11</v>
      </c>
      <c r="D258" s="37" t="s">
        <v>211</v>
      </c>
      <c r="E258" s="37"/>
      <c r="F258" s="37" t="s">
        <v>41</v>
      </c>
      <c r="G258" s="1" t="s">
        <v>406</v>
      </c>
      <c r="J258" t="str">
        <f t="shared" si="33"/>
        <v>datatable[249] = new Array("250","237","Modems","11","Widget.png");</v>
      </c>
    </row>
    <row r="259" spans="1:10">
      <c r="A259" s="36">
        <f t="shared" si="34"/>
        <v>251</v>
      </c>
      <c r="B259" s="36">
        <f t="shared" si="41"/>
        <v>237</v>
      </c>
      <c r="C259" s="36">
        <v>11</v>
      </c>
      <c r="D259" s="37" t="s">
        <v>212</v>
      </c>
      <c r="E259" s="37"/>
      <c r="F259" s="37" t="s">
        <v>41</v>
      </c>
      <c r="G259" s="1" t="s">
        <v>406</v>
      </c>
      <c r="J259" t="str">
        <f t="shared" si="33"/>
        <v>datatable[250] = new Array("251","237","Traveling Wave Tube Assemblies","11","Widget.png");</v>
      </c>
    </row>
    <row r="260" spans="1:10">
      <c r="A260" s="36">
        <f t="shared" si="34"/>
        <v>252</v>
      </c>
      <c r="B260" s="36">
        <f t="shared" si="41"/>
        <v>237</v>
      </c>
      <c r="C260" s="36">
        <v>11</v>
      </c>
      <c r="D260" s="37" t="s">
        <v>213</v>
      </c>
      <c r="E260" s="37"/>
      <c r="F260" s="37" t="s">
        <v>41</v>
      </c>
      <c r="G260" s="1" t="s">
        <v>406</v>
      </c>
      <c r="J260" t="str">
        <f t="shared" si="33"/>
        <v>datatable[251] = new Array("252","237","Solid State Power Amplifiers","11","Widget.png");</v>
      </c>
    </row>
    <row r="261" spans="1:10">
      <c r="A261" s="36">
        <f t="shared" si="34"/>
        <v>253</v>
      </c>
      <c r="B261" s="36">
        <f t="shared" si="41"/>
        <v>237</v>
      </c>
      <c r="C261" s="36">
        <v>11</v>
      </c>
      <c r="D261" s="37" t="s">
        <v>139</v>
      </c>
      <c r="E261" s="37"/>
      <c r="F261" s="37" t="s">
        <v>41</v>
      </c>
      <c r="G261" s="1" t="s">
        <v>406</v>
      </c>
      <c r="J261" t="str">
        <f t="shared" si="33"/>
        <v>datatable[252] = new Array("253","237","Global Positioning System (GPS) Receiver","11","Widget.png");</v>
      </c>
    </row>
    <row r="262" spans="1:10">
      <c r="A262" s="36">
        <f t="shared" si="34"/>
        <v>254</v>
      </c>
      <c r="B262" s="36">
        <f t="shared" si="41"/>
        <v>237</v>
      </c>
      <c r="C262" s="36">
        <v>11</v>
      </c>
      <c r="D262" s="37" t="s">
        <v>214</v>
      </c>
      <c r="E262" s="37"/>
      <c r="F262" s="37" t="s">
        <v>41</v>
      </c>
      <c r="G262" s="1" t="s">
        <v>406</v>
      </c>
      <c r="J262" t="str">
        <f t="shared" si="33"/>
        <v>datatable[253] = new Array("254","237","Downconverters","11","Widget.png");</v>
      </c>
    </row>
    <row r="263" spans="1:10">
      <c r="A263" s="36">
        <f t="shared" si="34"/>
        <v>255</v>
      </c>
      <c r="B263" s="36">
        <f t="shared" si="41"/>
        <v>237</v>
      </c>
      <c r="C263" s="36">
        <v>11</v>
      </c>
      <c r="D263" s="37" t="s">
        <v>215</v>
      </c>
      <c r="E263" s="37"/>
      <c r="F263" s="37" t="s">
        <v>41</v>
      </c>
      <c r="G263" s="1" t="s">
        <v>406</v>
      </c>
      <c r="J263" t="str">
        <f t="shared" si="33"/>
        <v>datatable[254] = new Array("255","237","Upconverters","11","Widget.png");</v>
      </c>
    </row>
    <row r="264" spans="1:10">
      <c r="A264" s="36">
        <f t="shared" si="34"/>
        <v>256</v>
      </c>
      <c r="B264" s="36">
        <f t="shared" si="41"/>
        <v>237</v>
      </c>
      <c r="C264" s="36">
        <v>11</v>
      </c>
      <c r="D264" s="37" t="s">
        <v>216</v>
      </c>
      <c r="E264" s="37"/>
      <c r="F264" s="37" t="s">
        <v>41</v>
      </c>
      <c r="G264" s="1" t="s">
        <v>406</v>
      </c>
      <c r="J264" t="str">
        <f t="shared" si="33"/>
        <v>datatable[255] = new Array("256","237","Other RF Equipment (Specify)","11","Widget.png");</v>
      </c>
    </row>
    <row r="265" spans="1:10">
      <c r="A265" s="36">
        <f t="shared" si="34"/>
        <v>257</v>
      </c>
      <c r="B265" s="36">
        <f>A$220</f>
        <v>212</v>
      </c>
      <c r="C265" s="36">
        <v>10</v>
      </c>
      <c r="D265" s="37" t="s">
        <v>217</v>
      </c>
      <c r="E265" s="37"/>
      <c r="F265" s="37" t="s">
        <v>40</v>
      </c>
      <c r="G265" s="1" t="s">
        <v>406</v>
      </c>
      <c r="J265" t="str">
        <f t="shared" si="33"/>
        <v>datatable[256] = new Array("257","212","Command and Data Handling (C&amp;DH)","10","Widget.png");</v>
      </c>
    </row>
    <row r="266" spans="1:10">
      <c r="A266" s="36">
        <f t="shared" si="34"/>
        <v>258</v>
      </c>
      <c r="B266" s="36">
        <f>A$260</f>
        <v>252</v>
      </c>
      <c r="C266" s="36">
        <v>11</v>
      </c>
      <c r="D266" s="37" t="s">
        <v>218</v>
      </c>
      <c r="E266" s="37"/>
      <c r="F266" s="37" t="s">
        <v>41</v>
      </c>
      <c r="G266" s="1" t="s">
        <v>406</v>
      </c>
      <c r="J266" t="str">
        <f t="shared" si="33"/>
        <v>datatable[257] = new Array("258","252","Processors","11","Widget.png");</v>
      </c>
    </row>
    <row r="267" spans="1:10">
      <c r="A267" s="36">
        <f t="shared" si="34"/>
        <v>259</v>
      </c>
      <c r="B267" s="36">
        <f t="shared" ref="B267:B281" si="42">A$260</f>
        <v>252</v>
      </c>
      <c r="C267" s="36">
        <v>11</v>
      </c>
      <c r="D267" s="37" t="s">
        <v>219</v>
      </c>
      <c r="E267" s="37"/>
      <c r="F267" s="37" t="s">
        <v>41</v>
      </c>
      <c r="G267" s="1" t="s">
        <v>406</v>
      </c>
      <c r="J267" t="str">
        <f t="shared" ref="J267:J330" si="43">"datatable["&amp;A267-1&amp;"] = new Array(""" &amp; A267 &amp;""",""" &amp; B267 &amp;""",""" &amp; D267 &amp; """,""" &amp; C267&amp;""","""&amp;""&amp;G267&amp;""");"</f>
        <v>datatable[258] = new Array("259","252","Solid State Memory","11","Widget.png");</v>
      </c>
    </row>
    <row r="268" spans="1:10">
      <c r="A268" s="36">
        <f t="shared" ref="A268:A331" si="44">A267+1</f>
        <v>260</v>
      </c>
      <c r="B268" s="36">
        <f t="shared" si="42"/>
        <v>252</v>
      </c>
      <c r="C268" s="36">
        <v>11</v>
      </c>
      <c r="D268" s="37" t="s">
        <v>220</v>
      </c>
      <c r="E268" s="37"/>
      <c r="F268" s="37" t="s">
        <v>41</v>
      </c>
      <c r="G268" s="1" t="s">
        <v>406</v>
      </c>
      <c r="J268" t="str">
        <f t="shared" si="43"/>
        <v>datatable[259] = new Array("260","252","Decoders","11","Widget.png");</v>
      </c>
    </row>
    <row r="269" spans="1:10">
      <c r="A269" s="36">
        <f t="shared" si="44"/>
        <v>261</v>
      </c>
      <c r="B269" s="36">
        <f t="shared" si="42"/>
        <v>252</v>
      </c>
      <c r="C269" s="36">
        <v>11</v>
      </c>
      <c r="D269" s="37" t="s">
        <v>221</v>
      </c>
      <c r="E269" s="37"/>
      <c r="F269" s="37" t="s">
        <v>41</v>
      </c>
      <c r="G269" s="1" t="s">
        <v>406</v>
      </c>
      <c r="J269" t="str">
        <f t="shared" si="43"/>
        <v>datatable[260] = new Array("261","252","Command Units","11","Widget.png");</v>
      </c>
    </row>
    <row r="270" spans="1:10">
      <c r="A270" s="36">
        <f t="shared" si="44"/>
        <v>262</v>
      </c>
      <c r="B270" s="36">
        <f t="shared" si="42"/>
        <v>252</v>
      </c>
      <c r="C270" s="36">
        <v>11</v>
      </c>
      <c r="D270" s="37" t="s">
        <v>222</v>
      </c>
      <c r="E270" s="37"/>
      <c r="F270" s="37" t="s">
        <v>41</v>
      </c>
      <c r="G270" s="1" t="s">
        <v>406</v>
      </c>
      <c r="J270" t="str">
        <f t="shared" si="43"/>
        <v>datatable[261] = new Array("262","252","Telemetry Units","11","Widget.png");</v>
      </c>
    </row>
    <row r="271" spans="1:10">
      <c r="A271" s="36">
        <f t="shared" si="44"/>
        <v>263</v>
      </c>
      <c r="B271" s="36">
        <f t="shared" si="42"/>
        <v>252</v>
      </c>
      <c r="C271" s="36">
        <v>11</v>
      </c>
      <c r="D271" s="37" t="s">
        <v>223</v>
      </c>
      <c r="E271" s="37"/>
      <c r="F271" s="37" t="s">
        <v>41</v>
      </c>
      <c r="G271" s="1" t="s">
        <v>406</v>
      </c>
      <c r="J271" t="str">
        <f t="shared" si="43"/>
        <v>datatable[262] = new Array("263","252","Command Sequencers","11","Widget.png");</v>
      </c>
    </row>
    <row r="272" spans="1:10">
      <c r="A272" s="36">
        <f t="shared" si="44"/>
        <v>264</v>
      </c>
      <c r="B272" s="36">
        <f t="shared" si="42"/>
        <v>252</v>
      </c>
      <c r="C272" s="36">
        <v>11</v>
      </c>
      <c r="D272" s="37" t="s">
        <v>224</v>
      </c>
      <c r="E272" s="37"/>
      <c r="F272" s="37" t="s">
        <v>41</v>
      </c>
      <c r="G272" s="1" t="s">
        <v>406</v>
      </c>
      <c r="J272" t="str">
        <f t="shared" si="43"/>
        <v>datatable[263] = new Array("264","252","Timing Units","11","Widget.png");</v>
      </c>
    </row>
    <row r="273" spans="1:10">
      <c r="A273" s="36">
        <f t="shared" si="44"/>
        <v>265</v>
      </c>
      <c r="B273" s="36">
        <f t="shared" si="42"/>
        <v>252</v>
      </c>
      <c r="C273" s="36">
        <v>11</v>
      </c>
      <c r="D273" s="37" t="s">
        <v>225</v>
      </c>
      <c r="E273" s="37"/>
      <c r="F273" s="37" t="s">
        <v>41</v>
      </c>
      <c r="G273" s="1" t="s">
        <v>406</v>
      </c>
      <c r="J273" t="str">
        <f t="shared" si="43"/>
        <v>datatable[264] = new Array("265","252","Frequency Generators","11","Widget.png");</v>
      </c>
    </row>
    <row r="274" spans="1:10">
      <c r="A274" s="36">
        <f t="shared" si="44"/>
        <v>266</v>
      </c>
      <c r="B274" s="36">
        <f t="shared" si="42"/>
        <v>252</v>
      </c>
      <c r="C274" s="36">
        <v>11</v>
      </c>
      <c r="D274" s="37" t="s">
        <v>226</v>
      </c>
      <c r="E274" s="37"/>
      <c r="F274" s="37" t="s">
        <v>41</v>
      </c>
      <c r="G274" s="1" t="s">
        <v>406</v>
      </c>
      <c r="J274" t="str">
        <f t="shared" si="43"/>
        <v>datatable[265] = new Array("266","252","Signal Conditioners","11","Widget.png");</v>
      </c>
    </row>
    <row r="275" spans="1:10">
      <c r="A275" s="36">
        <f t="shared" si="44"/>
        <v>267</v>
      </c>
      <c r="B275" s="36">
        <f t="shared" si="42"/>
        <v>252</v>
      </c>
      <c r="C275" s="36">
        <v>11</v>
      </c>
      <c r="D275" s="37" t="s">
        <v>227</v>
      </c>
      <c r="E275" s="37"/>
      <c r="F275" s="37" t="s">
        <v>41</v>
      </c>
      <c r="G275" s="1" t="s">
        <v>406</v>
      </c>
      <c r="J275" t="str">
        <f t="shared" si="43"/>
        <v>datatable[266] = new Array("267","252","Data Switches","11","Widget.png");</v>
      </c>
    </row>
    <row r="276" spans="1:10">
      <c r="A276" s="36">
        <f t="shared" si="44"/>
        <v>268</v>
      </c>
      <c r="B276" s="36">
        <f t="shared" si="42"/>
        <v>252</v>
      </c>
      <c r="C276" s="36">
        <v>11</v>
      </c>
      <c r="D276" s="37" t="s">
        <v>228</v>
      </c>
      <c r="E276" s="37"/>
      <c r="F276" s="37" t="s">
        <v>41</v>
      </c>
      <c r="G276" s="1" t="s">
        <v>406</v>
      </c>
      <c r="J276" t="str">
        <f t="shared" si="43"/>
        <v>datatable[267] = new Array("268","252","Communication Security","11","Widget.png");</v>
      </c>
    </row>
    <row r="277" spans="1:10">
      <c r="A277" s="36">
        <f t="shared" si="44"/>
        <v>269</v>
      </c>
      <c r="B277" s="36">
        <f t="shared" si="42"/>
        <v>252</v>
      </c>
      <c r="C277" s="36">
        <v>11</v>
      </c>
      <c r="D277" s="37" t="s">
        <v>229</v>
      </c>
      <c r="E277" s="37"/>
      <c r="F277" s="37" t="s">
        <v>41</v>
      </c>
      <c r="G277" s="1" t="s">
        <v>406</v>
      </c>
      <c r="J277" t="str">
        <f t="shared" si="43"/>
        <v>datatable[268] = new Array("269","252","Interface Units","11","Widget.png");</v>
      </c>
    </row>
    <row r="278" spans="1:10">
      <c r="A278" s="36">
        <f t="shared" si="44"/>
        <v>270</v>
      </c>
      <c r="B278" s="36">
        <f t="shared" si="42"/>
        <v>252</v>
      </c>
      <c r="C278" s="36">
        <v>11</v>
      </c>
      <c r="D278" s="37" t="s">
        <v>230</v>
      </c>
      <c r="E278" s="37"/>
      <c r="F278" s="37" t="s">
        <v>41</v>
      </c>
      <c r="G278" s="1" t="s">
        <v>406</v>
      </c>
      <c r="J278" t="str">
        <f t="shared" si="43"/>
        <v>datatable[269] = new Array("270","252","Tape Recorders","11","Widget.png");</v>
      </c>
    </row>
    <row r="279" spans="1:10">
      <c r="A279" s="36">
        <f t="shared" si="44"/>
        <v>271</v>
      </c>
      <c r="B279" s="36">
        <f t="shared" si="42"/>
        <v>252</v>
      </c>
      <c r="C279" s="36">
        <v>11</v>
      </c>
      <c r="D279" s="37" t="s">
        <v>231</v>
      </c>
      <c r="E279" s="37"/>
      <c r="F279" s="37" t="s">
        <v>41</v>
      </c>
      <c r="G279" s="1" t="s">
        <v>406</v>
      </c>
      <c r="J279" t="str">
        <f t="shared" si="43"/>
        <v>datatable[270] = new Array("271","252","Disk Recorders","11","Widget.png");</v>
      </c>
    </row>
    <row r="280" spans="1:10">
      <c r="A280" s="36">
        <f t="shared" si="44"/>
        <v>272</v>
      </c>
      <c r="B280" s="36">
        <f t="shared" si="42"/>
        <v>252</v>
      </c>
      <c r="C280" s="36">
        <v>11</v>
      </c>
      <c r="D280" s="37" t="s">
        <v>232</v>
      </c>
      <c r="E280" s="37"/>
      <c r="F280" s="37" t="s">
        <v>41</v>
      </c>
      <c r="G280" s="1" t="s">
        <v>406</v>
      </c>
      <c r="J280" t="str">
        <f t="shared" si="43"/>
        <v>datatable[271] = new Array("272","252","Command Sensor or Situational Awareness Sensors","11","Widget.png");</v>
      </c>
    </row>
    <row r="281" spans="1:10">
      <c r="A281" s="36">
        <f t="shared" si="44"/>
        <v>273</v>
      </c>
      <c r="B281" s="36">
        <f t="shared" si="42"/>
        <v>252</v>
      </c>
      <c r="C281" s="36">
        <v>11</v>
      </c>
      <c r="D281" s="37" t="s">
        <v>233</v>
      </c>
      <c r="E281" s="37"/>
      <c r="F281" s="37" t="s">
        <v>41</v>
      </c>
      <c r="G281" s="1" t="s">
        <v>406</v>
      </c>
      <c r="J281" t="str">
        <f t="shared" si="43"/>
        <v>datatable[272] = new Array("273","252","Other C&amp;DH (Specify)","11","Widget.png");</v>
      </c>
    </row>
    <row r="282" spans="1:10">
      <c r="A282" s="36">
        <f t="shared" si="44"/>
        <v>274</v>
      </c>
      <c r="B282" s="36">
        <f>A$220</f>
        <v>212</v>
      </c>
      <c r="C282" s="36">
        <v>10</v>
      </c>
      <c r="D282" s="37" t="s">
        <v>234</v>
      </c>
      <c r="E282" s="37"/>
      <c r="F282" s="37" t="s">
        <v>40</v>
      </c>
      <c r="G282" s="1" t="s">
        <v>406</v>
      </c>
      <c r="J282" t="str">
        <f t="shared" si="43"/>
        <v>datatable[273] = new Array("274","212","TT&amp;C Other (Specify)","10","Widget.png");</v>
      </c>
    </row>
    <row r="283" spans="1:10">
      <c r="A283" s="36">
        <f t="shared" si="44"/>
        <v>275</v>
      </c>
      <c r="B283" s="36">
        <f>A$69</f>
        <v>61</v>
      </c>
      <c r="C283" s="36">
        <v>9</v>
      </c>
      <c r="D283" s="37" t="s">
        <v>235</v>
      </c>
      <c r="E283" s="37"/>
      <c r="F283" s="37" t="s">
        <v>39</v>
      </c>
      <c r="G283" s="1" t="s">
        <v>406</v>
      </c>
      <c r="J283" t="str">
        <f t="shared" si="43"/>
        <v>datatable[274] = new Array("275","61","Bus Flight Software","9","Widget.png");</v>
      </c>
    </row>
    <row r="284" spans="1:10">
      <c r="A284" s="36">
        <f t="shared" si="44"/>
        <v>276</v>
      </c>
      <c r="B284" s="36">
        <f>A283</f>
        <v>275</v>
      </c>
      <c r="C284" s="36">
        <v>10</v>
      </c>
      <c r="D284" s="37" t="s">
        <v>414</v>
      </c>
      <c r="E284" s="37"/>
      <c r="F284" s="37" t="s">
        <v>40</v>
      </c>
      <c r="G284" s="1" t="s">
        <v>404</v>
      </c>
      <c r="J284" t="str">
        <f t="shared" si="43"/>
        <v>datatable[275] = new Array("276","275","Bus FSW Subsystem SEITPM","10","SEITPM.png");</v>
      </c>
    </row>
    <row r="285" spans="1:10">
      <c r="A285" s="36">
        <f t="shared" si="44"/>
        <v>277</v>
      </c>
      <c r="B285" s="36">
        <f>A$279</f>
        <v>271</v>
      </c>
      <c r="C285" s="36">
        <v>11</v>
      </c>
      <c r="D285" s="37" t="s">
        <v>68</v>
      </c>
      <c r="E285" s="37"/>
      <c r="F285" s="37" t="s">
        <v>41</v>
      </c>
      <c r="G285" s="1" t="s">
        <v>404</v>
      </c>
      <c r="J285" t="str">
        <f t="shared" si="43"/>
        <v>datatable[276] = new Array("277","271","Project Management","11","SEITPM.png");</v>
      </c>
    </row>
    <row r="286" spans="1:10">
      <c r="A286" s="36">
        <f t="shared" si="44"/>
        <v>278</v>
      </c>
      <c r="B286" s="36">
        <f t="shared" ref="B286:B289" si="45">A$279</f>
        <v>271</v>
      </c>
      <c r="C286" s="36">
        <v>11</v>
      </c>
      <c r="D286" s="37" t="s">
        <v>69</v>
      </c>
      <c r="E286" s="37"/>
      <c r="F286" s="37" t="s">
        <v>41</v>
      </c>
      <c r="G286" s="1" t="s">
        <v>404</v>
      </c>
      <c r="J286" t="str">
        <f t="shared" si="43"/>
        <v>datatable[277] = new Array("278","271","Systems Engineering","11","SEITPM.png");</v>
      </c>
    </row>
    <row r="287" spans="1:10">
      <c r="A287" s="36">
        <f t="shared" si="44"/>
        <v>279</v>
      </c>
      <c r="B287" s="36">
        <f t="shared" si="45"/>
        <v>271</v>
      </c>
      <c r="C287" s="36">
        <v>11</v>
      </c>
      <c r="D287" s="37" t="s">
        <v>70</v>
      </c>
      <c r="E287" s="37"/>
      <c r="F287" s="37" t="s">
        <v>41</v>
      </c>
      <c r="G287" s="1" t="s">
        <v>404</v>
      </c>
      <c r="J287" t="str">
        <f t="shared" si="43"/>
        <v>datatable[278] = new Array("279","271","Mission Assurance","11","SEITPM.png");</v>
      </c>
    </row>
    <row r="288" spans="1:10">
      <c r="A288" s="36">
        <f t="shared" si="44"/>
        <v>280</v>
      </c>
      <c r="B288" s="36">
        <f t="shared" si="45"/>
        <v>271</v>
      </c>
      <c r="C288" s="36">
        <v>11</v>
      </c>
      <c r="D288" s="37" t="s">
        <v>71</v>
      </c>
      <c r="E288" s="37"/>
      <c r="F288" s="37" t="s">
        <v>41</v>
      </c>
      <c r="G288" s="1" t="s">
        <v>404</v>
      </c>
      <c r="J288" t="str">
        <f t="shared" si="43"/>
        <v>datatable[279] = new Array("280","271","Assembly, Integration and Testing","11","SEITPM.png");</v>
      </c>
    </row>
    <row r="289" spans="1:10">
      <c r="A289" s="36">
        <f t="shared" si="44"/>
        <v>281</v>
      </c>
      <c r="B289" s="36">
        <f t="shared" si="45"/>
        <v>271</v>
      </c>
      <c r="C289" s="36">
        <v>11</v>
      </c>
      <c r="D289" s="37" t="s">
        <v>72</v>
      </c>
      <c r="E289" s="37"/>
      <c r="F289" s="37" t="s">
        <v>41</v>
      </c>
      <c r="G289" s="1" t="s">
        <v>404</v>
      </c>
      <c r="J289" t="str">
        <f t="shared" si="43"/>
        <v>datatable[280] = new Array("281","271","Support Equipment","11","SEITPM.png");</v>
      </c>
    </row>
    <row r="290" spans="1:10">
      <c r="A290" s="36">
        <f t="shared" si="44"/>
        <v>282</v>
      </c>
      <c r="B290" s="36">
        <f>A$278</f>
        <v>270</v>
      </c>
      <c r="C290" s="36">
        <v>11</v>
      </c>
      <c r="D290" s="37" t="s">
        <v>236</v>
      </c>
      <c r="E290" s="37"/>
      <c r="F290" s="37" t="s">
        <v>41</v>
      </c>
      <c r="G290" s="1" t="s">
        <v>406</v>
      </c>
      <c r="J290" t="str">
        <f t="shared" si="43"/>
        <v>datatable[281] = new Array("282","270","Thermal Control Software","11","Widget.png");</v>
      </c>
    </row>
    <row r="291" spans="1:10">
      <c r="A291" s="36">
        <f t="shared" si="44"/>
        <v>283</v>
      </c>
      <c r="B291" s="36">
        <f t="shared" ref="B291:B294" si="46">A$278</f>
        <v>270</v>
      </c>
      <c r="C291" s="36">
        <v>11</v>
      </c>
      <c r="D291" s="37" t="s">
        <v>237</v>
      </c>
      <c r="E291" s="37"/>
      <c r="F291" s="37" t="s">
        <v>41</v>
      </c>
      <c r="G291" s="1" t="s">
        <v>406</v>
      </c>
      <c r="J291" t="str">
        <f t="shared" si="43"/>
        <v>datatable[282] = new Array("283","270","Electrical Power Software","11","Widget.png");</v>
      </c>
    </row>
    <row r="292" spans="1:10">
      <c r="A292" s="36">
        <f t="shared" si="44"/>
        <v>284</v>
      </c>
      <c r="B292" s="36">
        <f t="shared" si="46"/>
        <v>270</v>
      </c>
      <c r="C292" s="36">
        <v>11</v>
      </c>
      <c r="D292" s="37" t="s">
        <v>238</v>
      </c>
      <c r="E292" s="37"/>
      <c r="F292" s="37" t="s">
        <v>41</v>
      </c>
      <c r="G292" s="1" t="s">
        <v>406</v>
      </c>
      <c r="J292" t="str">
        <f t="shared" si="43"/>
        <v>datatable[283] = new Array("284","270","Attitude Control Software","11","Widget.png");</v>
      </c>
    </row>
    <row r="293" spans="1:10">
      <c r="A293" s="36">
        <f t="shared" si="44"/>
        <v>285</v>
      </c>
      <c r="B293" s="36">
        <f t="shared" si="46"/>
        <v>270</v>
      </c>
      <c r="C293" s="36">
        <v>11</v>
      </c>
      <c r="D293" s="37" t="s">
        <v>239</v>
      </c>
      <c r="E293" s="37"/>
      <c r="F293" s="37" t="s">
        <v>41</v>
      </c>
      <c r="G293" s="1" t="s">
        <v>406</v>
      </c>
      <c r="J293" t="str">
        <f t="shared" si="43"/>
        <v>datatable[284] = new Array("285","270","Telemetry, Tracking, and Command Software","11","Widget.png");</v>
      </c>
    </row>
    <row r="294" spans="1:10">
      <c r="A294" s="36">
        <f t="shared" si="44"/>
        <v>286</v>
      </c>
      <c r="B294" s="36">
        <f t="shared" si="46"/>
        <v>270</v>
      </c>
      <c r="C294" s="36">
        <v>11</v>
      </c>
      <c r="D294" s="37" t="s">
        <v>240</v>
      </c>
      <c r="E294" s="37"/>
      <c r="F294" s="37" t="s">
        <v>41</v>
      </c>
      <c r="G294" s="1" t="s">
        <v>406</v>
      </c>
      <c r="J294" t="str">
        <f t="shared" si="43"/>
        <v>datatable[285] = new Array("286","270","Other Flight Software (Specify)","11","Widget.png");</v>
      </c>
    </row>
    <row r="295" spans="1:10">
      <c r="A295" s="38">
        <f t="shared" si="44"/>
        <v>287</v>
      </c>
      <c r="B295" s="38">
        <f>A67</f>
        <v>59</v>
      </c>
      <c r="C295" s="38">
        <v>8</v>
      </c>
      <c r="D295" s="39" t="s">
        <v>241</v>
      </c>
      <c r="E295" s="39"/>
      <c r="F295" s="39" t="s">
        <v>38</v>
      </c>
      <c r="G295" s="40" t="s">
        <v>404</v>
      </c>
      <c r="J295" t="str">
        <f t="shared" si="43"/>
        <v>datatable[286] = new Array("287","59","SEITPM and Support Equipment (If Applicable for Integration of Multiple Payloads)","8","SEITPM.png");</v>
      </c>
    </row>
    <row r="296" spans="1:10">
      <c r="A296" s="38">
        <f t="shared" si="44"/>
        <v>288</v>
      </c>
      <c r="B296" s="38">
        <f>A$290</f>
        <v>282</v>
      </c>
      <c r="C296" s="38">
        <v>9</v>
      </c>
      <c r="D296" s="39" t="s">
        <v>68</v>
      </c>
      <c r="E296" s="39"/>
      <c r="F296" s="6" t="s">
        <v>39</v>
      </c>
      <c r="G296" s="1" t="s">
        <v>404</v>
      </c>
      <c r="J296" t="str">
        <f t="shared" si="43"/>
        <v>datatable[287] = new Array("288","282","Project Management","9","SEITPM.png");</v>
      </c>
    </row>
    <row r="297" spans="1:10">
      <c r="A297" s="38">
        <f t="shared" si="44"/>
        <v>289</v>
      </c>
      <c r="B297" s="38">
        <f t="shared" ref="B297:B300" si="47">A$290</f>
        <v>282</v>
      </c>
      <c r="C297" s="38">
        <v>9</v>
      </c>
      <c r="D297" s="39" t="s">
        <v>69</v>
      </c>
      <c r="E297" s="39"/>
      <c r="F297" s="6" t="s">
        <v>39</v>
      </c>
      <c r="G297" s="1" t="s">
        <v>404</v>
      </c>
      <c r="J297" t="str">
        <f t="shared" si="43"/>
        <v>datatable[288] = new Array("289","282","Systems Engineering","9","SEITPM.png");</v>
      </c>
    </row>
    <row r="298" spans="1:10">
      <c r="A298" s="38">
        <f t="shared" si="44"/>
        <v>290</v>
      </c>
      <c r="B298" s="38">
        <f t="shared" si="47"/>
        <v>282</v>
      </c>
      <c r="C298" s="38">
        <v>9</v>
      </c>
      <c r="D298" s="39" t="s">
        <v>70</v>
      </c>
      <c r="E298" s="39"/>
      <c r="F298" s="6" t="s">
        <v>39</v>
      </c>
      <c r="G298" s="1" t="s">
        <v>404</v>
      </c>
      <c r="J298" t="str">
        <f t="shared" si="43"/>
        <v>datatable[289] = new Array("290","282","Mission Assurance","9","SEITPM.png");</v>
      </c>
    </row>
    <row r="299" spans="1:10">
      <c r="A299" s="41">
        <f t="shared" si="44"/>
        <v>291</v>
      </c>
      <c r="B299" s="41">
        <f t="shared" si="47"/>
        <v>282</v>
      </c>
      <c r="C299" s="41">
        <v>9</v>
      </c>
      <c r="D299" s="42" t="s">
        <v>71</v>
      </c>
      <c r="E299" s="42"/>
      <c r="F299" s="43" t="s">
        <v>39</v>
      </c>
      <c r="G299" s="44" t="s">
        <v>404</v>
      </c>
      <c r="J299" t="str">
        <f t="shared" si="43"/>
        <v>datatable[290] = new Array("291","282","Assembly, Integration and Testing","9","SEITPM.png");</v>
      </c>
    </row>
    <row r="300" spans="1:10">
      <c r="A300" s="38">
        <f t="shared" si="44"/>
        <v>292</v>
      </c>
      <c r="B300" s="38">
        <f t="shared" si="47"/>
        <v>282</v>
      </c>
      <c r="C300" s="38">
        <v>9</v>
      </c>
      <c r="D300" s="39" t="s">
        <v>72</v>
      </c>
      <c r="E300" s="39"/>
      <c r="F300" s="6" t="s">
        <v>39</v>
      </c>
      <c r="G300" s="1" t="s">
        <v>404</v>
      </c>
      <c r="J300" t="str">
        <f t="shared" si="43"/>
        <v>datatable[291] = new Array("292","282","Support Equipment","9","SEITPM.png");</v>
      </c>
    </row>
    <row r="301" spans="1:10">
      <c r="A301" s="45">
        <f t="shared" si="44"/>
        <v>293</v>
      </c>
      <c r="B301" s="45">
        <f>A67</f>
        <v>59</v>
      </c>
      <c r="C301" s="45">
        <v>8</v>
      </c>
      <c r="D301" s="46" t="s">
        <v>312</v>
      </c>
      <c r="E301" s="46"/>
      <c r="F301" s="46" t="s">
        <v>38</v>
      </c>
      <c r="G301" s="1" t="s">
        <v>406</v>
      </c>
      <c r="J301" t="str">
        <f t="shared" si="43"/>
        <v>datatable[292] = new Array("293","59","Payload 1 … n (Specify)","8","Widget.png");</v>
      </c>
    </row>
    <row r="302" spans="1:10">
      <c r="A302" s="38">
        <f t="shared" si="44"/>
        <v>294</v>
      </c>
      <c r="B302" s="38">
        <f>A301</f>
        <v>293</v>
      </c>
      <c r="C302" s="38">
        <v>9</v>
      </c>
      <c r="D302" s="39" t="s">
        <v>415</v>
      </c>
      <c r="E302" s="39"/>
      <c r="F302" s="6" t="s">
        <v>39</v>
      </c>
      <c r="G302" s="1" t="s">
        <v>404</v>
      </c>
      <c r="J302" t="str">
        <f t="shared" si="43"/>
        <v>datatable[293] = new Array("294","293","Payload 1 SEITPM and Support Equipment","9","SEITPM.png");</v>
      </c>
    </row>
    <row r="303" spans="1:10">
      <c r="A303" s="47">
        <f t="shared" si="44"/>
        <v>295</v>
      </c>
      <c r="B303" s="47">
        <f>A$297</f>
        <v>289</v>
      </c>
      <c r="C303" s="47">
        <v>10</v>
      </c>
      <c r="D303" s="48" t="s">
        <v>68</v>
      </c>
      <c r="E303" s="49"/>
      <c r="F303" s="49" t="s">
        <v>40</v>
      </c>
      <c r="G303" s="50" t="s">
        <v>404</v>
      </c>
      <c r="J303" t="str">
        <f t="shared" si="43"/>
        <v>datatable[294] = new Array("295","289","Project Management","10","SEITPM.png");</v>
      </c>
    </row>
    <row r="304" spans="1:10">
      <c r="A304" s="38">
        <f t="shared" si="44"/>
        <v>296</v>
      </c>
      <c r="B304" s="38">
        <f t="shared" ref="B304:B307" si="48">A$297</f>
        <v>289</v>
      </c>
      <c r="C304" s="38">
        <v>10</v>
      </c>
      <c r="D304" s="39" t="s">
        <v>69</v>
      </c>
      <c r="E304" s="6"/>
      <c r="F304" s="6" t="s">
        <v>40</v>
      </c>
      <c r="G304" s="1" t="s">
        <v>404</v>
      </c>
      <c r="J304" t="str">
        <f t="shared" si="43"/>
        <v>datatable[295] = new Array("296","289","Systems Engineering","10","SEITPM.png");</v>
      </c>
    </row>
    <row r="305" spans="1:10">
      <c r="A305" s="38">
        <f t="shared" si="44"/>
        <v>297</v>
      </c>
      <c r="B305" s="38">
        <f t="shared" si="48"/>
        <v>289</v>
      </c>
      <c r="C305" s="38">
        <v>10</v>
      </c>
      <c r="D305" s="39" t="s">
        <v>70</v>
      </c>
      <c r="E305" s="6"/>
      <c r="F305" s="6" t="s">
        <v>40</v>
      </c>
      <c r="G305" s="1" t="s">
        <v>404</v>
      </c>
      <c r="J305" t="str">
        <f t="shared" si="43"/>
        <v>datatable[296] = new Array("297","289","Mission Assurance","10","SEITPM.png");</v>
      </c>
    </row>
    <row r="306" spans="1:10">
      <c r="A306" s="38">
        <f t="shared" si="44"/>
        <v>298</v>
      </c>
      <c r="B306" s="38">
        <f t="shared" si="48"/>
        <v>289</v>
      </c>
      <c r="C306" s="38">
        <v>10</v>
      </c>
      <c r="D306" s="39" t="s">
        <v>71</v>
      </c>
      <c r="E306" s="6"/>
      <c r="F306" s="6" t="s">
        <v>40</v>
      </c>
      <c r="G306" s="1" t="s">
        <v>404</v>
      </c>
      <c r="J306" t="str">
        <f t="shared" si="43"/>
        <v>datatable[297] = new Array("298","289","Assembly, Integration and Testing","10","SEITPM.png");</v>
      </c>
    </row>
    <row r="307" spans="1:10">
      <c r="A307" s="41">
        <f t="shared" si="44"/>
        <v>299</v>
      </c>
      <c r="B307" s="41">
        <f t="shared" si="48"/>
        <v>289</v>
      </c>
      <c r="C307" s="41">
        <v>10</v>
      </c>
      <c r="D307" s="42" t="s">
        <v>72</v>
      </c>
      <c r="E307" s="43"/>
      <c r="F307" s="43" t="s">
        <v>40</v>
      </c>
      <c r="G307" s="44" t="s">
        <v>404</v>
      </c>
      <c r="J307" t="str">
        <f t="shared" si="43"/>
        <v>datatable[298] = new Array("299","289","Support Equipment","10","SEITPM.png");</v>
      </c>
    </row>
    <row r="308" spans="1:10">
      <c r="A308" s="38">
        <f t="shared" si="44"/>
        <v>300</v>
      </c>
      <c r="B308" s="38">
        <f>A$296</f>
        <v>288</v>
      </c>
      <c r="C308" s="38">
        <v>9</v>
      </c>
      <c r="D308" s="39" t="s">
        <v>416</v>
      </c>
      <c r="E308" s="6"/>
      <c r="F308" s="39" t="s">
        <v>39</v>
      </c>
      <c r="G308" s="1" t="s">
        <v>406</v>
      </c>
      <c r="J308" t="str">
        <f t="shared" si="43"/>
        <v>datatable[299] = new Array("300","288","Payload 1 Structures and Mechanisms Subsystem","9","Widget.png");</v>
      </c>
    </row>
    <row r="309" spans="1:10">
      <c r="A309" s="47">
        <f t="shared" si="44"/>
        <v>301</v>
      </c>
      <c r="B309" s="47">
        <f>A$303</f>
        <v>295</v>
      </c>
      <c r="C309" s="47">
        <v>10</v>
      </c>
      <c r="D309" s="49" t="s">
        <v>417</v>
      </c>
      <c r="E309" s="49"/>
      <c r="F309" s="49" t="s">
        <v>40</v>
      </c>
      <c r="G309" s="50" t="s">
        <v>404</v>
      </c>
      <c r="J309" t="str">
        <f t="shared" si="43"/>
        <v>datatable[300] = new Array("301","295","Structures and Mechanims Subsystem SEITPM","10","SEITPM.png");</v>
      </c>
    </row>
    <row r="310" spans="1:10">
      <c r="A310" s="38">
        <f t="shared" si="44"/>
        <v>302</v>
      </c>
      <c r="B310" s="38">
        <f>A$304</f>
        <v>296</v>
      </c>
      <c r="C310" s="38">
        <v>11</v>
      </c>
      <c r="D310" s="6" t="s">
        <v>68</v>
      </c>
      <c r="E310" s="6"/>
      <c r="F310" s="6" t="s">
        <v>41</v>
      </c>
      <c r="G310" s="1" t="s">
        <v>404</v>
      </c>
      <c r="J310" t="str">
        <f t="shared" si="43"/>
        <v>datatable[301] = new Array("302","296","Project Management","11","SEITPM.png");</v>
      </c>
    </row>
    <row r="311" spans="1:10">
      <c r="A311" s="38">
        <f t="shared" si="44"/>
        <v>303</v>
      </c>
      <c r="B311" s="38">
        <f t="shared" ref="B311:B314" si="49">A$304</f>
        <v>296</v>
      </c>
      <c r="C311" s="38">
        <v>11</v>
      </c>
      <c r="D311" s="6" t="s">
        <v>69</v>
      </c>
      <c r="E311" s="6"/>
      <c r="F311" s="6" t="s">
        <v>41</v>
      </c>
      <c r="G311" s="1" t="s">
        <v>404</v>
      </c>
      <c r="J311" t="str">
        <f t="shared" si="43"/>
        <v>datatable[302] = new Array("303","296","Systems Engineering","11","SEITPM.png");</v>
      </c>
    </row>
    <row r="312" spans="1:10">
      <c r="A312" s="38">
        <f t="shared" si="44"/>
        <v>304</v>
      </c>
      <c r="B312" s="38">
        <f t="shared" si="49"/>
        <v>296</v>
      </c>
      <c r="C312" s="38">
        <v>11</v>
      </c>
      <c r="D312" s="6" t="s">
        <v>70</v>
      </c>
      <c r="E312" s="6"/>
      <c r="F312" s="6" t="s">
        <v>41</v>
      </c>
      <c r="G312" s="1" t="s">
        <v>404</v>
      </c>
      <c r="J312" t="str">
        <f t="shared" si="43"/>
        <v>datatable[303] = new Array("304","296","Mission Assurance","11","SEITPM.png");</v>
      </c>
    </row>
    <row r="313" spans="1:10">
      <c r="A313" s="38">
        <f t="shared" si="44"/>
        <v>305</v>
      </c>
      <c r="B313" s="38">
        <f t="shared" si="49"/>
        <v>296</v>
      </c>
      <c r="C313" s="38">
        <v>11</v>
      </c>
      <c r="D313" s="6" t="s">
        <v>71</v>
      </c>
      <c r="E313" s="6"/>
      <c r="F313" s="6" t="s">
        <v>41</v>
      </c>
      <c r="G313" s="1" t="s">
        <v>404</v>
      </c>
      <c r="J313" t="str">
        <f t="shared" si="43"/>
        <v>datatable[304] = new Array("305","296","Assembly, Integration and Testing","11","SEITPM.png");</v>
      </c>
    </row>
    <row r="314" spans="1:10">
      <c r="A314" s="38">
        <f t="shared" si="44"/>
        <v>306</v>
      </c>
      <c r="B314" s="38">
        <f t="shared" si="49"/>
        <v>296</v>
      </c>
      <c r="C314" s="38">
        <v>11</v>
      </c>
      <c r="D314" s="6" t="s">
        <v>72</v>
      </c>
      <c r="E314" s="6"/>
      <c r="F314" s="6" t="s">
        <v>41</v>
      </c>
      <c r="G314" s="1" t="s">
        <v>404</v>
      </c>
      <c r="J314" t="str">
        <f t="shared" si="43"/>
        <v>datatable[305] = new Array("306","296","Support Equipment","11","SEITPM.png");</v>
      </c>
    </row>
    <row r="315" spans="1:10">
      <c r="A315" s="38">
        <f t="shared" si="44"/>
        <v>307</v>
      </c>
      <c r="B315" s="38">
        <f t="shared" ref="B315:B317" si="50">A$303</f>
        <v>295</v>
      </c>
      <c r="C315" s="38">
        <v>10</v>
      </c>
      <c r="D315" s="39" t="s">
        <v>242</v>
      </c>
      <c r="E315" s="6"/>
      <c r="F315" s="6" t="s">
        <v>40</v>
      </c>
      <c r="G315" s="1" t="s">
        <v>406</v>
      </c>
      <c r="J315" t="str">
        <f t="shared" si="43"/>
        <v>datatable[306] = new Array("307","295","Structures","10","Widget.png");</v>
      </c>
    </row>
    <row r="316" spans="1:10">
      <c r="A316" s="38">
        <f t="shared" si="44"/>
        <v>308</v>
      </c>
      <c r="B316" s="38">
        <f t="shared" si="50"/>
        <v>295</v>
      </c>
      <c r="C316" s="38">
        <v>10</v>
      </c>
      <c r="D316" s="39" t="s">
        <v>86</v>
      </c>
      <c r="E316" s="6"/>
      <c r="F316" s="6" t="s">
        <v>40</v>
      </c>
      <c r="G316" s="1" t="s">
        <v>406</v>
      </c>
      <c r="J316" t="str">
        <f t="shared" si="43"/>
        <v>datatable[307] = new Array("308","295","Mechanisms and Pyrotechnics","10","Widget.png");</v>
      </c>
    </row>
    <row r="317" spans="1:10">
      <c r="A317" s="41">
        <f t="shared" si="44"/>
        <v>309</v>
      </c>
      <c r="B317" s="41">
        <f t="shared" si="50"/>
        <v>295</v>
      </c>
      <c r="C317" s="41">
        <v>10</v>
      </c>
      <c r="D317" s="42" t="s">
        <v>243</v>
      </c>
      <c r="E317" s="43"/>
      <c r="F317" s="43" t="s">
        <v>40</v>
      </c>
      <c r="G317" s="1" t="s">
        <v>406</v>
      </c>
      <c r="J317" t="str">
        <f t="shared" si="43"/>
        <v>datatable[308] = new Array("309","295","Structures and Mechanisms Other (Specify)","10","Widget.png");</v>
      </c>
    </row>
    <row r="318" spans="1:10">
      <c r="A318" s="38">
        <f t="shared" si="44"/>
        <v>310</v>
      </c>
      <c r="B318" s="38">
        <f>A$296</f>
        <v>288</v>
      </c>
      <c r="C318" s="38">
        <v>9</v>
      </c>
      <c r="D318" s="39" t="s">
        <v>418</v>
      </c>
      <c r="E318" s="6"/>
      <c r="F318" s="39" t="s">
        <v>39</v>
      </c>
      <c r="G318" s="1" t="s">
        <v>406</v>
      </c>
      <c r="J318" t="str">
        <f t="shared" si="43"/>
        <v>datatable[309] = new Array("310","288","Payload 1 Thermal Control  Subsystem","9","Widget.png");</v>
      </c>
    </row>
    <row r="319" spans="1:10">
      <c r="A319" s="47">
        <f t="shared" si="44"/>
        <v>311</v>
      </c>
      <c r="B319" s="47">
        <f>A318</f>
        <v>310</v>
      </c>
      <c r="C319" s="47">
        <v>10</v>
      </c>
      <c r="D319" s="49" t="s">
        <v>419</v>
      </c>
      <c r="E319" s="49"/>
      <c r="F319" s="49" t="s">
        <v>40</v>
      </c>
      <c r="G319" s="50" t="s">
        <v>404</v>
      </c>
      <c r="J319" t="str">
        <f t="shared" si="43"/>
        <v>datatable[310] = new Array("311","310","Thermal Control  Subsystem SEITPM","10","SEITPM.png");</v>
      </c>
    </row>
    <row r="320" spans="1:10">
      <c r="A320" s="38">
        <f t="shared" si="44"/>
        <v>312</v>
      </c>
      <c r="B320" s="38">
        <f>A$314</f>
        <v>306</v>
      </c>
      <c r="C320" s="38">
        <v>11</v>
      </c>
      <c r="D320" s="6" t="s">
        <v>68</v>
      </c>
      <c r="E320" s="6"/>
      <c r="F320" s="6" t="s">
        <v>41</v>
      </c>
      <c r="G320" s="1" t="s">
        <v>404</v>
      </c>
      <c r="J320" t="str">
        <f t="shared" si="43"/>
        <v>datatable[311] = new Array("312","306","Project Management","11","SEITPM.png");</v>
      </c>
    </row>
    <row r="321" spans="1:10">
      <c r="A321" s="38">
        <f t="shared" si="44"/>
        <v>313</v>
      </c>
      <c r="B321" s="38">
        <f t="shared" ref="B321:B324" si="51">A$314</f>
        <v>306</v>
      </c>
      <c r="C321" s="38">
        <v>11</v>
      </c>
      <c r="D321" s="6" t="s">
        <v>69</v>
      </c>
      <c r="E321" s="6"/>
      <c r="F321" s="6" t="s">
        <v>41</v>
      </c>
      <c r="G321" s="1" t="s">
        <v>404</v>
      </c>
      <c r="J321" t="str">
        <f t="shared" si="43"/>
        <v>datatable[312] = new Array("313","306","Systems Engineering","11","SEITPM.png");</v>
      </c>
    </row>
    <row r="322" spans="1:10">
      <c r="A322" s="38">
        <f t="shared" si="44"/>
        <v>314</v>
      </c>
      <c r="B322" s="38">
        <f t="shared" si="51"/>
        <v>306</v>
      </c>
      <c r="C322" s="38">
        <v>11</v>
      </c>
      <c r="D322" s="6" t="s">
        <v>70</v>
      </c>
      <c r="E322" s="6"/>
      <c r="F322" s="6" t="s">
        <v>41</v>
      </c>
      <c r="G322" s="1" t="s">
        <v>404</v>
      </c>
      <c r="J322" t="str">
        <f t="shared" si="43"/>
        <v>datatable[313] = new Array("314","306","Mission Assurance","11","SEITPM.png");</v>
      </c>
    </row>
    <row r="323" spans="1:10">
      <c r="A323" s="38">
        <f t="shared" si="44"/>
        <v>315</v>
      </c>
      <c r="B323" s="38">
        <f t="shared" si="51"/>
        <v>306</v>
      </c>
      <c r="C323" s="38">
        <v>11</v>
      </c>
      <c r="D323" s="6" t="s">
        <v>71</v>
      </c>
      <c r="E323" s="6"/>
      <c r="F323" s="6" t="s">
        <v>41</v>
      </c>
      <c r="G323" s="1" t="s">
        <v>404</v>
      </c>
      <c r="J323" t="str">
        <f t="shared" si="43"/>
        <v>datatable[314] = new Array("315","306","Assembly, Integration and Testing","11","SEITPM.png");</v>
      </c>
    </row>
    <row r="324" spans="1:10">
      <c r="A324" s="38">
        <f t="shared" si="44"/>
        <v>316</v>
      </c>
      <c r="B324" s="38">
        <f t="shared" si="51"/>
        <v>306</v>
      </c>
      <c r="C324" s="38">
        <v>11</v>
      </c>
      <c r="D324" s="6" t="s">
        <v>72</v>
      </c>
      <c r="E324" s="6"/>
      <c r="F324" s="6" t="s">
        <v>41</v>
      </c>
      <c r="G324" s="1" t="s">
        <v>404</v>
      </c>
      <c r="J324" t="str">
        <f t="shared" si="43"/>
        <v>datatable[315] = new Array("316","306","Support Equipment","11","SEITPM.png");</v>
      </c>
    </row>
    <row r="325" spans="1:10">
      <c r="A325" s="38">
        <f t="shared" si="44"/>
        <v>317</v>
      </c>
      <c r="B325" s="38">
        <f t="shared" ref="B325:B331" si="52">A324</f>
        <v>316</v>
      </c>
      <c r="C325" s="38">
        <v>10</v>
      </c>
      <c r="D325" s="39" t="s">
        <v>95</v>
      </c>
      <c r="E325" s="6"/>
      <c r="F325" s="6" t="s">
        <v>40</v>
      </c>
      <c r="G325" s="1" t="s">
        <v>406</v>
      </c>
      <c r="J325" t="str">
        <f t="shared" si="43"/>
        <v>datatable[316] = new Array("317","316","Cryogenic Devices","10","Widget.png");</v>
      </c>
    </row>
    <row r="326" spans="1:10">
      <c r="A326" s="38">
        <f t="shared" si="44"/>
        <v>318</v>
      </c>
      <c r="B326" s="38">
        <f t="shared" si="52"/>
        <v>317</v>
      </c>
      <c r="C326" s="38">
        <v>10</v>
      </c>
      <c r="D326" s="39" t="s">
        <v>96</v>
      </c>
      <c r="E326" s="6"/>
      <c r="F326" s="6" t="s">
        <v>40</v>
      </c>
      <c r="G326" s="1" t="s">
        <v>406</v>
      </c>
      <c r="J326" t="str">
        <f t="shared" si="43"/>
        <v>datatable[317] = new Array("318","317","Liquid Loops","10","Widget.png");</v>
      </c>
    </row>
    <row r="327" spans="1:10">
      <c r="A327" s="38">
        <f t="shared" si="44"/>
        <v>319</v>
      </c>
      <c r="B327" s="38">
        <f t="shared" si="52"/>
        <v>318</v>
      </c>
      <c r="C327" s="38">
        <v>10</v>
      </c>
      <c r="D327" s="39" t="s">
        <v>97</v>
      </c>
      <c r="E327" s="6"/>
      <c r="F327" s="6" t="s">
        <v>40</v>
      </c>
      <c r="G327" s="1" t="s">
        <v>406</v>
      </c>
      <c r="J327" t="str">
        <f t="shared" si="43"/>
        <v>datatable[318] = new Array("319","318","Electric Coolers","10","Widget.png");</v>
      </c>
    </row>
    <row r="328" spans="1:10">
      <c r="A328" s="38">
        <f t="shared" si="44"/>
        <v>320</v>
      </c>
      <c r="B328" s="38">
        <f t="shared" si="52"/>
        <v>319</v>
      </c>
      <c r="C328" s="38">
        <v>10</v>
      </c>
      <c r="D328" s="39" t="s">
        <v>244</v>
      </c>
      <c r="E328" s="6"/>
      <c r="F328" s="6" t="s">
        <v>40</v>
      </c>
      <c r="G328" s="1" t="s">
        <v>406</v>
      </c>
      <c r="J328" t="str">
        <f t="shared" si="43"/>
        <v>datatable[319] = new Array("320","319","Electric heaters, Thermisters, and Thermostats","10","Widget.png");</v>
      </c>
    </row>
    <row r="329" spans="1:10">
      <c r="A329" s="38">
        <f t="shared" si="44"/>
        <v>321</v>
      </c>
      <c r="B329" s="38">
        <f t="shared" si="52"/>
        <v>320</v>
      </c>
      <c r="C329" s="38">
        <v>10</v>
      </c>
      <c r="D329" s="39" t="s">
        <v>100</v>
      </c>
      <c r="E329" s="6"/>
      <c r="F329" s="6" t="s">
        <v>40</v>
      </c>
      <c r="G329" s="1" t="s">
        <v>406</v>
      </c>
      <c r="J329" t="str">
        <f t="shared" si="43"/>
        <v>datatable[320] = new Array("321","320","Passive Devices","10","Widget.png");</v>
      </c>
    </row>
    <row r="330" spans="1:10">
      <c r="A330" s="38">
        <f t="shared" si="44"/>
        <v>322</v>
      </c>
      <c r="B330" s="38">
        <f t="shared" si="52"/>
        <v>321</v>
      </c>
      <c r="C330" s="38">
        <v>10</v>
      </c>
      <c r="D330" s="39" t="s">
        <v>107</v>
      </c>
      <c r="E330" s="6"/>
      <c r="F330" s="6" t="s">
        <v>40</v>
      </c>
      <c r="G330" s="1" t="s">
        <v>406</v>
      </c>
      <c r="J330" t="str">
        <f t="shared" si="43"/>
        <v>datatable[321] = new Array("322","321","Sun Shields","10","Widget.png");</v>
      </c>
    </row>
    <row r="331" spans="1:10">
      <c r="A331" s="41">
        <f t="shared" si="44"/>
        <v>323</v>
      </c>
      <c r="B331" s="41">
        <f t="shared" si="52"/>
        <v>322</v>
      </c>
      <c r="C331" s="41">
        <v>10</v>
      </c>
      <c r="D331" s="42" t="s">
        <v>245</v>
      </c>
      <c r="E331" s="43"/>
      <c r="F331" s="43" t="s">
        <v>40</v>
      </c>
      <c r="G331" s="1" t="s">
        <v>406</v>
      </c>
      <c r="J331" t="str">
        <f t="shared" ref="J331:J394" si="53">"datatable["&amp;A331-1&amp;"] = new Array(""" &amp; A331 &amp;""",""" &amp; B331 &amp;""",""" &amp; D331 &amp; """,""" &amp; C331&amp;""","""&amp;""&amp;G331&amp;""");"</f>
        <v>datatable[322] = new Array("323","322","Thermal Control Other (Specify)","10","Widget.png");</v>
      </c>
    </row>
    <row r="332" spans="1:10">
      <c r="A332" s="38">
        <f t="shared" ref="A332:A395" si="54">A331+1</f>
        <v>324</v>
      </c>
      <c r="B332" s="38">
        <f>A$296</f>
        <v>288</v>
      </c>
      <c r="C332" s="38">
        <v>9</v>
      </c>
      <c r="D332" s="39" t="s">
        <v>420</v>
      </c>
      <c r="E332" s="6"/>
      <c r="F332" s="39" t="s">
        <v>39</v>
      </c>
      <c r="G332" s="1" t="s">
        <v>406</v>
      </c>
      <c r="J332" t="str">
        <f t="shared" si="53"/>
        <v>datatable[323] = new Array("324","288","Payload 1 Electrical Power Subsystem","9","Widget.png");</v>
      </c>
    </row>
    <row r="333" spans="1:10">
      <c r="A333" s="47">
        <f t="shared" si="54"/>
        <v>325</v>
      </c>
      <c r="B333" s="47">
        <f>A$327</f>
        <v>319</v>
      </c>
      <c r="C333" s="47">
        <v>10</v>
      </c>
      <c r="D333" s="49" t="s">
        <v>421</v>
      </c>
      <c r="E333" s="49"/>
      <c r="F333" s="49" t="s">
        <v>40</v>
      </c>
      <c r="G333" s="50" t="s">
        <v>404</v>
      </c>
      <c r="J333" t="str">
        <f t="shared" si="53"/>
        <v>datatable[324] = new Array("325","319","Electrical Power Subsystem SEITPM","10","SEITPM.png");</v>
      </c>
    </row>
    <row r="334" spans="1:10">
      <c r="A334" s="47">
        <f t="shared" si="54"/>
        <v>326</v>
      </c>
      <c r="B334" s="38">
        <f>A$328</f>
        <v>320</v>
      </c>
      <c r="C334" s="38">
        <v>11</v>
      </c>
      <c r="D334" s="6" t="s">
        <v>68</v>
      </c>
      <c r="E334" s="6"/>
      <c r="F334" s="6" t="s">
        <v>41</v>
      </c>
      <c r="G334" s="1" t="s">
        <v>404</v>
      </c>
      <c r="J334" t="str">
        <f t="shared" si="53"/>
        <v>datatable[325] = new Array("326","320","Project Management","11","SEITPM.png");</v>
      </c>
    </row>
    <row r="335" spans="1:10">
      <c r="A335" s="47">
        <f t="shared" si="54"/>
        <v>327</v>
      </c>
      <c r="B335" s="38">
        <f t="shared" ref="B335:B338" si="55">A$328</f>
        <v>320</v>
      </c>
      <c r="C335" s="38">
        <v>11</v>
      </c>
      <c r="D335" s="6" t="s">
        <v>69</v>
      </c>
      <c r="E335" s="6"/>
      <c r="F335" s="6" t="s">
        <v>41</v>
      </c>
      <c r="G335" s="1" t="s">
        <v>404</v>
      </c>
      <c r="J335" t="str">
        <f t="shared" si="53"/>
        <v>datatable[326] = new Array("327","320","Systems Engineering","11","SEITPM.png");</v>
      </c>
    </row>
    <row r="336" spans="1:10">
      <c r="A336" s="47">
        <f t="shared" si="54"/>
        <v>328</v>
      </c>
      <c r="B336" s="38">
        <f t="shared" si="55"/>
        <v>320</v>
      </c>
      <c r="C336" s="38">
        <v>11</v>
      </c>
      <c r="D336" s="6" t="s">
        <v>70</v>
      </c>
      <c r="E336" s="6"/>
      <c r="F336" s="6" t="s">
        <v>41</v>
      </c>
      <c r="G336" s="1" t="s">
        <v>404</v>
      </c>
      <c r="J336" t="str">
        <f t="shared" si="53"/>
        <v>datatable[327] = new Array("328","320","Mission Assurance","11","SEITPM.png");</v>
      </c>
    </row>
    <row r="337" spans="1:10">
      <c r="A337" s="47">
        <f t="shared" si="54"/>
        <v>329</v>
      </c>
      <c r="B337" s="38">
        <f t="shared" si="55"/>
        <v>320</v>
      </c>
      <c r="C337" s="38">
        <v>11</v>
      </c>
      <c r="D337" s="6" t="s">
        <v>71</v>
      </c>
      <c r="E337" s="6"/>
      <c r="F337" s="6" t="s">
        <v>41</v>
      </c>
      <c r="G337" s="1" t="s">
        <v>404</v>
      </c>
      <c r="J337" t="str">
        <f t="shared" si="53"/>
        <v>datatable[328] = new Array("329","320","Assembly, Integration and Testing","11","SEITPM.png");</v>
      </c>
    </row>
    <row r="338" spans="1:10">
      <c r="A338" s="47">
        <f t="shared" si="54"/>
        <v>330</v>
      </c>
      <c r="B338" s="38">
        <f t="shared" si="55"/>
        <v>320</v>
      </c>
      <c r="C338" s="38">
        <v>11</v>
      </c>
      <c r="D338" s="6" t="s">
        <v>72</v>
      </c>
      <c r="E338" s="6"/>
      <c r="F338" s="6" t="s">
        <v>41</v>
      </c>
      <c r="G338" s="1" t="s">
        <v>404</v>
      </c>
      <c r="J338" t="str">
        <f t="shared" si="53"/>
        <v>datatable[329] = new Array("330","320","Support Equipment","11","SEITPM.png");</v>
      </c>
    </row>
    <row r="339" spans="1:10">
      <c r="A339" s="47">
        <f t="shared" si="54"/>
        <v>331</v>
      </c>
      <c r="B339" s="38">
        <f t="shared" ref="B339:B343" si="56">A$327</f>
        <v>319</v>
      </c>
      <c r="C339" s="38">
        <v>10</v>
      </c>
      <c r="D339" s="39" t="s">
        <v>246</v>
      </c>
      <c r="E339" s="6"/>
      <c r="F339" s="6" t="s">
        <v>40</v>
      </c>
      <c r="G339" s="1" t="s">
        <v>406</v>
      </c>
      <c r="J339" t="str">
        <f t="shared" si="53"/>
        <v>datatable[330] = new Array("331","319","Power Sources","10","Widget.png");</v>
      </c>
    </row>
    <row r="340" spans="1:10">
      <c r="A340" s="47">
        <f t="shared" si="54"/>
        <v>332</v>
      </c>
      <c r="B340" s="38">
        <f t="shared" si="56"/>
        <v>319</v>
      </c>
      <c r="C340" s="38">
        <v>10</v>
      </c>
      <c r="D340" s="39" t="s">
        <v>247</v>
      </c>
      <c r="E340" s="6"/>
      <c r="F340" s="6" t="s">
        <v>40</v>
      </c>
      <c r="G340" s="1" t="s">
        <v>406</v>
      </c>
      <c r="J340" t="str">
        <f t="shared" si="53"/>
        <v>datatable[331] = new Array("332","319","Power Control, Switching, and Distribution Electronics","10","Widget.png");</v>
      </c>
    </row>
    <row r="341" spans="1:10">
      <c r="A341" s="38">
        <f t="shared" si="54"/>
        <v>333</v>
      </c>
      <c r="B341" s="38">
        <f t="shared" si="56"/>
        <v>319</v>
      </c>
      <c r="C341" s="38">
        <v>10</v>
      </c>
      <c r="D341" s="39" t="s">
        <v>248</v>
      </c>
      <c r="E341" s="6"/>
      <c r="F341" s="6" t="s">
        <v>40</v>
      </c>
      <c r="G341" s="1" t="s">
        <v>406</v>
      </c>
      <c r="J341" t="str">
        <f t="shared" si="53"/>
        <v>datatable[332] = new Array("333","319","Power Conditioning, Conversion, and Regulation","10","Widget.png");</v>
      </c>
    </row>
    <row r="342" spans="1:10">
      <c r="A342" s="38">
        <f t="shared" si="54"/>
        <v>334</v>
      </c>
      <c r="B342" s="38">
        <f t="shared" si="56"/>
        <v>319</v>
      </c>
      <c r="C342" s="38">
        <v>10</v>
      </c>
      <c r="D342" s="39" t="s">
        <v>132</v>
      </c>
      <c r="E342" s="6"/>
      <c r="F342" s="6" t="s">
        <v>40</v>
      </c>
      <c r="G342" s="1" t="s">
        <v>406</v>
      </c>
      <c r="J342" t="str">
        <f t="shared" si="53"/>
        <v>datatable[333] = new Array("334","319","Harnesses and Cables","10","Widget.png");</v>
      </c>
    </row>
    <row r="343" spans="1:10">
      <c r="A343" s="38">
        <f t="shared" si="54"/>
        <v>335</v>
      </c>
      <c r="B343" s="38">
        <f t="shared" si="56"/>
        <v>319</v>
      </c>
      <c r="C343" s="38">
        <v>10</v>
      </c>
      <c r="D343" s="39" t="s">
        <v>249</v>
      </c>
      <c r="E343" s="6"/>
      <c r="F343" s="6" t="s">
        <v>40</v>
      </c>
      <c r="G343" s="1" t="s">
        <v>406</v>
      </c>
      <c r="J343" t="str">
        <f t="shared" si="53"/>
        <v>datatable[334] = new Array("335","319","Electrical Power Other (Specify)","10","Widget.png");</v>
      </c>
    </row>
    <row r="344" spans="1:10">
      <c r="A344" s="38">
        <f t="shared" si="54"/>
        <v>336</v>
      </c>
      <c r="B344" s="38">
        <f>A$296</f>
        <v>288</v>
      </c>
      <c r="C344" s="38">
        <v>9</v>
      </c>
      <c r="D344" s="39" t="s">
        <v>422</v>
      </c>
      <c r="E344" s="6"/>
      <c r="F344" s="39" t="s">
        <v>39</v>
      </c>
      <c r="G344" s="1" t="s">
        <v>406</v>
      </c>
      <c r="J344" t="str">
        <f t="shared" si="53"/>
        <v>datatable[335] = new Array("336","288","Payload 1 Pointing, Command, and Control Interface","9","Widget.png");</v>
      </c>
    </row>
    <row r="345" spans="1:10">
      <c r="A345" s="38">
        <f t="shared" si="54"/>
        <v>337</v>
      </c>
      <c r="B345" s="38">
        <f>A344</f>
        <v>336</v>
      </c>
      <c r="C345" s="38">
        <v>10</v>
      </c>
      <c r="D345" s="6" t="s">
        <v>423</v>
      </c>
      <c r="E345" s="6"/>
      <c r="F345" s="6" t="s">
        <v>40</v>
      </c>
      <c r="G345" s="1" t="s">
        <v>404</v>
      </c>
      <c r="J345" t="str">
        <f t="shared" si="53"/>
        <v>datatable[336] = new Array("337","336","Subsystem SEITPM","10","SEITPM.png");</v>
      </c>
    </row>
    <row r="346" spans="1:10">
      <c r="A346" s="38">
        <f t="shared" si="54"/>
        <v>338</v>
      </c>
      <c r="B346" s="38">
        <f>A$340</f>
        <v>332</v>
      </c>
      <c r="C346" s="38">
        <v>11</v>
      </c>
      <c r="D346" s="6" t="s">
        <v>68</v>
      </c>
      <c r="E346" s="6"/>
      <c r="F346" s="6" t="s">
        <v>41</v>
      </c>
      <c r="G346" s="1" t="s">
        <v>404</v>
      </c>
      <c r="J346" t="str">
        <f t="shared" si="53"/>
        <v>datatable[337] = new Array("338","332","Project Management","11","SEITPM.png");</v>
      </c>
    </row>
    <row r="347" spans="1:10">
      <c r="A347" s="38">
        <f t="shared" si="54"/>
        <v>339</v>
      </c>
      <c r="B347" s="38">
        <f t="shared" ref="B347:B350" si="57">A$340</f>
        <v>332</v>
      </c>
      <c r="C347" s="38">
        <v>11</v>
      </c>
      <c r="D347" s="6" t="s">
        <v>69</v>
      </c>
      <c r="E347" s="6"/>
      <c r="F347" s="6" t="s">
        <v>41</v>
      </c>
      <c r="G347" s="1" t="s">
        <v>404</v>
      </c>
      <c r="J347" t="str">
        <f t="shared" si="53"/>
        <v>datatable[338] = new Array("339","332","Systems Engineering","11","SEITPM.png");</v>
      </c>
    </row>
    <row r="348" spans="1:10">
      <c r="A348" s="38">
        <f t="shared" si="54"/>
        <v>340</v>
      </c>
      <c r="B348" s="38">
        <f t="shared" si="57"/>
        <v>332</v>
      </c>
      <c r="C348" s="38">
        <v>11</v>
      </c>
      <c r="D348" s="6" t="s">
        <v>70</v>
      </c>
      <c r="E348" s="6"/>
      <c r="F348" s="6" t="s">
        <v>41</v>
      </c>
      <c r="G348" s="1" t="s">
        <v>404</v>
      </c>
      <c r="J348" t="str">
        <f t="shared" si="53"/>
        <v>datatable[339] = new Array("340","332","Mission Assurance","11","SEITPM.png");</v>
      </c>
    </row>
    <row r="349" spans="1:10">
      <c r="A349" s="38">
        <f t="shared" si="54"/>
        <v>341</v>
      </c>
      <c r="B349" s="38">
        <f t="shared" si="57"/>
        <v>332</v>
      </c>
      <c r="C349" s="38">
        <v>11</v>
      </c>
      <c r="D349" s="6" t="s">
        <v>71</v>
      </c>
      <c r="E349" s="6"/>
      <c r="F349" s="6" t="s">
        <v>41</v>
      </c>
      <c r="G349" s="1" t="s">
        <v>404</v>
      </c>
      <c r="J349" t="str">
        <f t="shared" si="53"/>
        <v>datatable[340] = new Array("341","332","Assembly, Integration and Testing","11","SEITPM.png");</v>
      </c>
    </row>
    <row r="350" spans="1:10">
      <c r="A350" s="38">
        <f t="shared" si="54"/>
        <v>342</v>
      </c>
      <c r="B350" s="38">
        <f t="shared" si="57"/>
        <v>332</v>
      </c>
      <c r="C350" s="38">
        <v>11</v>
      </c>
      <c r="D350" s="6" t="s">
        <v>72</v>
      </c>
      <c r="E350" s="6"/>
      <c r="F350" s="6" t="s">
        <v>41</v>
      </c>
      <c r="G350" s="1" t="s">
        <v>404</v>
      </c>
      <c r="J350" t="str">
        <f t="shared" si="53"/>
        <v>datatable[341] = new Array("342","332","Support Equipment","11","SEITPM.png");</v>
      </c>
    </row>
    <row r="351" spans="1:10">
      <c r="A351" s="38">
        <f t="shared" si="54"/>
        <v>343</v>
      </c>
      <c r="B351" s="38">
        <f>A$339</f>
        <v>331</v>
      </c>
      <c r="C351" s="38">
        <v>10</v>
      </c>
      <c r="D351" s="39" t="s">
        <v>250</v>
      </c>
      <c r="E351" s="6"/>
      <c r="F351" s="6" t="s">
        <v>40</v>
      </c>
      <c r="G351" s="1" t="s">
        <v>406</v>
      </c>
      <c r="J351" t="str">
        <f t="shared" si="53"/>
        <v>datatable[342] = new Array("343","331","Computers and Processors","10","Widget.png");</v>
      </c>
    </row>
    <row r="352" spans="1:10">
      <c r="A352" s="38">
        <f t="shared" si="54"/>
        <v>344</v>
      </c>
      <c r="B352" s="38">
        <f t="shared" ref="B352:B359" si="58">A$339</f>
        <v>331</v>
      </c>
      <c r="C352" s="38">
        <v>10</v>
      </c>
      <c r="D352" s="39" t="s">
        <v>251</v>
      </c>
      <c r="E352" s="6"/>
      <c r="F352" s="6" t="s">
        <v>40</v>
      </c>
      <c r="G352" s="1" t="s">
        <v>406</v>
      </c>
      <c r="J352" t="str">
        <f t="shared" si="53"/>
        <v>datatable[343] = new Array("344","331","Command/Telemetric Units","10","Widget.png");</v>
      </c>
    </row>
    <row r="353" spans="1:10">
      <c r="A353" s="38">
        <f t="shared" si="54"/>
        <v>345</v>
      </c>
      <c r="B353" s="38">
        <f t="shared" si="58"/>
        <v>331</v>
      </c>
      <c r="C353" s="38">
        <v>10</v>
      </c>
      <c r="D353" s="39" t="s">
        <v>156</v>
      </c>
      <c r="E353" s="6"/>
      <c r="F353" s="6" t="s">
        <v>40</v>
      </c>
      <c r="G353" s="1" t="s">
        <v>406</v>
      </c>
      <c r="J353" t="str">
        <f t="shared" si="53"/>
        <v>datatable[344] = new Array("345","331","Control Electronics","10","Widget.png");</v>
      </c>
    </row>
    <row r="354" spans="1:10">
      <c r="A354" s="38">
        <f t="shared" si="54"/>
        <v>346</v>
      </c>
      <c r="B354" s="38">
        <f t="shared" si="58"/>
        <v>331</v>
      </c>
      <c r="C354" s="38">
        <v>10</v>
      </c>
      <c r="D354" s="39" t="s">
        <v>252</v>
      </c>
      <c r="E354" s="6"/>
      <c r="F354" s="6" t="s">
        <v>40</v>
      </c>
      <c r="G354" s="1" t="s">
        <v>406</v>
      </c>
      <c r="J354" t="str">
        <f t="shared" si="53"/>
        <v>datatable[345] = new Array("346","331","Pointing Sensors","10","Widget.png");</v>
      </c>
    </row>
    <row r="355" spans="1:10">
      <c r="A355" s="38">
        <f t="shared" si="54"/>
        <v>347</v>
      </c>
      <c r="B355" s="38">
        <f t="shared" si="58"/>
        <v>331</v>
      </c>
      <c r="C355" s="38">
        <v>10</v>
      </c>
      <c r="D355" s="39" t="s">
        <v>253</v>
      </c>
      <c r="E355" s="6"/>
      <c r="F355" s="6" t="s">
        <v>40</v>
      </c>
      <c r="G355" s="1" t="s">
        <v>406</v>
      </c>
      <c r="J355" t="str">
        <f t="shared" si="53"/>
        <v>datatable[346] = new Array("347","331","Payload Positioners","10","Widget.png");</v>
      </c>
    </row>
    <row r="356" spans="1:10">
      <c r="A356" s="38">
        <f t="shared" si="54"/>
        <v>348</v>
      </c>
      <c r="B356" s="38">
        <f t="shared" si="58"/>
        <v>331</v>
      </c>
      <c r="C356" s="38">
        <v>10</v>
      </c>
      <c r="D356" s="39" t="s">
        <v>254</v>
      </c>
      <c r="E356" s="6"/>
      <c r="F356" s="6" t="s">
        <v>40</v>
      </c>
      <c r="G356" s="1" t="s">
        <v>406</v>
      </c>
      <c r="J356" t="str">
        <f t="shared" si="53"/>
        <v>datatable[347] = new Array("348","331","Security, Encryption, and Decryption Devices","10","Widget.png");</v>
      </c>
    </row>
    <row r="357" spans="1:10">
      <c r="A357" s="38">
        <f t="shared" si="54"/>
        <v>349</v>
      </c>
      <c r="B357" s="38">
        <f t="shared" si="58"/>
        <v>331</v>
      </c>
      <c r="C357" s="38">
        <v>10</v>
      </c>
      <c r="D357" s="39" t="s">
        <v>255</v>
      </c>
      <c r="E357" s="6"/>
      <c r="F357" s="6" t="s">
        <v>40</v>
      </c>
      <c r="G357" s="1" t="s">
        <v>406</v>
      </c>
      <c r="J357" t="str">
        <f t="shared" si="53"/>
        <v>datatable[348] = new Array("349","331","Data Storage, handling, and Interface","10","Widget.png");</v>
      </c>
    </row>
    <row r="358" spans="1:10">
      <c r="A358" s="38">
        <f t="shared" si="54"/>
        <v>350</v>
      </c>
      <c r="B358" s="38">
        <f t="shared" si="58"/>
        <v>331</v>
      </c>
      <c r="C358" s="38">
        <v>10</v>
      </c>
      <c r="D358" s="39" t="s">
        <v>256</v>
      </c>
      <c r="E358" s="6"/>
      <c r="F358" s="6" t="s">
        <v>40</v>
      </c>
      <c r="G358" s="1" t="s">
        <v>406</v>
      </c>
      <c r="J358" t="str">
        <f t="shared" si="53"/>
        <v>datatable[349] = new Array("350","331","Multifunctional Digital Electronic Boxes","10","Widget.png");</v>
      </c>
    </row>
    <row r="359" spans="1:10">
      <c r="A359" s="38">
        <f t="shared" si="54"/>
        <v>351</v>
      </c>
      <c r="B359" s="38">
        <f t="shared" si="58"/>
        <v>331</v>
      </c>
      <c r="C359" s="38">
        <v>10</v>
      </c>
      <c r="D359" s="39" t="s">
        <v>257</v>
      </c>
      <c r="E359" s="6"/>
      <c r="F359" s="6" t="s">
        <v>40</v>
      </c>
      <c r="G359" s="1" t="s">
        <v>406</v>
      </c>
      <c r="J359" t="str">
        <f t="shared" si="53"/>
        <v>datatable[350] = new Array("351","331","Pointing, Command, and Control Interface Other (Specify)","10","Widget.png");</v>
      </c>
    </row>
    <row r="360" spans="1:10">
      <c r="A360" s="38">
        <f t="shared" si="54"/>
        <v>352</v>
      </c>
      <c r="B360" s="38">
        <f>A$296</f>
        <v>288</v>
      </c>
      <c r="C360" s="38">
        <v>9</v>
      </c>
      <c r="D360" s="39" t="s">
        <v>258</v>
      </c>
      <c r="E360" s="6"/>
      <c r="F360" s="39" t="s">
        <v>39</v>
      </c>
      <c r="G360" s="1" t="s">
        <v>406</v>
      </c>
      <c r="J360" t="str">
        <f t="shared" si="53"/>
        <v>datatable[351] = new Array("352","288","Payload Signal Electronics","9","Widget.png");</v>
      </c>
    </row>
    <row r="361" spans="1:10">
      <c r="A361" s="38">
        <f t="shared" si="54"/>
        <v>353</v>
      </c>
      <c r="B361" s="38">
        <f>A$355</f>
        <v>347</v>
      </c>
      <c r="C361" s="38">
        <v>10</v>
      </c>
      <c r="D361" s="6" t="s">
        <v>423</v>
      </c>
      <c r="E361" s="6"/>
      <c r="F361" s="6" t="s">
        <v>40</v>
      </c>
      <c r="G361" s="1" t="s">
        <v>404</v>
      </c>
      <c r="J361" t="str">
        <f t="shared" si="53"/>
        <v>datatable[352] = new Array("353","347","Subsystem SEITPM","10","SEITPM.png");</v>
      </c>
    </row>
    <row r="362" spans="1:10">
      <c r="A362" s="38">
        <f t="shared" si="54"/>
        <v>354</v>
      </c>
      <c r="B362" s="38">
        <f>A$356</f>
        <v>348</v>
      </c>
      <c r="C362" s="38">
        <v>11</v>
      </c>
      <c r="D362" s="6" t="s">
        <v>68</v>
      </c>
      <c r="E362" s="6"/>
      <c r="F362" s="6" t="s">
        <v>41</v>
      </c>
      <c r="G362" s="1" t="s">
        <v>404</v>
      </c>
      <c r="J362" t="str">
        <f t="shared" si="53"/>
        <v>datatable[353] = new Array("354","348","Project Management","11","SEITPM.png");</v>
      </c>
    </row>
    <row r="363" spans="1:10">
      <c r="A363" s="38">
        <f t="shared" si="54"/>
        <v>355</v>
      </c>
      <c r="B363" s="38">
        <f t="shared" ref="B363:B366" si="59">A$356</f>
        <v>348</v>
      </c>
      <c r="C363" s="38">
        <v>11</v>
      </c>
      <c r="D363" s="6" t="s">
        <v>69</v>
      </c>
      <c r="E363" s="6"/>
      <c r="F363" s="6" t="s">
        <v>41</v>
      </c>
      <c r="G363" s="1" t="s">
        <v>404</v>
      </c>
      <c r="J363" t="str">
        <f t="shared" si="53"/>
        <v>datatable[354] = new Array("355","348","Systems Engineering","11","SEITPM.png");</v>
      </c>
    </row>
    <row r="364" spans="1:10">
      <c r="A364" s="38">
        <f t="shared" si="54"/>
        <v>356</v>
      </c>
      <c r="B364" s="38">
        <f t="shared" si="59"/>
        <v>348</v>
      </c>
      <c r="C364" s="38">
        <v>11</v>
      </c>
      <c r="D364" s="6" t="s">
        <v>70</v>
      </c>
      <c r="E364" s="6"/>
      <c r="F364" s="6" t="s">
        <v>41</v>
      </c>
      <c r="G364" s="1" t="s">
        <v>404</v>
      </c>
      <c r="J364" t="str">
        <f t="shared" si="53"/>
        <v>datatable[355] = new Array("356","348","Mission Assurance","11","SEITPM.png");</v>
      </c>
    </row>
    <row r="365" spans="1:10">
      <c r="A365" s="38">
        <f t="shared" si="54"/>
        <v>357</v>
      </c>
      <c r="B365" s="38">
        <f t="shared" si="59"/>
        <v>348</v>
      </c>
      <c r="C365" s="38">
        <v>11</v>
      </c>
      <c r="D365" s="6" t="s">
        <v>71</v>
      </c>
      <c r="E365" s="6"/>
      <c r="F365" s="6" t="s">
        <v>41</v>
      </c>
      <c r="G365" s="1" t="s">
        <v>404</v>
      </c>
      <c r="J365" t="str">
        <f t="shared" si="53"/>
        <v>datatable[356] = new Array("357","348","Assembly, Integration and Testing","11","SEITPM.png");</v>
      </c>
    </row>
    <row r="366" spans="1:10">
      <c r="A366" s="38">
        <f t="shared" si="54"/>
        <v>358</v>
      </c>
      <c r="B366" s="38">
        <f t="shared" si="59"/>
        <v>348</v>
      </c>
      <c r="C366" s="38">
        <v>11</v>
      </c>
      <c r="D366" s="6" t="s">
        <v>72</v>
      </c>
      <c r="E366" s="6"/>
      <c r="F366" s="6" t="s">
        <v>41</v>
      </c>
      <c r="G366" s="1" t="s">
        <v>404</v>
      </c>
      <c r="J366" t="str">
        <f t="shared" si="53"/>
        <v>datatable[357] = new Array("358","348","Support Equipment","11","SEITPM.png");</v>
      </c>
    </row>
    <row r="367" spans="1:10">
      <c r="A367" s="38">
        <f t="shared" si="54"/>
        <v>359</v>
      </c>
      <c r="B367" s="38">
        <f t="shared" ref="B367:B376" si="60">A$355</f>
        <v>347</v>
      </c>
      <c r="C367" s="38">
        <v>10</v>
      </c>
      <c r="D367" s="39" t="s">
        <v>259</v>
      </c>
      <c r="E367" s="6"/>
      <c r="F367" s="6" t="s">
        <v>40</v>
      </c>
      <c r="G367" s="1" t="s">
        <v>406</v>
      </c>
      <c r="J367" t="str">
        <f t="shared" si="53"/>
        <v>datatable[358] = new Array("359","347","Passive Signal Flow Control","10","Widget.png");</v>
      </c>
    </row>
    <row r="368" spans="1:10">
      <c r="A368" s="38">
        <f t="shared" si="54"/>
        <v>360</v>
      </c>
      <c r="B368" s="38">
        <f t="shared" si="60"/>
        <v>347</v>
      </c>
      <c r="C368" s="38">
        <v>10</v>
      </c>
      <c r="D368" s="39" t="s">
        <v>260</v>
      </c>
      <c r="E368" s="6"/>
      <c r="F368" s="6" t="s">
        <v>40</v>
      </c>
      <c r="G368" s="1" t="s">
        <v>406</v>
      </c>
      <c r="J368" t="str">
        <f t="shared" si="53"/>
        <v>datatable[359] = new Array("360","347","Transmitter/Receiver/Transceiver/Transponder","10","Widget.png");</v>
      </c>
    </row>
    <row r="369" spans="1:10">
      <c r="A369" s="38">
        <f t="shared" si="54"/>
        <v>361</v>
      </c>
      <c r="B369" s="38">
        <f t="shared" si="60"/>
        <v>347</v>
      </c>
      <c r="C369" s="38">
        <v>10</v>
      </c>
      <c r="D369" s="39" t="s">
        <v>261</v>
      </c>
      <c r="E369" s="6"/>
      <c r="F369" s="6" t="s">
        <v>40</v>
      </c>
      <c r="G369" s="1" t="s">
        <v>406</v>
      </c>
      <c r="J369" t="str">
        <f t="shared" si="53"/>
        <v>datatable[360] = new Array("361","347","Modulators/Demodulators/Modems","10","Widget.png");</v>
      </c>
    </row>
    <row r="370" spans="1:10">
      <c r="A370" s="38">
        <f t="shared" si="54"/>
        <v>362</v>
      </c>
      <c r="B370" s="38">
        <f t="shared" si="60"/>
        <v>347</v>
      </c>
      <c r="C370" s="38">
        <v>10</v>
      </c>
      <c r="D370" s="39" t="s">
        <v>262</v>
      </c>
      <c r="E370" s="6"/>
      <c r="F370" s="6" t="s">
        <v>40</v>
      </c>
      <c r="G370" s="1" t="s">
        <v>406</v>
      </c>
      <c r="J370" t="str">
        <f t="shared" si="53"/>
        <v>datatable[361] = new Array("362","347","Multiplexers/Demultiplexers","10","Widget.png");</v>
      </c>
    </row>
    <row r="371" spans="1:10">
      <c r="A371" s="38">
        <f t="shared" si="54"/>
        <v>363</v>
      </c>
      <c r="B371" s="38">
        <f t="shared" si="60"/>
        <v>347</v>
      </c>
      <c r="C371" s="38">
        <v>10</v>
      </c>
      <c r="D371" s="39" t="s">
        <v>204</v>
      </c>
      <c r="E371" s="6"/>
      <c r="F371" s="6" t="s">
        <v>40</v>
      </c>
      <c r="G371" s="1" t="s">
        <v>406</v>
      </c>
      <c r="J371" t="str">
        <f t="shared" si="53"/>
        <v>datatable[362] = new Array("363","347","Amplifiers","10","Widget.png");</v>
      </c>
    </row>
    <row r="372" spans="1:10">
      <c r="A372" s="38">
        <f t="shared" si="54"/>
        <v>364</v>
      </c>
      <c r="B372" s="38">
        <f t="shared" si="60"/>
        <v>347</v>
      </c>
      <c r="C372" s="38">
        <v>10</v>
      </c>
      <c r="D372" s="39" t="s">
        <v>263</v>
      </c>
      <c r="E372" s="6"/>
      <c r="F372" s="6" t="s">
        <v>40</v>
      </c>
      <c r="G372" s="1" t="s">
        <v>406</v>
      </c>
      <c r="J372" t="str">
        <f t="shared" si="53"/>
        <v>datatable[363] = new Array("364","347","Frequency Upconverters/Downconverters","10","Widget.png");</v>
      </c>
    </row>
    <row r="373" spans="1:10">
      <c r="A373" s="38">
        <f t="shared" si="54"/>
        <v>365</v>
      </c>
      <c r="B373" s="38">
        <f t="shared" si="60"/>
        <v>347</v>
      </c>
      <c r="C373" s="38">
        <v>10</v>
      </c>
      <c r="D373" s="39" t="s">
        <v>264</v>
      </c>
      <c r="E373" s="6"/>
      <c r="F373" s="6" t="s">
        <v>40</v>
      </c>
      <c r="G373" s="1" t="s">
        <v>406</v>
      </c>
      <c r="J373" t="str">
        <f t="shared" si="53"/>
        <v>datatable[364] = new Array("365","347","Frequency and Timing","10","Widget.png");</v>
      </c>
    </row>
    <row r="374" spans="1:10">
      <c r="A374" s="38">
        <f t="shared" si="54"/>
        <v>366</v>
      </c>
      <c r="B374" s="38">
        <f t="shared" si="60"/>
        <v>347</v>
      </c>
      <c r="C374" s="38">
        <v>10</v>
      </c>
      <c r="D374" s="39" t="s">
        <v>226</v>
      </c>
      <c r="E374" s="6"/>
      <c r="F374" s="6" t="s">
        <v>40</v>
      </c>
      <c r="G374" s="1" t="s">
        <v>406</v>
      </c>
      <c r="J374" t="str">
        <f t="shared" si="53"/>
        <v>datatable[365] = new Array("366","347","Signal Conditioners","10","Widget.png");</v>
      </c>
    </row>
    <row r="375" spans="1:10">
      <c r="A375" s="38">
        <f t="shared" si="54"/>
        <v>367</v>
      </c>
      <c r="B375" s="38">
        <f t="shared" si="60"/>
        <v>347</v>
      </c>
      <c r="C375" s="38">
        <v>10</v>
      </c>
      <c r="D375" s="39" t="s">
        <v>256</v>
      </c>
      <c r="E375" s="6"/>
      <c r="F375" s="6" t="s">
        <v>40</v>
      </c>
      <c r="G375" s="1" t="s">
        <v>406</v>
      </c>
      <c r="J375" t="str">
        <f t="shared" si="53"/>
        <v>datatable[366] = new Array("367","347","Multifunctional Digital Electronic Boxes","10","Widget.png");</v>
      </c>
    </row>
    <row r="376" spans="1:10">
      <c r="A376" s="38">
        <f t="shared" si="54"/>
        <v>368</v>
      </c>
      <c r="B376" s="38">
        <f t="shared" si="60"/>
        <v>347</v>
      </c>
      <c r="C376" s="38">
        <v>10</v>
      </c>
      <c r="D376" s="39" t="s">
        <v>265</v>
      </c>
      <c r="E376" s="6"/>
      <c r="F376" s="6" t="s">
        <v>40</v>
      </c>
      <c r="G376" s="1" t="s">
        <v>406</v>
      </c>
      <c r="J376" t="str">
        <f t="shared" si="53"/>
        <v>datatable[367] = new Array("368","347","Signal Electronics Other (Specify)","10","Widget.png");</v>
      </c>
    </row>
    <row r="377" spans="1:10">
      <c r="A377" s="38">
        <f t="shared" si="54"/>
        <v>369</v>
      </c>
      <c r="B377" s="38">
        <f>A$296</f>
        <v>288</v>
      </c>
      <c r="C377" s="38">
        <v>9</v>
      </c>
      <c r="D377" s="39" t="s">
        <v>424</v>
      </c>
      <c r="E377" s="6"/>
      <c r="F377" s="39" t="s">
        <v>39</v>
      </c>
      <c r="G377" s="1" t="s">
        <v>406</v>
      </c>
      <c r="J377" t="str">
        <f t="shared" si="53"/>
        <v>datatable[368] = new Array("369","288","Payload 1 Optical Assembly","9","Widget.png");</v>
      </c>
    </row>
    <row r="378" spans="1:10">
      <c r="A378" s="38">
        <f t="shared" si="54"/>
        <v>370</v>
      </c>
      <c r="B378" s="38">
        <f>A$372</f>
        <v>364</v>
      </c>
      <c r="C378" s="38">
        <v>10</v>
      </c>
      <c r="D378" s="6" t="s">
        <v>423</v>
      </c>
      <c r="E378" s="6"/>
      <c r="F378" s="6" t="s">
        <v>40</v>
      </c>
      <c r="G378" s="1" t="s">
        <v>404</v>
      </c>
      <c r="J378" t="str">
        <f t="shared" si="53"/>
        <v>datatable[369] = new Array("370","364","Subsystem SEITPM","10","SEITPM.png");</v>
      </c>
    </row>
    <row r="379" spans="1:10">
      <c r="A379" s="38">
        <f t="shared" si="54"/>
        <v>371</v>
      </c>
      <c r="B379" s="38">
        <f>A$373</f>
        <v>365</v>
      </c>
      <c r="C379" s="38">
        <v>11</v>
      </c>
      <c r="D379" s="6" t="s">
        <v>68</v>
      </c>
      <c r="E379" s="6"/>
      <c r="F379" s="6" t="s">
        <v>41</v>
      </c>
      <c r="G379" s="1" t="s">
        <v>404</v>
      </c>
      <c r="J379" t="str">
        <f t="shared" si="53"/>
        <v>datatable[370] = new Array("371","365","Project Management","11","SEITPM.png");</v>
      </c>
    </row>
    <row r="380" spans="1:10">
      <c r="A380" s="38">
        <f t="shared" si="54"/>
        <v>372</v>
      </c>
      <c r="B380" s="38">
        <f t="shared" ref="B380:B383" si="61">A$373</f>
        <v>365</v>
      </c>
      <c r="C380" s="38">
        <v>11</v>
      </c>
      <c r="D380" s="6" t="s">
        <v>69</v>
      </c>
      <c r="E380" s="6"/>
      <c r="F380" s="6" t="s">
        <v>41</v>
      </c>
      <c r="G380" s="1" t="s">
        <v>404</v>
      </c>
      <c r="J380" t="str">
        <f t="shared" si="53"/>
        <v>datatable[371] = new Array("372","365","Systems Engineering","11","SEITPM.png");</v>
      </c>
    </row>
    <row r="381" spans="1:10">
      <c r="A381" s="38">
        <f t="shared" si="54"/>
        <v>373</v>
      </c>
      <c r="B381" s="38">
        <f t="shared" si="61"/>
        <v>365</v>
      </c>
      <c r="C381" s="38">
        <v>11</v>
      </c>
      <c r="D381" s="6" t="s">
        <v>70</v>
      </c>
      <c r="E381" s="6"/>
      <c r="F381" s="6" t="s">
        <v>41</v>
      </c>
      <c r="G381" s="1" t="s">
        <v>404</v>
      </c>
      <c r="J381" t="str">
        <f t="shared" si="53"/>
        <v>datatable[372] = new Array("373","365","Mission Assurance","11","SEITPM.png");</v>
      </c>
    </row>
    <row r="382" spans="1:10">
      <c r="A382" s="38">
        <f t="shared" si="54"/>
        <v>374</v>
      </c>
      <c r="B382" s="38">
        <f t="shared" si="61"/>
        <v>365</v>
      </c>
      <c r="C382" s="38">
        <v>11</v>
      </c>
      <c r="D382" s="6" t="s">
        <v>71</v>
      </c>
      <c r="E382" s="6"/>
      <c r="F382" s="6" t="s">
        <v>41</v>
      </c>
      <c r="G382" s="1" t="s">
        <v>404</v>
      </c>
      <c r="J382" t="str">
        <f t="shared" si="53"/>
        <v>datatable[373] = new Array("374","365","Assembly, Integration and Testing","11","SEITPM.png");</v>
      </c>
    </row>
    <row r="383" spans="1:10">
      <c r="A383" s="38">
        <f t="shared" si="54"/>
        <v>375</v>
      </c>
      <c r="B383" s="38">
        <f t="shared" si="61"/>
        <v>365</v>
      </c>
      <c r="C383" s="38">
        <v>11</v>
      </c>
      <c r="D383" s="6" t="s">
        <v>72</v>
      </c>
      <c r="E383" s="6"/>
      <c r="F383" s="6" t="s">
        <v>41</v>
      </c>
      <c r="G383" s="1" t="s">
        <v>404</v>
      </c>
      <c r="J383" t="str">
        <f t="shared" si="53"/>
        <v>datatable[374] = new Array("375","365","Support Equipment","11","SEITPM.png");</v>
      </c>
    </row>
    <row r="384" spans="1:10">
      <c r="A384" s="38">
        <f t="shared" si="54"/>
        <v>376</v>
      </c>
      <c r="B384" s="38">
        <f t="shared" ref="B384:B390" si="62">A$372</f>
        <v>364</v>
      </c>
      <c r="C384" s="38">
        <v>10</v>
      </c>
      <c r="D384" s="39" t="s">
        <v>266</v>
      </c>
      <c r="E384" s="6"/>
      <c r="F384" s="6" t="s">
        <v>40</v>
      </c>
      <c r="G384" s="1" t="s">
        <v>406</v>
      </c>
      <c r="J384" t="str">
        <f t="shared" si="53"/>
        <v>datatable[375] = new Array("376","364","Structure/Outerbarrel/Cover","10","Widget.png");</v>
      </c>
    </row>
    <row r="385" spans="1:10">
      <c r="A385" s="38">
        <f t="shared" si="54"/>
        <v>377</v>
      </c>
      <c r="B385" s="38">
        <f t="shared" si="62"/>
        <v>364</v>
      </c>
      <c r="C385" s="38">
        <v>10</v>
      </c>
      <c r="D385" s="39" t="s">
        <v>267</v>
      </c>
      <c r="E385" s="6"/>
      <c r="F385" s="6" t="s">
        <v>40</v>
      </c>
      <c r="G385" s="1" t="s">
        <v>406</v>
      </c>
      <c r="J385" t="str">
        <f t="shared" si="53"/>
        <v>datatable[376] = new Array("377","364","Mirrors/Optics","10","Widget.png");</v>
      </c>
    </row>
    <row r="386" spans="1:10">
      <c r="A386" s="38">
        <f t="shared" si="54"/>
        <v>378</v>
      </c>
      <c r="B386" s="38">
        <f t="shared" si="62"/>
        <v>364</v>
      </c>
      <c r="C386" s="38">
        <v>10</v>
      </c>
      <c r="D386" s="39" t="s">
        <v>268</v>
      </c>
      <c r="E386" s="6"/>
      <c r="F386" s="6" t="s">
        <v>40</v>
      </c>
      <c r="G386" s="1" t="s">
        <v>406</v>
      </c>
      <c r="J386" t="str">
        <f t="shared" si="53"/>
        <v>datatable[377] = new Array("378","364","Aft Optics Assembly","10","Widget.png");</v>
      </c>
    </row>
    <row r="387" spans="1:10">
      <c r="A387" s="38">
        <f t="shared" si="54"/>
        <v>379</v>
      </c>
      <c r="B387" s="38">
        <f t="shared" si="62"/>
        <v>364</v>
      </c>
      <c r="C387" s="38">
        <v>10</v>
      </c>
      <c r="D387" s="39" t="s">
        <v>269</v>
      </c>
      <c r="E387" s="6"/>
      <c r="F387" s="6" t="s">
        <v>40</v>
      </c>
      <c r="G387" s="1" t="s">
        <v>406</v>
      </c>
      <c r="J387" t="str">
        <f t="shared" si="53"/>
        <v>datatable[378] = new Array("379","364","Alignment and Calibration","10","Widget.png");</v>
      </c>
    </row>
    <row r="388" spans="1:10">
      <c r="A388" s="38">
        <f t="shared" si="54"/>
        <v>380</v>
      </c>
      <c r="B388" s="38">
        <f t="shared" si="62"/>
        <v>364</v>
      </c>
      <c r="C388" s="38">
        <v>10</v>
      </c>
      <c r="D388" s="39" t="s">
        <v>270</v>
      </c>
      <c r="E388" s="6"/>
      <c r="F388" s="6" t="s">
        <v>40</v>
      </c>
      <c r="G388" s="1" t="s">
        <v>406</v>
      </c>
      <c r="J388" t="str">
        <f t="shared" si="53"/>
        <v>datatable[379] = new Array("380","364","Thermal","10","Widget.png");</v>
      </c>
    </row>
    <row r="389" spans="1:10">
      <c r="A389" s="38">
        <f>A381+1</f>
        <v>374</v>
      </c>
      <c r="B389" s="38">
        <f t="shared" si="62"/>
        <v>364</v>
      </c>
      <c r="C389" s="38">
        <v>10</v>
      </c>
      <c r="D389" s="39" t="s">
        <v>156</v>
      </c>
      <c r="E389" s="6"/>
      <c r="F389" s="6" t="s">
        <v>40</v>
      </c>
      <c r="G389" s="1" t="s">
        <v>406</v>
      </c>
      <c r="J389" t="str">
        <f t="shared" si="53"/>
        <v>datatable[373] = new Array("374","364","Control Electronics","10","Widget.png");</v>
      </c>
    </row>
    <row r="390" spans="1:10">
      <c r="A390" s="38">
        <f t="shared" si="54"/>
        <v>375</v>
      </c>
      <c r="B390" s="38">
        <f t="shared" si="62"/>
        <v>364</v>
      </c>
      <c r="C390" s="38">
        <v>10</v>
      </c>
      <c r="D390" s="39" t="s">
        <v>271</v>
      </c>
      <c r="E390" s="6"/>
      <c r="F390" s="6" t="s">
        <v>40</v>
      </c>
      <c r="G390" s="1" t="s">
        <v>406</v>
      </c>
      <c r="J390" t="str">
        <f t="shared" si="53"/>
        <v>datatable[374] = new Array("375","364","Optical Assembly Other","10","Widget.png");</v>
      </c>
    </row>
    <row r="391" spans="1:10">
      <c r="A391" s="38">
        <f t="shared" si="54"/>
        <v>376</v>
      </c>
      <c r="B391" s="38">
        <f>A$296</f>
        <v>288</v>
      </c>
      <c r="C391" s="38">
        <v>9</v>
      </c>
      <c r="D391" s="39" t="s">
        <v>425</v>
      </c>
      <c r="E391" s="6"/>
      <c r="F391" s="39" t="s">
        <v>39</v>
      </c>
      <c r="G391" s="1" t="s">
        <v>406</v>
      </c>
      <c r="J391" t="str">
        <f t="shared" si="53"/>
        <v>datatable[375] = new Array("376","288","Payload 1 Sensor","9","Widget.png");</v>
      </c>
    </row>
    <row r="392" spans="1:10">
      <c r="A392" s="38">
        <f t="shared" si="54"/>
        <v>377</v>
      </c>
      <c r="B392" s="38">
        <f>A$386</f>
        <v>378</v>
      </c>
      <c r="C392" s="38">
        <v>10</v>
      </c>
      <c r="D392" s="6" t="s">
        <v>426</v>
      </c>
      <c r="E392" s="6"/>
      <c r="F392" s="6" t="s">
        <v>40</v>
      </c>
      <c r="G392" s="1" t="s">
        <v>404</v>
      </c>
      <c r="J392" t="str">
        <f t="shared" si="53"/>
        <v>datatable[376] = new Array("377","378","Sensor SEITPM","10","SEITPM.png");</v>
      </c>
    </row>
    <row r="393" spans="1:10">
      <c r="A393" s="38">
        <f t="shared" si="54"/>
        <v>378</v>
      </c>
      <c r="B393" s="38">
        <f>A$387</f>
        <v>379</v>
      </c>
      <c r="C393" s="38">
        <v>11</v>
      </c>
      <c r="D393" s="6" t="s">
        <v>68</v>
      </c>
      <c r="E393" s="6"/>
      <c r="F393" s="6" t="s">
        <v>41</v>
      </c>
      <c r="G393" s="1" t="s">
        <v>404</v>
      </c>
      <c r="J393" t="str">
        <f t="shared" si="53"/>
        <v>datatable[377] = new Array("378","379","Project Management","11","SEITPM.png");</v>
      </c>
    </row>
    <row r="394" spans="1:10">
      <c r="A394" s="38">
        <f t="shared" si="54"/>
        <v>379</v>
      </c>
      <c r="B394" s="38">
        <f t="shared" ref="B394:B397" si="63">A$387</f>
        <v>379</v>
      </c>
      <c r="C394" s="38">
        <v>11</v>
      </c>
      <c r="D394" s="6" t="s">
        <v>69</v>
      </c>
      <c r="E394" s="6"/>
      <c r="F394" s="6" t="s">
        <v>41</v>
      </c>
      <c r="G394" s="1" t="s">
        <v>404</v>
      </c>
      <c r="J394" t="str">
        <f t="shared" si="53"/>
        <v>datatable[378] = new Array("379","379","Systems Engineering","11","SEITPM.png");</v>
      </c>
    </row>
    <row r="395" spans="1:10">
      <c r="A395" s="38">
        <f t="shared" si="54"/>
        <v>380</v>
      </c>
      <c r="B395" s="38">
        <f t="shared" si="63"/>
        <v>379</v>
      </c>
      <c r="C395" s="38">
        <v>11</v>
      </c>
      <c r="D395" s="6" t="s">
        <v>70</v>
      </c>
      <c r="E395" s="6"/>
      <c r="F395" s="6" t="s">
        <v>41</v>
      </c>
      <c r="G395" s="1" t="s">
        <v>404</v>
      </c>
      <c r="J395" t="str">
        <f t="shared" ref="J395:J458" si="64">"datatable["&amp;A395-1&amp;"] = new Array(""" &amp; A395 &amp;""",""" &amp; B395 &amp;""",""" &amp; D395 &amp; """,""" &amp; C395&amp;""","""&amp;""&amp;G395&amp;""");"</f>
        <v>datatable[379] = new Array("380","379","Mission Assurance","11","SEITPM.png");</v>
      </c>
    </row>
    <row r="396" spans="1:10">
      <c r="A396" s="38">
        <f t="shared" ref="A396:A459" si="65">A395+1</f>
        <v>381</v>
      </c>
      <c r="B396" s="38">
        <f t="shared" si="63"/>
        <v>379</v>
      </c>
      <c r="C396" s="38">
        <v>11</v>
      </c>
      <c r="D396" s="6" t="s">
        <v>71</v>
      </c>
      <c r="E396" s="6"/>
      <c r="F396" s="6" t="s">
        <v>41</v>
      </c>
      <c r="G396" s="1" t="s">
        <v>404</v>
      </c>
      <c r="J396" t="str">
        <f t="shared" si="64"/>
        <v>datatable[380] = new Array("381","379","Assembly, Integration and Testing","11","SEITPM.png");</v>
      </c>
    </row>
    <row r="397" spans="1:10">
      <c r="A397" s="38">
        <f t="shared" si="65"/>
        <v>382</v>
      </c>
      <c r="B397" s="38">
        <f t="shared" si="63"/>
        <v>379</v>
      </c>
      <c r="C397" s="38">
        <v>11</v>
      </c>
      <c r="D397" s="6" t="s">
        <v>72</v>
      </c>
      <c r="E397" s="6"/>
      <c r="F397" s="6" t="s">
        <v>41</v>
      </c>
      <c r="G397" s="1" t="s">
        <v>404</v>
      </c>
      <c r="J397" t="str">
        <f t="shared" si="64"/>
        <v>datatable[381] = new Array("382","379","Support Equipment","11","SEITPM.png");</v>
      </c>
    </row>
    <row r="398" spans="1:10">
      <c r="A398" s="38">
        <f t="shared" si="65"/>
        <v>383</v>
      </c>
      <c r="B398" s="38">
        <f t="shared" ref="B398:B410" si="66">A$386</f>
        <v>378</v>
      </c>
      <c r="C398" s="38">
        <v>10</v>
      </c>
      <c r="D398" s="39" t="s">
        <v>272</v>
      </c>
      <c r="E398" s="6"/>
      <c r="F398" s="6" t="s">
        <v>40</v>
      </c>
      <c r="G398" s="1" t="s">
        <v>406</v>
      </c>
      <c r="J398" t="str">
        <f t="shared" si="64"/>
        <v>datatable[382] = new Array("383","378","Payload Structure","10","Widget.png");</v>
      </c>
    </row>
    <row r="399" spans="1:10">
      <c r="A399" s="38">
        <f t="shared" si="65"/>
        <v>384</v>
      </c>
      <c r="B399" s="38">
        <f t="shared" si="66"/>
        <v>378</v>
      </c>
      <c r="C399" s="38">
        <v>10</v>
      </c>
      <c r="D399" s="39" t="s">
        <v>273</v>
      </c>
      <c r="E399" s="6"/>
      <c r="F399" s="6" t="s">
        <v>40</v>
      </c>
      <c r="G399" s="1" t="s">
        <v>406</v>
      </c>
      <c r="J399" t="str">
        <f t="shared" si="64"/>
        <v>datatable[383] = new Array("384","378","Focal Plan Array","10","Widget.png");</v>
      </c>
    </row>
    <row r="400" spans="1:10">
      <c r="A400" s="38">
        <f t="shared" si="65"/>
        <v>385</v>
      </c>
      <c r="B400" s="38">
        <f t="shared" si="66"/>
        <v>378</v>
      </c>
      <c r="C400" s="38">
        <v>10</v>
      </c>
      <c r="D400" s="39" t="s">
        <v>274</v>
      </c>
      <c r="E400" s="6"/>
      <c r="F400" s="6" t="s">
        <v>40</v>
      </c>
      <c r="G400" s="1" t="s">
        <v>406</v>
      </c>
      <c r="J400" t="str">
        <f t="shared" si="64"/>
        <v>datatable[384] = new Array("385","378","Sensor Positioners","10","Widget.png");</v>
      </c>
    </row>
    <row r="401" spans="1:10">
      <c r="A401" s="38">
        <f t="shared" si="65"/>
        <v>386</v>
      </c>
      <c r="B401" s="38">
        <f t="shared" si="66"/>
        <v>378</v>
      </c>
      <c r="C401" s="38">
        <v>10</v>
      </c>
      <c r="D401" s="39" t="s">
        <v>275</v>
      </c>
      <c r="E401" s="6"/>
      <c r="F401" s="6" t="s">
        <v>40</v>
      </c>
      <c r="G401" s="1" t="s">
        <v>406</v>
      </c>
      <c r="J401" t="str">
        <f t="shared" si="64"/>
        <v>datatable[385] = new Array("386","378","Sensor Electronics","10","Widget.png");</v>
      </c>
    </row>
    <row r="402" spans="1:10">
      <c r="A402" s="38">
        <f t="shared" si="65"/>
        <v>387</v>
      </c>
      <c r="B402" s="38">
        <f t="shared" si="66"/>
        <v>378</v>
      </c>
      <c r="C402" s="38">
        <v>10</v>
      </c>
      <c r="D402" s="39" t="s">
        <v>269</v>
      </c>
      <c r="E402" s="6"/>
      <c r="F402" s="6" t="s">
        <v>40</v>
      </c>
      <c r="G402" s="1" t="s">
        <v>406</v>
      </c>
      <c r="J402" t="str">
        <f t="shared" si="64"/>
        <v>datatable[386] = new Array("387","378","Alignment and Calibration","10","Widget.png");</v>
      </c>
    </row>
    <row r="403" spans="1:10">
      <c r="A403" s="38">
        <f t="shared" si="65"/>
        <v>388</v>
      </c>
      <c r="B403" s="38">
        <f t="shared" si="66"/>
        <v>378</v>
      </c>
      <c r="C403" s="38">
        <v>10</v>
      </c>
      <c r="D403" s="39" t="s">
        <v>276</v>
      </c>
      <c r="E403" s="6"/>
      <c r="F403" s="6" t="s">
        <v>40</v>
      </c>
      <c r="G403" s="1" t="s">
        <v>406</v>
      </c>
      <c r="J403" t="str">
        <f t="shared" si="64"/>
        <v>datatable[387] = new Array("388","378","Magnetometer","10","Widget.png");</v>
      </c>
    </row>
    <row r="404" spans="1:10">
      <c r="A404" s="38">
        <f t="shared" si="65"/>
        <v>389</v>
      </c>
      <c r="B404" s="38">
        <f t="shared" si="66"/>
        <v>378</v>
      </c>
      <c r="C404" s="38">
        <v>10</v>
      </c>
      <c r="D404" s="39" t="s">
        <v>277</v>
      </c>
      <c r="E404" s="6"/>
      <c r="F404" s="6" t="s">
        <v>40</v>
      </c>
      <c r="G404" s="1" t="s">
        <v>406</v>
      </c>
      <c r="J404" t="str">
        <f t="shared" si="64"/>
        <v>datatable[388] = new Array("389","378","Spectrometer","10","Widget.png");</v>
      </c>
    </row>
    <row r="405" spans="1:10">
      <c r="A405" s="38">
        <f t="shared" si="65"/>
        <v>390</v>
      </c>
      <c r="B405" s="38">
        <f t="shared" si="66"/>
        <v>378</v>
      </c>
      <c r="C405" s="38">
        <v>10</v>
      </c>
      <c r="D405" s="39" t="s">
        <v>278</v>
      </c>
      <c r="E405" s="6"/>
      <c r="F405" s="6" t="s">
        <v>40</v>
      </c>
      <c r="G405" s="1" t="s">
        <v>406</v>
      </c>
      <c r="J405" t="str">
        <f t="shared" si="64"/>
        <v>datatable[389] = new Array("390","378","Radiometer","10","Widget.png");</v>
      </c>
    </row>
    <row r="406" spans="1:10">
      <c r="A406" s="38">
        <f t="shared" si="65"/>
        <v>391</v>
      </c>
      <c r="B406" s="38">
        <f t="shared" si="66"/>
        <v>378</v>
      </c>
      <c r="C406" s="38">
        <v>10</v>
      </c>
      <c r="D406" s="39" t="s">
        <v>279</v>
      </c>
      <c r="E406" s="6"/>
      <c r="F406" s="6" t="s">
        <v>40</v>
      </c>
      <c r="G406" s="1" t="s">
        <v>406</v>
      </c>
      <c r="J406" t="str">
        <f t="shared" si="64"/>
        <v>datatable[390] = new Array("391","378","Camera","10","Widget.png");</v>
      </c>
    </row>
    <row r="407" spans="1:10">
      <c r="A407" s="38">
        <f t="shared" si="65"/>
        <v>392</v>
      </c>
      <c r="B407" s="38">
        <f t="shared" si="66"/>
        <v>378</v>
      </c>
      <c r="C407" s="38">
        <v>10</v>
      </c>
      <c r="D407" s="39" t="s">
        <v>280</v>
      </c>
      <c r="E407" s="6"/>
      <c r="F407" s="6" t="s">
        <v>40</v>
      </c>
      <c r="G407" s="1" t="s">
        <v>406</v>
      </c>
      <c r="J407" t="str">
        <f t="shared" si="64"/>
        <v>datatable[391] = new Array("392","378","Sounder","10","Widget.png");</v>
      </c>
    </row>
    <row r="408" spans="1:10">
      <c r="A408" s="38">
        <f t="shared" si="65"/>
        <v>393</v>
      </c>
      <c r="B408" s="38">
        <f t="shared" si="66"/>
        <v>378</v>
      </c>
      <c r="C408" s="38">
        <v>10</v>
      </c>
      <c r="D408" s="39" t="s">
        <v>281</v>
      </c>
      <c r="E408" s="6"/>
      <c r="F408" s="6" t="s">
        <v>40</v>
      </c>
      <c r="G408" s="1" t="s">
        <v>406</v>
      </c>
      <c r="J408" t="str">
        <f t="shared" si="64"/>
        <v>datatable[392] = new Array("393","378","Flight Sensor Software","10","Widget.png");</v>
      </c>
    </row>
    <row r="409" spans="1:10">
      <c r="A409" s="38">
        <f t="shared" si="65"/>
        <v>394</v>
      </c>
      <c r="B409" s="38">
        <f t="shared" si="66"/>
        <v>378</v>
      </c>
      <c r="C409" s="38">
        <v>10</v>
      </c>
      <c r="D409" s="39" t="s">
        <v>282</v>
      </c>
      <c r="E409" s="6"/>
      <c r="F409" s="6" t="s">
        <v>40</v>
      </c>
      <c r="G409" s="1" t="s">
        <v>406</v>
      </c>
      <c r="J409" t="str">
        <f t="shared" si="64"/>
        <v>datatable[393] = new Array("394","378","Other Sensor Types (Specify)","10","Widget.png");</v>
      </c>
    </row>
    <row r="410" spans="1:10">
      <c r="A410" s="38">
        <f t="shared" si="65"/>
        <v>395</v>
      </c>
      <c r="B410" s="38">
        <f t="shared" si="66"/>
        <v>378</v>
      </c>
      <c r="C410" s="38">
        <v>10</v>
      </c>
      <c r="D410" s="39" t="s">
        <v>283</v>
      </c>
      <c r="E410" s="6"/>
      <c r="F410" s="6" t="s">
        <v>40</v>
      </c>
      <c r="G410" s="1" t="s">
        <v>406</v>
      </c>
      <c r="J410" t="str">
        <f t="shared" si="64"/>
        <v>datatable[394] = new Array("395","378","Mission Sensor Other (Specify)","10","Widget.png");</v>
      </c>
    </row>
    <row r="411" spans="1:10">
      <c r="A411" s="38">
        <f t="shared" si="65"/>
        <v>396</v>
      </c>
      <c r="B411" s="38">
        <f>A$296</f>
        <v>288</v>
      </c>
      <c r="C411" s="38">
        <v>9</v>
      </c>
      <c r="D411" s="39" t="s">
        <v>284</v>
      </c>
      <c r="E411" s="6"/>
      <c r="F411" s="39" t="s">
        <v>39</v>
      </c>
      <c r="G411" s="1" t="s">
        <v>406</v>
      </c>
      <c r="J411" t="str">
        <f t="shared" si="64"/>
        <v>datatable[395] = new Array("396","288","Payload Flight Software","9","Widget.png");</v>
      </c>
    </row>
    <row r="412" spans="1:10">
      <c r="A412" s="38">
        <f t="shared" si="65"/>
        <v>397</v>
      </c>
      <c r="B412" s="38">
        <f>A411</f>
        <v>396</v>
      </c>
      <c r="C412" s="38">
        <v>10</v>
      </c>
      <c r="D412" s="6" t="s">
        <v>427</v>
      </c>
      <c r="E412" s="6"/>
      <c r="F412" s="6" t="s">
        <v>40</v>
      </c>
      <c r="G412" s="1" t="s">
        <v>404</v>
      </c>
      <c r="J412" t="str">
        <f t="shared" si="64"/>
        <v>datatable[396] = new Array("397","396","Payload 1 FSW SEITPM","10","SEITPM.png");</v>
      </c>
    </row>
    <row r="413" spans="1:10">
      <c r="A413" s="38">
        <f t="shared" si="65"/>
        <v>398</v>
      </c>
      <c r="B413" s="38">
        <f>A$407</f>
        <v>392</v>
      </c>
      <c r="C413" s="38">
        <v>11</v>
      </c>
      <c r="D413" s="6" t="s">
        <v>68</v>
      </c>
      <c r="E413" s="6"/>
      <c r="F413" s="6" t="s">
        <v>41</v>
      </c>
      <c r="G413" s="1" t="s">
        <v>404</v>
      </c>
      <c r="J413" t="str">
        <f t="shared" si="64"/>
        <v>datatable[397] = new Array("398","392","Project Management","11","SEITPM.png");</v>
      </c>
    </row>
    <row r="414" spans="1:10">
      <c r="A414" s="38">
        <f t="shared" si="65"/>
        <v>399</v>
      </c>
      <c r="B414" s="38">
        <f t="shared" ref="B414:B417" si="67">A$407</f>
        <v>392</v>
      </c>
      <c r="C414" s="38">
        <v>11</v>
      </c>
      <c r="D414" s="6" t="s">
        <v>69</v>
      </c>
      <c r="E414" s="6"/>
      <c r="F414" s="6" t="s">
        <v>41</v>
      </c>
      <c r="G414" s="1" t="s">
        <v>404</v>
      </c>
      <c r="J414" t="str">
        <f t="shared" si="64"/>
        <v>datatable[398] = new Array("399","392","Systems Engineering","11","SEITPM.png");</v>
      </c>
    </row>
    <row r="415" spans="1:10">
      <c r="A415" s="38">
        <f t="shared" si="65"/>
        <v>400</v>
      </c>
      <c r="B415" s="38">
        <f t="shared" si="67"/>
        <v>392</v>
      </c>
      <c r="C415" s="38">
        <v>11</v>
      </c>
      <c r="D415" s="6" t="s">
        <v>70</v>
      </c>
      <c r="E415" s="6"/>
      <c r="F415" s="6" t="s">
        <v>41</v>
      </c>
      <c r="G415" s="1" t="s">
        <v>404</v>
      </c>
      <c r="J415" t="str">
        <f t="shared" si="64"/>
        <v>datatable[399] = new Array("400","392","Mission Assurance","11","SEITPM.png");</v>
      </c>
    </row>
    <row r="416" spans="1:10">
      <c r="A416" s="38">
        <f t="shared" si="65"/>
        <v>401</v>
      </c>
      <c r="B416" s="38">
        <f t="shared" si="67"/>
        <v>392</v>
      </c>
      <c r="C416" s="38">
        <v>11</v>
      </c>
      <c r="D416" s="6" t="s">
        <v>71</v>
      </c>
      <c r="E416" s="6"/>
      <c r="F416" s="6" t="s">
        <v>41</v>
      </c>
      <c r="G416" s="1" t="s">
        <v>404</v>
      </c>
      <c r="J416" t="str">
        <f t="shared" si="64"/>
        <v>datatable[400] = new Array("401","392","Assembly, Integration and Testing","11","SEITPM.png");</v>
      </c>
    </row>
    <row r="417" spans="1:10">
      <c r="A417" s="38">
        <f t="shared" si="65"/>
        <v>402</v>
      </c>
      <c r="B417" s="38">
        <f t="shared" si="67"/>
        <v>392</v>
      </c>
      <c r="C417" s="38">
        <v>11</v>
      </c>
      <c r="D417" s="6" t="s">
        <v>72</v>
      </c>
      <c r="E417" s="6"/>
      <c r="F417" s="6" t="s">
        <v>41</v>
      </c>
      <c r="G417" s="1" t="s">
        <v>404</v>
      </c>
      <c r="J417" t="str">
        <f t="shared" si="64"/>
        <v>datatable[401] = new Array("402","392","Support Equipment","11","SEITPM.png");</v>
      </c>
    </row>
    <row r="418" spans="1:10">
      <c r="A418" s="38">
        <f t="shared" si="65"/>
        <v>403</v>
      </c>
      <c r="B418" s="38">
        <f>A411</f>
        <v>396</v>
      </c>
      <c r="C418" s="38">
        <v>10</v>
      </c>
      <c r="D418" s="39" t="s">
        <v>285</v>
      </c>
      <c r="E418" s="6"/>
      <c r="F418" s="6" t="s">
        <v>40</v>
      </c>
      <c r="G418" s="1" t="s">
        <v>406</v>
      </c>
      <c r="J418" t="str">
        <f t="shared" si="64"/>
        <v>datatable[402] = new Array("403","396","CSCI (Specify)","10","Widget.png");</v>
      </c>
    </row>
    <row r="419" spans="1:10">
      <c r="A419" s="38">
        <f t="shared" si="65"/>
        <v>404</v>
      </c>
      <c r="B419" s="38">
        <f>A$296</f>
        <v>288</v>
      </c>
      <c r="C419" s="38">
        <v>9</v>
      </c>
      <c r="D419" s="39" t="s">
        <v>286</v>
      </c>
      <c r="E419" s="6"/>
      <c r="F419" s="39" t="s">
        <v>39</v>
      </c>
      <c r="G419" s="1" t="s">
        <v>406</v>
      </c>
      <c r="J419" t="str">
        <f t="shared" si="64"/>
        <v>datatable[403] = new Array("404","288","Payload Antenna 1 … n (Specify)","9","Widget.png");</v>
      </c>
    </row>
    <row r="420" spans="1:10">
      <c r="A420" s="38">
        <f t="shared" si="65"/>
        <v>405</v>
      </c>
      <c r="B420" s="38">
        <f>A$414</f>
        <v>399</v>
      </c>
      <c r="C420" s="38">
        <v>10</v>
      </c>
      <c r="D420" s="6" t="s">
        <v>428</v>
      </c>
      <c r="E420" s="6"/>
      <c r="F420" s="6" t="s">
        <v>40</v>
      </c>
      <c r="G420" s="1" t="s">
        <v>404</v>
      </c>
      <c r="J420" t="str">
        <f t="shared" si="64"/>
        <v>datatable[404] = new Array("405","399","Payload 1 Antenna SEITPM","10","SEITPM.png");</v>
      </c>
    </row>
    <row r="421" spans="1:10">
      <c r="A421" s="38">
        <f t="shared" si="65"/>
        <v>406</v>
      </c>
      <c r="B421" s="38">
        <f>A$415</f>
        <v>400</v>
      </c>
      <c r="C421" s="38">
        <v>11</v>
      </c>
      <c r="D421" s="6" t="s">
        <v>68</v>
      </c>
      <c r="E421" s="6"/>
      <c r="F421" s="6" t="s">
        <v>41</v>
      </c>
      <c r="G421" s="1" t="s">
        <v>404</v>
      </c>
      <c r="J421" t="str">
        <f t="shared" si="64"/>
        <v>datatable[405] = new Array("406","400","Project Management","11","SEITPM.png");</v>
      </c>
    </row>
    <row r="422" spans="1:10">
      <c r="A422" s="38">
        <f t="shared" si="65"/>
        <v>407</v>
      </c>
      <c r="B422" s="38">
        <f t="shared" ref="B422:B425" si="68">A$415</f>
        <v>400</v>
      </c>
      <c r="C422" s="38">
        <v>11</v>
      </c>
      <c r="D422" s="6" t="s">
        <v>69</v>
      </c>
      <c r="E422" s="6"/>
      <c r="F422" s="6" t="s">
        <v>41</v>
      </c>
      <c r="G422" s="1" t="s">
        <v>404</v>
      </c>
      <c r="J422" t="str">
        <f t="shared" si="64"/>
        <v>datatable[406] = new Array("407","400","Systems Engineering","11","SEITPM.png");</v>
      </c>
    </row>
    <row r="423" spans="1:10">
      <c r="A423" s="38">
        <f t="shared" si="65"/>
        <v>408</v>
      </c>
      <c r="B423" s="38">
        <f t="shared" si="68"/>
        <v>400</v>
      </c>
      <c r="C423" s="38">
        <v>11</v>
      </c>
      <c r="D423" s="6" t="s">
        <v>70</v>
      </c>
      <c r="E423" s="6"/>
      <c r="F423" s="6" t="s">
        <v>41</v>
      </c>
      <c r="G423" s="1" t="s">
        <v>404</v>
      </c>
      <c r="J423" t="str">
        <f t="shared" si="64"/>
        <v>datatable[407] = new Array("408","400","Mission Assurance","11","SEITPM.png");</v>
      </c>
    </row>
    <row r="424" spans="1:10">
      <c r="A424" s="38">
        <f t="shared" si="65"/>
        <v>409</v>
      </c>
      <c r="B424" s="38">
        <f t="shared" si="68"/>
        <v>400</v>
      </c>
      <c r="C424" s="38">
        <v>11</v>
      </c>
      <c r="D424" s="6" t="s">
        <v>71</v>
      </c>
      <c r="E424" s="6"/>
      <c r="F424" s="6" t="s">
        <v>41</v>
      </c>
      <c r="G424" s="1" t="s">
        <v>404</v>
      </c>
      <c r="J424" t="str">
        <f t="shared" si="64"/>
        <v>datatable[408] = new Array("409","400","Assembly, Integration and Testing","11","SEITPM.png");</v>
      </c>
    </row>
    <row r="425" spans="1:10">
      <c r="A425" s="38">
        <f t="shared" si="65"/>
        <v>410</v>
      </c>
      <c r="B425" s="38">
        <f t="shared" si="68"/>
        <v>400</v>
      </c>
      <c r="C425" s="38">
        <v>11</v>
      </c>
      <c r="D425" s="6" t="s">
        <v>72</v>
      </c>
      <c r="E425" s="6"/>
      <c r="F425" s="6" t="s">
        <v>41</v>
      </c>
      <c r="G425" s="1" t="s">
        <v>404</v>
      </c>
      <c r="J425" t="str">
        <f t="shared" si="64"/>
        <v>datatable[409] = new Array("410","400","Support Equipment","11","SEITPM.png");</v>
      </c>
    </row>
    <row r="426" spans="1:10">
      <c r="A426" s="38">
        <f t="shared" si="65"/>
        <v>411</v>
      </c>
      <c r="B426" s="38">
        <f t="shared" ref="B426:B432" si="69">A$414</f>
        <v>399</v>
      </c>
      <c r="C426" s="38">
        <v>10</v>
      </c>
      <c r="D426" s="39" t="s">
        <v>287</v>
      </c>
      <c r="E426" s="6"/>
      <c r="F426" s="6" t="s">
        <v>40</v>
      </c>
      <c r="G426" s="1" t="s">
        <v>406</v>
      </c>
      <c r="J426" t="str">
        <f t="shared" si="64"/>
        <v>datatable[410] = new Array("411","399","Structures and Mechanisms","10","Widget.png");</v>
      </c>
    </row>
    <row r="427" spans="1:10">
      <c r="A427" s="38">
        <f t="shared" si="65"/>
        <v>412</v>
      </c>
      <c r="B427" s="38">
        <f t="shared" si="69"/>
        <v>399</v>
      </c>
      <c r="C427" s="38">
        <v>10</v>
      </c>
      <c r="D427" s="39" t="s">
        <v>288</v>
      </c>
      <c r="E427" s="6"/>
      <c r="F427" s="6" t="s">
        <v>40</v>
      </c>
      <c r="G427" s="1" t="s">
        <v>406</v>
      </c>
      <c r="J427" t="str">
        <f t="shared" si="64"/>
        <v>datatable[411] = new Array("412","399","Antenna Positioners","10","Widget.png");</v>
      </c>
    </row>
    <row r="428" spans="1:10">
      <c r="A428" s="38">
        <f t="shared" si="65"/>
        <v>413</v>
      </c>
      <c r="B428" s="38">
        <f t="shared" si="69"/>
        <v>399</v>
      </c>
      <c r="C428" s="38">
        <v>10</v>
      </c>
      <c r="D428" s="39" t="s">
        <v>289</v>
      </c>
      <c r="E428" s="6"/>
      <c r="F428" s="6" t="s">
        <v>40</v>
      </c>
      <c r="G428" s="1" t="s">
        <v>406</v>
      </c>
      <c r="J428" t="str">
        <f t="shared" si="64"/>
        <v>datatable[412] = new Array("413","399","Reflector/Horn","10","Widget.png");</v>
      </c>
    </row>
    <row r="429" spans="1:10">
      <c r="A429" s="38">
        <f t="shared" si="65"/>
        <v>414</v>
      </c>
      <c r="B429" s="38">
        <f t="shared" si="69"/>
        <v>399</v>
      </c>
      <c r="C429" s="38">
        <v>10</v>
      </c>
      <c r="D429" s="39" t="s">
        <v>290</v>
      </c>
      <c r="E429" s="6"/>
      <c r="F429" s="6" t="s">
        <v>40</v>
      </c>
      <c r="G429" s="1" t="s">
        <v>406</v>
      </c>
      <c r="J429" t="str">
        <f t="shared" si="64"/>
        <v>datatable[413] = new Array("414","399","Feed","10","Widget.png");</v>
      </c>
    </row>
    <row r="430" spans="1:10">
      <c r="A430" s="38">
        <f t="shared" si="65"/>
        <v>415</v>
      </c>
      <c r="B430" s="38">
        <f t="shared" si="69"/>
        <v>399</v>
      </c>
      <c r="C430" s="38">
        <v>10</v>
      </c>
      <c r="D430" s="39" t="s">
        <v>291</v>
      </c>
      <c r="E430" s="6"/>
      <c r="F430" s="6" t="s">
        <v>40</v>
      </c>
      <c r="G430" s="1" t="s">
        <v>406</v>
      </c>
      <c r="J430" t="str">
        <f t="shared" si="64"/>
        <v>datatable[414] = new Array("415","399","Waveguide/Coad/Cabling","10","Widget.png");</v>
      </c>
    </row>
    <row r="431" spans="1:10">
      <c r="A431" s="38">
        <f t="shared" si="65"/>
        <v>416</v>
      </c>
      <c r="B431" s="38">
        <f t="shared" si="69"/>
        <v>399</v>
      </c>
      <c r="C431" s="38">
        <v>10</v>
      </c>
      <c r="D431" s="39" t="s">
        <v>292</v>
      </c>
      <c r="E431" s="6"/>
      <c r="F431" s="6" t="s">
        <v>40</v>
      </c>
      <c r="G431" s="1" t="s">
        <v>406</v>
      </c>
      <c r="J431" t="str">
        <f t="shared" si="64"/>
        <v>datatable[415] = new Array("416","399","Transmit/Receive Modules","10","Widget.png");</v>
      </c>
    </row>
    <row r="432" spans="1:10">
      <c r="A432" s="38">
        <f t="shared" si="65"/>
        <v>417</v>
      </c>
      <c r="B432" s="38">
        <f t="shared" si="69"/>
        <v>399</v>
      </c>
      <c r="C432" s="38">
        <v>10</v>
      </c>
      <c r="D432" s="39" t="s">
        <v>293</v>
      </c>
      <c r="E432" s="6"/>
      <c r="F432" s="6" t="s">
        <v>40</v>
      </c>
      <c r="G432" s="1" t="s">
        <v>406</v>
      </c>
      <c r="J432" t="str">
        <f t="shared" si="64"/>
        <v>datatable[416] = new Array("417","399","Antenna Other (Specify)","10","Widget.png");</v>
      </c>
    </row>
    <row r="433" spans="1:10">
      <c r="A433" s="38">
        <f t="shared" si="65"/>
        <v>418</v>
      </c>
      <c r="B433" s="38">
        <f>A$296</f>
        <v>288</v>
      </c>
      <c r="C433" s="38">
        <v>9</v>
      </c>
      <c r="D433" s="39" t="s">
        <v>294</v>
      </c>
      <c r="E433" s="6"/>
      <c r="F433" s="39" t="s">
        <v>39</v>
      </c>
      <c r="G433" s="1" t="s">
        <v>406</v>
      </c>
      <c r="J433" t="str">
        <f t="shared" si="64"/>
        <v>datatable[417] = new Array("418","288","Payload Other (Specify)","9","Widget.png");</v>
      </c>
    </row>
    <row r="434" spans="1:10">
      <c r="A434" s="38">
        <f t="shared" si="65"/>
        <v>419</v>
      </c>
      <c r="B434" s="38">
        <f>A433</f>
        <v>418</v>
      </c>
      <c r="C434" s="38">
        <v>10</v>
      </c>
      <c r="D434" s="39" t="s">
        <v>295</v>
      </c>
      <c r="E434" s="39"/>
      <c r="F434" s="6" t="s">
        <v>40</v>
      </c>
      <c r="G434" s="1" t="s">
        <v>406</v>
      </c>
      <c r="J434" t="str">
        <f t="shared" si="64"/>
        <v>datatable[418] = new Array("419","418","Booster Adapter","10","Widget.png");</v>
      </c>
    </row>
    <row r="435" spans="1:10">
      <c r="A435" s="38">
        <f t="shared" si="65"/>
        <v>420</v>
      </c>
      <c r="B435" s="38">
        <f>A433</f>
        <v>418</v>
      </c>
      <c r="C435" s="38">
        <v>10</v>
      </c>
      <c r="D435" s="39" t="s">
        <v>296</v>
      </c>
      <c r="E435" s="39"/>
      <c r="F435" s="6" t="s">
        <v>40</v>
      </c>
      <c r="G435" s="1" t="s">
        <v>406</v>
      </c>
      <c r="J435" t="str">
        <f t="shared" si="64"/>
        <v>datatable[419] = new Array("420","418","Space Vehicle Storage","10","Widget.png");</v>
      </c>
    </row>
    <row r="436" spans="1:10">
      <c r="A436" s="38">
        <f t="shared" si="65"/>
        <v>421</v>
      </c>
      <c r="B436" s="38">
        <f>A433</f>
        <v>418</v>
      </c>
      <c r="C436" s="38">
        <v>10</v>
      </c>
      <c r="D436" s="39" t="s">
        <v>297</v>
      </c>
      <c r="E436" s="39"/>
      <c r="F436" s="6" t="s">
        <v>40</v>
      </c>
      <c r="G436" s="1" t="s">
        <v>406</v>
      </c>
      <c r="J436" t="str">
        <f t="shared" si="64"/>
        <v>datatable[420] = new Array("421","418","Space Vehicle Other (Specify)","10","Widget.png");</v>
      </c>
    </row>
    <row r="437" spans="1:10">
      <c r="A437" s="36">
        <f t="shared" si="65"/>
        <v>422</v>
      </c>
      <c r="B437" s="36">
        <f>A$20</f>
        <v>12</v>
      </c>
      <c r="C437" s="36">
        <v>7</v>
      </c>
      <c r="D437" s="51" t="s">
        <v>299</v>
      </c>
      <c r="E437" s="51"/>
      <c r="F437" s="37"/>
      <c r="G437" s="1" t="s">
        <v>348</v>
      </c>
      <c r="J437" t="str">
        <f t="shared" si="64"/>
        <v>datatable[421] = new Array("422","12","Launch Systems Integration (LSI)","7","Rocket.png");</v>
      </c>
    </row>
    <row r="438" spans="1:10">
      <c r="A438" s="36">
        <f t="shared" si="65"/>
        <v>423</v>
      </c>
      <c r="B438" s="36">
        <f t="shared" ref="B438:B441" si="70">A$20</f>
        <v>12</v>
      </c>
      <c r="C438" s="36">
        <v>7</v>
      </c>
      <c r="D438" s="51" t="s">
        <v>300</v>
      </c>
      <c r="E438" s="37"/>
      <c r="F438" s="37"/>
      <c r="G438" s="1" t="s">
        <v>348</v>
      </c>
      <c r="J438" t="str">
        <f t="shared" si="64"/>
        <v>datatable[422] = new Array("423","12","Launch Operations","7","Rocket.png");</v>
      </c>
    </row>
    <row r="439" spans="1:10">
      <c r="A439" s="36">
        <f t="shared" si="65"/>
        <v>424</v>
      </c>
      <c r="B439" s="36">
        <f t="shared" si="70"/>
        <v>12</v>
      </c>
      <c r="C439" s="36">
        <v>7</v>
      </c>
      <c r="D439" s="51" t="s">
        <v>301</v>
      </c>
      <c r="E439" s="37"/>
      <c r="F439" s="37"/>
      <c r="G439" s="1" t="s">
        <v>348</v>
      </c>
      <c r="J439" t="str">
        <f t="shared" si="64"/>
        <v>datatable[423] = new Array("424","12","Launch Operations Support","7","Rocket.png");</v>
      </c>
    </row>
    <row r="440" spans="1:10">
      <c r="A440" s="36">
        <f t="shared" si="65"/>
        <v>425</v>
      </c>
      <c r="B440" s="36">
        <f t="shared" si="70"/>
        <v>12</v>
      </c>
      <c r="C440" s="36">
        <v>7</v>
      </c>
      <c r="D440" s="51" t="s">
        <v>302</v>
      </c>
      <c r="E440" s="37"/>
      <c r="F440" s="37"/>
      <c r="G440" s="1" t="s">
        <v>348</v>
      </c>
      <c r="J440" t="str">
        <f t="shared" si="64"/>
        <v>datatable[424] = new Array("425","12","Launch Vehicle Services","7","Rocket.png");</v>
      </c>
    </row>
    <row r="441" spans="1:10">
      <c r="A441" s="36">
        <f t="shared" si="65"/>
        <v>426</v>
      </c>
      <c r="B441" s="36">
        <f t="shared" si="70"/>
        <v>12</v>
      </c>
      <c r="C441" s="36">
        <v>7</v>
      </c>
      <c r="D441" s="51" t="s">
        <v>303</v>
      </c>
      <c r="E441" s="37"/>
      <c r="F441" s="37"/>
      <c r="G441" s="1" t="s">
        <v>348</v>
      </c>
      <c r="J441" t="str">
        <f t="shared" si="64"/>
        <v>datatable[425] = new Array("426","12","Launch Insurance","7","Rocket.png");</v>
      </c>
    </row>
    <row r="442" spans="1:10">
      <c r="A442" s="52">
        <f t="shared" si="65"/>
        <v>427</v>
      </c>
      <c r="B442" s="52">
        <f>A$21</f>
        <v>13</v>
      </c>
      <c r="C442" s="52">
        <v>7</v>
      </c>
      <c r="D442" s="53" t="s">
        <v>429</v>
      </c>
      <c r="E442" s="53"/>
      <c r="F442" s="53" t="s">
        <v>40</v>
      </c>
      <c r="G442" s="1" t="s">
        <v>404</v>
      </c>
      <c r="J442" t="str">
        <f t="shared" si="64"/>
        <v>datatable[426] = new Array("427","13","Ground Segment SEITPM","7","SEITPM.png");</v>
      </c>
    </row>
    <row r="443" spans="1:10">
      <c r="A443" s="52">
        <f t="shared" si="65"/>
        <v>428</v>
      </c>
      <c r="B443" s="52">
        <f>A$437</f>
        <v>422</v>
      </c>
      <c r="C443" s="52">
        <v>8</v>
      </c>
      <c r="D443" s="53" t="s">
        <v>68</v>
      </c>
      <c r="E443" s="53"/>
      <c r="F443" s="53" t="s">
        <v>41</v>
      </c>
      <c r="G443" s="1" t="s">
        <v>404</v>
      </c>
      <c r="J443" t="str">
        <f t="shared" si="64"/>
        <v>datatable[427] = new Array("428","422","Project Management","8","SEITPM.png");</v>
      </c>
    </row>
    <row r="444" spans="1:10">
      <c r="A444" s="52">
        <f t="shared" si="65"/>
        <v>429</v>
      </c>
      <c r="B444" s="52">
        <f t="shared" ref="B444:B447" si="71">A$437</f>
        <v>422</v>
      </c>
      <c r="C444" s="52">
        <v>8</v>
      </c>
      <c r="D444" s="53" t="s">
        <v>69</v>
      </c>
      <c r="E444" s="53"/>
      <c r="F444" s="53" t="s">
        <v>41</v>
      </c>
      <c r="G444" s="1" t="s">
        <v>404</v>
      </c>
      <c r="J444" t="str">
        <f t="shared" si="64"/>
        <v>datatable[428] = new Array("429","422","Systems Engineering","8","SEITPM.png");</v>
      </c>
    </row>
    <row r="445" spans="1:10">
      <c r="A445" s="52">
        <f t="shared" si="65"/>
        <v>430</v>
      </c>
      <c r="B445" s="52">
        <f t="shared" si="71"/>
        <v>422</v>
      </c>
      <c r="C445" s="52">
        <v>8</v>
      </c>
      <c r="D445" s="53" t="s">
        <v>70</v>
      </c>
      <c r="E445" s="53"/>
      <c r="F445" s="53" t="s">
        <v>41</v>
      </c>
      <c r="G445" s="1" t="s">
        <v>404</v>
      </c>
      <c r="J445" t="str">
        <f t="shared" si="64"/>
        <v>datatable[429] = new Array("430","422","Mission Assurance","8","SEITPM.png");</v>
      </c>
    </row>
    <row r="446" spans="1:10">
      <c r="A446" s="52">
        <f t="shared" si="65"/>
        <v>431</v>
      </c>
      <c r="B446" s="52">
        <f t="shared" si="71"/>
        <v>422</v>
      </c>
      <c r="C446" s="52">
        <v>8</v>
      </c>
      <c r="D446" s="53" t="s">
        <v>71</v>
      </c>
      <c r="E446" s="53"/>
      <c r="F446" s="53" t="s">
        <v>41</v>
      </c>
      <c r="G446" s="1" t="s">
        <v>404</v>
      </c>
      <c r="J446" t="str">
        <f t="shared" si="64"/>
        <v>datatable[430] = new Array("431","422","Assembly, Integration and Testing","8","SEITPM.png");</v>
      </c>
    </row>
    <row r="447" spans="1:10">
      <c r="A447" s="52">
        <f t="shared" si="65"/>
        <v>432</v>
      </c>
      <c r="B447" s="52">
        <f t="shared" si="71"/>
        <v>422</v>
      </c>
      <c r="C447" s="52">
        <v>8</v>
      </c>
      <c r="D447" s="53" t="s">
        <v>72</v>
      </c>
      <c r="E447" s="53"/>
      <c r="F447" s="53" t="s">
        <v>41</v>
      </c>
      <c r="G447" s="1" t="s">
        <v>404</v>
      </c>
      <c r="J447" t="str">
        <f t="shared" si="64"/>
        <v>datatable[431] = new Array("432","422","Support Equipment","8","SEITPM.png");</v>
      </c>
    </row>
    <row r="448" spans="1:10">
      <c r="A448" s="52">
        <f t="shared" si="65"/>
        <v>433</v>
      </c>
      <c r="B448" s="52">
        <f t="shared" ref="B448:B452" si="72">A$21</f>
        <v>13</v>
      </c>
      <c r="C448" s="52">
        <v>7</v>
      </c>
      <c r="D448" s="54" t="s">
        <v>430</v>
      </c>
      <c r="E448" s="53"/>
      <c r="F448" s="53"/>
      <c r="G448" s="1" t="s">
        <v>350</v>
      </c>
      <c r="J448" t="str">
        <f t="shared" si="64"/>
        <v>datatable[432] = new Array("433","13","Mission Control Centers","7","Facility.png");</v>
      </c>
    </row>
    <row r="449" spans="1:10">
      <c r="A449" s="52">
        <f t="shared" si="65"/>
        <v>434</v>
      </c>
      <c r="B449" s="52">
        <f t="shared" si="72"/>
        <v>13</v>
      </c>
      <c r="C449" s="52">
        <v>7</v>
      </c>
      <c r="D449" s="54" t="s">
        <v>431</v>
      </c>
      <c r="E449" s="53"/>
      <c r="F449" s="53"/>
      <c r="G449" s="1" t="s">
        <v>350</v>
      </c>
      <c r="J449" t="str">
        <f t="shared" si="64"/>
        <v>datatable[433] = new Array("434","13","Science / Data Ops Centers","7","Facility.png");</v>
      </c>
    </row>
    <row r="450" spans="1:10">
      <c r="A450" s="52">
        <f t="shared" si="65"/>
        <v>435</v>
      </c>
      <c r="B450" s="52">
        <f t="shared" si="72"/>
        <v>13</v>
      </c>
      <c r="C450" s="52">
        <v>7</v>
      </c>
      <c r="D450" s="54" t="s">
        <v>432</v>
      </c>
      <c r="E450" s="53"/>
      <c r="F450" s="53"/>
      <c r="G450" s="1" t="s">
        <v>350</v>
      </c>
      <c r="J450" t="str">
        <f t="shared" si="64"/>
        <v>datatable[434] = new Array("435","13","Terminals and Data Networks – incl Antennas ","7","Facility.png");</v>
      </c>
    </row>
    <row r="451" spans="1:10">
      <c r="A451" s="52">
        <f t="shared" si="65"/>
        <v>436</v>
      </c>
      <c r="B451" s="52">
        <f t="shared" si="72"/>
        <v>13</v>
      </c>
      <c r="C451" s="52">
        <v>7</v>
      </c>
      <c r="D451" s="54" t="s">
        <v>433</v>
      </c>
      <c r="E451" s="53"/>
      <c r="F451" s="53"/>
      <c r="G451" s="1" t="s">
        <v>350</v>
      </c>
      <c r="J451" t="str">
        <f t="shared" si="64"/>
        <v>datatable[435] = new Array("436","13","Data Distribution &amp; Archival ","7","Facility.png");</v>
      </c>
    </row>
    <row r="452" spans="1:10">
      <c r="A452" s="52">
        <f t="shared" si="65"/>
        <v>437</v>
      </c>
      <c r="B452" s="52">
        <f t="shared" si="72"/>
        <v>13</v>
      </c>
      <c r="C452" s="52">
        <v>7</v>
      </c>
      <c r="D452" s="54" t="s">
        <v>434</v>
      </c>
      <c r="E452" s="53"/>
      <c r="F452" s="53"/>
      <c r="G452" s="1" t="s">
        <v>350</v>
      </c>
      <c r="J452" t="str">
        <f t="shared" si="64"/>
        <v>datatable[436] = new Array("437","13","Training Facilities ","7","Facility.png");</v>
      </c>
    </row>
    <row r="453" spans="1:10">
      <c r="A453" s="52">
        <f t="shared" si="65"/>
        <v>438</v>
      </c>
      <c r="B453" s="52">
        <f>A448</f>
        <v>433</v>
      </c>
      <c r="C453" s="52">
        <v>8</v>
      </c>
      <c r="D453" s="54" t="s">
        <v>435</v>
      </c>
      <c r="E453" s="53"/>
      <c r="F453" s="53"/>
      <c r="G453" s="1" t="s">
        <v>350</v>
      </c>
      <c r="J453" t="str">
        <f t="shared" si="64"/>
        <v>datatable[437] = new Array("438","433","CSA Mission Control","8","Facility.png");</v>
      </c>
    </row>
    <row r="454" spans="1:10">
      <c r="A454" s="52">
        <f t="shared" si="65"/>
        <v>439</v>
      </c>
      <c r="B454" s="52">
        <f>A453</f>
        <v>438</v>
      </c>
      <c r="C454" s="52">
        <v>9</v>
      </c>
      <c r="D454" s="54" t="s">
        <v>436</v>
      </c>
      <c r="E454" s="53"/>
      <c r="F454" s="53"/>
      <c r="G454" s="1" t="s">
        <v>350</v>
      </c>
      <c r="J454" t="str">
        <f t="shared" si="64"/>
        <v>datatable[438] = new Array("439","438","SatOps Mission Control Complex at JHCSC ","9","Facility.png");</v>
      </c>
    </row>
    <row r="455" spans="1:10">
      <c r="A455" s="52">
        <f t="shared" si="65"/>
        <v>440</v>
      </c>
      <c r="B455" s="52">
        <f>A453</f>
        <v>438</v>
      </c>
      <c r="C455" s="52">
        <v>9</v>
      </c>
      <c r="D455" s="54" t="s">
        <v>437</v>
      </c>
      <c r="E455" s="53"/>
      <c r="F455" s="53"/>
      <c r="G455" s="1" t="s">
        <v>350</v>
      </c>
      <c r="J455" t="str">
        <f t="shared" si="64"/>
        <v>datatable[439] = new Array("440","438","ISS Mission Operations Complex","9","Facility.png");</v>
      </c>
    </row>
    <row r="456" spans="1:10">
      <c r="A456" s="52">
        <f t="shared" si="65"/>
        <v>441</v>
      </c>
      <c r="B456" s="52">
        <f>A448</f>
        <v>433</v>
      </c>
      <c r="C456" s="52">
        <v>8</v>
      </c>
      <c r="D456" s="54" t="s">
        <v>438</v>
      </c>
      <c r="E456" s="53"/>
      <c r="F456" s="53"/>
      <c r="G456" s="1" t="s">
        <v>350</v>
      </c>
      <c r="J456" t="str">
        <f t="shared" si="64"/>
        <v>datatable[440] = new Array("441","433","NASA Mission Operations Complex","8","Facility.png");</v>
      </c>
    </row>
    <row r="457" spans="1:10">
      <c r="A457" s="52">
        <f t="shared" si="65"/>
        <v>442</v>
      </c>
      <c r="B457" s="52">
        <f>A$450</f>
        <v>435</v>
      </c>
      <c r="C457" s="52">
        <v>10</v>
      </c>
      <c r="D457" s="54" t="s">
        <v>439</v>
      </c>
      <c r="E457" s="53"/>
      <c r="F457" s="53"/>
      <c r="G457" s="1" t="s">
        <v>350</v>
      </c>
      <c r="J457" t="str">
        <f t="shared" si="64"/>
        <v>datatable[441] = new Array("442","435","RMPSR","10","Facility.png");</v>
      </c>
    </row>
    <row r="458" spans="1:10">
      <c r="A458" s="52">
        <f t="shared" si="65"/>
        <v>443</v>
      </c>
      <c r="B458" s="52">
        <f t="shared" ref="B458:B459" si="73">A$450</f>
        <v>435</v>
      </c>
      <c r="C458" s="52">
        <v>10</v>
      </c>
      <c r="D458" s="54" t="s">
        <v>440</v>
      </c>
      <c r="E458" s="53"/>
      <c r="F458" s="53"/>
      <c r="G458" s="1" t="s">
        <v>350</v>
      </c>
      <c r="J458" t="str">
        <f t="shared" si="64"/>
        <v>datatable[442] = new Array("443","435","OEC","10","Facility.png");</v>
      </c>
    </row>
    <row r="459" spans="1:10">
      <c r="A459" s="52">
        <f t="shared" si="65"/>
        <v>444</v>
      </c>
      <c r="B459" s="52">
        <f t="shared" si="73"/>
        <v>435</v>
      </c>
      <c r="C459" s="52">
        <v>10</v>
      </c>
      <c r="D459" s="54" t="s">
        <v>441</v>
      </c>
      <c r="E459" s="53"/>
      <c r="F459" s="53"/>
      <c r="G459" s="1" t="s">
        <v>350</v>
      </c>
      <c r="J459" t="str">
        <f t="shared" ref="J459:J506" si="74">"datatable["&amp;A459-1&amp;"] = new Array(""" &amp; A459 &amp;""",""" &amp; B459 &amp;""",""" &amp; D459 &amp; """,""" &amp; C459&amp;""","""&amp;""&amp;G459&amp;""");"</f>
        <v>datatable[443] = new Array("444","435","PTOC","10","Facility.png");</v>
      </c>
    </row>
    <row r="460" spans="1:10">
      <c r="A460" s="52">
        <f t="shared" ref="A460:A506" si="75">A459+1</f>
        <v>445</v>
      </c>
      <c r="B460" s="52">
        <f>A454</f>
        <v>439</v>
      </c>
      <c r="C460" s="52">
        <v>10</v>
      </c>
      <c r="D460" s="53" t="s">
        <v>442</v>
      </c>
      <c r="E460" s="53"/>
      <c r="F460" s="53" t="s">
        <v>40</v>
      </c>
      <c r="G460" s="1" t="s">
        <v>404</v>
      </c>
      <c r="J460" t="str">
        <f t="shared" si="74"/>
        <v>datatable[444] = new Array("445","439","SatOps Mission control SEITPM","10","SEITPM.png");</v>
      </c>
    </row>
    <row r="461" spans="1:10">
      <c r="A461" s="52">
        <f t="shared" si="75"/>
        <v>446</v>
      </c>
      <c r="B461" s="52">
        <f>A$455</f>
        <v>440</v>
      </c>
      <c r="C461" s="52">
        <v>11</v>
      </c>
      <c r="D461" s="53" t="s">
        <v>68</v>
      </c>
      <c r="E461" s="53"/>
      <c r="F461" s="53" t="s">
        <v>41</v>
      </c>
      <c r="G461" s="1" t="s">
        <v>404</v>
      </c>
      <c r="J461" t="str">
        <f t="shared" si="74"/>
        <v>datatable[445] = new Array("446","440","Project Management","11","SEITPM.png");</v>
      </c>
    </row>
    <row r="462" spans="1:10">
      <c r="A462" s="52">
        <f t="shared" si="75"/>
        <v>447</v>
      </c>
      <c r="B462" s="52">
        <f t="shared" ref="B462:B465" si="76">A$455</f>
        <v>440</v>
      </c>
      <c r="C462" s="52">
        <v>11</v>
      </c>
      <c r="D462" s="53" t="s">
        <v>69</v>
      </c>
      <c r="E462" s="53"/>
      <c r="F462" s="53" t="s">
        <v>41</v>
      </c>
      <c r="G462" s="1" t="s">
        <v>404</v>
      </c>
      <c r="J462" t="str">
        <f t="shared" si="74"/>
        <v>datatable[446] = new Array("447","440","Systems Engineering","11","SEITPM.png");</v>
      </c>
    </row>
    <row r="463" spans="1:10">
      <c r="A463" s="52">
        <f t="shared" si="75"/>
        <v>448</v>
      </c>
      <c r="B463" s="52">
        <f t="shared" si="76"/>
        <v>440</v>
      </c>
      <c r="C463" s="52">
        <v>11</v>
      </c>
      <c r="D463" s="53" t="s">
        <v>70</v>
      </c>
      <c r="E463" s="53"/>
      <c r="F463" s="53" t="s">
        <v>41</v>
      </c>
      <c r="G463" s="1" t="s">
        <v>404</v>
      </c>
      <c r="J463" t="str">
        <f t="shared" si="74"/>
        <v>datatable[447] = new Array("448","440","Mission Assurance","11","SEITPM.png");</v>
      </c>
    </row>
    <row r="464" spans="1:10">
      <c r="A464" s="52">
        <f t="shared" si="75"/>
        <v>449</v>
      </c>
      <c r="B464" s="52">
        <f t="shared" si="76"/>
        <v>440</v>
      </c>
      <c r="C464" s="52">
        <v>11</v>
      </c>
      <c r="D464" s="53" t="s">
        <v>71</v>
      </c>
      <c r="E464" s="53"/>
      <c r="F464" s="53" t="s">
        <v>41</v>
      </c>
      <c r="G464" s="1" t="s">
        <v>404</v>
      </c>
      <c r="J464" t="str">
        <f t="shared" si="74"/>
        <v>datatable[448] = new Array("449","440","Assembly, Integration and Testing","11","SEITPM.png");</v>
      </c>
    </row>
    <row r="465" spans="1:10">
      <c r="A465" s="52">
        <f t="shared" si="75"/>
        <v>450</v>
      </c>
      <c r="B465" s="52">
        <f t="shared" si="76"/>
        <v>440</v>
      </c>
      <c r="C465" s="52">
        <v>11</v>
      </c>
      <c r="D465" s="53" t="s">
        <v>72</v>
      </c>
      <c r="E465" s="53"/>
      <c r="F465" s="53" t="s">
        <v>41</v>
      </c>
      <c r="G465" s="1" t="s">
        <v>404</v>
      </c>
      <c r="J465" t="str">
        <f t="shared" si="74"/>
        <v>datatable[449] = new Array("450","440","Support Equipment","11","SEITPM.png");</v>
      </c>
    </row>
    <row r="466" spans="1:10">
      <c r="A466" s="52">
        <f>A465+1</f>
        <v>451</v>
      </c>
      <c r="B466" s="52">
        <f>A$449</f>
        <v>434</v>
      </c>
      <c r="C466" s="52">
        <v>10</v>
      </c>
      <c r="D466" s="53" t="s">
        <v>443</v>
      </c>
      <c r="E466" s="53"/>
      <c r="F466" s="53"/>
      <c r="G466" s="1" t="s">
        <v>350</v>
      </c>
      <c r="J466" t="str">
        <f t="shared" si="74"/>
        <v>datatable[450] = new Array("451","434","Hardware Components","10","Facility.png");</v>
      </c>
    </row>
    <row r="467" spans="1:10">
      <c r="A467" s="52">
        <f t="shared" si="75"/>
        <v>452</v>
      </c>
      <c r="B467" s="52">
        <f>A$461</f>
        <v>446</v>
      </c>
      <c r="C467" s="52">
        <v>11</v>
      </c>
      <c r="D467" s="55" t="s">
        <v>444</v>
      </c>
      <c r="E467" s="53"/>
      <c r="F467" s="53"/>
      <c r="G467" s="1" t="s">
        <v>350</v>
      </c>
      <c r="J467" t="str">
        <f t="shared" si="74"/>
        <v>datatable[451] = new Array("452","446","Workstations","11","Facility.png");</v>
      </c>
    </row>
    <row r="468" spans="1:10">
      <c r="A468" s="52">
        <f t="shared" si="75"/>
        <v>453</v>
      </c>
      <c r="B468" s="52">
        <f t="shared" ref="B468:B476" si="77">A$461</f>
        <v>446</v>
      </c>
      <c r="C468" s="52">
        <v>11</v>
      </c>
      <c r="D468" s="55" t="s">
        <v>445</v>
      </c>
      <c r="E468" s="53"/>
      <c r="F468" s="53"/>
      <c r="G468" s="1" t="s">
        <v>350</v>
      </c>
      <c r="J468" t="str">
        <f t="shared" si="74"/>
        <v>datatable[452] = new Array("453","446","Servers","11","Facility.png");</v>
      </c>
    </row>
    <row r="469" spans="1:10">
      <c r="A469" s="52">
        <f t="shared" si="75"/>
        <v>454</v>
      </c>
      <c r="B469" s="52">
        <f t="shared" si="77"/>
        <v>446</v>
      </c>
      <c r="C469" s="52">
        <v>11</v>
      </c>
      <c r="D469" s="55" t="s">
        <v>446</v>
      </c>
      <c r="E469" s="53"/>
      <c r="F469" s="53"/>
      <c r="G469" s="1" t="s">
        <v>350</v>
      </c>
      <c r="J469" t="str">
        <f t="shared" si="74"/>
        <v>datatable[453] = new Array("454","446","Storage and Archive","11","Facility.png");</v>
      </c>
    </row>
    <row r="470" spans="1:10">
      <c r="A470" s="52">
        <f t="shared" si="75"/>
        <v>455</v>
      </c>
      <c r="B470" s="52">
        <f t="shared" si="77"/>
        <v>446</v>
      </c>
      <c r="C470" s="52">
        <v>11</v>
      </c>
      <c r="D470" s="55" t="s">
        <v>447</v>
      </c>
      <c r="E470" s="53"/>
      <c r="F470" s="53"/>
      <c r="G470" s="1" t="s">
        <v>350</v>
      </c>
      <c r="J470" t="str">
        <f t="shared" si="74"/>
        <v>datatable[454] = new Array("455","446","Network Equipment","11","Facility.png");</v>
      </c>
    </row>
    <row r="471" spans="1:10">
      <c r="A471" s="52">
        <f t="shared" si="75"/>
        <v>456</v>
      </c>
      <c r="B471" s="52">
        <f t="shared" si="77"/>
        <v>446</v>
      </c>
      <c r="C471" s="52">
        <v>11</v>
      </c>
      <c r="D471" s="55" t="s">
        <v>448</v>
      </c>
      <c r="E471" s="53"/>
      <c r="F471" s="53"/>
      <c r="G471" s="1" t="s">
        <v>350</v>
      </c>
      <c r="J471" t="str">
        <f t="shared" si="74"/>
        <v>datatable[455] = new Array("456","446","Interface Equipment","11","Facility.png");</v>
      </c>
    </row>
    <row r="472" spans="1:10">
      <c r="A472" s="52">
        <f t="shared" si="75"/>
        <v>457</v>
      </c>
      <c r="B472" s="52">
        <f t="shared" si="77"/>
        <v>446</v>
      </c>
      <c r="C472" s="52">
        <v>11</v>
      </c>
      <c r="D472" s="55" t="s">
        <v>449</v>
      </c>
      <c r="E472" s="53"/>
      <c r="F472" s="53"/>
      <c r="G472" s="1" t="s">
        <v>350</v>
      </c>
      <c r="J472" t="str">
        <f t="shared" si="74"/>
        <v>datatable[456] = new Array("457","446","Security Encryption/Decryption","11","Facility.png");</v>
      </c>
    </row>
    <row r="473" spans="1:10">
      <c r="A473" s="52">
        <f t="shared" si="75"/>
        <v>458</v>
      </c>
      <c r="B473" s="52">
        <f t="shared" si="77"/>
        <v>446</v>
      </c>
      <c r="C473" s="52">
        <v>11</v>
      </c>
      <c r="D473" s="55" t="s">
        <v>450</v>
      </c>
      <c r="E473" s="53"/>
      <c r="F473" s="53"/>
      <c r="G473" s="1" t="s">
        <v>350</v>
      </c>
      <c r="J473" t="str">
        <f t="shared" si="74"/>
        <v>datatable[457] = new Array("458","446","Data Processing","11","Facility.png");</v>
      </c>
    </row>
    <row r="474" spans="1:10">
      <c r="A474" s="52">
        <f t="shared" si="75"/>
        <v>459</v>
      </c>
      <c r="B474" s="52">
        <f t="shared" si="77"/>
        <v>446</v>
      </c>
      <c r="C474" s="52">
        <v>11</v>
      </c>
      <c r="D474" s="55" t="s">
        <v>451</v>
      </c>
      <c r="E474" s="53"/>
      <c r="F474" s="53"/>
      <c r="G474" s="1" t="s">
        <v>350</v>
      </c>
      <c r="J474" t="str">
        <f t="shared" si="74"/>
        <v>datatable[458] = new Array("459","446","COTS Hardware Other (Specify)","11","Facility.png");</v>
      </c>
    </row>
    <row r="475" spans="1:10">
      <c r="A475" s="52">
        <f t="shared" si="75"/>
        <v>460</v>
      </c>
      <c r="B475" s="52">
        <f t="shared" si="77"/>
        <v>446</v>
      </c>
      <c r="C475" s="52">
        <v>11</v>
      </c>
      <c r="D475" s="55" t="s">
        <v>452</v>
      </c>
      <c r="E475" s="53"/>
      <c r="F475" s="53"/>
      <c r="G475" s="1" t="s">
        <v>350</v>
      </c>
      <c r="J475" t="str">
        <f t="shared" si="74"/>
        <v>datatable[459] = new Array("460","446","Pre-Operations Maintenance (Specify)","11","Facility.png");</v>
      </c>
    </row>
    <row r="476" spans="1:10">
      <c r="A476" s="52">
        <f t="shared" si="75"/>
        <v>461</v>
      </c>
      <c r="B476" s="52">
        <f t="shared" si="77"/>
        <v>446</v>
      </c>
      <c r="C476" s="52">
        <v>11</v>
      </c>
      <c r="D476" s="55" t="s">
        <v>453</v>
      </c>
      <c r="E476" s="53"/>
      <c r="F476" s="53"/>
      <c r="G476" s="1" t="s">
        <v>350</v>
      </c>
      <c r="J476" t="str">
        <f t="shared" si="74"/>
        <v>datatable[460] = new Array("461","446","Environments","11","Facility.png");</v>
      </c>
    </row>
    <row r="477" spans="1:10">
      <c r="A477" s="52">
        <f t="shared" si="75"/>
        <v>462</v>
      </c>
      <c r="B477" s="52">
        <f>A$449</f>
        <v>434</v>
      </c>
      <c r="C477" s="52">
        <v>10</v>
      </c>
      <c r="D477" s="54" t="s">
        <v>454</v>
      </c>
      <c r="E477" s="53"/>
      <c r="F477" s="53"/>
      <c r="G477" s="1" t="s">
        <v>350</v>
      </c>
      <c r="J477" t="str">
        <f t="shared" si="74"/>
        <v>datatable[461] = new Array("462","434","SatOps GS Software","10","Facility.png");</v>
      </c>
    </row>
    <row r="478" spans="1:10">
      <c r="A478" s="52">
        <f t="shared" si="75"/>
        <v>463</v>
      </c>
      <c r="B478" s="52">
        <f>A477</f>
        <v>462</v>
      </c>
      <c r="C478" s="52">
        <v>11</v>
      </c>
      <c r="D478" s="55" t="s">
        <v>455</v>
      </c>
      <c r="E478" s="53"/>
      <c r="F478" s="53"/>
      <c r="G478" s="1" t="s">
        <v>350</v>
      </c>
      <c r="J478" t="str">
        <f t="shared" si="74"/>
        <v>datatable[462] = new Array("463","462","SW CSCI","11","Facility.png");</v>
      </c>
    </row>
    <row r="479" spans="1:10">
      <c r="A479" s="52">
        <f t="shared" si="75"/>
        <v>464</v>
      </c>
      <c r="B479" s="52">
        <f>A$444</f>
        <v>429</v>
      </c>
      <c r="C479" s="52">
        <v>8</v>
      </c>
      <c r="D479" s="56" t="s">
        <v>456</v>
      </c>
      <c r="E479" s="53"/>
      <c r="F479" s="53"/>
      <c r="G479" s="1" t="s">
        <v>350</v>
      </c>
      <c r="J479" t="str">
        <f t="shared" si="74"/>
        <v>datatable[463] = new Array("464","429","NASA Science Operations Centers","8","Facility.png");</v>
      </c>
    </row>
    <row r="480" spans="1:10">
      <c r="A480" s="52">
        <f t="shared" si="75"/>
        <v>465</v>
      </c>
      <c r="B480" s="52">
        <f t="shared" ref="B480:B482" si="78">A$444</f>
        <v>429</v>
      </c>
      <c r="C480" s="52">
        <v>8</v>
      </c>
      <c r="D480" s="56" t="s">
        <v>457</v>
      </c>
      <c r="E480" s="53"/>
      <c r="F480" s="53"/>
      <c r="G480" s="1" t="s">
        <v>350</v>
      </c>
      <c r="J480" t="str">
        <f t="shared" si="74"/>
        <v>datatable[464] = new Array("465","429","HPC (High Performance Computing)","8","Facility.png");</v>
      </c>
    </row>
    <row r="481" spans="1:10">
      <c r="A481" s="52">
        <f t="shared" si="75"/>
        <v>466</v>
      </c>
      <c r="B481" s="52">
        <f t="shared" si="78"/>
        <v>429</v>
      </c>
      <c r="C481" s="52">
        <v>8</v>
      </c>
      <c r="D481" s="56" t="s">
        <v>458</v>
      </c>
      <c r="E481" s="53"/>
      <c r="F481" s="53"/>
      <c r="G481" s="1" t="s">
        <v>350</v>
      </c>
      <c r="J481" t="str">
        <f t="shared" si="74"/>
        <v>datatable[465] = new Array("466","429","Geospace Observatory","8","Facility.png");</v>
      </c>
    </row>
    <row r="482" spans="1:10">
      <c r="A482" s="52">
        <f t="shared" si="75"/>
        <v>467</v>
      </c>
      <c r="B482" s="52">
        <f t="shared" si="78"/>
        <v>429</v>
      </c>
      <c r="C482" s="52">
        <v>8</v>
      </c>
      <c r="D482" s="56" t="s">
        <v>459</v>
      </c>
      <c r="E482" s="53"/>
      <c r="F482" s="53"/>
      <c r="G482" s="1" t="s">
        <v>350</v>
      </c>
      <c r="J482" t="str">
        <f t="shared" si="74"/>
        <v>datatable[466] = new Array("467","429","Other SODC (specify)","8","Facility.png");</v>
      </c>
    </row>
    <row r="483" spans="1:10">
      <c r="A483" s="52">
        <f t="shared" si="75"/>
        <v>468</v>
      </c>
      <c r="B483" s="52">
        <f>A450</f>
        <v>435</v>
      </c>
      <c r="C483" s="52">
        <v>8</v>
      </c>
      <c r="D483" s="56" t="s">
        <v>460</v>
      </c>
      <c r="E483" s="53"/>
      <c r="F483" s="53"/>
      <c r="G483" s="1" t="s">
        <v>350</v>
      </c>
      <c r="J483" t="str">
        <f t="shared" si="74"/>
        <v>datatable[467] = new Array("468","435"," CSA Terminals and Antennas","8","Facility.png");</v>
      </c>
    </row>
    <row r="484" spans="1:10">
      <c r="A484" s="52">
        <f t="shared" si="75"/>
        <v>469</v>
      </c>
      <c r="B484" s="52">
        <f>A$478</f>
        <v>463</v>
      </c>
      <c r="C484" s="52">
        <v>9</v>
      </c>
      <c r="D484" s="56" t="s">
        <v>461</v>
      </c>
      <c r="E484" s="53"/>
      <c r="F484" s="53"/>
      <c r="G484" s="1" t="s">
        <v>350</v>
      </c>
      <c r="J484" t="str">
        <f t="shared" si="74"/>
        <v>datatable[468] = new Array("469","463","CSA St-Hubert Antenna","9","Facility.png");</v>
      </c>
    </row>
    <row r="485" spans="1:10">
      <c r="A485" s="52">
        <f t="shared" si="75"/>
        <v>470</v>
      </c>
      <c r="B485" s="52">
        <f t="shared" ref="B485:B487" si="79">A$478</f>
        <v>463</v>
      </c>
      <c r="C485" s="52">
        <v>9</v>
      </c>
      <c r="D485" s="56" t="s">
        <v>462</v>
      </c>
      <c r="E485" s="53"/>
      <c r="F485" s="53"/>
      <c r="G485" s="1" t="s">
        <v>350</v>
      </c>
      <c r="J485" t="str">
        <f t="shared" si="74"/>
        <v>datatable[469] = new Array("470","463","Ferme Yves Bachand Antenna","9","Facility.png");</v>
      </c>
    </row>
    <row r="486" spans="1:10">
      <c r="A486" s="52">
        <f t="shared" si="75"/>
        <v>471</v>
      </c>
      <c r="B486" s="52">
        <f t="shared" si="79"/>
        <v>463</v>
      </c>
      <c r="C486" s="52">
        <v>9</v>
      </c>
      <c r="D486" s="56" t="s">
        <v>463</v>
      </c>
      <c r="E486" s="53"/>
      <c r="F486" s="53"/>
      <c r="G486" s="1" t="s">
        <v>350</v>
      </c>
      <c r="J486" t="str">
        <f t="shared" si="74"/>
        <v>datatable[470] = new Array("471","463","Ferme Beldor Antenna","9","Facility.png");</v>
      </c>
    </row>
    <row r="487" spans="1:10">
      <c r="A487" s="52">
        <f t="shared" si="75"/>
        <v>472</v>
      </c>
      <c r="B487" s="52">
        <f t="shared" si="79"/>
        <v>463</v>
      </c>
      <c r="C487" s="52">
        <v>9</v>
      </c>
      <c r="D487" s="56" t="s">
        <v>464</v>
      </c>
      <c r="E487" s="53"/>
      <c r="F487" s="53"/>
      <c r="G487" s="1" t="s">
        <v>350</v>
      </c>
      <c r="J487" t="str">
        <f t="shared" si="74"/>
        <v>datatable[471] = new Array("472","463","Transponder","9","Facility.png");</v>
      </c>
    </row>
    <row r="488" spans="1:10">
      <c r="A488" s="52">
        <f t="shared" si="75"/>
        <v>473</v>
      </c>
      <c r="B488" s="52">
        <f>A$446</f>
        <v>431</v>
      </c>
      <c r="C488" s="52">
        <v>8</v>
      </c>
      <c r="D488" s="56" t="s">
        <v>465</v>
      </c>
      <c r="E488" s="53"/>
      <c r="F488" s="53"/>
      <c r="G488" s="1" t="s">
        <v>350</v>
      </c>
      <c r="J488" t="str">
        <f t="shared" si="74"/>
        <v>datatable[472] = new Array("473","431","Digital Earth Canada","8","Facility.png");</v>
      </c>
    </row>
    <row r="489" spans="1:10">
      <c r="A489" s="52">
        <f t="shared" si="75"/>
        <v>474</v>
      </c>
      <c r="B489" s="52">
        <f t="shared" ref="B489:B492" si="80">A$446</f>
        <v>431</v>
      </c>
      <c r="C489" s="52">
        <v>8</v>
      </c>
      <c r="D489" s="56" t="s">
        <v>466</v>
      </c>
      <c r="E489" s="53"/>
      <c r="F489" s="53"/>
      <c r="G489" s="1" t="s">
        <v>350</v>
      </c>
      <c r="J489" t="str">
        <f t="shared" si="74"/>
        <v>datatable[473] = new Array("474","431","Federal Geospatial Platform (FGP)","8","Facility.png");</v>
      </c>
    </row>
    <row r="490" spans="1:10">
      <c r="A490" s="52">
        <f t="shared" si="75"/>
        <v>475</v>
      </c>
      <c r="B490" s="52">
        <f t="shared" si="80"/>
        <v>431</v>
      </c>
      <c r="C490" s="52">
        <v>8</v>
      </c>
      <c r="D490" s="56" t="s">
        <v>467</v>
      </c>
      <c r="E490" s="53"/>
      <c r="F490" s="53"/>
      <c r="G490" s="1" t="s">
        <v>350</v>
      </c>
      <c r="J490" t="str">
        <f t="shared" si="74"/>
        <v>datatable[474] = new Array("475","431","EODMS","8","Facility.png");</v>
      </c>
    </row>
    <row r="491" spans="1:10">
      <c r="A491" s="52">
        <f t="shared" si="75"/>
        <v>476</v>
      </c>
      <c r="B491" s="52">
        <f t="shared" si="80"/>
        <v>431</v>
      </c>
      <c r="C491" s="52">
        <v>8</v>
      </c>
      <c r="D491" s="56" t="s">
        <v>468</v>
      </c>
      <c r="E491" s="53"/>
      <c r="F491" s="53"/>
      <c r="G491" s="1" t="s">
        <v>350</v>
      </c>
      <c r="J491" t="str">
        <f t="shared" si="74"/>
        <v>datatable[475] = new Array("476","431","Canadian Astronomy Data Centre","8","Facility.png");</v>
      </c>
    </row>
    <row r="492" spans="1:10">
      <c r="A492" s="52">
        <f t="shared" si="75"/>
        <v>477</v>
      </c>
      <c r="B492" s="52">
        <f t="shared" si="80"/>
        <v>431</v>
      </c>
      <c r="C492" s="52">
        <v>8</v>
      </c>
      <c r="D492" s="56" t="s">
        <v>469</v>
      </c>
      <c r="E492" s="53"/>
      <c r="F492" s="53"/>
      <c r="G492" s="1" t="s">
        <v>350</v>
      </c>
      <c r="J492" t="str">
        <f t="shared" si="74"/>
        <v>datatable[476] = new Array("477","431","NASA Data Distribution &amp; Archival","8","Facility.png");</v>
      </c>
    </row>
    <row r="493" spans="1:10">
      <c r="A493" s="52">
        <f t="shared" si="75"/>
        <v>478</v>
      </c>
      <c r="B493" s="52">
        <f>A452</f>
        <v>437</v>
      </c>
      <c r="C493" s="52">
        <v>8</v>
      </c>
      <c r="D493" s="56" t="s">
        <v>470</v>
      </c>
      <c r="E493" s="53"/>
      <c r="F493" s="53"/>
      <c r="G493" s="1" t="s">
        <v>350</v>
      </c>
      <c r="J493" t="str">
        <f t="shared" si="74"/>
        <v>datatable[477] = new Array("478","437","MMLC","8","Facility.png");</v>
      </c>
    </row>
    <row r="494" spans="1:10">
      <c r="A494" s="52">
        <f t="shared" si="75"/>
        <v>479</v>
      </c>
      <c r="B494" s="52">
        <f>A452</f>
        <v>437</v>
      </c>
      <c r="C494" s="52">
        <v>8</v>
      </c>
      <c r="D494" s="56" t="s">
        <v>471</v>
      </c>
      <c r="E494" s="53"/>
      <c r="F494" s="53"/>
      <c r="G494" s="1" t="s">
        <v>350</v>
      </c>
      <c r="J494" t="str">
        <f t="shared" si="74"/>
        <v>datatable[478] = new Array("479","437","MOTS","8","Facility.png");</v>
      </c>
    </row>
    <row r="495" spans="1:10">
      <c r="A495" s="57">
        <f t="shared" si="75"/>
        <v>480</v>
      </c>
      <c r="B495" s="57">
        <f>A$22</f>
        <v>14</v>
      </c>
      <c r="C495" s="57">
        <v>7</v>
      </c>
      <c r="D495" s="58" t="s">
        <v>472</v>
      </c>
      <c r="E495" s="58"/>
      <c r="F495" s="59"/>
      <c r="G495" s="1" t="s">
        <v>352</v>
      </c>
      <c r="J495" t="str">
        <f t="shared" si="74"/>
        <v>datatable[479] = new Array("480","14","CSA Mission Operations","7","Ops.png");</v>
      </c>
    </row>
    <row r="496" spans="1:10">
      <c r="A496" s="57">
        <f t="shared" si="75"/>
        <v>481</v>
      </c>
      <c r="B496" s="57">
        <f>A$490</f>
        <v>475</v>
      </c>
      <c r="C496" s="57">
        <v>8</v>
      </c>
      <c r="D496" s="58" t="s">
        <v>473</v>
      </c>
      <c r="E496" s="58"/>
      <c r="F496" s="59"/>
      <c r="G496" s="1" t="s">
        <v>352</v>
      </c>
      <c r="J496" t="str">
        <f t="shared" si="74"/>
        <v>datatable[480] = new Array("481","475","CSA SatOps","8","Ops.png");</v>
      </c>
    </row>
    <row r="497" spans="1:10">
      <c r="A497" s="57">
        <f t="shared" si="75"/>
        <v>482</v>
      </c>
      <c r="B497" s="57">
        <f t="shared" ref="B497" si="81">A$490</f>
        <v>475</v>
      </c>
      <c r="C497" s="57">
        <v>8</v>
      </c>
      <c r="D497" s="58" t="s">
        <v>474</v>
      </c>
      <c r="E497" s="58"/>
      <c r="F497" s="59"/>
      <c r="G497" s="1" t="s">
        <v>352</v>
      </c>
      <c r="J497" t="str">
        <f t="shared" si="74"/>
        <v>datatable[481] = new Array("482","475","CSA ISS Ops","8","Ops.png");</v>
      </c>
    </row>
    <row r="498" spans="1:10">
      <c r="A498" s="57">
        <f t="shared" si="75"/>
        <v>483</v>
      </c>
      <c r="B498" s="57">
        <f>A$490</f>
        <v>475</v>
      </c>
      <c r="C498" s="57">
        <v>8</v>
      </c>
      <c r="D498" s="58" t="s">
        <v>475</v>
      </c>
      <c r="E498" s="58"/>
      <c r="F498" s="59"/>
      <c r="G498" s="1" t="s">
        <v>352</v>
      </c>
      <c r="J498" t="str">
        <f t="shared" si="74"/>
        <v>datatable[482] = new Array("483","475","CSA ISS Sustaining Engineering","8","Ops.png");</v>
      </c>
    </row>
    <row r="499" spans="1:10">
      <c r="A499" s="57">
        <f t="shared" si="75"/>
        <v>484</v>
      </c>
      <c r="B499" s="57">
        <f t="shared" ref="B499:B500" si="82">A$22</f>
        <v>14</v>
      </c>
      <c r="C499" s="57">
        <v>7</v>
      </c>
      <c r="D499" s="58" t="s">
        <v>476</v>
      </c>
      <c r="E499" s="58"/>
      <c r="F499" s="59"/>
      <c r="G499" s="1" t="s">
        <v>352</v>
      </c>
      <c r="J499" t="str">
        <f t="shared" si="74"/>
        <v>datatable[483] = new Array("484","14","NASA Mission Operations","7","Ops.png");</v>
      </c>
    </row>
    <row r="500" spans="1:10">
      <c r="A500" s="57">
        <f t="shared" si="75"/>
        <v>485</v>
      </c>
      <c r="B500" s="57">
        <f t="shared" si="82"/>
        <v>14</v>
      </c>
      <c r="C500" s="57">
        <v>7</v>
      </c>
      <c r="D500" s="58" t="s">
        <v>477</v>
      </c>
      <c r="E500" s="59"/>
      <c r="F500" s="59"/>
      <c r="G500" s="1" t="s">
        <v>352</v>
      </c>
      <c r="J500" t="str">
        <f t="shared" si="74"/>
        <v>datatable[484] = new Array("485","14","Industry Partners (Specify)","7","Ops.png");</v>
      </c>
    </row>
    <row r="501" spans="1:10">
      <c r="A501" s="36">
        <f t="shared" si="75"/>
        <v>486</v>
      </c>
      <c r="B501" s="36">
        <f>A$23</f>
        <v>15</v>
      </c>
      <c r="C501" s="36">
        <v>7</v>
      </c>
      <c r="D501" s="51" t="s">
        <v>478</v>
      </c>
      <c r="E501" s="51"/>
      <c r="F501" s="51"/>
      <c r="G501" s="1" t="s">
        <v>354</v>
      </c>
      <c r="J501" t="str">
        <f t="shared" si="74"/>
        <v>datatable[485] = new Array("486","15","Mission Science Support","7","Science.png");</v>
      </c>
    </row>
    <row r="502" spans="1:10">
      <c r="A502" s="36">
        <f t="shared" si="75"/>
        <v>487</v>
      </c>
      <c r="B502" s="36">
        <f>A$496</f>
        <v>481</v>
      </c>
      <c r="C502" s="36">
        <v>8</v>
      </c>
      <c r="D502" s="51" t="s">
        <v>307</v>
      </c>
      <c r="E502" s="37"/>
      <c r="F502" s="51"/>
      <c r="G502" s="1" t="s">
        <v>354</v>
      </c>
      <c r="J502" t="str">
        <f t="shared" si="74"/>
        <v>datatable[486] = new Array("487","481","Science Maturation Studies &amp; User Requirements","8","Science.png");</v>
      </c>
    </row>
    <row r="503" spans="1:10">
      <c r="A503" s="36">
        <f t="shared" si="75"/>
        <v>488</v>
      </c>
      <c r="B503" s="36">
        <f t="shared" ref="B503:B505" si="83">A$496</f>
        <v>481</v>
      </c>
      <c r="C503" s="36">
        <v>8</v>
      </c>
      <c r="D503" s="51" t="s">
        <v>308</v>
      </c>
      <c r="E503" s="51"/>
      <c r="F503" s="37"/>
      <c r="G503" s="1" t="s">
        <v>354</v>
      </c>
      <c r="J503" t="str">
        <f t="shared" si="74"/>
        <v>datatable[487] = new Array("488","481","Science Support for Mission Development","8","Science.png");</v>
      </c>
    </row>
    <row r="504" spans="1:10">
      <c r="A504" s="36">
        <f t="shared" si="75"/>
        <v>489</v>
      </c>
      <c r="B504" s="36">
        <f t="shared" si="83"/>
        <v>481</v>
      </c>
      <c r="C504" s="36">
        <v>8</v>
      </c>
      <c r="D504" s="51" t="s">
        <v>309</v>
      </c>
      <c r="E504" s="51"/>
      <c r="F504" s="37"/>
      <c r="G504" s="1" t="s">
        <v>354</v>
      </c>
      <c r="J504" t="str">
        <f t="shared" si="74"/>
        <v>datatable[488] = new Array("489","481","Science Support for Commissioning, Including Cal/Val","8","Science.png");</v>
      </c>
    </row>
    <row r="505" spans="1:10">
      <c r="A505" s="36">
        <f t="shared" si="75"/>
        <v>490</v>
      </c>
      <c r="B505" s="36">
        <f t="shared" si="83"/>
        <v>481</v>
      </c>
      <c r="C505" s="36">
        <v>8</v>
      </c>
      <c r="D505" s="51" t="s">
        <v>310</v>
      </c>
      <c r="E505" s="51"/>
      <c r="F505" s="37"/>
      <c r="G505" s="1" t="s">
        <v>354</v>
      </c>
      <c r="J505" t="str">
        <f t="shared" si="74"/>
        <v>datatable[489] = new Array("490","481","Science Support for Data Handling","8","Science.png");</v>
      </c>
    </row>
    <row r="506" spans="1:10">
      <c r="A506" s="36">
        <f t="shared" si="75"/>
        <v>491</v>
      </c>
      <c r="B506" s="36">
        <f>A$23</f>
        <v>15</v>
      </c>
      <c r="C506" s="36">
        <v>7</v>
      </c>
      <c r="D506" s="51" t="s">
        <v>479</v>
      </c>
      <c r="E506" s="51"/>
      <c r="F506" s="37"/>
      <c r="G506" s="1" t="s">
        <v>354</v>
      </c>
      <c r="J506" t="str">
        <f t="shared" si="74"/>
        <v>datatable[490] = new Array("491","15","Science Utilization &amp; Application Development","7","Science.png");</v>
      </c>
    </row>
    <row r="507" spans="1:10">
      <c r="A507" s="7"/>
      <c r="B507" s="7"/>
      <c r="C507" s="7"/>
      <c r="D507" s="60"/>
      <c r="E507" s="60"/>
      <c r="F507" s="60"/>
      <c r="G507" s="60"/>
    </row>
    <row r="508" spans="1:10">
      <c r="A508" s="7"/>
      <c r="B508" s="7"/>
      <c r="C508" s="7"/>
      <c r="D508" s="60"/>
      <c r="E508" s="60"/>
    </row>
  </sheetData>
  <mergeCells count="1">
    <mergeCell ref="A1:C1"/>
  </mergeCells>
  <conditionalFormatting sqref="A3:O3 B4:O4">
    <cfRule type="expression" dxfId="120" priority="191">
      <formula>IF($B3="Subsystem", TRUE, FALSE)</formula>
    </cfRule>
    <cfRule type="expression" dxfId="119" priority="196">
      <formula>IF($B3="SEITPM", TRUE, FALSE)</formula>
    </cfRule>
    <cfRule type="expression" dxfId="118" priority="195">
      <formula>IF($B3="Segment", TRUE, FALSE)</formula>
    </cfRule>
    <cfRule type="expression" dxfId="117" priority="194">
      <formula>IF($B3="SoS", TRUE, FALSE)</formula>
    </cfRule>
    <cfRule type="expression" dxfId="116" priority="193">
      <formula>IF($B3="System", TRUE, FALSE)</formula>
    </cfRule>
    <cfRule type="expression" dxfId="115" priority="192">
      <formula>IF($B3="Assembly", TRUE, FALSE)</formula>
    </cfRule>
  </conditionalFormatting>
  <conditionalFormatting sqref="D29 D426:D429">
    <cfRule type="expression" dxfId="114" priority="118">
      <formula>OR($B32 = 3)</formula>
    </cfRule>
    <cfRule type="expression" dxfId="113" priority="117">
      <formula>OR($B32 = 4)</formula>
    </cfRule>
    <cfRule type="expression" dxfId="112" priority="120">
      <formula>OR($B32 = 1)</formula>
    </cfRule>
    <cfRule type="expression" dxfId="111" priority="119">
      <formula>OR($B32 = 2)</formula>
    </cfRule>
  </conditionalFormatting>
  <conditionalFormatting sqref="D30 D61:E61 D62:D66 D295:G295 D296:E300 D302:E302 D303:D308 F308 F318 D325:D332 F332 D344 F344 D351:D360 F360 D367:D377 F377 D391 F391 D411 F411 D419 F419 D426:D433 F433 D434:E436 E437 D495:E499 D500 E501:F501 F502 E503:E505 D506:E506 E507:G507 D508:E508">
    <cfRule type="expression" dxfId="110" priority="115">
      <formula>OR($B30 = 1)</formula>
    </cfRule>
    <cfRule type="expression" dxfId="109" priority="114">
      <formula>OR($B30 = 2)</formula>
    </cfRule>
    <cfRule type="expression" dxfId="108" priority="112">
      <formula>OR($B30 = 4)</formula>
    </cfRule>
    <cfRule type="expression" dxfId="107" priority="113">
      <formula>OR($B30 = 3)</formula>
    </cfRule>
  </conditionalFormatting>
  <conditionalFormatting sqref="D31">
    <cfRule type="expression" dxfId="106" priority="130">
      <formula>OR($B29 = 1)</formula>
    </cfRule>
    <cfRule type="expression" dxfId="105" priority="129">
      <formula>OR($B29 = 2)</formula>
    </cfRule>
    <cfRule type="expression" dxfId="104" priority="127">
      <formula>OR($B29 = 4)</formula>
    </cfRule>
    <cfRule type="expression" dxfId="103" priority="126">
      <formula>OR($B29 = 5)</formula>
    </cfRule>
    <cfRule type="expression" dxfId="102" priority="128">
      <formula>OR($B29 = 3)</formula>
    </cfRule>
  </conditionalFormatting>
  <conditionalFormatting sqref="D32">
    <cfRule type="expression" dxfId="101" priority="121">
      <formula>OR($B34 = 5)</formula>
    </cfRule>
    <cfRule type="expression" dxfId="100" priority="125">
      <formula>OR($B34 = 1)</formula>
    </cfRule>
    <cfRule type="expression" dxfId="99" priority="124">
      <formula>OR($B34 = 2)</formula>
    </cfRule>
    <cfRule type="expression" dxfId="98" priority="123">
      <formula>OR($B34 = 3)</formula>
    </cfRule>
    <cfRule type="expression" dxfId="97" priority="122">
      <formula>OR($B34 = 4)</formula>
    </cfRule>
  </conditionalFormatting>
  <conditionalFormatting sqref="D33:D38">
    <cfRule type="expression" dxfId="96" priority="110">
      <formula>OR($B33 = 1)</formula>
    </cfRule>
    <cfRule type="expression" dxfId="95" priority="106">
      <formula>OR($B33 = 5)</formula>
    </cfRule>
    <cfRule type="expression" dxfId="94" priority="107">
      <formula>OR($B33 = 4)</formula>
    </cfRule>
    <cfRule type="expression" dxfId="93" priority="108">
      <formula>OR($B33 = 3)</formula>
    </cfRule>
    <cfRule type="expression" dxfId="92" priority="109">
      <formula>OR($B33 = 2)</formula>
    </cfRule>
  </conditionalFormatting>
  <conditionalFormatting sqref="D39 D437:D441 D501:D505 D507">
    <cfRule type="expression" dxfId="91" priority="131">
      <formula>OR($B40 = 5)</formula>
    </cfRule>
    <cfRule type="expression" dxfId="90" priority="132">
      <formula>OR($B40 = 4)</formula>
    </cfRule>
    <cfRule type="expression" dxfId="89" priority="133">
      <formula>OR($B40 = 3)</formula>
    </cfRule>
    <cfRule type="expression" dxfId="88" priority="134">
      <formula>OR($B40 = 2)</formula>
    </cfRule>
    <cfRule type="expression" dxfId="87" priority="135">
      <formula>OR($B40 = 1)</formula>
    </cfRule>
  </conditionalFormatting>
  <conditionalFormatting sqref="D40:D47">
    <cfRule type="expression" dxfId="86" priority="90">
      <formula>OR($B40 = 1)</formula>
    </cfRule>
    <cfRule type="expression" dxfId="85" priority="89">
      <formula>OR($B40 = 2)</formula>
    </cfRule>
    <cfRule type="expression" dxfId="84" priority="88">
      <formula>OR($B40 = 3)</formula>
    </cfRule>
    <cfRule type="expression" dxfId="83" priority="87">
      <formula>OR($B40 = 4)</formula>
    </cfRule>
    <cfRule type="expression" dxfId="82" priority="86">
      <formula>OR($B40 = 5)</formula>
    </cfRule>
  </conditionalFormatting>
  <conditionalFormatting sqref="D62:D66 D296:E300 D303:D308 D30 D61:E61 D295:G295 D302:E302 F308 F318 D325:D332 F332 D344 F344 D351:D360 F360 D367:D377 F377 D391 F391 D411 F411 D419 F419 D426:D433 F433 D434:E436 E437 D495:E499 D500 E501:F501 F502 E503:E505 D506:E506 E507:G507 D508:E508">
    <cfRule type="expression" dxfId="81" priority="111">
      <formula>OR($B30 = 5)</formula>
    </cfRule>
  </conditionalFormatting>
  <conditionalFormatting sqref="D62:D66">
    <cfRule type="expression" dxfId="80" priority="65">
      <formula>OR(#REF! = 1)</formula>
    </cfRule>
    <cfRule type="expression" dxfId="79" priority="63">
      <formula>OR(#REF! = 3)</formula>
    </cfRule>
    <cfRule type="expression" dxfId="78" priority="62">
      <formula>OR(#REF! = 4)</formula>
    </cfRule>
    <cfRule type="expression" dxfId="77" priority="61">
      <formula>OR(#REF! = 5)</formula>
    </cfRule>
    <cfRule type="expression" dxfId="76" priority="64">
      <formula>OR(#REF! = 2)</formula>
    </cfRule>
  </conditionalFormatting>
  <conditionalFormatting sqref="D296:D300">
    <cfRule type="expression" dxfId="75" priority="40">
      <formula>OR(#REF! = 1)</formula>
    </cfRule>
    <cfRule type="expression" dxfId="74" priority="39">
      <formula>OR(#REF! = 2)</formula>
    </cfRule>
    <cfRule type="expression" dxfId="73" priority="38">
      <formula>OR(#REF! = 3)</formula>
    </cfRule>
    <cfRule type="expression" dxfId="72" priority="37">
      <formula>OR(#REF! = 4)</formula>
    </cfRule>
    <cfRule type="expression" dxfId="71" priority="36">
      <formula>OR(#REF! = 5)</formula>
    </cfRule>
  </conditionalFormatting>
  <conditionalFormatting sqref="D303:D307">
    <cfRule type="expression" dxfId="70" priority="6">
      <formula>OR(#REF! = 5)</formula>
    </cfRule>
    <cfRule type="expression" dxfId="69" priority="7">
      <formula>OR(#REF! = 4)</formula>
    </cfRule>
    <cfRule type="expression" dxfId="68" priority="8">
      <formula>OR(#REF! = 3)</formula>
    </cfRule>
    <cfRule type="expression" dxfId="67" priority="10">
      <formula>OR(#REF! = 1)</formula>
    </cfRule>
    <cfRule type="expression" dxfId="66" priority="9">
      <formula>OR(#REF! = 2)</formula>
    </cfRule>
  </conditionalFormatting>
  <conditionalFormatting sqref="D315:D318">
    <cfRule type="expression" dxfId="65" priority="2">
      <formula>OR($B315 = 4)</formula>
    </cfRule>
    <cfRule type="expression" dxfId="64" priority="3">
      <formula>OR($B315 = 3)</formula>
    </cfRule>
    <cfRule type="expression" dxfId="63" priority="4">
      <formula>OR($B315 = 2)</formula>
    </cfRule>
    <cfRule type="expression" dxfId="62" priority="5">
      <formula>OR($B315 = 1)</formula>
    </cfRule>
    <cfRule type="expression" dxfId="61" priority="1">
      <formula>OR($B315 = 5)</formula>
    </cfRule>
  </conditionalFormatting>
  <conditionalFormatting sqref="D325:D331">
    <cfRule type="expression" dxfId="60" priority="136">
      <formula>OR($B337 = 5)</formula>
    </cfRule>
    <cfRule type="expression" dxfId="59" priority="137">
      <formula>OR($B337 = 4)</formula>
    </cfRule>
    <cfRule type="expression" dxfId="58" priority="138">
      <formula>OR($B337 = 3)</formula>
    </cfRule>
    <cfRule type="expression" dxfId="57" priority="139">
      <formula>OR($B337 = 2)</formula>
    </cfRule>
    <cfRule type="expression" dxfId="56" priority="140">
      <formula>OR($B337 = 1)</formula>
    </cfRule>
  </conditionalFormatting>
  <conditionalFormatting sqref="D339:D343">
    <cfRule type="expression" dxfId="55" priority="141">
      <formula>OR(#REF! = 5)</formula>
    </cfRule>
    <cfRule type="expression" dxfId="54" priority="142">
      <formula>OR(#REF! = 4)</formula>
    </cfRule>
    <cfRule type="expression" dxfId="53" priority="143">
      <formula>OR(#REF! = 3)</formula>
    </cfRule>
    <cfRule type="expression" dxfId="52" priority="144">
      <formula>OR(#REF! = 2)</formula>
    </cfRule>
    <cfRule type="expression" dxfId="51" priority="145">
      <formula>OR(#REF! = 1)</formula>
    </cfRule>
  </conditionalFormatting>
  <conditionalFormatting sqref="D351:D353 D355:D359">
    <cfRule type="expression" dxfId="50" priority="146">
      <formula>OR($B357 = 5)</formula>
    </cfRule>
    <cfRule type="expression" dxfId="49" priority="147">
      <formula>OR($B357 = 4)</formula>
    </cfRule>
    <cfRule type="expression" dxfId="48" priority="148">
      <formula>OR($B357 = 3)</formula>
    </cfRule>
    <cfRule type="expression" dxfId="47" priority="149">
      <formula>OR($B357 = 2)</formula>
    </cfRule>
    <cfRule type="expression" dxfId="46" priority="150">
      <formula>OR($B357 = 1)</formula>
    </cfRule>
  </conditionalFormatting>
  <conditionalFormatting sqref="D354">
    <cfRule type="expression" dxfId="45" priority="151">
      <formula>OR(#REF! = 5)</formula>
    </cfRule>
    <cfRule type="expression" dxfId="44" priority="152">
      <formula>OR(#REF! = 4)</formula>
    </cfRule>
    <cfRule type="expression" dxfId="43" priority="153">
      <formula>OR(#REF! = 3)</formula>
    </cfRule>
    <cfRule type="expression" dxfId="42" priority="154">
      <formula>OR(#REF! = 2)</formula>
    </cfRule>
    <cfRule type="expression" dxfId="41" priority="155">
      <formula>OR(#REF! = 1)</formula>
    </cfRule>
  </conditionalFormatting>
  <conditionalFormatting sqref="D367:D372 D374:D376">
    <cfRule type="expression" dxfId="40" priority="156">
      <formula>OR($B371 = 5)</formula>
    </cfRule>
    <cfRule type="expression" dxfId="39" priority="157">
      <formula>OR($B371 = 4)</formula>
    </cfRule>
    <cfRule type="expression" dxfId="38" priority="158">
      <formula>OR($B371 = 3)</formula>
    </cfRule>
    <cfRule type="expression" dxfId="37" priority="159">
      <formula>OR($B371 = 2)</formula>
    </cfRule>
    <cfRule type="expression" dxfId="36" priority="160">
      <formula>OR($B371 = 1)</formula>
    </cfRule>
  </conditionalFormatting>
  <conditionalFormatting sqref="D373">
    <cfRule type="expression" dxfId="35" priority="161">
      <formula>OR(#REF! = 5)</formula>
    </cfRule>
    <cfRule type="expression" dxfId="34" priority="162">
      <formula>OR(#REF! = 4)</formula>
    </cfRule>
    <cfRule type="expression" dxfId="33" priority="163">
      <formula>OR(#REF! = 3)</formula>
    </cfRule>
    <cfRule type="expression" dxfId="32" priority="164">
      <formula>OR(#REF! = 2)</formula>
    </cfRule>
    <cfRule type="expression" dxfId="31" priority="165">
      <formula>OR(#REF! = 1)</formula>
    </cfRule>
  </conditionalFormatting>
  <conditionalFormatting sqref="D384:D390">
    <cfRule type="expression" dxfId="30" priority="166">
      <formula>OR($B393 = 5)</formula>
    </cfRule>
    <cfRule type="expression" dxfId="29" priority="167">
      <formula>OR($B393 = 4)</formula>
    </cfRule>
    <cfRule type="expression" dxfId="28" priority="168">
      <formula>OR($B393 = 3)</formula>
    </cfRule>
    <cfRule type="expression" dxfId="27" priority="169">
      <formula>OR($B393 = 2)</formula>
    </cfRule>
    <cfRule type="expression" dxfId="26" priority="170">
      <formula>OR($B393 = 1)</formula>
    </cfRule>
  </conditionalFormatting>
  <conditionalFormatting sqref="D398:D403 D405:D410">
    <cfRule type="expression" dxfId="25" priority="172">
      <formula>OR($B405 = 4)</formula>
    </cfRule>
    <cfRule type="expression" dxfId="24" priority="173">
      <formula>OR($B405 = 3)</formula>
    </cfRule>
    <cfRule type="expression" dxfId="23" priority="174">
      <formula>OR($B405 = 2)</formula>
    </cfRule>
    <cfRule type="expression" dxfId="22" priority="175">
      <formula>OR($B405 = 1)</formula>
    </cfRule>
    <cfRule type="expression" dxfId="21" priority="171">
      <formula>OR($B405 = 5)</formula>
    </cfRule>
  </conditionalFormatting>
  <conditionalFormatting sqref="D404">
    <cfRule type="expression" dxfId="20" priority="176">
      <formula>OR(#REF! = 5)</formula>
    </cfRule>
    <cfRule type="expression" dxfId="19" priority="177">
      <formula>OR(#REF! = 4)</formula>
    </cfRule>
    <cfRule type="expression" dxfId="18" priority="178">
      <formula>OR(#REF! = 3)</formula>
    </cfRule>
    <cfRule type="expression" dxfId="17" priority="179">
      <formula>OR(#REF! = 2)</formula>
    </cfRule>
    <cfRule type="expression" dxfId="16" priority="180">
      <formula>OR(#REF! = 1)</formula>
    </cfRule>
  </conditionalFormatting>
  <conditionalFormatting sqref="D418">
    <cfRule type="expression" dxfId="15" priority="182">
      <formula>OR($B423 = 4)</formula>
    </cfRule>
    <cfRule type="expression" dxfId="14" priority="183">
      <formula>OR($B423 = 3)</formula>
    </cfRule>
    <cfRule type="expression" dxfId="13" priority="184">
      <formula>OR($B423 = 2)</formula>
    </cfRule>
    <cfRule type="expression" dxfId="12" priority="185">
      <formula>OR($B423 = 1)</formula>
    </cfRule>
    <cfRule type="expression" dxfId="11" priority="181">
      <formula>OR($B423 = 5)</formula>
    </cfRule>
  </conditionalFormatting>
  <conditionalFormatting sqref="D426:D429 D29">
    <cfRule type="expression" dxfId="10" priority="116">
      <formula>OR($B32 = 5)</formula>
    </cfRule>
  </conditionalFormatting>
  <conditionalFormatting sqref="D430:D432">
    <cfRule type="expression" dxfId="9" priority="186">
      <formula>OR(#REF! = 5)</formula>
    </cfRule>
    <cfRule type="expression" dxfId="8" priority="187">
      <formula>OR(#REF! = 4)</formula>
    </cfRule>
    <cfRule type="expression" dxfId="7" priority="188">
      <formula>OR(#REF! = 3)</formula>
    </cfRule>
    <cfRule type="expression" dxfId="6" priority="190">
      <formula>OR(#REF! = 1)</formula>
    </cfRule>
    <cfRule type="expression" dxfId="5" priority="189">
      <formula>OR(#REF! = 2)</formula>
    </cfRule>
  </conditionalFormatting>
  <conditionalFormatting sqref="D301:F301">
    <cfRule type="expression" dxfId="4" priority="35">
      <formula>OR($B301 = 1)</formula>
    </cfRule>
    <cfRule type="expression" dxfId="3" priority="34">
      <formula>OR($B301 = 2)</formula>
    </cfRule>
    <cfRule type="expression" dxfId="2" priority="33">
      <formula>OR($B301 = 3)</formula>
    </cfRule>
    <cfRule type="expression" dxfId="1" priority="32">
      <formula>OR($B301 = 4)</formula>
    </cfRule>
    <cfRule type="expression" dxfId="0" priority="31">
      <formula>OR($B301 = 5)</formula>
    </cfRule>
  </conditionalFormatting>
  <dataValidations disablePrompts="1" count="1">
    <dataValidation type="list" allowBlank="1" showInputMessage="1" showErrorMessage="1" sqref="F17:F22 F8:F10 D68 F29:F67 D76:D80 F81 D94:D104 F69:F75 D82:D88 D106:D112 D118:D129 D131:D157 D159:D188 D190:D224 D226:D282 D284:D294 D296:D300 F105:F295 F301 D303:D307 E302 D309:D314 D319:D331 D333:D343 D345:D359 D361:D376 D378:D390 D392:D410 D412:D418 D420:D432 D442:D447 D460:D465 D502:D505 F303:F502 F507 D507" xr:uid="{BAB11BF7-03F1-4C5C-9AFD-B53D3AE1568F}">
      <formula1>Depth2</formula1>
    </dataValidation>
  </dataValidations>
  <hyperlinks>
    <hyperlink ref="A1" location="'Table of contents'!A1" display="` ToC" xr:uid="{96E6D1CE-CBBC-4FA6-BDAD-2AEF7A4A8D38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AF95-D4FE-4647-82E8-BE1E38FA6F4E}">
  <sheetPr codeName="Sheet5"/>
  <dimension ref="A1:S37"/>
  <sheetViews>
    <sheetView zoomScale="106" zoomScaleNormal="106" workbookViewId="0">
      <selection activeCell="G27" sqref="G27"/>
    </sheetView>
  </sheetViews>
  <sheetFormatPr defaultColWidth="0" defaultRowHeight="15" zeroHeight="1"/>
  <cols>
    <col min="1" max="1" width="9.140625" customWidth="1"/>
    <col min="2" max="2" width="13.7109375" customWidth="1"/>
    <col min="3" max="3" width="21.28515625" customWidth="1"/>
    <col min="4" max="4" width="2.5703125" customWidth="1"/>
    <col min="5" max="5" width="10.5703125" customWidth="1"/>
    <col min="6" max="6" width="8.5703125" customWidth="1"/>
    <col min="7" max="7" width="35.42578125" bestFit="1" customWidth="1"/>
    <col min="8" max="8" width="9.140625" customWidth="1"/>
    <col min="9" max="9" width="14.7109375" bestFit="1" customWidth="1"/>
    <col min="10" max="10" width="19.7109375" customWidth="1"/>
    <col min="11" max="11" width="13.140625" hidden="1" customWidth="1"/>
    <col min="12" max="16" width="9.140625" hidden="1" customWidth="1"/>
    <col min="17" max="19" width="0" hidden="1" customWidth="1"/>
    <col min="20" max="16384" width="9.140625" hidden="1"/>
  </cols>
  <sheetData>
    <row r="1" spans="1:10">
      <c r="A1" s="269" t="s">
        <v>9</v>
      </c>
      <c r="B1" s="269"/>
    </row>
    <row r="2" spans="1:10"/>
    <row r="3" spans="1:10" ht="31.5">
      <c r="A3" s="11" t="s">
        <v>901</v>
      </c>
      <c r="B3" s="12"/>
      <c r="C3" s="12"/>
      <c r="D3" s="12"/>
      <c r="E3" s="12"/>
      <c r="F3" s="12"/>
      <c r="I3" s="17" t="s">
        <v>482</v>
      </c>
    </row>
    <row r="4" spans="1:10">
      <c r="A4" t="s">
        <v>314</v>
      </c>
    </row>
    <row r="5" spans="1:10">
      <c r="B5" t="s">
        <v>483</v>
      </c>
    </row>
    <row r="6" spans="1:10">
      <c r="B6" t="s">
        <v>484</v>
      </c>
    </row>
    <row r="7" spans="1:10">
      <c r="B7" t="s">
        <v>485</v>
      </c>
    </row>
    <row r="8" spans="1:10"/>
    <row r="9" spans="1:10"/>
    <row r="10" spans="1:10">
      <c r="B10" t="s">
        <v>486</v>
      </c>
      <c r="F10" t="s">
        <v>487</v>
      </c>
    </row>
    <row r="11" spans="1:10">
      <c r="A11" s="279" t="s">
        <v>488</v>
      </c>
      <c r="B11" s="279"/>
      <c r="C11" s="279"/>
      <c r="E11" s="280" t="s">
        <v>488</v>
      </c>
      <c r="F11" s="280"/>
      <c r="G11" s="280"/>
      <c r="I11" s="2" t="s">
        <v>488</v>
      </c>
    </row>
    <row r="12" spans="1:10">
      <c r="A12" s="15" t="s">
        <v>489</v>
      </c>
      <c r="B12" s="16"/>
      <c r="C12" s="16"/>
      <c r="E12" s="14" t="s">
        <v>490</v>
      </c>
      <c r="F12" s="14"/>
      <c r="G12" s="14"/>
      <c r="I12" s="3" t="s">
        <v>491</v>
      </c>
    </row>
    <row r="13" spans="1:10">
      <c r="A13" s="8"/>
      <c r="B13" s="8"/>
      <c r="C13" s="8"/>
      <c r="D13" s="9"/>
      <c r="E13" s="281" t="s">
        <v>492</v>
      </c>
      <c r="F13" s="18" t="s">
        <v>493</v>
      </c>
      <c r="G13" s="18" t="s">
        <v>494</v>
      </c>
      <c r="H13" s="19"/>
      <c r="I13" s="20"/>
      <c r="J13" s="10"/>
    </row>
    <row r="14" spans="1:10" ht="15" customHeight="1">
      <c r="A14" s="274" t="s">
        <v>495</v>
      </c>
      <c r="B14" s="275" t="s">
        <v>496</v>
      </c>
      <c r="C14" s="4" t="s">
        <v>17</v>
      </c>
      <c r="D14" s="9"/>
      <c r="E14" s="281"/>
      <c r="F14" s="18" t="s">
        <v>497</v>
      </c>
      <c r="G14" s="18" t="s">
        <v>498</v>
      </c>
      <c r="H14" s="19"/>
      <c r="I14" s="21"/>
      <c r="J14" s="10"/>
    </row>
    <row r="15" spans="1:10">
      <c r="A15" s="274"/>
      <c r="B15" s="275"/>
      <c r="C15" s="4" t="s">
        <v>499</v>
      </c>
      <c r="D15" s="9"/>
      <c r="E15" s="281" t="s">
        <v>16</v>
      </c>
      <c r="F15" s="18" t="s">
        <v>499</v>
      </c>
      <c r="G15" s="18" t="s">
        <v>500</v>
      </c>
      <c r="H15" s="19"/>
      <c r="I15" s="21" t="s">
        <v>499</v>
      </c>
      <c r="J15" s="10"/>
    </row>
    <row r="16" spans="1:10" ht="15" customHeight="1">
      <c r="A16" s="274" t="s">
        <v>501</v>
      </c>
      <c r="B16" s="275" t="s">
        <v>502</v>
      </c>
      <c r="C16" s="4" t="s">
        <v>503</v>
      </c>
      <c r="D16" s="9"/>
      <c r="E16" s="281"/>
      <c r="F16" s="18" t="s">
        <v>504</v>
      </c>
      <c r="G16" s="18" t="s">
        <v>18</v>
      </c>
      <c r="H16" s="19"/>
      <c r="I16" s="21" t="s">
        <v>504</v>
      </c>
      <c r="J16" s="10"/>
    </row>
    <row r="17" spans="1:10">
      <c r="A17" s="274"/>
      <c r="B17" s="275"/>
      <c r="C17" s="4" t="s">
        <v>505</v>
      </c>
      <c r="D17" s="9"/>
      <c r="E17" s="281" t="s">
        <v>506</v>
      </c>
      <c r="F17" s="18" t="s">
        <v>507</v>
      </c>
      <c r="G17" s="18" t="s">
        <v>508</v>
      </c>
      <c r="H17" s="19"/>
      <c r="I17" s="21" t="s">
        <v>507</v>
      </c>
      <c r="J17" s="10"/>
    </row>
    <row r="18" spans="1:10">
      <c r="A18" s="274"/>
      <c r="B18" s="275"/>
      <c r="C18" s="4" t="s">
        <v>509</v>
      </c>
      <c r="D18" s="9"/>
      <c r="E18" s="281"/>
      <c r="F18" s="18" t="s">
        <v>510</v>
      </c>
      <c r="G18" s="18" t="s">
        <v>511</v>
      </c>
      <c r="H18" s="19"/>
      <c r="I18" s="21" t="s">
        <v>510</v>
      </c>
      <c r="J18" s="10"/>
    </row>
    <row r="19" spans="1:10" ht="15" customHeight="1">
      <c r="A19" s="274"/>
      <c r="B19" s="275" t="s">
        <v>512</v>
      </c>
      <c r="C19" s="274" t="s">
        <v>513</v>
      </c>
      <c r="D19" s="9"/>
      <c r="E19" s="271" t="s">
        <v>514</v>
      </c>
      <c r="F19" s="18" t="s">
        <v>515</v>
      </c>
      <c r="G19" s="18" t="s">
        <v>860</v>
      </c>
      <c r="H19" s="19"/>
      <c r="I19" s="21" t="s">
        <v>514</v>
      </c>
      <c r="J19" s="10"/>
    </row>
    <row r="20" spans="1:10">
      <c r="A20" s="274"/>
      <c r="B20" s="275"/>
      <c r="C20" s="274"/>
      <c r="D20" s="9"/>
      <c r="E20" s="272"/>
      <c r="F20" s="18" t="s">
        <v>902</v>
      </c>
      <c r="G20" s="18" t="s">
        <v>903</v>
      </c>
      <c r="H20" s="19"/>
      <c r="I20" s="21" t="s">
        <v>514</v>
      </c>
      <c r="J20" s="10"/>
    </row>
    <row r="21" spans="1:10">
      <c r="A21" s="274"/>
      <c r="B21" s="275"/>
      <c r="C21" s="274"/>
      <c r="D21" s="9"/>
      <c r="E21" s="273"/>
      <c r="F21" s="18" t="s">
        <v>904</v>
      </c>
      <c r="G21" s="18" t="s">
        <v>905</v>
      </c>
      <c r="H21" s="19"/>
      <c r="I21" s="21" t="s">
        <v>514</v>
      </c>
      <c r="J21" s="10"/>
    </row>
    <row r="22" spans="1:10" ht="15" customHeight="1">
      <c r="A22" s="274" t="s">
        <v>516</v>
      </c>
      <c r="B22" s="275" t="s">
        <v>517</v>
      </c>
      <c r="C22" s="276" t="s">
        <v>518</v>
      </c>
      <c r="D22" s="9"/>
      <c r="E22" s="18" t="s">
        <v>519</v>
      </c>
      <c r="F22" s="18" t="s">
        <v>519</v>
      </c>
      <c r="G22" s="18" t="s">
        <v>861</v>
      </c>
      <c r="H22" s="19"/>
      <c r="I22" s="21" t="s">
        <v>519</v>
      </c>
      <c r="J22" s="10"/>
    </row>
    <row r="23" spans="1:10">
      <c r="A23" s="274"/>
      <c r="B23" s="275"/>
      <c r="C23" s="277"/>
      <c r="D23" s="9"/>
      <c r="E23" s="18" t="s">
        <v>520</v>
      </c>
      <c r="F23" s="18" t="s">
        <v>865</v>
      </c>
      <c r="G23" s="18" t="s">
        <v>862</v>
      </c>
      <c r="H23" s="19"/>
      <c r="I23" s="21"/>
      <c r="J23" s="10"/>
    </row>
    <row r="24" spans="1:10">
      <c r="A24" s="274"/>
      <c r="B24" s="275"/>
      <c r="C24" s="278"/>
      <c r="D24" s="9"/>
      <c r="E24" s="18" t="s">
        <v>521</v>
      </c>
      <c r="F24" s="18" t="s">
        <v>521</v>
      </c>
      <c r="G24" s="18" t="s">
        <v>863</v>
      </c>
      <c r="H24" s="19"/>
      <c r="I24" s="21" t="s">
        <v>521</v>
      </c>
      <c r="J24" s="10"/>
    </row>
    <row r="25" spans="1:10">
      <c r="A25" s="8"/>
      <c r="B25" s="8"/>
      <c r="C25" s="8"/>
      <c r="D25" s="9"/>
      <c r="E25" s="18" t="s">
        <v>522</v>
      </c>
      <c r="F25" s="18" t="s">
        <v>522</v>
      </c>
      <c r="G25" s="18" t="s">
        <v>864</v>
      </c>
      <c r="H25" s="19"/>
      <c r="I25" s="21"/>
      <c r="J25" s="10"/>
    </row>
    <row r="26" spans="1:10">
      <c r="I26" s="21"/>
    </row>
    <row r="27" spans="1:10" ht="15" customHeight="1"/>
    <row r="28" spans="1:10"/>
    <row r="29" spans="1:10"/>
    <row r="30" spans="1:10"/>
    <row r="31" spans="1:10"/>
    <row r="32" spans="1:10"/>
    <row r="33"/>
    <row r="34"/>
    <row r="35"/>
    <row r="36"/>
    <row r="37"/>
  </sheetData>
  <mergeCells count="16">
    <mergeCell ref="E19:E21"/>
    <mergeCell ref="A1:B1"/>
    <mergeCell ref="A22:A24"/>
    <mergeCell ref="B22:B24"/>
    <mergeCell ref="C22:C24"/>
    <mergeCell ref="A11:C11"/>
    <mergeCell ref="B19:B21"/>
    <mergeCell ref="C19:C21"/>
    <mergeCell ref="A16:A21"/>
    <mergeCell ref="B16:B18"/>
    <mergeCell ref="B14:B15"/>
    <mergeCell ref="E11:G11"/>
    <mergeCell ref="E13:E14"/>
    <mergeCell ref="A14:A15"/>
    <mergeCell ref="E15:E16"/>
    <mergeCell ref="E17:E18"/>
  </mergeCells>
  <hyperlinks>
    <hyperlink ref="A1" location="'Table of contents'!A1" display="` ToC" xr:uid="{9F0AE568-3FF3-4E10-9D89-5F2E41B9237F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1B85-E8FC-449A-85A9-8884EFD7A707}">
  <sheetPr codeName="Sheet6"/>
  <dimension ref="A1:AU34"/>
  <sheetViews>
    <sheetView topLeftCell="A17" zoomScaleNormal="100" workbookViewId="0">
      <selection activeCell="AD27" sqref="AD27"/>
    </sheetView>
  </sheetViews>
  <sheetFormatPr defaultRowHeight="15"/>
  <cols>
    <col min="1" max="1" width="2.5703125" customWidth="1"/>
    <col min="2" max="3" width="19.5703125" bestFit="1" customWidth="1"/>
    <col min="4" max="4" width="19.5703125" customWidth="1"/>
    <col min="5" max="5" width="12.85546875" bestFit="1" customWidth="1"/>
    <col min="6" max="6" width="10.85546875" customWidth="1"/>
    <col min="7" max="7" width="9.85546875" bestFit="1" customWidth="1"/>
    <col min="8" max="48" width="8.42578125" bestFit="1" customWidth="1"/>
  </cols>
  <sheetData>
    <row r="1" spans="1:47">
      <c r="A1" s="269" t="s">
        <v>9</v>
      </c>
      <c r="B1" s="269"/>
    </row>
    <row r="3" spans="1:47" ht="31.5">
      <c r="A3" s="11" t="s">
        <v>523</v>
      </c>
      <c r="B3" s="12"/>
      <c r="C3" s="12"/>
      <c r="D3" s="12"/>
      <c r="E3" s="12"/>
      <c r="F3" s="12"/>
      <c r="G3" s="12"/>
      <c r="H3" s="12"/>
    </row>
    <row r="4" spans="1:47">
      <c r="A4" t="s">
        <v>314</v>
      </c>
    </row>
    <row r="5" spans="1:47">
      <c r="B5" t="s">
        <v>524</v>
      </c>
    </row>
    <row r="6" spans="1:47">
      <c r="B6" t="s">
        <v>525</v>
      </c>
    </row>
    <row r="7" spans="1:47">
      <c r="B7" t="s">
        <v>526</v>
      </c>
    </row>
    <row r="9" spans="1:47">
      <c r="B9" s="63" t="s">
        <v>527</v>
      </c>
      <c r="C9" s="72">
        <v>1</v>
      </c>
      <c r="D9" s="165"/>
      <c r="E9" s="71"/>
      <c r="F9" s="71"/>
      <c r="G9" s="71"/>
      <c r="H9" s="71"/>
      <c r="I9" s="71"/>
      <c r="J9" s="71"/>
      <c r="K9" s="71"/>
      <c r="L9" s="71"/>
    </row>
    <row r="10" spans="1:47">
      <c r="B10" s="63" t="s">
        <v>528</v>
      </c>
      <c r="C10" s="70" t="s">
        <v>906</v>
      </c>
      <c r="D10" s="71"/>
      <c r="E10" s="71"/>
      <c r="F10" s="71"/>
      <c r="G10" s="71"/>
      <c r="H10" s="71"/>
      <c r="I10" s="71"/>
      <c r="J10" s="71"/>
      <c r="K10" s="71"/>
      <c r="L10" s="71"/>
    </row>
    <row r="11" spans="1:47">
      <c r="B11" s="63" t="s">
        <v>529</v>
      </c>
      <c r="C11" s="70" t="s">
        <v>530</v>
      </c>
      <c r="D11" s="71"/>
      <c r="E11" s="71"/>
      <c r="F11" s="71"/>
      <c r="G11" s="71"/>
      <c r="H11" s="71"/>
      <c r="I11" s="71"/>
      <c r="J11" s="71"/>
      <c r="K11" s="71"/>
      <c r="L11" s="71"/>
    </row>
    <row r="12" spans="1:47">
      <c r="B12" s="63" t="s">
        <v>531</v>
      </c>
      <c r="C12" s="70"/>
      <c r="D12" s="71"/>
      <c r="E12" s="71"/>
      <c r="F12" s="71"/>
      <c r="G12" s="71"/>
      <c r="H12" s="71"/>
      <c r="I12" s="71"/>
      <c r="J12" s="71"/>
      <c r="K12" s="71"/>
      <c r="L12" s="71"/>
    </row>
    <row r="13" spans="1:47">
      <c r="B13" s="63" t="s">
        <v>532</v>
      </c>
      <c r="C13" s="70"/>
      <c r="D13" s="71"/>
      <c r="E13" s="71"/>
      <c r="F13" s="71"/>
      <c r="G13" s="71"/>
      <c r="H13" s="71"/>
      <c r="I13" s="71"/>
      <c r="J13" s="71"/>
      <c r="K13" s="71"/>
      <c r="L13" s="71"/>
    </row>
    <row r="15" spans="1:47">
      <c r="B15" s="67" t="s">
        <v>13</v>
      </c>
      <c r="C15" s="67" t="s">
        <v>533</v>
      </c>
      <c r="D15" s="67" t="s">
        <v>534</v>
      </c>
      <c r="E15" s="13" t="s">
        <v>535</v>
      </c>
      <c r="F15" s="13" t="s">
        <v>536</v>
      </c>
      <c r="G15" s="62">
        <v>2010</v>
      </c>
      <c r="H15" s="62">
        <f>G15+1</f>
        <v>2011</v>
      </c>
      <c r="I15" s="62">
        <f t="shared" ref="I15:AU15" si="0">H15+1</f>
        <v>2012</v>
      </c>
      <c r="J15" s="62">
        <f t="shared" si="0"/>
        <v>2013</v>
      </c>
      <c r="K15" s="62">
        <f t="shared" si="0"/>
        <v>2014</v>
      </c>
      <c r="L15" s="62">
        <f t="shared" si="0"/>
        <v>2015</v>
      </c>
      <c r="M15" s="62">
        <f t="shared" si="0"/>
        <v>2016</v>
      </c>
      <c r="N15" s="62">
        <f t="shared" si="0"/>
        <v>2017</v>
      </c>
      <c r="O15" s="62">
        <f t="shared" si="0"/>
        <v>2018</v>
      </c>
      <c r="P15" s="62">
        <f t="shared" si="0"/>
        <v>2019</v>
      </c>
      <c r="Q15" s="62">
        <f t="shared" si="0"/>
        <v>2020</v>
      </c>
      <c r="R15" s="62">
        <f t="shared" si="0"/>
        <v>2021</v>
      </c>
      <c r="S15" s="62">
        <f t="shared" si="0"/>
        <v>2022</v>
      </c>
      <c r="T15" s="62">
        <f t="shared" si="0"/>
        <v>2023</v>
      </c>
      <c r="U15" s="62">
        <f t="shared" si="0"/>
        <v>2024</v>
      </c>
      <c r="V15" s="62">
        <f t="shared" si="0"/>
        <v>2025</v>
      </c>
      <c r="W15" s="62">
        <f>V15+1</f>
        <v>2026</v>
      </c>
      <c r="X15" s="62">
        <f t="shared" si="0"/>
        <v>2027</v>
      </c>
      <c r="Y15" s="62">
        <f t="shared" si="0"/>
        <v>2028</v>
      </c>
      <c r="Z15" s="62">
        <f t="shared" si="0"/>
        <v>2029</v>
      </c>
      <c r="AA15" s="62">
        <f t="shared" si="0"/>
        <v>2030</v>
      </c>
      <c r="AB15" s="62">
        <f t="shared" si="0"/>
        <v>2031</v>
      </c>
      <c r="AC15" s="62">
        <f t="shared" si="0"/>
        <v>2032</v>
      </c>
      <c r="AD15" s="62">
        <f t="shared" si="0"/>
        <v>2033</v>
      </c>
      <c r="AE15" s="62">
        <f t="shared" si="0"/>
        <v>2034</v>
      </c>
      <c r="AF15" s="62">
        <f t="shared" si="0"/>
        <v>2035</v>
      </c>
      <c r="AG15" s="62">
        <f t="shared" si="0"/>
        <v>2036</v>
      </c>
      <c r="AH15" s="62">
        <f t="shared" si="0"/>
        <v>2037</v>
      </c>
      <c r="AI15" s="62">
        <f t="shared" si="0"/>
        <v>2038</v>
      </c>
      <c r="AJ15" s="62">
        <f t="shared" si="0"/>
        <v>2039</v>
      </c>
      <c r="AK15" s="62">
        <f t="shared" si="0"/>
        <v>2040</v>
      </c>
      <c r="AL15" s="62">
        <f t="shared" si="0"/>
        <v>2041</v>
      </c>
      <c r="AM15" s="62">
        <f t="shared" si="0"/>
        <v>2042</v>
      </c>
      <c r="AN15" s="62">
        <f t="shared" si="0"/>
        <v>2043</v>
      </c>
      <c r="AO15" s="62">
        <f t="shared" si="0"/>
        <v>2044</v>
      </c>
      <c r="AP15" s="62">
        <f t="shared" si="0"/>
        <v>2045</v>
      </c>
      <c r="AQ15" s="62">
        <f t="shared" si="0"/>
        <v>2046</v>
      </c>
      <c r="AR15" s="62">
        <f t="shared" si="0"/>
        <v>2047</v>
      </c>
      <c r="AS15" s="62">
        <f t="shared" si="0"/>
        <v>2048</v>
      </c>
      <c r="AT15" s="62">
        <f t="shared" si="0"/>
        <v>2049</v>
      </c>
      <c r="AU15" s="62">
        <f t="shared" si="0"/>
        <v>2050</v>
      </c>
    </row>
    <row r="16" spans="1:47">
      <c r="B16" s="2" t="s">
        <v>499</v>
      </c>
      <c r="C16" s="160">
        <v>46475</v>
      </c>
      <c r="D16" s="160">
        <v>46970</v>
      </c>
      <c r="E16" s="68">
        <f t="shared" ref="E16:E24" si="1">D16-C16</f>
        <v>495</v>
      </c>
      <c r="F16" s="69">
        <f>E16/365*12</f>
        <v>16.273972602739725</v>
      </c>
      <c r="G16" s="61">
        <f t="shared" ref="G16:P17" si="2">MAX(MIN($D16,DATE(G$15,3,31))-MAX($C16,DATE(G$15-1,4,1))+1,0)/365*12</f>
        <v>0</v>
      </c>
      <c r="H16" s="61">
        <f t="shared" si="2"/>
        <v>0</v>
      </c>
      <c r="I16" s="61">
        <f t="shared" si="2"/>
        <v>0</v>
      </c>
      <c r="J16" s="61">
        <f t="shared" si="2"/>
        <v>0</v>
      </c>
      <c r="K16" s="61">
        <f t="shared" si="2"/>
        <v>0</v>
      </c>
      <c r="L16" s="61">
        <f t="shared" si="2"/>
        <v>0</v>
      </c>
      <c r="M16" s="61">
        <f t="shared" si="2"/>
        <v>0</v>
      </c>
      <c r="N16" s="61">
        <f t="shared" si="2"/>
        <v>0</v>
      </c>
      <c r="O16" s="61">
        <f t="shared" si="2"/>
        <v>0</v>
      </c>
      <c r="P16" s="61">
        <f t="shared" si="2"/>
        <v>0</v>
      </c>
      <c r="Q16" s="61">
        <f t="shared" ref="Q16:Z17" si="3">MAX(MIN($D16,DATE(Q$15,3,31))-MAX($C16,DATE(Q$15-1,4,1))+1,0)/365*12</f>
        <v>0</v>
      </c>
      <c r="R16" s="61">
        <f t="shared" si="3"/>
        <v>0</v>
      </c>
      <c r="S16" s="61">
        <f t="shared" si="3"/>
        <v>0</v>
      </c>
      <c r="T16" s="61">
        <f t="shared" si="3"/>
        <v>0</v>
      </c>
      <c r="U16" s="61">
        <f t="shared" si="3"/>
        <v>0</v>
      </c>
      <c r="V16" s="61">
        <f t="shared" si="3"/>
        <v>0</v>
      </c>
      <c r="W16" s="61">
        <f t="shared" si="3"/>
        <v>0</v>
      </c>
      <c r="X16" s="61">
        <f t="shared" si="3"/>
        <v>9.8630136986301353E-2</v>
      </c>
      <c r="Y16" s="61">
        <f t="shared" si="3"/>
        <v>12.032876712328768</v>
      </c>
      <c r="Z16" s="61">
        <f t="shared" si="3"/>
        <v>4.1753424657534248</v>
      </c>
      <c r="AA16" s="61">
        <f t="shared" ref="AA16:AJ17" si="4">MAX(MIN($D16,DATE(AA$15,3,31))-MAX($C16,DATE(AA$15-1,4,1))+1,0)/365*12</f>
        <v>0</v>
      </c>
      <c r="AB16" s="61">
        <f t="shared" si="4"/>
        <v>0</v>
      </c>
      <c r="AC16" s="61">
        <f t="shared" si="4"/>
        <v>0</v>
      </c>
      <c r="AD16" s="61">
        <f t="shared" si="4"/>
        <v>0</v>
      </c>
      <c r="AE16" s="61">
        <f t="shared" si="4"/>
        <v>0</v>
      </c>
      <c r="AF16" s="61">
        <f t="shared" si="4"/>
        <v>0</v>
      </c>
      <c r="AG16" s="61">
        <f t="shared" si="4"/>
        <v>0</v>
      </c>
      <c r="AH16" s="61">
        <f t="shared" si="4"/>
        <v>0</v>
      </c>
      <c r="AI16" s="61">
        <f t="shared" si="4"/>
        <v>0</v>
      </c>
      <c r="AJ16" s="61">
        <f t="shared" si="4"/>
        <v>0</v>
      </c>
      <c r="AK16" s="61">
        <f t="shared" ref="AK16:AU17" si="5">MAX(MIN($D16,DATE(AK$15,3,31))-MAX($C16,DATE(AK$15-1,4,1))+1,0)/365*12</f>
        <v>0</v>
      </c>
      <c r="AL16" s="61">
        <f t="shared" si="5"/>
        <v>0</v>
      </c>
      <c r="AM16" s="61">
        <f t="shared" si="5"/>
        <v>0</v>
      </c>
      <c r="AN16" s="61">
        <f t="shared" si="5"/>
        <v>0</v>
      </c>
      <c r="AO16" s="61">
        <f t="shared" si="5"/>
        <v>0</v>
      </c>
      <c r="AP16" s="61">
        <f t="shared" si="5"/>
        <v>0</v>
      </c>
      <c r="AQ16" s="61">
        <f t="shared" si="5"/>
        <v>0</v>
      </c>
      <c r="AR16" s="61">
        <f t="shared" si="5"/>
        <v>0</v>
      </c>
      <c r="AS16" s="61">
        <f t="shared" si="5"/>
        <v>0</v>
      </c>
      <c r="AT16" s="61">
        <f t="shared" si="5"/>
        <v>0</v>
      </c>
      <c r="AU16" s="61">
        <f t="shared" si="5"/>
        <v>0</v>
      </c>
    </row>
    <row r="17" spans="2:47">
      <c r="B17" s="64" t="s">
        <v>504</v>
      </c>
      <c r="C17" s="160">
        <v>47013</v>
      </c>
      <c r="D17" s="160">
        <v>49062</v>
      </c>
      <c r="E17" s="68">
        <f t="shared" si="1"/>
        <v>2049</v>
      </c>
      <c r="F17" s="69">
        <f t="shared" ref="F17:F18" si="6">E17/365*12</f>
        <v>67.364383561643834</v>
      </c>
      <c r="G17" s="61">
        <f t="shared" si="2"/>
        <v>0</v>
      </c>
      <c r="H17" s="61">
        <f t="shared" si="2"/>
        <v>0</v>
      </c>
      <c r="I17" s="61">
        <f t="shared" si="2"/>
        <v>0</v>
      </c>
      <c r="J17" s="61">
        <f t="shared" si="2"/>
        <v>0</v>
      </c>
      <c r="K17" s="61">
        <f t="shared" si="2"/>
        <v>0</v>
      </c>
      <c r="L17" s="61">
        <f t="shared" si="2"/>
        <v>0</v>
      </c>
      <c r="M17" s="61">
        <f t="shared" si="2"/>
        <v>0</v>
      </c>
      <c r="N17" s="61">
        <f t="shared" si="2"/>
        <v>0</v>
      </c>
      <c r="O17" s="61">
        <f t="shared" si="2"/>
        <v>0</v>
      </c>
      <c r="P17" s="61">
        <f t="shared" si="2"/>
        <v>0</v>
      </c>
      <c r="Q17" s="61">
        <f t="shared" si="3"/>
        <v>0</v>
      </c>
      <c r="R17" s="61">
        <f t="shared" si="3"/>
        <v>0</v>
      </c>
      <c r="S17" s="61">
        <f t="shared" si="3"/>
        <v>0</v>
      </c>
      <c r="T17" s="61">
        <f t="shared" si="3"/>
        <v>0</v>
      </c>
      <c r="U17" s="61">
        <f t="shared" si="3"/>
        <v>0</v>
      </c>
      <c r="V17" s="61">
        <f t="shared" si="3"/>
        <v>0</v>
      </c>
      <c r="W17" s="61">
        <f t="shared" si="3"/>
        <v>0</v>
      </c>
      <c r="X17" s="61">
        <f t="shared" si="3"/>
        <v>0</v>
      </c>
      <c r="Y17" s="61">
        <f t="shared" si="3"/>
        <v>0</v>
      </c>
      <c r="Z17" s="61">
        <f t="shared" si="3"/>
        <v>6.4438356164383563</v>
      </c>
      <c r="AA17" s="61">
        <f t="shared" si="4"/>
        <v>12</v>
      </c>
      <c r="AB17" s="61">
        <f t="shared" si="4"/>
        <v>12</v>
      </c>
      <c r="AC17" s="61">
        <f t="shared" si="4"/>
        <v>12.032876712328768</v>
      </c>
      <c r="AD17" s="61">
        <f t="shared" si="4"/>
        <v>12</v>
      </c>
      <c r="AE17" s="61">
        <f t="shared" si="4"/>
        <v>12</v>
      </c>
      <c r="AF17" s="61">
        <f t="shared" si="4"/>
        <v>0.92054794520547945</v>
      </c>
      <c r="AG17" s="61">
        <f t="shared" si="4"/>
        <v>0</v>
      </c>
      <c r="AH17" s="61">
        <f t="shared" si="4"/>
        <v>0</v>
      </c>
      <c r="AI17" s="61">
        <f t="shared" si="4"/>
        <v>0</v>
      </c>
      <c r="AJ17" s="61">
        <f t="shared" si="4"/>
        <v>0</v>
      </c>
      <c r="AK17" s="61">
        <f t="shared" si="5"/>
        <v>0</v>
      </c>
      <c r="AL17" s="61">
        <f t="shared" si="5"/>
        <v>0</v>
      </c>
      <c r="AM17" s="61">
        <f t="shared" si="5"/>
        <v>0</v>
      </c>
      <c r="AN17" s="61">
        <f t="shared" si="5"/>
        <v>0</v>
      </c>
      <c r="AO17" s="61">
        <f t="shared" si="5"/>
        <v>0</v>
      </c>
      <c r="AP17" s="61">
        <f t="shared" si="5"/>
        <v>0</v>
      </c>
      <c r="AQ17" s="61">
        <f t="shared" si="5"/>
        <v>0</v>
      </c>
      <c r="AR17" s="61">
        <f t="shared" si="5"/>
        <v>0</v>
      </c>
      <c r="AS17" s="61">
        <f t="shared" si="5"/>
        <v>0</v>
      </c>
      <c r="AT17" s="61">
        <f t="shared" si="5"/>
        <v>0</v>
      </c>
      <c r="AU17" s="61">
        <f t="shared" si="5"/>
        <v>0</v>
      </c>
    </row>
    <row r="18" spans="2:47">
      <c r="B18" s="64" t="s">
        <v>956</v>
      </c>
      <c r="C18" s="160">
        <v>49080</v>
      </c>
      <c r="D18" s="160">
        <v>49396</v>
      </c>
      <c r="E18" s="68">
        <f t="shared" si="1"/>
        <v>316</v>
      </c>
      <c r="F18" s="69">
        <f t="shared" si="6"/>
        <v>10.389041095890411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</row>
    <row r="19" spans="2:47">
      <c r="B19" s="64" t="s">
        <v>957</v>
      </c>
      <c r="C19" s="160">
        <v>49432</v>
      </c>
      <c r="D19" s="160">
        <v>49867</v>
      </c>
      <c r="E19" s="68">
        <f t="shared" si="1"/>
        <v>435</v>
      </c>
      <c r="F19" s="69">
        <f t="shared" ref="F19:F22" si="7">E19/365*12</f>
        <v>14.301369863013701</v>
      </c>
      <c r="G19" s="61">
        <f t="shared" ref="G19:P22" si="8">MAX(MIN($D19,DATE(G$15,3,31))-MAX($C19,DATE(G$15-1,4,1))+1,0)/365*12</f>
        <v>0</v>
      </c>
      <c r="H19" s="61">
        <f t="shared" si="8"/>
        <v>0</v>
      </c>
      <c r="I19" s="61">
        <f t="shared" si="8"/>
        <v>0</v>
      </c>
      <c r="J19" s="61">
        <f t="shared" si="8"/>
        <v>0</v>
      </c>
      <c r="K19" s="61">
        <f t="shared" si="8"/>
        <v>0</v>
      </c>
      <c r="L19" s="61">
        <f t="shared" si="8"/>
        <v>0</v>
      </c>
      <c r="M19" s="61">
        <f t="shared" si="8"/>
        <v>0</v>
      </c>
      <c r="N19" s="61">
        <f t="shared" si="8"/>
        <v>0</v>
      </c>
      <c r="O19" s="61">
        <f t="shared" si="8"/>
        <v>0</v>
      </c>
      <c r="P19" s="61">
        <f t="shared" si="8"/>
        <v>0</v>
      </c>
      <c r="Q19" s="61">
        <f t="shared" ref="Q19:Z22" si="9">MAX(MIN($D19,DATE(Q$15,3,31))-MAX($C19,DATE(Q$15-1,4,1))+1,0)/365*12</f>
        <v>0</v>
      </c>
      <c r="R19" s="61">
        <f t="shared" si="9"/>
        <v>0</v>
      </c>
      <c r="S19" s="61">
        <f t="shared" si="9"/>
        <v>0</v>
      </c>
      <c r="T19" s="61">
        <f t="shared" si="9"/>
        <v>0</v>
      </c>
      <c r="U19" s="61">
        <f t="shared" si="9"/>
        <v>0</v>
      </c>
      <c r="V19" s="61">
        <f t="shared" si="9"/>
        <v>0</v>
      </c>
      <c r="W19" s="61">
        <f t="shared" si="9"/>
        <v>0</v>
      </c>
      <c r="X19" s="61">
        <f t="shared" si="9"/>
        <v>0</v>
      </c>
      <c r="Y19" s="61">
        <f t="shared" si="9"/>
        <v>0</v>
      </c>
      <c r="Z19" s="61">
        <f t="shared" si="9"/>
        <v>0</v>
      </c>
      <c r="AA19" s="61">
        <f t="shared" ref="AA19:AJ22" si="10">MAX(MIN($D19,DATE(AA$15,3,31))-MAX($C19,DATE(AA$15-1,4,1))+1,0)/365*12</f>
        <v>0</v>
      </c>
      <c r="AB19" s="61">
        <f t="shared" si="10"/>
        <v>0</v>
      </c>
      <c r="AC19" s="61">
        <f t="shared" si="10"/>
        <v>0</v>
      </c>
      <c r="AD19" s="61">
        <f t="shared" si="10"/>
        <v>0</v>
      </c>
      <c r="AE19" s="61">
        <f t="shared" si="10"/>
        <v>0</v>
      </c>
      <c r="AF19" s="61">
        <f t="shared" si="10"/>
        <v>0</v>
      </c>
      <c r="AG19" s="61">
        <f t="shared" si="10"/>
        <v>10.980821917808219</v>
      </c>
      <c r="AH19" s="61">
        <f t="shared" si="10"/>
        <v>3.353424657534247</v>
      </c>
      <c r="AI19" s="61">
        <f t="shared" si="10"/>
        <v>0</v>
      </c>
      <c r="AJ19" s="61">
        <f t="shared" si="10"/>
        <v>0</v>
      </c>
      <c r="AK19" s="61">
        <f t="shared" ref="AK19:AU22" si="11">MAX(MIN($D19,DATE(AK$15,3,31))-MAX($C19,DATE(AK$15-1,4,1))+1,0)/365*12</f>
        <v>0</v>
      </c>
      <c r="AL19" s="61">
        <f t="shared" si="11"/>
        <v>0</v>
      </c>
      <c r="AM19" s="61">
        <f t="shared" si="11"/>
        <v>0</v>
      </c>
      <c r="AN19" s="61">
        <f t="shared" si="11"/>
        <v>0</v>
      </c>
      <c r="AO19" s="61">
        <f t="shared" si="11"/>
        <v>0</v>
      </c>
      <c r="AP19" s="61">
        <f t="shared" si="11"/>
        <v>0</v>
      </c>
      <c r="AQ19" s="61">
        <f t="shared" si="11"/>
        <v>0</v>
      </c>
      <c r="AR19" s="61">
        <f t="shared" si="11"/>
        <v>0</v>
      </c>
      <c r="AS19" s="61">
        <f t="shared" si="11"/>
        <v>0</v>
      </c>
      <c r="AT19" s="61">
        <f t="shared" si="11"/>
        <v>0</v>
      </c>
      <c r="AU19" s="61">
        <f t="shared" si="11"/>
        <v>0</v>
      </c>
    </row>
    <row r="20" spans="2:47">
      <c r="B20" s="64" t="s">
        <v>510</v>
      </c>
      <c r="C20" s="160">
        <v>49898</v>
      </c>
      <c r="D20" s="160">
        <f>C20+366</f>
        <v>50264</v>
      </c>
      <c r="E20" s="65">
        <f t="shared" si="1"/>
        <v>366</v>
      </c>
      <c r="F20" s="66">
        <f t="shared" si="7"/>
        <v>12.032876712328768</v>
      </c>
      <c r="G20" s="61">
        <f t="shared" si="8"/>
        <v>0</v>
      </c>
      <c r="H20" s="61">
        <f t="shared" si="8"/>
        <v>0</v>
      </c>
      <c r="I20" s="61">
        <f t="shared" si="8"/>
        <v>0</v>
      </c>
      <c r="J20" s="61">
        <f t="shared" si="8"/>
        <v>0</v>
      </c>
      <c r="K20" s="61">
        <f t="shared" si="8"/>
        <v>0</v>
      </c>
      <c r="L20" s="61">
        <f t="shared" si="8"/>
        <v>0</v>
      </c>
      <c r="M20" s="61">
        <f t="shared" si="8"/>
        <v>0</v>
      </c>
      <c r="N20" s="61">
        <f t="shared" si="8"/>
        <v>0</v>
      </c>
      <c r="O20" s="61">
        <f t="shared" si="8"/>
        <v>0</v>
      </c>
      <c r="P20" s="61">
        <f t="shared" si="8"/>
        <v>0</v>
      </c>
      <c r="Q20" s="61">
        <f t="shared" si="9"/>
        <v>0</v>
      </c>
      <c r="R20" s="61">
        <f t="shared" si="9"/>
        <v>0</v>
      </c>
      <c r="S20" s="61">
        <f t="shared" si="9"/>
        <v>0</v>
      </c>
      <c r="T20" s="61">
        <f t="shared" si="9"/>
        <v>0</v>
      </c>
      <c r="U20" s="61">
        <f t="shared" si="9"/>
        <v>0</v>
      </c>
      <c r="V20" s="61">
        <f t="shared" si="9"/>
        <v>0</v>
      </c>
      <c r="W20" s="61">
        <f t="shared" si="9"/>
        <v>0</v>
      </c>
      <c r="X20" s="61">
        <f t="shared" si="9"/>
        <v>0</v>
      </c>
      <c r="Y20" s="61">
        <f t="shared" si="9"/>
        <v>0</v>
      </c>
      <c r="Z20" s="61">
        <f t="shared" si="9"/>
        <v>0</v>
      </c>
      <c r="AA20" s="61">
        <f t="shared" si="10"/>
        <v>0</v>
      </c>
      <c r="AB20" s="61">
        <f t="shared" si="10"/>
        <v>0</v>
      </c>
      <c r="AC20" s="61">
        <f t="shared" si="10"/>
        <v>0</v>
      </c>
      <c r="AD20" s="61">
        <f t="shared" si="10"/>
        <v>0</v>
      </c>
      <c r="AE20" s="61">
        <f t="shared" si="10"/>
        <v>0</v>
      </c>
      <c r="AF20" s="61">
        <f t="shared" si="10"/>
        <v>0</v>
      </c>
      <c r="AG20" s="61">
        <f t="shared" si="10"/>
        <v>0</v>
      </c>
      <c r="AH20" s="61">
        <f t="shared" si="10"/>
        <v>7.6602739726027398</v>
      </c>
      <c r="AI20" s="61">
        <f t="shared" si="10"/>
        <v>4.4054794520547942</v>
      </c>
      <c r="AJ20" s="61">
        <f t="shared" si="10"/>
        <v>0</v>
      </c>
      <c r="AK20" s="61">
        <f t="shared" si="11"/>
        <v>0</v>
      </c>
      <c r="AL20" s="61">
        <f t="shared" si="11"/>
        <v>0</v>
      </c>
      <c r="AM20" s="61">
        <f t="shared" si="11"/>
        <v>0</v>
      </c>
      <c r="AN20" s="61">
        <f t="shared" si="11"/>
        <v>0</v>
      </c>
      <c r="AO20" s="61">
        <f t="shared" si="11"/>
        <v>0</v>
      </c>
      <c r="AP20" s="61">
        <f t="shared" si="11"/>
        <v>0</v>
      </c>
      <c r="AQ20" s="61">
        <f t="shared" si="11"/>
        <v>0</v>
      </c>
      <c r="AR20" s="61">
        <f t="shared" si="11"/>
        <v>0</v>
      </c>
      <c r="AS20" s="61">
        <f t="shared" si="11"/>
        <v>0</v>
      </c>
      <c r="AT20" s="61">
        <f t="shared" si="11"/>
        <v>0</v>
      </c>
      <c r="AU20" s="61">
        <f t="shared" si="11"/>
        <v>0</v>
      </c>
    </row>
    <row r="21" spans="2:47">
      <c r="B21" s="64" t="s">
        <v>514</v>
      </c>
      <c r="C21" s="160">
        <v>50264</v>
      </c>
      <c r="D21" s="160">
        <f>C21+E20+E19+E18</f>
        <v>51381</v>
      </c>
      <c r="E21" s="65">
        <f t="shared" si="1"/>
        <v>1117</v>
      </c>
      <c r="F21" s="66">
        <f t="shared" si="7"/>
        <v>36.723287671232875</v>
      </c>
      <c r="G21" s="61">
        <f t="shared" si="8"/>
        <v>0</v>
      </c>
      <c r="H21" s="61">
        <f t="shared" si="8"/>
        <v>0</v>
      </c>
      <c r="I21" s="61">
        <f t="shared" si="8"/>
        <v>0</v>
      </c>
      <c r="J21" s="61">
        <f t="shared" si="8"/>
        <v>0</v>
      </c>
      <c r="K21" s="61">
        <f t="shared" si="8"/>
        <v>0</v>
      </c>
      <c r="L21" s="61">
        <f t="shared" si="8"/>
        <v>0</v>
      </c>
      <c r="M21" s="61">
        <f t="shared" si="8"/>
        <v>0</v>
      </c>
      <c r="N21" s="61">
        <f t="shared" si="8"/>
        <v>0</v>
      </c>
      <c r="O21" s="61">
        <f t="shared" si="8"/>
        <v>0</v>
      </c>
      <c r="P21" s="61">
        <f t="shared" si="8"/>
        <v>0</v>
      </c>
      <c r="Q21" s="61">
        <f t="shared" si="9"/>
        <v>0</v>
      </c>
      <c r="R21" s="61">
        <f t="shared" si="9"/>
        <v>0</v>
      </c>
      <c r="S21" s="61">
        <f t="shared" si="9"/>
        <v>0</v>
      </c>
      <c r="T21" s="61">
        <f t="shared" si="9"/>
        <v>0</v>
      </c>
      <c r="U21" s="61">
        <f t="shared" si="9"/>
        <v>0</v>
      </c>
      <c r="V21" s="61">
        <f t="shared" si="9"/>
        <v>0</v>
      </c>
      <c r="W21" s="61">
        <f t="shared" si="9"/>
        <v>0</v>
      </c>
      <c r="X21" s="61">
        <f t="shared" si="9"/>
        <v>0</v>
      </c>
      <c r="Y21" s="61">
        <f t="shared" si="9"/>
        <v>0</v>
      </c>
      <c r="Z21" s="61">
        <f t="shared" si="9"/>
        <v>0</v>
      </c>
      <c r="AA21" s="61">
        <f t="shared" si="10"/>
        <v>0</v>
      </c>
      <c r="AB21" s="61">
        <f t="shared" si="10"/>
        <v>0</v>
      </c>
      <c r="AC21" s="61">
        <f t="shared" si="10"/>
        <v>0</v>
      </c>
      <c r="AD21" s="61">
        <f t="shared" si="10"/>
        <v>0</v>
      </c>
      <c r="AE21" s="61">
        <f t="shared" si="10"/>
        <v>0</v>
      </c>
      <c r="AF21" s="61">
        <f t="shared" si="10"/>
        <v>0</v>
      </c>
      <c r="AG21" s="61">
        <f t="shared" si="10"/>
        <v>0</v>
      </c>
      <c r="AH21" s="61">
        <f t="shared" si="10"/>
        <v>0</v>
      </c>
      <c r="AI21" s="61">
        <f t="shared" si="10"/>
        <v>7.6273972602739732</v>
      </c>
      <c r="AJ21" s="61">
        <f t="shared" si="10"/>
        <v>12</v>
      </c>
      <c r="AK21" s="61">
        <f t="shared" si="11"/>
        <v>12.032876712328768</v>
      </c>
      <c r="AL21" s="61">
        <f t="shared" si="11"/>
        <v>5.095890410958904</v>
      </c>
      <c r="AM21" s="61">
        <f t="shared" si="11"/>
        <v>0</v>
      </c>
      <c r="AN21" s="61">
        <f t="shared" si="11"/>
        <v>0</v>
      </c>
      <c r="AO21" s="61">
        <f t="shared" si="11"/>
        <v>0</v>
      </c>
      <c r="AP21" s="61">
        <f t="shared" si="11"/>
        <v>0</v>
      </c>
      <c r="AQ21" s="61">
        <f t="shared" si="11"/>
        <v>0</v>
      </c>
      <c r="AR21" s="61">
        <f t="shared" si="11"/>
        <v>0</v>
      </c>
      <c r="AS21" s="61">
        <f t="shared" si="11"/>
        <v>0</v>
      </c>
      <c r="AT21" s="61">
        <f t="shared" si="11"/>
        <v>0</v>
      </c>
      <c r="AU21" s="61">
        <f t="shared" si="11"/>
        <v>0</v>
      </c>
    </row>
    <row r="22" spans="2:47">
      <c r="B22" s="64" t="s">
        <v>519</v>
      </c>
      <c r="C22" s="160">
        <v>51589</v>
      </c>
      <c r="D22" s="160">
        <f>C22+4.5*365</f>
        <v>53231.5</v>
      </c>
      <c r="E22" s="65">
        <f t="shared" si="1"/>
        <v>1642.5</v>
      </c>
      <c r="F22" s="66">
        <f t="shared" si="7"/>
        <v>54</v>
      </c>
      <c r="G22" s="61">
        <f t="shared" si="8"/>
        <v>0</v>
      </c>
      <c r="H22" s="61">
        <f t="shared" si="8"/>
        <v>0</v>
      </c>
      <c r="I22" s="61">
        <f t="shared" si="8"/>
        <v>0</v>
      </c>
      <c r="J22" s="61">
        <f t="shared" si="8"/>
        <v>0</v>
      </c>
      <c r="K22" s="61">
        <f t="shared" si="8"/>
        <v>0</v>
      </c>
      <c r="L22" s="61">
        <f t="shared" si="8"/>
        <v>0</v>
      </c>
      <c r="M22" s="61">
        <f t="shared" si="8"/>
        <v>0</v>
      </c>
      <c r="N22" s="61">
        <f t="shared" si="8"/>
        <v>0</v>
      </c>
      <c r="O22" s="61">
        <f t="shared" si="8"/>
        <v>0</v>
      </c>
      <c r="P22" s="61">
        <f t="shared" si="8"/>
        <v>0</v>
      </c>
      <c r="Q22" s="61">
        <f t="shared" si="9"/>
        <v>0</v>
      </c>
      <c r="R22" s="61">
        <f t="shared" si="9"/>
        <v>0</v>
      </c>
      <c r="S22" s="61">
        <f t="shared" si="9"/>
        <v>0</v>
      </c>
      <c r="T22" s="61">
        <f t="shared" si="9"/>
        <v>0</v>
      </c>
      <c r="U22" s="61">
        <f t="shared" si="9"/>
        <v>0</v>
      </c>
      <c r="V22" s="61">
        <f t="shared" si="9"/>
        <v>0</v>
      </c>
      <c r="W22" s="61">
        <f t="shared" si="9"/>
        <v>0</v>
      </c>
      <c r="X22" s="61">
        <f t="shared" si="9"/>
        <v>0</v>
      </c>
      <c r="Y22" s="61">
        <f t="shared" si="9"/>
        <v>0</v>
      </c>
      <c r="Z22" s="61">
        <f t="shared" si="9"/>
        <v>0</v>
      </c>
      <c r="AA22" s="61">
        <f t="shared" si="10"/>
        <v>0</v>
      </c>
      <c r="AB22" s="61">
        <f t="shared" si="10"/>
        <v>0</v>
      </c>
      <c r="AC22" s="61">
        <f t="shared" si="10"/>
        <v>0</v>
      </c>
      <c r="AD22" s="61">
        <f t="shared" si="10"/>
        <v>0</v>
      </c>
      <c r="AE22" s="61">
        <f t="shared" si="10"/>
        <v>0</v>
      </c>
      <c r="AF22" s="61">
        <f t="shared" si="10"/>
        <v>0</v>
      </c>
      <c r="AG22" s="61">
        <f t="shared" si="10"/>
        <v>0</v>
      </c>
      <c r="AH22" s="61">
        <f t="shared" si="10"/>
        <v>0</v>
      </c>
      <c r="AI22" s="61">
        <f t="shared" si="10"/>
        <v>0</v>
      </c>
      <c r="AJ22" s="61">
        <f t="shared" si="10"/>
        <v>0</v>
      </c>
      <c r="AK22" s="61">
        <f t="shared" si="11"/>
        <v>0</v>
      </c>
      <c r="AL22" s="61">
        <f t="shared" si="11"/>
        <v>9.8630136986301353E-2</v>
      </c>
      <c r="AM22" s="61">
        <f t="shared" si="11"/>
        <v>12</v>
      </c>
      <c r="AN22" s="61">
        <f t="shared" si="11"/>
        <v>12</v>
      </c>
      <c r="AO22" s="61">
        <f t="shared" si="11"/>
        <v>12.032876712328768</v>
      </c>
      <c r="AP22" s="61">
        <f t="shared" si="11"/>
        <v>12</v>
      </c>
      <c r="AQ22" s="61">
        <f t="shared" si="11"/>
        <v>5.9013698630136986</v>
      </c>
      <c r="AR22" s="61">
        <f t="shared" si="11"/>
        <v>0</v>
      </c>
      <c r="AS22" s="61">
        <f t="shared" si="11"/>
        <v>0</v>
      </c>
      <c r="AT22" s="61">
        <f t="shared" si="11"/>
        <v>0</v>
      </c>
      <c r="AU22" s="61">
        <f t="shared" si="11"/>
        <v>0</v>
      </c>
    </row>
    <row r="23" spans="2:47">
      <c r="B23" s="64" t="s">
        <v>521</v>
      </c>
      <c r="C23" s="160">
        <v>53318</v>
      </c>
      <c r="D23" s="160">
        <f>C23+90</f>
        <v>53408</v>
      </c>
      <c r="E23" s="65">
        <f t="shared" si="1"/>
        <v>90</v>
      </c>
      <c r="F23" s="66">
        <f>E23/365*12</f>
        <v>2.9589041095890409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</row>
    <row r="24" spans="2:47">
      <c r="B24" s="64" t="s">
        <v>865</v>
      </c>
      <c r="C24" s="160">
        <v>53473</v>
      </c>
      <c r="D24" s="160">
        <f>C24+30</f>
        <v>53503</v>
      </c>
      <c r="E24" s="65">
        <f t="shared" si="1"/>
        <v>30</v>
      </c>
      <c r="F24" s="66">
        <f t="shared" ref="F24" si="12">E24/365*12</f>
        <v>0.98630136986301364</v>
      </c>
      <c r="G24" s="61">
        <f t="shared" ref="G24:AU24" si="13">MAX(MIN($D23,DATE(G$15,3,31))-MAX($C23,DATE(G$15-1,4,1))+1,0)/365*12</f>
        <v>0</v>
      </c>
      <c r="H24" s="61">
        <f t="shared" si="13"/>
        <v>0</v>
      </c>
      <c r="I24" s="61">
        <f t="shared" si="13"/>
        <v>0</v>
      </c>
      <c r="J24" s="61">
        <f t="shared" si="13"/>
        <v>0</v>
      </c>
      <c r="K24" s="61">
        <f t="shared" si="13"/>
        <v>0</v>
      </c>
      <c r="L24" s="61">
        <f t="shared" si="13"/>
        <v>0</v>
      </c>
      <c r="M24" s="61">
        <f t="shared" si="13"/>
        <v>0</v>
      </c>
      <c r="N24" s="61">
        <f t="shared" si="13"/>
        <v>0</v>
      </c>
      <c r="O24" s="61">
        <f t="shared" si="13"/>
        <v>0</v>
      </c>
      <c r="P24" s="61">
        <f t="shared" si="13"/>
        <v>0</v>
      </c>
      <c r="Q24" s="61">
        <f t="shared" si="13"/>
        <v>0</v>
      </c>
      <c r="R24" s="61">
        <f t="shared" si="13"/>
        <v>0</v>
      </c>
      <c r="S24" s="61">
        <f t="shared" si="13"/>
        <v>0</v>
      </c>
      <c r="T24" s="61">
        <f t="shared" si="13"/>
        <v>0</v>
      </c>
      <c r="U24" s="61">
        <f t="shared" si="13"/>
        <v>0</v>
      </c>
      <c r="V24" s="61">
        <f t="shared" si="13"/>
        <v>0</v>
      </c>
      <c r="W24" s="61">
        <f t="shared" si="13"/>
        <v>0</v>
      </c>
      <c r="X24" s="61">
        <f t="shared" si="13"/>
        <v>0</v>
      </c>
      <c r="Y24" s="61">
        <f t="shared" si="13"/>
        <v>0</v>
      </c>
      <c r="Z24" s="61">
        <f t="shared" si="13"/>
        <v>0</v>
      </c>
      <c r="AA24" s="61">
        <f t="shared" si="13"/>
        <v>0</v>
      </c>
      <c r="AB24" s="61">
        <f t="shared" si="13"/>
        <v>0</v>
      </c>
      <c r="AC24" s="61">
        <f t="shared" si="13"/>
        <v>0</v>
      </c>
      <c r="AD24" s="61">
        <f t="shared" si="13"/>
        <v>0</v>
      </c>
      <c r="AE24" s="61">
        <f t="shared" si="13"/>
        <v>0</v>
      </c>
      <c r="AF24" s="61">
        <f t="shared" si="13"/>
        <v>0</v>
      </c>
      <c r="AG24" s="61">
        <f t="shared" si="13"/>
        <v>0</v>
      </c>
      <c r="AH24" s="61">
        <f t="shared" si="13"/>
        <v>0</v>
      </c>
      <c r="AI24" s="61">
        <f t="shared" si="13"/>
        <v>0</v>
      </c>
      <c r="AJ24" s="61">
        <f t="shared" si="13"/>
        <v>0</v>
      </c>
      <c r="AK24" s="61">
        <f t="shared" si="13"/>
        <v>0</v>
      </c>
      <c r="AL24" s="61">
        <f t="shared" si="13"/>
        <v>0</v>
      </c>
      <c r="AM24" s="61">
        <f t="shared" si="13"/>
        <v>0</v>
      </c>
      <c r="AN24" s="61">
        <f t="shared" si="13"/>
        <v>0</v>
      </c>
      <c r="AO24" s="61">
        <f t="shared" si="13"/>
        <v>0</v>
      </c>
      <c r="AP24" s="61">
        <f t="shared" si="13"/>
        <v>0</v>
      </c>
      <c r="AQ24" s="61">
        <f t="shared" si="13"/>
        <v>2.9917808219178084</v>
      </c>
      <c r="AR24" s="61">
        <f t="shared" si="13"/>
        <v>0</v>
      </c>
      <c r="AS24" s="61">
        <f t="shared" si="13"/>
        <v>0</v>
      </c>
      <c r="AT24" s="61">
        <f t="shared" si="13"/>
        <v>0</v>
      </c>
      <c r="AU24" s="61">
        <f t="shared" si="13"/>
        <v>0</v>
      </c>
    </row>
    <row r="26" spans="2:47">
      <c r="B26" s="161"/>
    </row>
    <row r="27" spans="2:47">
      <c r="C27" s="136"/>
      <c r="D27" s="136"/>
    </row>
    <row r="28" spans="2:47">
      <c r="C28" s="136"/>
      <c r="D28" s="136"/>
    </row>
    <row r="29" spans="2:47">
      <c r="C29" s="136"/>
      <c r="D29" s="136"/>
    </row>
    <row r="30" spans="2:47">
      <c r="C30" s="136"/>
      <c r="D30" s="136"/>
    </row>
    <row r="31" spans="2:47">
      <c r="C31" s="136"/>
      <c r="D31" s="136"/>
    </row>
    <row r="32" spans="2:47">
      <c r="C32" s="136"/>
      <c r="D32" s="136"/>
    </row>
    <row r="33" spans="3:4">
      <c r="C33" s="136"/>
      <c r="D33" s="136"/>
    </row>
    <row r="34" spans="3:4">
      <c r="C34" s="136"/>
      <c r="D34" s="136"/>
    </row>
  </sheetData>
  <mergeCells count="1">
    <mergeCell ref="A1:B1"/>
  </mergeCells>
  <hyperlinks>
    <hyperlink ref="A1" location="'Table of contents'!A1" display="` ToC" xr:uid="{9ECA719B-DE9B-45DA-8842-C436BA695774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E9FA-7A8A-48E2-AD6D-1B4C83415AB2}">
  <dimension ref="A1:S22"/>
  <sheetViews>
    <sheetView zoomScale="70" zoomScaleNormal="70" workbookViewId="0">
      <selection activeCell="L43" sqref="L43"/>
    </sheetView>
  </sheetViews>
  <sheetFormatPr defaultRowHeight="15"/>
  <cols>
    <col min="2" max="2" width="40.28515625" customWidth="1"/>
    <col min="3" max="3" width="23.7109375" customWidth="1"/>
    <col min="4" max="4" width="18.42578125" customWidth="1"/>
    <col min="5" max="5" width="24.42578125" customWidth="1"/>
    <col min="6" max="6" width="21.140625" customWidth="1"/>
    <col min="7" max="7" width="16" customWidth="1"/>
    <col min="8" max="8" width="14.28515625" customWidth="1"/>
    <col min="9" max="9" width="25.5703125" customWidth="1"/>
    <col min="10" max="10" width="16.7109375" customWidth="1"/>
    <col min="11" max="11" width="17.28515625" customWidth="1"/>
    <col min="12" max="12" width="41.7109375" customWidth="1"/>
    <col min="13" max="13" width="12.28515625" customWidth="1"/>
    <col min="14" max="14" width="18" customWidth="1"/>
    <col min="15" max="15" width="18.140625" customWidth="1"/>
    <col min="16" max="16" width="15.140625" customWidth="1"/>
    <col min="17" max="17" width="14.7109375" customWidth="1"/>
    <col min="19" max="19" width="9.28515625" bestFit="1" customWidth="1"/>
  </cols>
  <sheetData>
    <row r="1" spans="1:19">
      <c r="C1" s="110" t="s">
        <v>912</v>
      </c>
      <c r="D1" s="111">
        <v>46661</v>
      </c>
    </row>
    <row r="3" spans="1:19" ht="45">
      <c r="A3" s="112" t="s">
        <v>13</v>
      </c>
      <c r="B3" s="112" t="s">
        <v>913</v>
      </c>
      <c r="C3" s="113" t="s">
        <v>15</v>
      </c>
      <c r="D3" s="113" t="s">
        <v>959</v>
      </c>
      <c r="E3" s="114" t="s">
        <v>53</v>
      </c>
      <c r="F3" s="115" t="s">
        <v>914</v>
      </c>
      <c r="G3" s="115" t="s">
        <v>915</v>
      </c>
      <c r="H3" s="116" t="s">
        <v>916</v>
      </c>
      <c r="I3" s="116" t="s">
        <v>917</v>
      </c>
      <c r="J3" s="117" t="s">
        <v>918</v>
      </c>
      <c r="K3" s="117" t="s">
        <v>919</v>
      </c>
      <c r="L3" s="118" t="s">
        <v>920</v>
      </c>
    </row>
    <row r="4" spans="1:19">
      <c r="A4" s="119" t="s">
        <v>921</v>
      </c>
      <c r="B4" s="120" t="s">
        <v>922</v>
      </c>
      <c r="C4" s="119" t="s">
        <v>912</v>
      </c>
      <c r="D4" s="119" t="s">
        <v>912</v>
      </c>
      <c r="E4" s="121" t="s">
        <v>912</v>
      </c>
      <c r="F4" s="122" t="s">
        <v>912</v>
      </c>
      <c r="G4" s="123" t="s">
        <v>912</v>
      </c>
      <c r="H4" s="123" t="s">
        <v>912</v>
      </c>
      <c r="I4" s="123">
        <v>46661</v>
      </c>
      <c r="J4" s="124" t="s">
        <v>912</v>
      </c>
      <c r="K4" s="124" t="s">
        <v>912</v>
      </c>
      <c r="L4" s="119" t="s">
        <v>963</v>
      </c>
    </row>
    <row r="5" spans="1:19">
      <c r="A5" s="119" t="s">
        <v>921</v>
      </c>
      <c r="B5" s="125" t="s">
        <v>923</v>
      </c>
      <c r="C5" s="119" t="s">
        <v>960</v>
      </c>
      <c r="D5" s="119" t="s">
        <v>481</v>
      </c>
      <c r="E5" s="119" t="s">
        <v>481</v>
      </c>
      <c r="F5" s="122" t="s">
        <v>928</v>
      </c>
      <c r="G5" s="126">
        <v>46874</v>
      </c>
      <c r="H5" s="126" t="s">
        <v>924</v>
      </c>
      <c r="I5" s="126">
        <v>46844</v>
      </c>
      <c r="J5" s="121" t="s">
        <v>960</v>
      </c>
      <c r="K5" s="127">
        <v>46784</v>
      </c>
      <c r="L5" s="119" t="s">
        <v>964</v>
      </c>
    </row>
    <row r="6" spans="1:19">
      <c r="A6" s="119" t="s">
        <v>921</v>
      </c>
      <c r="B6" s="125" t="s">
        <v>925</v>
      </c>
      <c r="C6" s="119" t="s">
        <v>481</v>
      </c>
      <c r="D6" s="119" t="s">
        <v>961</v>
      </c>
      <c r="E6" s="121" t="s">
        <v>481</v>
      </c>
      <c r="F6" s="122" t="s">
        <v>962</v>
      </c>
      <c r="G6" s="126">
        <v>46997</v>
      </c>
      <c r="H6" s="126" t="s">
        <v>961</v>
      </c>
      <c r="I6" s="126">
        <v>46935</v>
      </c>
      <c r="J6" s="127" t="s">
        <v>926</v>
      </c>
      <c r="K6" s="127">
        <v>46874</v>
      </c>
      <c r="L6" s="119" t="s">
        <v>965</v>
      </c>
    </row>
    <row r="7" spans="1:19" ht="30">
      <c r="A7" s="119" t="s">
        <v>921</v>
      </c>
      <c r="B7" s="120" t="s">
        <v>927</v>
      </c>
      <c r="C7" s="119" t="s">
        <v>960</v>
      </c>
      <c r="D7" s="119" t="s">
        <v>961</v>
      </c>
      <c r="E7" s="119" t="s">
        <v>481</v>
      </c>
      <c r="F7" s="128" t="s">
        <v>962</v>
      </c>
      <c r="G7" s="123">
        <v>46997</v>
      </c>
      <c r="H7" s="123" t="s">
        <v>961</v>
      </c>
      <c r="I7" s="126">
        <v>46935</v>
      </c>
      <c r="J7" s="121" t="s">
        <v>926</v>
      </c>
      <c r="K7" s="127">
        <v>46874</v>
      </c>
      <c r="L7" s="129" t="s">
        <v>966</v>
      </c>
    </row>
    <row r="8" spans="1:19">
      <c r="A8" s="130" t="s">
        <v>929</v>
      </c>
      <c r="B8" s="131" t="s">
        <v>930</v>
      </c>
      <c r="C8" s="130" t="s">
        <v>931</v>
      </c>
      <c r="D8" s="130" t="s">
        <v>481</v>
      </c>
      <c r="E8" s="132" t="s">
        <v>481</v>
      </c>
      <c r="F8" s="133" t="s">
        <v>940</v>
      </c>
      <c r="G8" s="134">
        <v>47209</v>
      </c>
      <c r="H8" s="134" t="s">
        <v>931</v>
      </c>
      <c r="I8" s="135">
        <v>47119</v>
      </c>
      <c r="J8" s="135" t="s">
        <v>967</v>
      </c>
      <c r="K8" s="135">
        <v>47058</v>
      </c>
      <c r="L8" s="130" t="s">
        <v>968</v>
      </c>
      <c r="S8" s="136"/>
    </row>
    <row r="9" spans="1:19">
      <c r="A9" s="130" t="s">
        <v>929</v>
      </c>
      <c r="B9" s="131" t="s">
        <v>932</v>
      </c>
      <c r="C9" s="130" t="s">
        <v>481</v>
      </c>
      <c r="D9" s="130" t="s">
        <v>940</v>
      </c>
      <c r="E9" s="132" t="s">
        <v>481</v>
      </c>
      <c r="F9" s="133" t="s">
        <v>969</v>
      </c>
      <c r="G9" s="134">
        <v>47300</v>
      </c>
      <c r="H9" s="134" t="s">
        <v>940</v>
      </c>
      <c r="I9" s="135">
        <v>47209</v>
      </c>
      <c r="J9" s="135" t="s">
        <v>970</v>
      </c>
      <c r="K9" s="135">
        <v>46966</v>
      </c>
      <c r="L9" s="130" t="s">
        <v>971</v>
      </c>
    </row>
    <row r="10" spans="1:19" ht="30">
      <c r="A10" s="137" t="s">
        <v>929</v>
      </c>
      <c r="B10" s="138" t="s">
        <v>933</v>
      </c>
      <c r="C10" s="137" t="s">
        <v>940</v>
      </c>
      <c r="D10" s="137" t="s">
        <v>940</v>
      </c>
      <c r="E10" s="139" t="s">
        <v>481</v>
      </c>
      <c r="F10" s="140" t="s">
        <v>969</v>
      </c>
      <c r="G10" s="141">
        <v>47300</v>
      </c>
      <c r="H10" s="142" t="s">
        <v>940</v>
      </c>
      <c r="I10" s="142">
        <v>47209</v>
      </c>
      <c r="J10" s="143" t="s">
        <v>970</v>
      </c>
      <c r="K10" s="144">
        <v>46966</v>
      </c>
      <c r="L10" s="145" t="s">
        <v>972</v>
      </c>
    </row>
    <row r="11" spans="1:19">
      <c r="A11" s="146" t="s">
        <v>934</v>
      </c>
      <c r="B11" s="146" t="s">
        <v>935</v>
      </c>
      <c r="C11" s="146" t="s">
        <v>939</v>
      </c>
      <c r="D11" s="146" t="s">
        <v>939</v>
      </c>
      <c r="E11" s="147" t="s">
        <v>481</v>
      </c>
      <c r="F11" s="148" t="s">
        <v>973</v>
      </c>
      <c r="G11" s="149">
        <v>47362</v>
      </c>
      <c r="H11" s="149" t="s">
        <v>939</v>
      </c>
      <c r="I11" s="149">
        <v>47270</v>
      </c>
      <c r="J11" s="149" t="s">
        <v>940</v>
      </c>
      <c r="K11" s="149">
        <v>47209</v>
      </c>
      <c r="L11" s="146" t="s">
        <v>974</v>
      </c>
    </row>
    <row r="12" spans="1:19">
      <c r="A12" s="146" t="s">
        <v>934</v>
      </c>
      <c r="B12" s="146" t="s">
        <v>937</v>
      </c>
      <c r="C12" s="146" t="s">
        <v>975</v>
      </c>
      <c r="D12" s="146" t="s">
        <v>975</v>
      </c>
      <c r="E12" s="146" t="s">
        <v>481</v>
      </c>
      <c r="F12" s="148" t="s">
        <v>947</v>
      </c>
      <c r="G12" s="149">
        <v>47484</v>
      </c>
      <c r="H12" s="149" t="s">
        <v>975</v>
      </c>
      <c r="I12" s="149">
        <v>47392</v>
      </c>
      <c r="J12" s="149" t="s">
        <v>976</v>
      </c>
      <c r="K12" s="149">
        <v>47331</v>
      </c>
      <c r="L12" s="146" t="s">
        <v>977</v>
      </c>
    </row>
    <row r="13" spans="1:19">
      <c r="A13" s="146" t="s">
        <v>934</v>
      </c>
      <c r="B13" s="146" t="s">
        <v>938</v>
      </c>
      <c r="C13" s="146" t="s">
        <v>945</v>
      </c>
      <c r="D13" s="146" t="s">
        <v>945</v>
      </c>
      <c r="E13" s="146" t="s">
        <v>481</v>
      </c>
      <c r="F13" s="148" t="s">
        <v>946</v>
      </c>
      <c r="G13" s="149">
        <v>47757</v>
      </c>
      <c r="H13" s="149" t="s">
        <v>945</v>
      </c>
      <c r="I13" s="149">
        <v>47574</v>
      </c>
      <c r="J13" s="149" t="s">
        <v>947</v>
      </c>
      <c r="K13" s="149">
        <v>47484</v>
      </c>
      <c r="L13" s="146" t="s">
        <v>978</v>
      </c>
    </row>
    <row r="14" spans="1:19">
      <c r="A14" s="146" t="s">
        <v>934</v>
      </c>
      <c r="B14" s="146" t="s">
        <v>941</v>
      </c>
      <c r="C14" s="146" t="s">
        <v>942</v>
      </c>
      <c r="D14" s="146" t="s">
        <v>942</v>
      </c>
      <c r="E14" s="146" t="s">
        <v>481</v>
      </c>
      <c r="F14" s="148" t="s">
        <v>951</v>
      </c>
      <c r="G14" s="149">
        <v>47788</v>
      </c>
      <c r="H14" s="149" t="s">
        <v>942</v>
      </c>
      <c r="I14" s="149">
        <v>47604</v>
      </c>
      <c r="J14" s="149" t="s">
        <v>979</v>
      </c>
      <c r="K14" s="149">
        <v>47515</v>
      </c>
      <c r="L14" s="146" t="s">
        <v>980</v>
      </c>
    </row>
    <row r="15" spans="1:19">
      <c r="A15" s="146" t="s">
        <v>934</v>
      </c>
      <c r="B15" s="150" t="s">
        <v>943</v>
      </c>
      <c r="C15" s="166" t="s">
        <v>981</v>
      </c>
      <c r="D15" s="167" t="s">
        <v>481</v>
      </c>
      <c r="E15" s="168" t="s">
        <v>481</v>
      </c>
      <c r="F15" s="151" t="s">
        <v>945</v>
      </c>
      <c r="G15" s="152">
        <v>47635</v>
      </c>
      <c r="H15" s="150" t="s">
        <v>981</v>
      </c>
      <c r="I15" s="152">
        <v>47331</v>
      </c>
      <c r="J15" s="149" t="s">
        <v>973</v>
      </c>
      <c r="K15" s="149">
        <v>47331</v>
      </c>
      <c r="L15" s="146" t="s">
        <v>982</v>
      </c>
    </row>
    <row r="16" spans="1:19">
      <c r="A16" s="146" t="s">
        <v>934</v>
      </c>
      <c r="B16" s="146" t="s">
        <v>944</v>
      </c>
      <c r="C16" s="146" t="s">
        <v>951</v>
      </c>
      <c r="D16" s="146" t="s">
        <v>951</v>
      </c>
      <c r="E16" s="146" t="s">
        <v>481</v>
      </c>
      <c r="F16" s="148" t="s">
        <v>950</v>
      </c>
      <c r="G16" s="149">
        <v>47880</v>
      </c>
      <c r="H16" s="149" t="s">
        <v>951</v>
      </c>
      <c r="I16" s="149">
        <v>47727</v>
      </c>
      <c r="J16" s="149" t="s">
        <v>983</v>
      </c>
      <c r="K16" s="149">
        <v>47604</v>
      </c>
      <c r="L16" s="146" t="s">
        <v>984</v>
      </c>
    </row>
    <row r="17" spans="1:14">
      <c r="A17" s="146" t="s">
        <v>934</v>
      </c>
      <c r="B17" s="150" t="s">
        <v>948</v>
      </c>
      <c r="C17" s="146" t="s">
        <v>985</v>
      </c>
      <c r="D17" s="146" t="s">
        <v>985</v>
      </c>
      <c r="E17" s="146" t="s">
        <v>481</v>
      </c>
      <c r="F17" s="151" t="s">
        <v>986</v>
      </c>
      <c r="G17" s="152">
        <v>47939</v>
      </c>
      <c r="H17" s="152" t="s">
        <v>985</v>
      </c>
      <c r="I17" s="152">
        <v>47788</v>
      </c>
      <c r="J17" s="150" t="s">
        <v>946</v>
      </c>
      <c r="K17" s="152">
        <v>47665</v>
      </c>
      <c r="L17" s="146" t="s">
        <v>987</v>
      </c>
    </row>
    <row r="18" spans="1:14">
      <c r="A18" s="146" t="s">
        <v>934</v>
      </c>
      <c r="B18" s="146" t="s">
        <v>949</v>
      </c>
      <c r="C18" s="146" t="s">
        <v>985</v>
      </c>
      <c r="D18" s="146" t="s">
        <v>985</v>
      </c>
      <c r="E18" s="146" t="s">
        <v>481</v>
      </c>
      <c r="F18" s="148" t="s">
        <v>986</v>
      </c>
      <c r="G18" s="149">
        <v>47939</v>
      </c>
      <c r="H18" s="149" t="s">
        <v>985</v>
      </c>
      <c r="I18" s="149">
        <v>47788</v>
      </c>
      <c r="J18" s="149" t="s">
        <v>946</v>
      </c>
      <c r="K18" s="149">
        <v>47665</v>
      </c>
      <c r="L18" s="146" t="s">
        <v>988</v>
      </c>
    </row>
    <row r="19" spans="1:14" ht="30">
      <c r="A19" s="146" t="s">
        <v>934</v>
      </c>
      <c r="B19" s="150" t="s">
        <v>908</v>
      </c>
      <c r="C19" s="150" t="s">
        <v>989</v>
      </c>
      <c r="D19" s="150" t="s">
        <v>990</v>
      </c>
      <c r="E19" s="150" t="s">
        <v>481</v>
      </c>
      <c r="F19" s="151" t="s">
        <v>991</v>
      </c>
      <c r="G19" s="152">
        <v>48000</v>
      </c>
      <c r="H19" s="152" t="s">
        <v>991</v>
      </c>
      <c r="I19" s="152">
        <v>47849</v>
      </c>
      <c r="J19" s="150" t="s">
        <v>992</v>
      </c>
      <c r="K19" s="149">
        <v>47727</v>
      </c>
      <c r="L19" s="147" t="s">
        <v>993</v>
      </c>
      <c r="N19" t="s">
        <v>952</v>
      </c>
    </row>
    <row r="20" spans="1:14">
      <c r="A20" s="146" t="s">
        <v>934</v>
      </c>
      <c r="B20" s="146" t="s">
        <v>953</v>
      </c>
      <c r="C20" s="146" t="s">
        <v>989</v>
      </c>
      <c r="D20" s="146" t="s">
        <v>990</v>
      </c>
      <c r="E20" s="146" t="s">
        <v>481</v>
      </c>
      <c r="F20" s="148" t="s">
        <v>986</v>
      </c>
      <c r="G20" s="149">
        <v>48092</v>
      </c>
      <c r="H20" s="149" t="s">
        <v>986</v>
      </c>
      <c r="I20" s="149">
        <v>47939</v>
      </c>
      <c r="J20" s="149" t="s">
        <v>991</v>
      </c>
      <c r="K20" s="149">
        <v>47818</v>
      </c>
      <c r="L20" s="146" t="s">
        <v>994</v>
      </c>
    </row>
    <row r="21" spans="1:14">
      <c r="A21" s="153" t="s">
        <v>934</v>
      </c>
      <c r="B21" s="154" t="s">
        <v>954</v>
      </c>
      <c r="C21" s="153" t="s">
        <v>989</v>
      </c>
      <c r="D21" s="153" t="s">
        <v>990</v>
      </c>
      <c r="E21" s="153" t="s">
        <v>481</v>
      </c>
      <c r="F21" s="155" t="s">
        <v>986</v>
      </c>
      <c r="G21" s="152">
        <v>48092</v>
      </c>
      <c r="H21" s="156" t="s">
        <v>986</v>
      </c>
      <c r="I21" s="156">
        <v>47939</v>
      </c>
      <c r="J21" s="154" t="s">
        <v>991</v>
      </c>
      <c r="K21" s="156">
        <v>47818</v>
      </c>
      <c r="L21" s="153" t="s">
        <v>995</v>
      </c>
    </row>
    <row r="22" spans="1:14">
      <c r="A22" s="157" t="s">
        <v>936</v>
      </c>
      <c r="B22" s="158" t="s">
        <v>955</v>
      </c>
      <c r="C22" s="162" t="s">
        <v>989</v>
      </c>
      <c r="D22" s="163"/>
      <c r="E22" s="164" t="s">
        <v>998</v>
      </c>
      <c r="F22" s="155" t="s">
        <v>996</v>
      </c>
      <c r="G22" s="159">
        <v>48122</v>
      </c>
      <c r="H22" s="158" t="s">
        <v>996</v>
      </c>
      <c r="I22" s="159">
        <v>47969</v>
      </c>
      <c r="J22" s="159" t="s">
        <v>950</v>
      </c>
      <c r="K22" s="159">
        <v>47849</v>
      </c>
      <c r="L22" s="157" t="s">
        <v>997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D802-21C2-4A46-B67F-9D44A90E3ECC}">
  <dimension ref="A2:R350"/>
  <sheetViews>
    <sheetView zoomScale="85" zoomScaleNormal="85" workbookViewId="0">
      <selection activeCell="A62" sqref="A62"/>
    </sheetView>
  </sheetViews>
  <sheetFormatPr defaultColWidth="9.140625" defaultRowHeight="15"/>
  <cols>
    <col min="1" max="1" width="4.28515625" style="81" customWidth="1"/>
    <col min="2" max="3" width="48.5703125" style="81" customWidth="1"/>
    <col min="4" max="5" width="56.42578125" style="89" customWidth="1"/>
    <col min="6" max="6" width="31.28515625" style="81" hidden="1" customWidth="1"/>
    <col min="7" max="7" width="13.7109375" style="81" hidden="1" customWidth="1"/>
    <col min="8" max="13" width="31.28515625" style="81" hidden="1" customWidth="1"/>
    <col min="14" max="14" width="31.28515625" style="89" customWidth="1"/>
    <col min="15" max="15" width="31.28515625" style="90" customWidth="1"/>
    <col min="16" max="16" width="16.5703125" style="81" customWidth="1"/>
    <col min="17" max="17" width="25.28515625" style="81" customWidth="1"/>
    <col min="18" max="18" width="18.140625" style="81" customWidth="1"/>
    <col min="19" max="16384" width="9.140625" style="81"/>
  </cols>
  <sheetData>
    <row r="2" spans="1:18" ht="27" thickBot="1">
      <c r="A2" s="282" t="s">
        <v>548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</row>
    <row r="3" spans="1:18" ht="16.5" thickTop="1" thickBot="1">
      <c r="A3" s="86" t="s">
        <v>549</v>
      </c>
      <c r="B3" s="87"/>
      <c r="C3" s="87"/>
      <c r="D3" s="88">
        <v>45747</v>
      </c>
    </row>
    <row r="4" spans="1:18" ht="16.5" thickTop="1" thickBot="1"/>
    <row r="5" spans="1:18" s="94" customFormat="1" ht="48" thickTop="1">
      <c r="A5" s="91" t="s">
        <v>33</v>
      </c>
      <c r="B5" s="92" t="s">
        <v>550</v>
      </c>
      <c r="C5" s="92" t="s">
        <v>12</v>
      </c>
      <c r="D5" s="91" t="s">
        <v>12</v>
      </c>
      <c r="E5" s="91" t="s">
        <v>539</v>
      </c>
      <c r="F5" s="91" t="s">
        <v>540</v>
      </c>
      <c r="G5" s="91" t="s">
        <v>541</v>
      </c>
      <c r="H5" s="91" t="s">
        <v>538</v>
      </c>
      <c r="I5" s="91" t="s">
        <v>480</v>
      </c>
      <c r="J5" s="91" t="s">
        <v>13</v>
      </c>
      <c r="K5" s="91" t="s">
        <v>542</v>
      </c>
      <c r="L5" s="91" t="s">
        <v>543</v>
      </c>
      <c r="M5" s="91" t="s">
        <v>544</v>
      </c>
      <c r="N5" s="91" t="s">
        <v>551</v>
      </c>
      <c r="O5" s="93" t="s">
        <v>552</v>
      </c>
      <c r="P5" s="91" t="s">
        <v>545</v>
      </c>
      <c r="Q5" s="91" t="s">
        <v>546</v>
      </c>
      <c r="R5" s="91" t="s">
        <v>547</v>
      </c>
    </row>
    <row r="6" spans="1:18" ht="30">
      <c r="A6" s="80">
        <v>1</v>
      </c>
      <c r="B6" s="80" t="s">
        <v>553</v>
      </c>
      <c r="C6" s="80" t="s">
        <v>554</v>
      </c>
      <c r="D6" s="82" t="s">
        <v>555</v>
      </c>
      <c r="E6" s="82" t="s">
        <v>556</v>
      </c>
      <c r="F6" s="80"/>
      <c r="G6" s="80"/>
      <c r="H6" s="80"/>
      <c r="I6" s="80"/>
      <c r="J6" s="80"/>
      <c r="K6" s="80"/>
      <c r="L6" s="80"/>
      <c r="M6" s="80"/>
      <c r="N6" s="82" t="s">
        <v>557</v>
      </c>
      <c r="O6" s="85" t="s">
        <v>558</v>
      </c>
      <c r="P6" s="80"/>
      <c r="Q6" s="80"/>
      <c r="R6" s="80"/>
    </row>
    <row r="7" spans="1:18" ht="30">
      <c r="A7" s="80">
        <v>2</v>
      </c>
      <c r="B7" s="80" t="s">
        <v>553</v>
      </c>
      <c r="C7" s="80" t="s">
        <v>554</v>
      </c>
      <c r="D7" s="82" t="s">
        <v>555</v>
      </c>
      <c r="E7" s="82" t="s">
        <v>559</v>
      </c>
      <c r="F7" s="80"/>
      <c r="G7" s="80"/>
      <c r="H7" s="80"/>
      <c r="I7" s="80"/>
      <c r="J7" s="80"/>
      <c r="K7" s="80"/>
      <c r="L7" s="80"/>
      <c r="M7" s="80"/>
      <c r="N7" s="82" t="s">
        <v>557</v>
      </c>
      <c r="O7" s="85" t="s">
        <v>558</v>
      </c>
      <c r="P7" s="80"/>
      <c r="Q7" s="80"/>
      <c r="R7" s="80"/>
    </row>
    <row r="8" spans="1:18" ht="45">
      <c r="A8" s="80">
        <v>3</v>
      </c>
      <c r="B8" s="80" t="s">
        <v>553</v>
      </c>
      <c r="C8" s="80"/>
      <c r="D8" s="82" t="s">
        <v>555</v>
      </c>
      <c r="E8" s="82" t="s">
        <v>560</v>
      </c>
      <c r="F8" s="80"/>
      <c r="G8" s="80"/>
      <c r="H8" s="80"/>
      <c r="I8" s="80"/>
      <c r="J8" s="80"/>
      <c r="K8" s="80"/>
      <c r="L8" s="80"/>
      <c r="M8" s="80"/>
      <c r="N8" s="82" t="s">
        <v>561</v>
      </c>
      <c r="O8" s="85" t="s">
        <v>562</v>
      </c>
      <c r="P8" s="80"/>
      <c r="Q8" s="80"/>
      <c r="R8" s="80"/>
    </row>
    <row r="9" spans="1:18" ht="30">
      <c r="A9" s="80">
        <v>4</v>
      </c>
      <c r="B9" s="80" t="s">
        <v>553</v>
      </c>
      <c r="C9" s="80"/>
      <c r="D9" s="82" t="s">
        <v>555</v>
      </c>
      <c r="E9" s="82" t="s">
        <v>563</v>
      </c>
      <c r="F9" s="80"/>
      <c r="G9" s="80"/>
      <c r="H9" s="80"/>
      <c r="I9" s="80"/>
      <c r="J9" s="80"/>
      <c r="K9" s="80"/>
      <c r="L9" s="80"/>
      <c r="M9" s="80"/>
      <c r="N9" s="82" t="s">
        <v>561</v>
      </c>
      <c r="O9" s="85" t="s">
        <v>561</v>
      </c>
      <c r="P9" s="80"/>
      <c r="Q9" s="80"/>
      <c r="R9" s="80"/>
    </row>
    <row r="10" spans="1:18">
      <c r="A10" s="80">
        <v>5</v>
      </c>
      <c r="B10" s="80" t="s">
        <v>553</v>
      </c>
      <c r="C10" s="80"/>
      <c r="D10" s="82" t="s">
        <v>555</v>
      </c>
      <c r="E10" s="82" t="s">
        <v>564</v>
      </c>
      <c r="F10" s="80"/>
      <c r="G10" s="80"/>
      <c r="H10" s="80"/>
      <c r="I10" s="80"/>
      <c r="J10" s="80"/>
      <c r="K10" s="80"/>
      <c r="L10" s="80"/>
      <c r="M10" s="80"/>
      <c r="N10" s="82" t="s">
        <v>561</v>
      </c>
      <c r="O10" s="85" t="s">
        <v>561</v>
      </c>
      <c r="P10" s="80"/>
      <c r="Q10" s="80"/>
      <c r="R10" s="80"/>
    </row>
    <row r="11" spans="1:18" ht="45">
      <c r="A11" s="80">
        <v>6</v>
      </c>
      <c r="B11" s="80" t="s">
        <v>553</v>
      </c>
      <c r="C11" s="80" t="s">
        <v>554</v>
      </c>
      <c r="D11" s="82" t="s">
        <v>565</v>
      </c>
      <c r="E11" s="82" t="s">
        <v>566</v>
      </c>
      <c r="F11" s="80"/>
      <c r="G11" s="80"/>
      <c r="H11" s="80"/>
      <c r="I11" s="80"/>
      <c r="J11" s="80"/>
      <c r="K11" s="80"/>
      <c r="L11" s="80"/>
      <c r="M11" s="80"/>
      <c r="N11" s="82" t="s">
        <v>567</v>
      </c>
      <c r="O11" s="85" t="s">
        <v>558</v>
      </c>
      <c r="P11" s="80"/>
      <c r="Q11" s="80"/>
      <c r="R11" s="80"/>
    </row>
    <row r="12" spans="1:18">
      <c r="A12" s="80">
        <v>7</v>
      </c>
      <c r="B12" s="80" t="s">
        <v>553</v>
      </c>
      <c r="C12" s="80" t="s">
        <v>554</v>
      </c>
      <c r="D12" s="82" t="s">
        <v>565</v>
      </c>
      <c r="E12" s="82" t="s">
        <v>568</v>
      </c>
      <c r="F12" s="80"/>
      <c r="G12" s="80"/>
      <c r="H12" s="80"/>
      <c r="I12" s="80"/>
      <c r="J12" s="80"/>
      <c r="K12" s="80"/>
      <c r="L12" s="80"/>
      <c r="M12" s="80"/>
      <c r="N12" s="82" t="s">
        <v>569</v>
      </c>
      <c r="O12" s="85" t="s">
        <v>558</v>
      </c>
      <c r="P12" s="80"/>
      <c r="Q12" s="80"/>
      <c r="R12" s="80"/>
    </row>
    <row r="13" spans="1:18" ht="30">
      <c r="A13" s="80">
        <v>8</v>
      </c>
      <c r="B13" s="80" t="s">
        <v>553</v>
      </c>
      <c r="C13" s="80" t="s">
        <v>554</v>
      </c>
      <c r="D13" s="82" t="s">
        <v>565</v>
      </c>
      <c r="E13" s="82" t="s">
        <v>570</v>
      </c>
      <c r="F13" s="80"/>
      <c r="G13" s="80"/>
      <c r="H13" s="80"/>
      <c r="I13" s="80"/>
      <c r="J13" s="80"/>
      <c r="K13" s="80"/>
      <c r="L13" s="80"/>
      <c r="M13" s="80"/>
      <c r="N13" s="82" t="s">
        <v>571</v>
      </c>
      <c r="O13" s="85" t="s">
        <v>558</v>
      </c>
      <c r="P13" s="80"/>
      <c r="Q13" s="80"/>
      <c r="R13" s="80"/>
    </row>
    <row r="14" spans="1:18" ht="30">
      <c r="A14" s="80">
        <v>9</v>
      </c>
      <c r="B14" s="80" t="s">
        <v>553</v>
      </c>
      <c r="C14" s="80" t="s">
        <v>572</v>
      </c>
      <c r="D14" s="82" t="s">
        <v>565</v>
      </c>
      <c r="E14" s="82" t="s">
        <v>573</v>
      </c>
      <c r="F14" s="80"/>
      <c r="G14" s="80"/>
      <c r="H14" s="80"/>
      <c r="I14" s="80"/>
      <c r="J14" s="80"/>
      <c r="K14" s="80"/>
      <c r="L14" s="80"/>
      <c r="M14" s="80"/>
      <c r="N14" s="82" t="s">
        <v>574</v>
      </c>
      <c r="O14" s="85" t="s">
        <v>14</v>
      </c>
      <c r="P14" s="80"/>
      <c r="Q14" s="80"/>
      <c r="R14" s="80"/>
    </row>
    <row r="15" spans="1:18">
      <c r="A15" s="80">
        <v>10</v>
      </c>
      <c r="B15" s="80" t="s">
        <v>553</v>
      </c>
      <c r="C15" s="80" t="s">
        <v>572</v>
      </c>
      <c r="D15" s="82" t="s">
        <v>565</v>
      </c>
      <c r="E15" s="100" t="s">
        <v>575</v>
      </c>
      <c r="F15" s="80"/>
      <c r="G15" s="80"/>
      <c r="H15" s="80"/>
      <c r="I15" s="80"/>
      <c r="J15" s="80"/>
      <c r="K15" s="80"/>
      <c r="L15" s="80"/>
      <c r="M15" s="80"/>
      <c r="N15" s="82"/>
      <c r="O15" s="85" t="s">
        <v>14</v>
      </c>
      <c r="P15" s="80"/>
      <c r="Q15" s="80"/>
      <c r="R15" s="80"/>
    </row>
    <row r="16" spans="1:18" ht="45">
      <c r="A16" s="80">
        <v>11</v>
      </c>
      <c r="B16" s="80" t="s">
        <v>553</v>
      </c>
      <c r="C16" s="80" t="s">
        <v>572</v>
      </c>
      <c r="D16" s="82" t="s">
        <v>565</v>
      </c>
      <c r="E16" s="101" t="s">
        <v>576</v>
      </c>
      <c r="F16" s="80"/>
      <c r="G16" s="80"/>
      <c r="H16" s="80"/>
      <c r="I16" s="80"/>
      <c r="J16" s="80"/>
      <c r="K16" s="80"/>
      <c r="L16" s="80"/>
      <c r="M16" s="80"/>
      <c r="N16" s="82" t="s">
        <v>577</v>
      </c>
      <c r="O16" s="85" t="s">
        <v>14</v>
      </c>
      <c r="P16" s="80"/>
      <c r="Q16" s="80"/>
      <c r="R16" s="80"/>
    </row>
    <row r="17" spans="1:18">
      <c r="A17" s="80">
        <v>12</v>
      </c>
      <c r="B17" s="80" t="s">
        <v>553</v>
      </c>
      <c r="C17" s="80" t="s">
        <v>572</v>
      </c>
      <c r="D17" s="82" t="s">
        <v>565</v>
      </c>
      <c r="E17" s="101" t="s">
        <v>578</v>
      </c>
      <c r="F17" s="80"/>
      <c r="G17" s="80"/>
      <c r="H17" s="80"/>
      <c r="I17" s="80"/>
      <c r="J17" s="80"/>
      <c r="K17" s="80"/>
      <c r="L17" s="80"/>
      <c r="M17" s="80"/>
      <c r="N17" s="82" t="s">
        <v>579</v>
      </c>
      <c r="O17" s="85" t="s">
        <v>14</v>
      </c>
      <c r="P17" s="80"/>
      <c r="Q17" s="80"/>
      <c r="R17" s="80"/>
    </row>
    <row r="18" spans="1:18" ht="30">
      <c r="A18" s="80">
        <v>13</v>
      </c>
      <c r="B18" s="80" t="s">
        <v>553</v>
      </c>
      <c r="C18" s="80" t="s">
        <v>572</v>
      </c>
      <c r="D18" s="82" t="s">
        <v>565</v>
      </c>
      <c r="E18" s="101" t="s">
        <v>580</v>
      </c>
      <c r="F18" s="80"/>
      <c r="G18" s="80"/>
      <c r="H18" s="80"/>
      <c r="I18" s="80"/>
      <c r="J18" s="80"/>
      <c r="K18" s="80"/>
      <c r="L18" s="80"/>
      <c r="M18" s="80"/>
      <c r="N18" s="82" t="s">
        <v>579</v>
      </c>
      <c r="O18" s="85" t="s">
        <v>14</v>
      </c>
      <c r="P18" s="80"/>
      <c r="Q18" s="80"/>
      <c r="R18" s="80"/>
    </row>
    <row r="19" spans="1:18" ht="45">
      <c r="A19" s="80">
        <v>14</v>
      </c>
      <c r="B19" s="80" t="s">
        <v>553</v>
      </c>
      <c r="C19" s="80" t="s">
        <v>572</v>
      </c>
      <c r="D19" s="82" t="s">
        <v>565</v>
      </c>
      <c r="E19" s="101" t="s">
        <v>581</v>
      </c>
      <c r="F19" s="80"/>
      <c r="G19" s="80"/>
      <c r="H19" s="80"/>
      <c r="I19" s="80"/>
      <c r="J19" s="80"/>
      <c r="K19" s="80"/>
      <c r="L19" s="80"/>
      <c r="M19" s="80"/>
      <c r="N19" s="82" t="s">
        <v>577</v>
      </c>
      <c r="O19" s="85" t="s">
        <v>14</v>
      </c>
      <c r="P19" s="80"/>
      <c r="Q19" s="80"/>
      <c r="R19" s="80"/>
    </row>
    <row r="20" spans="1:18" ht="45">
      <c r="A20" s="80">
        <v>15</v>
      </c>
      <c r="B20" s="80" t="s">
        <v>553</v>
      </c>
      <c r="C20" s="80" t="s">
        <v>572</v>
      </c>
      <c r="D20" s="82" t="s">
        <v>565</v>
      </c>
      <c r="E20" s="101" t="s">
        <v>582</v>
      </c>
      <c r="F20" s="80"/>
      <c r="G20" s="80"/>
      <c r="H20" s="80"/>
      <c r="I20" s="80"/>
      <c r="J20" s="80"/>
      <c r="K20" s="80"/>
      <c r="L20" s="80"/>
      <c r="M20" s="80"/>
      <c r="N20" s="82" t="s">
        <v>577</v>
      </c>
      <c r="O20" s="85" t="s">
        <v>14</v>
      </c>
      <c r="P20" s="80"/>
      <c r="Q20" s="80"/>
      <c r="R20" s="80"/>
    </row>
    <row r="21" spans="1:18" ht="45">
      <c r="A21" s="80">
        <v>16</v>
      </c>
      <c r="B21" s="80" t="s">
        <v>553</v>
      </c>
      <c r="C21" s="80" t="s">
        <v>572</v>
      </c>
      <c r="D21" s="82" t="s">
        <v>565</v>
      </c>
      <c r="E21" s="101" t="s">
        <v>583</v>
      </c>
      <c r="F21" s="80"/>
      <c r="G21" s="80"/>
      <c r="H21" s="80"/>
      <c r="I21" s="80"/>
      <c r="J21" s="80"/>
      <c r="K21" s="80"/>
      <c r="L21" s="80"/>
      <c r="M21" s="80"/>
      <c r="N21" s="82" t="s">
        <v>577</v>
      </c>
      <c r="O21" s="85" t="s">
        <v>14</v>
      </c>
      <c r="P21" s="80"/>
      <c r="Q21" s="80"/>
      <c r="R21" s="80"/>
    </row>
    <row r="22" spans="1:18" ht="45">
      <c r="A22" s="80">
        <v>17</v>
      </c>
      <c r="B22" s="80" t="s">
        <v>553</v>
      </c>
      <c r="C22" s="80" t="s">
        <v>572</v>
      </c>
      <c r="D22" s="82" t="s">
        <v>565</v>
      </c>
      <c r="E22" s="101" t="s">
        <v>584</v>
      </c>
      <c r="F22" s="80"/>
      <c r="G22" s="80"/>
      <c r="H22" s="80"/>
      <c r="I22" s="80"/>
      <c r="J22" s="80"/>
      <c r="K22" s="80"/>
      <c r="L22" s="80"/>
      <c r="M22" s="80"/>
      <c r="N22" s="82" t="s">
        <v>577</v>
      </c>
      <c r="O22" s="85" t="s">
        <v>14</v>
      </c>
      <c r="P22" s="80"/>
      <c r="Q22" s="80"/>
      <c r="R22" s="80"/>
    </row>
    <row r="23" spans="1:18" ht="45">
      <c r="A23" s="80">
        <v>18</v>
      </c>
      <c r="B23" s="80" t="s">
        <v>553</v>
      </c>
      <c r="C23" s="80" t="s">
        <v>572</v>
      </c>
      <c r="D23" s="82" t="s">
        <v>565</v>
      </c>
      <c r="E23" s="101" t="s">
        <v>585</v>
      </c>
      <c r="F23" s="80"/>
      <c r="G23" s="80"/>
      <c r="H23" s="80"/>
      <c r="I23" s="80"/>
      <c r="J23" s="80"/>
      <c r="K23" s="80"/>
      <c r="L23" s="80"/>
      <c r="M23" s="80"/>
      <c r="N23" s="82" t="s">
        <v>577</v>
      </c>
      <c r="O23" s="85" t="s">
        <v>14</v>
      </c>
      <c r="P23" s="80"/>
      <c r="Q23" s="80"/>
      <c r="R23" s="80"/>
    </row>
    <row r="24" spans="1:18" ht="45">
      <c r="A24" s="80">
        <v>19</v>
      </c>
      <c r="B24" s="80" t="s">
        <v>553</v>
      </c>
      <c r="C24" s="80" t="s">
        <v>572</v>
      </c>
      <c r="D24" s="82" t="s">
        <v>565</v>
      </c>
      <c r="E24" s="101" t="s">
        <v>586</v>
      </c>
      <c r="F24" s="80"/>
      <c r="G24" s="80"/>
      <c r="H24" s="80"/>
      <c r="I24" s="80"/>
      <c r="J24" s="80"/>
      <c r="K24" s="80"/>
      <c r="L24" s="80"/>
      <c r="M24" s="80"/>
      <c r="N24" s="82" t="s">
        <v>587</v>
      </c>
      <c r="O24" s="85" t="s">
        <v>14</v>
      </c>
      <c r="P24" s="80"/>
      <c r="Q24" s="80"/>
      <c r="R24" s="80"/>
    </row>
    <row r="25" spans="1:18">
      <c r="A25" s="80">
        <v>20</v>
      </c>
      <c r="B25" s="80" t="s">
        <v>553</v>
      </c>
      <c r="C25" s="80" t="s">
        <v>572</v>
      </c>
      <c r="D25" s="82" t="s">
        <v>565</v>
      </c>
      <c r="E25" s="101" t="s">
        <v>588</v>
      </c>
      <c r="F25" s="80"/>
      <c r="G25" s="80"/>
      <c r="H25" s="80"/>
      <c r="I25" s="80"/>
      <c r="J25" s="80"/>
      <c r="K25" s="80"/>
      <c r="L25" s="80"/>
      <c r="M25" s="80"/>
      <c r="N25" s="82" t="s">
        <v>589</v>
      </c>
      <c r="O25" s="85" t="s">
        <v>14</v>
      </c>
      <c r="P25" s="80"/>
      <c r="Q25" s="80"/>
      <c r="R25" s="80"/>
    </row>
    <row r="26" spans="1:18" ht="45">
      <c r="A26" s="80">
        <v>21</v>
      </c>
      <c r="B26" s="80" t="s">
        <v>553</v>
      </c>
      <c r="C26" s="80" t="s">
        <v>572</v>
      </c>
      <c r="D26" s="82" t="s">
        <v>565</v>
      </c>
      <c r="E26" s="101" t="s">
        <v>590</v>
      </c>
      <c r="F26" s="80"/>
      <c r="G26" s="80"/>
      <c r="H26" s="80"/>
      <c r="I26" s="80"/>
      <c r="J26" s="80"/>
      <c r="K26" s="80"/>
      <c r="L26" s="80"/>
      <c r="M26" s="80"/>
      <c r="N26" s="82" t="s">
        <v>591</v>
      </c>
      <c r="O26" s="85" t="s">
        <v>14</v>
      </c>
      <c r="P26" s="80"/>
      <c r="Q26" s="80"/>
      <c r="R26" s="80"/>
    </row>
    <row r="27" spans="1:18" ht="30">
      <c r="A27" s="80">
        <v>22</v>
      </c>
      <c r="B27" s="80" t="s">
        <v>553</v>
      </c>
      <c r="C27" s="80" t="s">
        <v>572</v>
      </c>
      <c r="D27" s="82" t="s">
        <v>565</v>
      </c>
      <c r="E27" s="101" t="s">
        <v>592</v>
      </c>
      <c r="F27" s="80"/>
      <c r="G27" s="80"/>
      <c r="H27" s="80"/>
      <c r="I27" s="80"/>
      <c r="J27" s="80"/>
      <c r="K27" s="80"/>
      <c r="L27" s="80"/>
      <c r="M27" s="80"/>
      <c r="N27" s="82" t="s">
        <v>589</v>
      </c>
      <c r="O27" s="85" t="s">
        <v>14</v>
      </c>
      <c r="P27" s="80"/>
      <c r="Q27" s="80"/>
      <c r="R27" s="80"/>
    </row>
    <row r="28" spans="1:18" ht="30">
      <c r="A28" s="80">
        <v>23</v>
      </c>
      <c r="B28" s="80" t="s">
        <v>553</v>
      </c>
      <c r="C28" s="80" t="s">
        <v>554</v>
      </c>
      <c r="D28" s="82" t="s">
        <v>565</v>
      </c>
      <c r="E28" s="73" t="s">
        <v>593</v>
      </c>
      <c r="F28" s="80"/>
      <c r="G28" s="80"/>
      <c r="H28" s="80"/>
      <c r="I28" s="80"/>
      <c r="J28" s="80"/>
      <c r="K28" s="80"/>
      <c r="L28" s="80"/>
      <c r="M28" s="80"/>
      <c r="N28" s="82" t="s">
        <v>557</v>
      </c>
      <c r="O28" s="85" t="s">
        <v>558</v>
      </c>
      <c r="P28" s="80"/>
      <c r="Q28" s="80"/>
      <c r="R28" s="80"/>
    </row>
    <row r="29" spans="1:18" ht="45">
      <c r="A29" s="80">
        <v>24</v>
      </c>
      <c r="B29" s="80" t="s">
        <v>553</v>
      </c>
      <c r="C29" s="80" t="s">
        <v>554</v>
      </c>
      <c r="D29" s="82" t="s">
        <v>565</v>
      </c>
      <c r="E29" s="82" t="s">
        <v>594</v>
      </c>
      <c r="F29" s="80"/>
      <c r="G29" s="80"/>
      <c r="H29" s="80"/>
      <c r="I29" s="80"/>
      <c r="J29" s="80"/>
      <c r="K29" s="80"/>
      <c r="L29" s="80"/>
      <c r="M29" s="80"/>
      <c r="N29" s="82" t="s">
        <v>567</v>
      </c>
      <c r="O29" s="85" t="s">
        <v>558</v>
      </c>
      <c r="P29" s="80"/>
      <c r="Q29" s="80"/>
      <c r="R29" s="80"/>
    </row>
    <row r="30" spans="1:18" ht="30">
      <c r="A30" s="80">
        <v>25</v>
      </c>
      <c r="B30" s="80" t="s">
        <v>553</v>
      </c>
      <c r="C30" s="80" t="s">
        <v>554</v>
      </c>
      <c r="D30" s="82" t="s">
        <v>565</v>
      </c>
      <c r="E30" s="82" t="s">
        <v>595</v>
      </c>
      <c r="F30" s="80"/>
      <c r="G30" s="80"/>
      <c r="H30" s="80"/>
      <c r="I30" s="80"/>
      <c r="J30" s="80"/>
      <c r="K30" s="80"/>
      <c r="L30" s="80"/>
      <c r="M30" s="80"/>
      <c r="N30" s="82" t="s">
        <v>596</v>
      </c>
      <c r="O30" s="85" t="s">
        <v>558</v>
      </c>
      <c r="P30" s="80"/>
      <c r="Q30" s="80"/>
      <c r="R30" s="80"/>
    </row>
    <row r="31" spans="1:18" ht="30">
      <c r="A31" s="80">
        <v>26</v>
      </c>
      <c r="B31" s="80" t="s">
        <v>553</v>
      </c>
      <c r="C31" s="80" t="s">
        <v>597</v>
      </c>
      <c r="D31" s="82" t="s">
        <v>598</v>
      </c>
      <c r="E31" s="73" t="s">
        <v>599</v>
      </c>
      <c r="F31" s="80"/>
      <c r="G31" s="80"/>
      <c r="H31" s="80"/>
      <c r="I31" s="80"/>
      <c r="J31" s="80"/>
      <c r="K31" s="80"/>
      <c r="L31" s="80"/>
      <c r="M31" s="80"/>
      <c r="N31" s="82" t="s">
        <v>600</v>
      </c>
      <c r="O31" s="85" t="s">
        <v>597</v>
      </c>
      <c r="P31" s="80"/>
      <c r="Q31" s="80"/>
      <c r="R31" s="80"/>
    </row>
    <row r="32" spans="1:18" ht="30">
      <c r="A32" s="80">
        <v>27</v>
      </c>
      <c r="B32" s="80" t="s">
        <v>553</v>
      </c>
      <c r="C32" s="80" t="s">
        <v>597</v>
      </c>
      <c r="D32" s="82" t="s">
        <v>598</v>
      </c>
      <c r="E32" s="73" t="s">
        <v>601</v>
      </c>
      <c r="F32" s="80"/>
      <c r="G32" s="80"/>
      <c r="H32" s="80"/>
      <c r="I32" s="80"/>
      <c r="J32" s="80"/>
      <c r="K32" s="80"/>
      <c r="L32" s="80"/>
      <c r="M32" s="80"/>
      <c r="N32" s="82" t="s">
        <v>602</v>
      </c>
      <c r="O32" s="85" t="s">
        <v>597</v>
      </c>
      <c r="P32" s="80"/>
      <c r="Q32" s="80"/>
      <c r="R32" s="80"/>
    </row>
    <row r="33" spans="1:18">
      <c r="A33" s="80">
        <v>28</v>
      </c>
      <c r="B33" s="80" t="s">
        <v>553</v>
      </c>
      <c r="C33" s="80" t="s">
        <v>554</v>
      </c>
      <c r="D33" s="82" t="s">
        <v>598</v>
      </c>
      <c r="E33" s="73" t="s">
        <v>603</v>
      </c>
      <c r="F33" s="80"/>
      <c r="G33" s="80"/>
      <c r="H33" s="80"/>
      <c r="I33" s="80"/>
      <c r="J33" s="80"/>
      <c r="K33" s="80"/>
      <c r="L33" s="80"/>
      <c r="M33" s="80"/>
      <c r="N33" s="82" t="s">
        <v>604</v>
      </c>
      <c r="O33" s="85" t="s">
        <v>558</v>
      </c>
      <c r="P33" s="80"/>
      <c r="Q33" s="80"/>
      <c r="R33" s="80"/>
    </row>
    <row r="34" spans="1:18" ht="30">
      <c r="A34" s="80">
        <v>29</v>
      </c>
      <c r="B34" s="80" t="s">
        <v>553</v>
      </c>
      <c r="C34" s="80" t="s">
        <v>605</v>
      </c>
      <c r="D34" s="82" t="s">
        <v>606</v>
      </c>
      <c r="E34" s="82" t="s">
        <v>607</v>
      </c>
      <c r="F34" s="80"/>
      <c r="G34" s="80"/>
      <c r="H34" s="80"/>
      <c r="I34" s="80"/>
      <c r="J34" s="80"/>
      <c r="K34" s="80"/>
      <c r="L34" s="80"/>
      <c r="M34" s="80"/>
      <c r="N34" s="82" t="s">
        <v>608</v>
      </c>
      <c r="O34" s="85" t="s">
        <v>609</v>
      </c>
      <c r="P34" s="80"/>
      <c r="Q34" s="80"/>
      <c r="R34" s="80"/>
    </row>
    <row r="35" spans="1:18" ht="30">
      <c r="A35" s="80">
        <v>30</v>
      </c>
      <c r="B35" s="80" t="s">
        <v>553</v>
      </c>
      <c r="C35" s="80" t="s">
        <v>572</v>
      </c>
      <c r="D35" s="82" t="s">
        <v>606</v>
      </c>
      <c r="E35" s="82" t="s">
        <v>610</v>
      </c>
      <c r="F35" s="80"/>
      <c r="G35" s="80"/>
      <c r="H35" s="80"/>
      <c r="I35" s="80"/>
      <c r="J35" s="80"/>
      <c r="K35" s="80"/>
      <c r="L35" s="80"/>
      <c r="M35" s="80"/>
      <c r="N35" s="82" t="s">
        <v>574</v>
      </c>
      <c r="O35" s="85" t="s">
        <v>14</v>
      </c>
      <c r="P35" s="80"/>
      <c r="Q35" s="80"/>
      <c r="R35" s="80"/>
    </row>
    <row r="36" spans="1:18" ht="30">
      <c r="A36" s="80">
        <v>31</v>
      </c>
      <c r="B36" s="80" t="s">
        <v>553</v>
      </c>
      <c r="C36" s="80" t="s">
        <v>605</v>
      </c>
      <c r="D36" s="82" t="s">
        <v>606</v>
      </c>
      <c r="E36" s="82" t="s">
        <v>611</v>
      </c>
      <c r="F36" s="80"/>
      <c r="G36" s="80"/>
      <c r="H36" s="80"/>
      <c r="I36" s="80"/>
      <c r="J36" s="80"/>
      <c r="K36" s="80"/>
      <c r="L36" s="80"/>
      <c r="M36" s="80"/>
      <c r="N36" s="82" t="s">
        <v>557</v>
      </c>
      <c r="O36" s="85" t="s">
        <v>609</v>
      </c>
      <c r="P36" s="80"/>
      <c r="Q36" s="80"/>
      <c r="R36" s="80"/>
    </row>
    <row r="37" spans="1:18" ht="30">
      <c r="A37" s="80">
        <v>32</v>
      </c>
      <c r="B37" s="80" t="s">
        <v>553</v>
      </c>
      <c r="C37" s="80" t="s">
        <v>605</v>
      </c>
      <c r="D37" s="82" t="s">
        <v>606</v>
      </c>
      <c r="E37" s="82" t="s">
        <v>612</v>
      </c>
      <c r="F37" s="80"/>
      <c r="G37" s="80"/>
      <c r="H37" s="80"/>
      <c r="I37" s="80"/>
      <c r="J37" s="80"/>
      <c r="K37" s="80"/>
      <c r="L37" s="80"/>
      <c r="M37" s="80"/>
      <c r="N37" s="82" t="s">
        <v>557</v>
      </c>
      <c r="O37" s="85" t="s">
        <v>609</v>
      </c>
      <c r="P37" s="80"/>
      <c r="Q37" s="80"/>
      <c r="R37" s="80"/>
    </row>
    <row r="38" spans="1:18" ht="30">
      <c r="A38" s="80">
        <v>33</v>
      </c>
      <c r="B38" s="80" t="s">
        <v>553</v>
      </c>
      <c r="C38" s="80" t="s">
        <v>3</v>
      </c>
      <c r="D38" s="82" t="s">
        <v>606</v>
      </c>
      <c r="E38" s="82" t="s">
        <v>613</v>
      </c>
      <c r="F38" s="80"/>
      <c r="G38" s="80"/>
      <c r="H38" s="80"/>
      <c r="I38" s="80"/>
      <c r="J38" s="80"/>
      <c r="K38" s="80"/>
      <c r="L38" s="80"/>
      <c r="M38" s="80"/>
      <c r="N38" s="82" t="s">
        <v>614</v>
      </c>
      <c r="O38" s="85" t="s">
        <v>3</v>
      </c>
      <c r="P38" s="80"/>
      <c r="Q38" s="80"/>
      <c r="R38" s="80"/>
    </row>
    <row r="39" spans="1:18" ht="45">
      <c r="A39" s="80">
        <v>34</v>
      </c>
      <c r="B39" s="80" t="s">
        <v>553</v>
      </c>
      <c r="C39" s="80" t="s">
        <v>572</v>
      </c>
      <c r="D39" s="82" t="s">
        <v>606</v>
      </c>
      <c r="E39" s="82" t="s">
        <v>615</v>
      </c>
      <c r="F39" s="80"/>
      <c r="G39" s="80"/>
      <c r="H39" s="80"/>
      <c r="I39" s="80"/>
      <c r="J39" s="80"/>
      <c r="K39" s="80"/>
      <c r="L39" s="80"/>
      <c r="M39" s="80"/>
      <c r="N39" s="82" t="s">
        <v>574</v>
      </c>
      <c r="O39" s="85" t="s">
        <v>14</v>
      </c>
      <c r="P39" s="80"/>
      <c r="Q39" s="80"/>
      <c r="R39" s="80"/>
    </row>
    <row r="40" spans="1:18" ht="30">
      <c r="A40" s="80">
        <v>35</v>
      </c>
      <c r="B40" s="80" t="s">
        <v>616</v>
      </c>
      <c r="C40" s="80" t="s">
        <v>617</v>
      </c>
      <c r="D40" s="82" t="s">
        <v>618</v>
      </c>
      <c r="E40" s="82" t="s">
        <v>619</v>
      </c>
      <c r="F40" s="80"/>
      <c r="G40" s="80"/>
      <c r="H40" s="80"/>
      <c r="I40" s="80"/>
      <c r="J40" s="80"/>
      <c r="K40" s="80"/>
      <c r="L40" s="80"/>
      <c r="M40" s="80"/>
      <c r="N40" s="82" t="s">
        <v>620</v>
      </c>
      <c r="O40" s="85" t="s">
        <v>4</v>
      </c>
      <c r="P40" s="80"/>
      <c r="Q40" s="80"/>
      <c r="R40" s="80"/>
    </row>
    <row r="41" spans="1:18" ht="30">
      <c r="A41" s="80">
        <v>36</v>
      </c>
      <c r="B41" s="80" t="s">
        <v>616</v>
      </c>
      <c r="C41" s="80" t="s">
        <v>605</v>
      </c>
      <c r="D41" s="82" t="s">
        <v>618</v>
      </c>
      <c r="E41" s="82" t="s">
        <v>621</v>
      </c>
      <c r="F41" s="80"/>
      <c r="G41" s="80"/>
      <c r="H41" s="80"/>
      <c r="I41" s="80"/>
      <c r="J41" s="80"/>
      <c r="K41" s="80"/>
      <c r="L41" s="80"/>
      <c r="M41" s="80"/>
      <c r="N41" s="82" t="s">
        <v>622</v>
      </c>
      <c r="O41" s="85" t="s">
        <v>609</v>
      </c>
      <c r="P41" s="80"/>
      <c r="Q41" s="80"/>
      <c r="R41" s="80"/>
    </row>
    <row r="42" spans="1:18" ht="30">
      <c r="A42" s="80">
        <v>37</v>
      </c>
      <c r="B42" s="80" t="s">
        <v>616</v>
      </c>
      <c r="C42" s="80" t="s">
        <v>617</v>
      </c>
      <c r="D42" s="82" t="s">
        <v>618</v>
      </c>
      <c r="E42" s="73" t="s">
        <v>623</v>
      </c>
      <c r="F42" s="80"/>
      <c r="G42" s="80"/>
      <c r="H42" s="80"/>
      <c r="I42" s="80"/>
      <c r="J42" s="80"/>
      <c r="K42" s="80"/>
      <c r="L42" s="80"/>
      <c r="M42" s="80"/>
      <c r="N42" s="82" t="s">
        <v>620</v>
      </c>
      <c r="O42" s="85" t="s">
        <v>4</v>
      </c>
      <c r="P42" s="80"/>
      <c r="Q42" s="80"/>
      <c r="R42" s="80"/>
    </row>
    <row r="43" spans="1:18">
      <c r="A43" s="80">
        <v>38</v>
      </c>
      <c r="B43" s="80" t="s">
        <v>616</v>
      </c>
      <c r="C43" s="80" t="s">
        <v>605</v>
      </c>
      <c r="D43" s="82" t="s">
        <v>618</v>
      </c>
      <c r="E43" s="73" t="s">
        <v>624</v>
      </c>
      <c r="F43" s="80"/>
      <c r="G43" s="80"/>
      <c r="H43" s="80"/>
      <c r="I43" s="80"/>
      <c r="J43" s="80"/>
      <c r="K43" s="80"/>
      <c r="L43" s="80"/>
      <c r="M43" s="80"/>
      <c r="N43" s="82"/>
      <c r="O43" s="85" t="s">
        <v>609</v>
      </c>
      <c r="P43" s="80"/>
      <c r="Q43" s="80"/>
      <c r="R43" s="80"/>
    </row>
    <row r="44" spans="1:18" ht="30">
      <c r="A44" s="80">
        <v>39</v>
      </c>
      <c r="B44" s="80" t="s">
        <v>616</v>
      </c>
      <c r="C44" s="80" t="s">
        <v>605</v>
      </c>
      <c r="D44" s="82" t="s">
        <v>618</v>
      </c>
      <c r="E44" s="73" t="s">
        <v>625</v>
      </c>
      <c r="F44" s="80"/>
      <c r="G44" s="80"/>
      <c r="H44" s="80"/>
      <c r="I44" s="80"/>
      <c r="J44" s="80"/>
      <c r="K44" s="80"/>
      <c r="L44" s="80"/>
      <c r="M44" s="80"/>
      <c r="N44" s="82" t="s">
        <v>622</v>
      </c>
      <c r="O44" s="85" t="s">
        <v>609</v>
      </c>
      <c r="P44" s="80"/>
      <c r="Q44" s="80"/>
      <c r="R44" s="80"/>
    </row>
    <row r="45" spans="1:18" ht="30">
      <c r="A45" s="80">
        <v>40</v>
      </c>
      <c r="B45" s="80" t="s">
        <v>616</v>
      </c>
      <c r="C45" s="80" t="s">
        <v>605</v>
      </c>
      <c r="D45" s="82" t="s">
        <v>618</v>
      </c>
      <c r="E45" s="82" t="s">
        <v>626</v>
      </c>
      <c r="F45" s="80"/>
      <c r="G45" s="80"/>
      <c r="H45" s="80"/>
      <c r="I45" s="80"/>
      <c r="J45" s="80"/>
      <c r="K45" s="80"/>
      <c r="L45" s="80"/>
      <c r="M45" s="80"/>
      <c r="N45" s="82" t="s">
        <v>622</v>
      </c>
      <c r="O45" s="85" t="s">
        <v>609</v>
      </c>
      <c r="P45" s="80"/>
      <c r="Q45" s="80"/>
      <c r="R45" s="80"/>
    </row>
    <row r="46" spans="1:18" ht="30">
      <c r="A46" s="80">
        <v>41</v>
      </c>
      <c r="B46" s="80" t="s">
        <v>616</v>
      </c>
      <c r="C46" s="80" t="s">
        <v>605</v>
      </c>
      <c r="D46" s="82" t="s">
        <v>618</v>
      </c>
      <c r="E46" s="73" t="s">
        <v>627</v>
      </c>
      <c r="F46" s="80"/>
      <c r="G46" s="80"/>
      <c r="H46" s="80"/>
      <c r="I46" s="80"/>
      <c r="J46" s="80"/>
      <c r="K46" s="80"/>
      <c r="L46" s="80"/>
      <c r="M46" s="80"/>
      <c r="N46" s="82" t="s">
        <v>622</v>
      </c>
      <c r="O46" s="85" t="s">
        <v>609</v>
      </c>
      <c r="P46" s="80"/>
      <c r="Q46" s="80"/>
      <c r="R46" s="80"/>
    </row>
    <row r="47" spans="1:18" ht="30">
      <c r="A47" s="80">
        <v>42</v>
      </c>
      <c r="B47" s="80" t="s">
        <v>616</v>
      </c>
      <c r="C47" s="80" t="s">
        <v>605</v>
      </c>
      <c r="D47" s="82" t="s">
        <v>628</v>
      </c>
      <c r="E47" s="73" t="s">
        <v>629</v>
      </c>
      <c r="F47" s="80"/>
      <c r="G47" s="80"/>
      <c r="H47" s="80"/>
      <c r="I47" s="80"/>
      <c r="J47" s="80"/>
      <c r="K47" s="80"/>
      <c r="L47" s="80"/>
      <c r="M47" s="80"/>
      <c r="N47" s="82" t="s">
        <v>622</v>
      </c>
      <c r="O47" s="85" t="s">
        <v>609</v>
      </c>
      <c r="P47" s="80"/>
      <c r="Q47" s="80"/>
      <c r="R47" s="80"/>
    </row>
    <row r="48" spans="1:18" ht="45">
      <c r="A48" s="80">
        <v>43</v>
      </c>
      <c r="B48" s="80" t="s">
        <v>616</v>
      </c>
      <c r="C48" s="80" t="s">
        <v>605</v>
      </c>
      <c r="D48" s="82" t="s">
        <v>628</v>
      </c>
      <c r="E48" s="83" t="s">
        <v>630</v>
      </c>
      <c r="F48" s="80"/>
      <c r="G48" s="80"/>
      <c r="H48" s="80"/>
      <c r="I48" s="80"/>
      <c r="J48" s="80"/>
      <c r="K48" s="80"/>
      <c r="L48" s="80"/>
      <c r="M48" s="80"/>
      <c r="N48" s="82" t="s">
        <v>631</v>
      </c>
      <c r="O48" s="85" t="s">
        <v>609</v>
      </c>
      <c r="P48" s="80"/>
      <c r="Q48" s="80"/>
      <c r="R48" s="80"/>
    </row>
    <row r="49" spans="1:18" ht="45">
      <c r="A49" s="80">
        <v>44</v>
      </c>
      <c r="B49" s="80" t="s">
        <v>616</v>
      </c>
      <c r="C49" s="80" t="s">
        <v>605</v>
      </c>
      <c r="D49" s="82" t="s">
        <v>632</v>
      </c>
      <c r="E49" s="73" t="s">
        <v>633</v>
      </c>
      <c r="F49" s="80"/>
      <c r="G49" s="80"/>
      <c r="H49" s="80"/>
      <c r="I49" s="80"/>
      <c r="J49" s="80"/>
      <c r="K49" s="80"/>
      <c r="L49" s="80"/>
      <c r="M49" s="80"/>
      <c r="N49" s="82" t="s">
        <v>634</v>
      </c>
      <c r="O49" s="85" t="s">
        <v>609</v>
      </c>
      <c r="P49" s="80"/>
      <c r="Q49" s="80"/>
      <c r="R49" s="80"/>
    </row>
    <row r="50" spans="1:18" ht="30">
      <c r="A50" s="80">
        <v>45</v>
      </c>
      <c r="B50" s="80" t="s">
        <v>616</v>
      </c>
      <c r="C50" s="80" t="s">
        <v>554</v>
      </c>
      <c r="D50" s="82" t="s">
        <v>632</v>
      </c>
      <c r="E50" s="99" t="s">
        <v>635</v>
      </c>
      <c r="F50" s="80"/>
      <c r="G50" s="80"/>
      <c r="H50" s="80"/>
      <c r="I50" s="80"/>
      <c r="J50" s="80"/>
      <c r="K50" s="80"/>
      <c r="L50" s="80"/>
      <c r="M50" s="80"/>
      <c r="N50" s="82" t="s">
        <v>636</v>
      </c>
      <c r="O50" s="85" t="s">
        <v>558</v>
      </c>
      <c r="P50" s="80" t="s">
        <v>637</v>
      </c>
      <c r="Q50" s="80"/>
      <c r="R50" s="80"/>
    </row>
    <row r="51" spans="1:18" ht="30">
      <c r="A51" s="80">
        <v>46</v>
      </c>
      <c r="B51" s="80" t="s">
        <v>616</v>
      </c>
      <c r="C51" s="80" t="s">
        <v>7</v>
      </c>
      <c r="D51" s="82" t="s">
        <v>638</v>
      </c>
      <c r="E51" s="73" t="s">
        <v>639</v>
      </c>
      <c r="F51" s="80"/>
      <c r="G51" s="80"/>
      <c r="H51" s="80"/>
      <c r="I51" s="80"/>
      <c r="J51" s="80"/>
      <c r="K51" s="80"/>
      <c r="L51" s="80"/>
      <c r="M51" s="80"/>
      <c r="N51" s="82" t="s">
        <v>640</v>
      </c>
      <c r="O51" s="96" t="s">
        <v>7</v>
      </c>
      <c r="P51" s="80"/>
      <c r="Q51" s="80"/>
      <c r="R51" s="80"/>
    </row>
    <row r="52" spans="1:18" ht="30">
      <c r="A52" s="80">
        <v>47</v>
      </c>
      <c r="B52" s="80" t="s">
        <v>616</v>
      </c>
      <c r="C52" s="80" t="s">
        <v>554</v>
      </c>
      <c r="D52" s="82" t="s">
        <v>638</v>
      </c>
      <c r="E52" s="73" t="s">
        <v>641</v>
      </c>
      <c r="F52" s="80"/>
      <c r="G52" s="80"/>
      <c r="H52" s="80"/>
      <c r="I52" s="80"/>
      <c r="J52" s="80"/>
      <c r="K52" s="80"/>
      <c r="L52" s="80"/>
      <c r="M52" s="80"/>
      <c r="N52" s="82" t="s">
        <v>642</v>
      </c>
      <c r="O52" s="85" t="s">
        <v>558</v>
      </c>
      <c r="P52" s="80"/>
      <c r="Q52" s="80"/>
      <c r="R52" s="80"/>
    </row>
    <row r="53" spans="1:18" ht="30">
      <c r="A53" s="80">
        <v>48</v>
      </c>
      <c r="B53" s="80" t="s">
        <v>616</v>
      </c>
      <c r="C53" s="80" t="s">
        <v>554</v>
      </c>
      <c r="D53" s="82" t="s">
        <v>638</v>
      </c>
      <c r="E53" s="95" t="s">
        <v>575</v>
      </c>
      <c r="F53" s="80"/>
      <c r="G53" s="80"/>
      <c r="H53" s="80"/>
      <c r="I53" s="80"/>
      <c r="J53" s="80"/>
      <c r="K53" s="80"/>
      <c r="L53" s="80"/>
      <c r="M53" s="80"/>
      <c r="N53" s="82"/>
      <c r="O53" s="85" t="s">
        <v>558</v>
      </c>
      <c r="P53" s="80"/>
      <c r="Q53" s="80"/>
      <c r="R53" s="80"/>
    </row>
    <row r="54" spans="1:18" ht="30">
      <c r="A54" s="80">
        <v>49</v>
      </c>
      <c r="B54" s="80" t="s">
        <v>616</v>
      </c>
      <c r="C54" s="80" t="s">
        <v>7</v>
      </c>
      <c r="D54" s="82" t="s">
        <v>638</v>
      </c>
      <c r="E54" s="95" t="s">
        <v>643</v>
      </c>
      <c r="F54" s="80"/>
      <c r="G54" s="80"/>
      <c r="H54" s="80"/>
      <c r="I54" s="80"/>
      <c r="J54" s="80"/>
      <c r="K54" s="80"/>
      <c r="L54" s="80"/>
      <c r="M54" s="80"/>
      <c r="N54" s="82" t="s">
        <v>644</v>
      </c>
      <c r="O54" s="85" t="s">
        <v>7</v>
      </c>
      <c r="P54" s="80"/>
      <c r="Q54" s="80"/>
      <c r="R54" s="80"/>
    </row>
    <row r="55" spans="1:18" ht="30">
      <c r="A55" s="80">
        <v>50</v>
      </c>
      <c r="B55" s="80" t="s">
        <v>616</v>
      </c>
      <c r="C55" s="80" t="s">
        <v>554</v>
      </c>
      <c r="D55" s="82" t="s">
        <v>638</v>
      </c>
      <c r="E55" s="95" t="s">
        <v>645</v>
      </c>
      <c r="F55" s="80"/>
      <c r="G55" s="80"/>
      <c r="H55" s="80"/>
      <c r="I55" s="80"/>
      <c r="J55" s="80"/>
      <c r="K55" s="80"/>
      <c r="L55" s="80"/>
      <c r="M55" s="80"/>
      <c r="N55" s="82" t="s">
        <v>642</v>
      </c>
      <c r="O55" s="85" t="s">
        <v>558</v>
      </c>
      <c r="P55" s="80"/>
      <c r="Q55" s="80"/>
      <c r="R55" s="80"/>
    </row>
    <row r="56" spans="1:18" ht="30">
      <c r="A56" s="80">
        <v>51</v>
      </c>
      <c r="B56" s="80" t="s">
        <v>616</v>
      </c>
      <c r="C56" s="80" t="s">
        <v>554</v>
      </c>
      <c r="D56" s="82" t="s">
        <v>638</v>
      </c>
      <c r="E56" s="95" t="s">
        <v>646</v>
      </c>
      <c r="F56" s="80"/>
      <c r="G56" s="80"/>
      <c r="H56" s="80"/>
      <c r="I56" s="80"/>
      <c r="J56" s="80"/>
      <c r="K56" s="80"/>
      <c r="L56" s="80"/>
      <c r="M56" s="80"/>
      <c r="N56" s="82" t="s">
        <v>642</v>
      </c>
      <c r="O56" s="85" t="s">
        <v>558</v>
      </c>
      <c r="P56" s="80"/>
      <c r="Q56" s="80"/>
      <c r="R56" s="80"/>
    </row>
    <row r="57" spans="1:18" ht="30">
      <c r="A57" s="80">
        <v>52</v>
      </c>
      <c r="B57" s="80" t="s">
        <v>616</v>
      </c>
      <c r="C57" s="80" t="s">
        <v>554</v>
      </c>
      <c r="D57" s="82" t="s">
        <v>638</v>
      </c>
      <c r="E57" s="95" t="s">
        <v>647</v>
      </c>
      <c r="F57" s="80"/>
      <c r="G57" s="80"/>
      <c r="H57" s="80"/>
      <c r="I57" s="80"/>
      <c r="J57" s="80"/>
      <c r="K57" s="80"/>
      <c r="L57" s="80"/>
      <c r="M57" s="80"/>
      <c r="N57" s="82" t="s">
        <v>497</v>
      </c>
      <c r="O57" s="85" t="s">
        <v>558</v>
      </c>
      <c r="P57" s="80"/>
      <c r="Q57" s="80"/>
      <c r="R57" s="80"/>
    </row>
    <row r="58" spans="1:18" ht="30">
      <c r="A58" s="80">
        <v>53</v>
      </c>
      <c r="B58" s="80" t="s">
        <v>616</v>
      </c>
      <c r="C58" s="80" t="s">
        <v>597</v>
      </c>
      <c r="D58" s="82" t="s">
        <v>638</v>
      </c>
      <c r="E58" s="95" t="s">
        <v>648</v>
      </c>
      <c r="F58" s="80"/>
      <c r="G58" s="80"/>
      <c r="H58" s="80"/>
      <c r="I58" s="80"/>
      <c r="J58" s="80"/>
      <c r="K58" s="80"/>
      <c r="L58" s="80"/>
      <c r="M58" s="80"/>
      <c r="N58" s="82" t="s">
        <v>597</v>
      </c>
      <c r="O58" s="85" t="s">
        <v>597</v>
      </c>
      <c r="P58" s="80"/>
      <c r="Q58" s="80"/>
      <c r="R58" s="80"/>
    </row>
    <row r="59" spans="1:18" ht="30">
      <c r="A59" s="80">
        <v>54</v>
      </c>
      <c r="B59" s="80" t="s">
        <v>616</v>
      </c>
      <c r="C59" s="80" t="s">
        <v>554</v>
      </c>
      <c r="D59" s="82" t="s">
        <v>638</v>
      </c>
      <c r="E59" s="95" t="s">
        <v>649</v>
      </c>
      <c r="F59" s="80"/>
      <c r="G59" s="80"/>
      <c r="H59" s="80"/>
      <c r="I59" s="80"/>
      <c r="J59" s="80"/>
      <c r="K59" s="80"/>
      <c r="L59" s="80"/>
      <c r="M59" s="80"/>
      <c r="N59" s="82" t="s">
        <v>642</v>
      </c>
      <c r="O59" s="85" t="s">
        <v>558</v>
      </c>
      <c r="P59" s="80"/>
      <c r="Q59" s="80"/>
      <c r="R59" s="80"/>
    </row>
    <row r="60" spans="1:18" ht="45">
      <c r="A60" s="80">
        <v>55</v>
      </c>
      <c r="B60" s="80" t="s">
        <v>616</v>
      </c>
      <c r="C60" s="80" t="s">
        <v>554</v>
      </c>
      <c r="D60" s="82" t="s">
        <v>638</v>
      </c>
      <c r="E60" s="95" t="s">
        <v>650</v>
      </c>
      <c r="F60" s="80"/>
      <c r="G60" s="80"/>
      <c r="H60" s="80"/>
      <c r="I60" s="80"/>
      <c r="J60" s="80"/>
      <c r="K60" s="80"/>
      <c r="L60" s="80"/>
      <c r="M60" s="80"/>
      <c r="N60" s="82" t="s">
        <v>651</v>
      </c>
      <c r="O60" s="85" t="s">
        <v>558</v>
      </c>
      <c r="P60" s="80"/>
      <c r="Q60" s="80"/>
      <c r="R60" s="80"/>
    </row>
    <row r="61" spans="1:18" ht="45">
      <c r="A61" s="80">
        <v>56</v>
      </c>
      <c r="B61" s="80" t="s">
        <v>616</v>
      </c>
      <c r="C61" s="80" t="s">
        <v>554</v>
      </c>
      <c r="D61" s="82" t="s">
        <v>638</v>
      </c>
      <c r="E61" s="95" t="s">
        <v>652</v>
      </c>
      <c r="F61" s="80"/>
      <c r="G61" s="80"/>
      <c r="H61" s="80"/>
      <c r="I61" s="80"/>
      <c r="J61" s="80"/>
      <c r="K61" s="80"/>
      <c r="L61" s="80"/>
      <c r="M61" s="80"/>
      <c r="N61" s="82" t="s">
        <v>642</v>
      </c>
      <c r="O61" s="85" t="s">
        <v>558</v>
      </c>
      <c r="P61" s="80"/>
      <c r="Q61" s="80"/>
      <c r="R61" s="80"/>
    </row>
    <row r="62" spans="1:18" ht="30">
      <c r="A62" s="80">
        <v>57</v>
      </c>
      <c r="B62" s="80" t="s">
        <v>616</v>
      </c>
      <c r="C62" s="80" t="s">
        <v>554</v>
      </c>
      <c r="D62" s="82" t="s">
        <v>638</v>
      </c>
      <c r="E62" s="95" t="s">
        <v>653</v>
      </c>
      <c r="F62" s="80"/>
      <c r="G62" s="80"/>
      <c r="H62" s="80"/>
      <c r="I62" s="80"/>
      <c r="J62" s="80"/>
      <c r="K62" s="80"/>
      <c r="L62" s="80"/>
      <c r="M62" s="80"/>
      <c r="N62" s="82" t="s">
        <v>642</v>
      </c>
      <c r="O62" s="85" t="s">
        <v>558</v>
      </c>
      <c r="P62" s="80"/>
      <c r="Q62" s="80"/>
      <c r="R62" s="80"/>
    </row>
    <row r="63" spans="1:18" ht="30">
      <c r="A63" s="80"/>
      <c r="B63" s="84" t="s">
        <v>616</v>
      </c>
      <c r="C63" s="80" t="s">
        <v>554</v>
      </c>
      <c r="D63" s="85" t="s">
        <v>638</v>
      </c>
      <c r="E63" s="97" t="s">
        <v>654</v>
      </c>
      <c r="F63" s="84"/>
      <c r="G63" s="84"/>
      <c r="H63" s="84"/>
      <c r="I63" s="84"/>
      <c r="J63" s="84"/>
      <c r="K63" s="84"/>
      <c r="L63" s="84"/>
      <c r="M63" s="84"/>
      <c r="N63" s="85"/>
      <c r="O63" s="85" t="s">
        <v>558</v>
      </c>
      <c r="P63" s="80" t="s">
        <v>655</v>
      </c>
      <c r="Q63" s="80"/>
      <c r="R63" s="80"/>
    </row>
    <row r="64" spans="1:18" ht="45">
      <c r="A64" s="80">
        <v>58</v>
      </c>
      <c r="B64" s="80" t="s">
        <v>616</v>
      </c>
      <c r="C64" s="80" t="s">
        <v>656</v>
      </c>
      <c r="D64" s="82" t="s">
        <v>638</v>
      </c>
      <c r="E64" s="95" t="s">
        <v>657</v>
      </c>
      <c r="F64" s="80"/>
      <c r="G64" s="80"/>
      <c r="H64" s="80"/>
      <c r="I64" s="80"/>
      <c r="J64" s="80"/>
      <c r="K64" s="80"/>
      <c r="L64" s="80"/>
      <c r="M64" s="80"/>
      <c r="N64" s="82" t="s">
        <v>658</v>
      </c>
      <c r="O64" s="85" t="s">
        <v>659</v>
      </c>
      <c r="P64" s="80"/>
      <c r="Q64" s="80"/>
      <c r="R64" s="80"/>
    </row>
    <row r="65" spans="1:18" ht="45">
      <c r="A65" s="80">
        <v>59</v>
      </c>
      <c r="B65" s="80" t="s">
        <v>616</v>
      </c>
      <c r="C65" s="80"/>
      <c r="D65" s="82" t="s">
        <v>638</v>
      </c>
      <c r="E65" s="95" t="s">
        <v>660</v>
      </c>
      <c r="F65" s="80"/>
      <c r="G65" s="80"/>
      <c r="H65" s="80"/>
      <c r="I65" s="80"/>
      <c r="J65" s="80"/>
      <c r="K65" s="80"/>
      <c r="L65" s="80"/>
      <c r="M65" s="80"/>
      <c r="N65" s="82" t="s">
        <v>661</v>
      </c>
      <c r="O65" s="85" t="s">
        <v>561</v>
      </c>
      <c r="P65" s="80"/>
      <c r="Q65" s="80"/>
      <c r="R65" s="80"/>
    </row>
    <row r="66" spans="1:18" ht="30">
      <c r="A66" s="80">
        <v>60</v>
      </c>
      <c r="B66" s="80" t="s">
        <v>616</v>
      </c>
      <c r="C66" s="80" t="s">
        <v>554</v>
      </c>
      <c r="D66" s="82" t="s">
        <v>638</v>
      </c>
      <c r="E66" s="95" t="s">
        <v>662</v>
      </c>
      <c r="F66" s="80"/>
      <c r="G66" s="80"/>
      <c r="H66" s="80"/>
      <c r="I66" s="80"/>
      <c r="J66" s="80"/>
      <c r="K66" s="80"/>
      <c r="L66" s="80"/>
      <c r="M66" s="80"/>
      <c r="N66" s="82" t="s">
        <v>642</v>
      </c>
      <c r="O66" s="85" t="s">
        <v>558</v>
      </c>
      <c r="P66" s="80"/>
      <c r="Q66" s="80"/>
      <c r="R66" s="80"/>
    </row>
    <row r="67" spans="1:18" ht="45">
      <c r="A67" s="80">
        <v>61</v>
      </c>
      <c r="B67" s="80" t="s">
        <v>616</v>
      </c>
      <c r="C67" s="80" t="s">
        <v>554</v>
      </c>
      <c r="D67" s="82" t="s">
        <v>638</v>
      </c>
      <c r="E67" s="95" t="s">
        <v>663</v>
      </c>
      <c r="F67" s="80"/>
      <c r="G67" s="80"/>
      <c r="H67" s="80"/>
      <c r="I67" s="80"/>
      <c r="J67" s="80"/>
      <c r="K67" s="80"/>
      <c r="L67" s="80"/>
      <c r="M67" s="80"/>
      <c r="N67" s="82" t="s">
        <v>642</v>
      </c>
      <c r="O67" s="85" t="s">
        <v>558</v>
      </c>
      <c r="P67" s="80"/>
      <c r="Q67" s="80"/>
      <c r="R67" s="80"/>
    </row>
    <row r="68" spans="1:18" ht="30">
      <c r="A68" s="80">
        <v>62</v>
      </c>
      <c r="B68" s="80" t="s">
        <v>616</v>
      </c>
      <c r="C68" s="80" t="s">
        <v>554</v>
      </c>
      <c r="D68" s="82" t="s">
        <v>638</v>
      </c>
      <c r="E68" s="95" t="s">
        <v>664</v>
      </c>
      <c r="F68" s="80"/>
      <c r="G68" s="80"/>
      <c r="H68" s="80"/>
      <c r="I68" s="80"/>
      <c r="J68" s="80"/>
      <c r="K68" s="80"/>
      <c r="L68" s="80"/>
      <c r="M68" s="80"/>
      <c r="N68" s="82" t="s">
        <v>642</v>
      </c>
      <c r="O68" s="85" t="s">
        <v>558</v>
      </c>
      <c r="P68" s="80"/>
      <c r="Q68" s="80"/>
      <c r="R68" s="80"/>
    </row>
    <row r="69" spans="1:18" ht="30">
      <c r="A69" s="80">
        <v>63</v>
      </c>
      <c r="B69" s="80" t="s">
        <v>616</v>
      </c>
      <c r="C69" s="80" t="s">
        <v>554</v>
      </c>
      <c r="D69" s="82" t="s">
        <v>638</v>
      </c>
      <c r="E69" s="95" t="s">
        <v>665</v>
      </c>
      <c r="F69" s="80"/>
      <c r="G69" s="80"/>
      <c r="H69" s="80"/>
      <c r="I69" s="80"/>
      <c r="J69" s="80"/>
      <c r="K69" s="80"/>
      <c r="L69" s="80"/>
      <c r="M69" s="80"/>
      <c r="N69" s="82" t="s">
        <v>642</v>
      </c>
      <c r="O69" s="85" t="s">
        <v>558</v>
      </c>
      <c r="P69" s="80"/>
      <c r="Q69" s="80"/>
      <c r="R69" s="80"/>
    </row>
    <row r="70" spans="1:18" ht="30">
      <c r="A70" s="80">
        <v>64</v>
      </c>
      <c r="B70" s="80" t="s">
        <v>616</v>
      </c>
      <c r="C70" s="80" t="s">
        <v>554</v>
      </c>
      <c r="D70" s="82" t="s">
        <v>638</v>
      </c>
      <c r="E70" s="95" t="s">
        <v>666</v>
      </c>
      <c r="F70" s="80"/>
      <c r="G70" s="80"/>
      <c r="H70" s="80"/>
      <c r="I70" s="80"/>
      <c r="J70" s="80"/>
      <c r="K70" s="80"/>
      <c r="L70" s="80"/>
      <c r="M70" s="80"/>
      <c r="N70" s="82" t="s">
        <v>642</v>
      </c>
      <c r="O70" s="85" t="s">
        <v>558</v>
      </c>
      <c r="P70" s="80"/>
      <c r="Q70" s="80"/>
      <c r="R70" s="80"/>
    </row>
    <row r="71" spans="1:18" ht="30">
      <c r="A71" s="80">
        <v>65</v>
      </c>
      <c r="B71" s="80" t="s">
        <v>616</v>
      </c>
      <c r="C71" s="80" t="s">
        <v>554</v>
      </c>
      <c r="D71" s="82" t="s">
        <v>638</v>
      </c>
      <c r="E71" s="95" t="s">
        <v>667</v>
      </c>
      <c r="F71" s="80"/>
      <c r="G71" s="80"/>
      <c r="H71" s="80"/>
      <c r="I71" s="80"/>
      <c r="J71" s="80"/>
      <c r="K71" s="80"/>
      <c r="L71" s="80"/>
      <c r="M71" s="80"/>
      <c r="N71" s="82" t="s">
        <v>642</v>
      </c>
      <c r="O71" s="85" t="s">
        <v>558</v>
      </c>
      <c r="P71" s="80"/>
      <c r="Q71" s="80"/>
      <c r="R71" s="80"/>
    </row>
    <row r="72" spans="1:18" ht="45">
      <c r="A72" s="80">
        <v>66</v>
      </c>
      <c r="B72" s="80" t="s">
        <v>616</v>
      </c>
      <c r="C72" s="80" t="s">
        <v>554</v>
      </c>
      <c r="D72" s="82" t="s">
        <v>638</v>
      </c>
      <c r="E72" s="95" t="s">
        <v>668</v>
      </c>
      <c r="F72" s="80"/>
      <c r="G72" s="80"/>
      <c r="H72" s="80"/>
      <c r="I72" s="80"/>
      <c r="J72" s="80"/>
      <c r="K72" s="80"/>
      <c r="L72" s="80"/>
      <c r="M72" s="80"/>
      <c r="N72" s="82" t="s">
        <v>642</v>
      </c>
      <c r="O72" s="85" t="s">
        <v>558</v>
      </c>
      <c r="P72" s="80"/>
      <c r="Q72" s="80"/>
      <c r="R72" s="80"/>
    </row>
    <row r="73" spans="1:18" ht="30">
      <c r="A73" s="80">
        <v>67</v>
      </c>
      <c r="B73" s="80" t="s">
        <v>616</v>
      </c>
      <c r="C73" s="80" t="s">
        <v>554</v>
      </c>
      <c r="D73" s="82" t="s">
        <v>638</v>
      </c>
      <c r="E73" s="95" t="s">
        <v>669</v>
      </c>
      <c r="F73" s="80"/>
      <c r="G73" s="80"/>
      <c r="H73" s="80"/>
      <c r="I73" s="80"/>
      <c r="J73" s="80"/>
      <c r="K73" s="80"/>
      <c r="L73" s="80"/>
      <c r="M73" s="80"/>
      <c r="N73" s="82" t="s">
        <v>670</v>
      </c>
      <c r="O73" s="85" t="s">
        <v>558</v>
      </c>
      <c r="P73" s="80"/>
      <c r="Q73" s="80"/>
      <c r="R73" s="80"/>
    </row>
    <row r="74" spans="1:18" ht="30">
      <c r="A74" s="80">
        <v>68</v>
      </c>
      <c r="B74" s="80" t="s">
        <v>616</v>
      </c>
      <c r="C74" s="80" t="s">
        <v>554</v>
      </c>
      <c r="D74" s="82" t="s">
        <v>638</v>
      </c>
      <c r="E74" s="95" t="s">
        <v>671</v>
      </c>
      <c r="F74" s="80"/>
      <c r="G74" s="80"/>
      <c r="H74" s="80"/>
      <c r="I74" s="80"/>
      <c r="J74" s="80"/>
      <c r="K74" s="80"/>
      <c r="L74" s="80"/>
      <c r="M74" s="80"/>
      <c r="N74" s="82" t="s">
        <v>642</v>
      </c>
      <c r="O74" s="85" t="s">
        <v>558</v>
      </c>
      <c r="P74" s="80"/>
      <c r="Q74" s="80"/>
      <c r="R74" s="80"/>
    </row>
    <row r="75" spans="1:18" ht="30">
      <c r="A75" s="80">
        <v>69</v>
      </c>
      <c r="B75" s="80" t="s">
        <v>616</v>
      </c>
      <c r="C75" s="80" t="s">
        <v>554</v>
      </c>
      <c r="D75" s="82" t="s">
        <v>638</v>
      </c>
      <c r="E75" s="95" t="s">
        <v>672</v>
      </c>
      <c r="F75" s="80"/>
      <c r="G75" s="80"/>
      <c r="H75" s="80"/>
      <c r="I75" s="80"/>
      <c r="J75" s="80"/>
      <c r="K75" s="80"/>
      <c r="L75" s="80"/>
      <c r="M75" s="80"/>
      <c r="N75" s="82" t="s">
        <v>673</v>
      </c>
      <c r="O75" s="85" t="s">
        <v>558</v>
      </c>
      <c r="P75" s="80"/>
      <c r="Q75" s="80"/>
      <c r="R75" s="80"/>
    </row>
    <row r="76" spans="1:18" ht="30">
      <c r="A76" s="80">
        <v>70</v>
      </c>
      <c r="B76" s="80" t="s">
        <v>616</v>
      </c>
      <c r="C76" s="80" t="s">
        <v>554</v>
      </c>
      <c r="D76" s="82" t="s">
        <v>638</v>
      </c>
      <c r="E76" s="95" t="s">
        <v>674</v>
      </c>
      <c r="F76" s="80"/>
      <c r="G76" s="80"/>
      <c r="H76" s="80"/>
      <c r="I76" s="80"/>
      <c r="J76" s="80"/>
      <c r="K76" s="80"/>
      <c r="L76" s="80"/>
      <c r="M76" s="80"/>
      <c r="N76" s="82" t="s">
        <v>673</v>
      </c>
      <c r="O76" s="85" t="s">
        <v>558</v>
      </c>
      <c r="P76" s="80"/>
      <c r="Q76" s="80"/>
      <c r="R76" s="80"/>
    </row>
    <row r="77" spans="1:18" ht="30">
      <c r="A77" s="80">
        <v>71</v>
      </c>
      <c r="B77" s="80" t="s">
        <v>616</v>
      </c>
      <c r="C77" s="80" t="s">
        <v>554</v>
      </c>
      <c r="D77" s="82" t="s">
        <v>638</v>
      </c>
      <c r="E77" s="95" t="s">
        <v>675</v>
      </c>
      <c r="F77" s="80"/>
      <c r="G77" s="80"/>
      <c r="H77" s="80"/>
      <c r="I77" s="80"/>
      <c r="J77" s="80"/>
      <c r="K77" s="80"/>
      <c r="L77" s="80"/>
      <c r="M77" s="80"/>
      <c r="N77" s="82" t="s">
        <v>673</v>
      </c>
      <c r="O77" s="85" t="s">
        <v>558</v>
      </c>
      <c r="P77" s="80"/>
      <c r="Q77" s="80"/>
      <c r="R77" s="80"/>
    </row>
    <row r="78" spans="1:18" ht="30">
      <c r="A78" s="80">
        <v>72</v>
      </c>
      <c r="B78" s="80" t="s">
        <v>616</v>
      </c>
      <c r="C78" s="80" t="s">
        <v>554</v>
      </c>
      <c r="D78" s="82" t="s">
        <v>638</v>
      </c>
      <c r="E78" s="95" t="s">
        <v>676</v>
      </c>
      <c r="F78" s="80"/>
      <c r="G78" s="80"/>
      <c r="H78" s="80"/>
      <c r="I78" s="80"/>
      <c r="J78" s="80"/>
      <c r="K78" s="80"/>
      <c r="L78" s="80"/>
      <c r="M78" s="80"/>
      <c r="N78" s="82" t="s">
        <v>673</v>
      </c>
      <c r="O78" s="85" t="s">
        <v>558</v>
      </c>
      <c r="P78" s="80"/>
      <c r="Q78" s="80"/>
      <c r="R78" s="80"/>
    </row>
    <row r="79" spans="1:18" ht="30">
      <c r="A79" s="80">
        <v>73</v>
      </c>
      <c r="B79" s="80" t="s">
        <v>616</v>
      </c>
      <c r="C79" s="80" t="s">
        <v>554</v>
      </c>
      <c r="D79" s="82" t="s">
        <v>638</v>
      </c>
      <c r="E79" s="95" t="s">
        <v>677</v>
      </c>
      <c r="F79" s="80"/>
      <c r="G79" s="80"/>
      <c r="H79" s="80"/>
      <c r="I79" s="80"/>
      <c r="J79" s="80"/>
      <c r="K79" s="80"/>
      <c r="L79" s="80"/>
      <c r="M79" s="80"/>
      <c r="N79" s="82" t="s">
        <v>678</v>
      </c>
      <c r="O79" s="85" t="s">
        <v>558</v>
      </c>
      <c r="P79" s="80"/>
      <c r="Q79" s="80"/>
      <c r="R79" s="80"/>
    </row>
    <row r="80" spans="1:18" ht="60">
      <c r="A80" s="80">
        <v>74</v>
      </c>
      <c r="B80" s="80" t="s">
        <v>616</v>
      </c>
      <c r="C80" s="80" t="s">
        <v>554</v>
      </c>
      <c r="D80" s="82" t="s">
        <v>638</v>
      </c>
      <c r="E80" s="95" t="s">
        <v>679</v>
      </c>
      <c r="F80" s="80"/>
      <c r="G80" s="80"/>
      <c r="H80" s="80"/>
      <c r="I80" s="80"/>
      <c r="J80" s="80"/>
      <c r="K80" s="80"/>
      <c r="L80" s="80"/>
      <c r="M80" s="80"/>
      <c r="N80" s="82" t="s">
        <v>642</v>
      </c>
      <c r="O80" s="85" t="s">
        <v>558</v>
      </c>
      <c r="P80" s="80"/>
      <c r="Q80" s="80"/>
      <c r="R80" s="80"/>
    </row>
    <row r="81" spans="1:18" ht="30">
      <c r="A81" s="80">
        <v>75</v>
      </c>
      <c r="B81" s="80" t="s">
        <v>616</v>
      </c>
      <c r="C81" s="80" t="s">
        <v>554</v>
      </c>
      <c r="D81" s="82" t="s">
        <v>638</v>
      </c>
      <c r="E81" s="95" t="s">
        <v>680</v>
      </c>
      <c r="F81" s="80"/>
      <c r="G81" s="80"/>
      <c r="H81" s="80"/>
      <c r="I81" s="80"/>
      <c r="J81" s="80"/>
      <c r="K81" s="80"/>
      <c r="L81" s="80"/>
      <c r="M81" s="80"/>
      <c r="N81" s="82" t="s">
        <v>681</v>
      </c>
      <c r="O81" s="85" t="s">
        <v>558</v>
      </c>
      <c r="P81" s="80"/>
      <c r="Q81" s="80"/>
      <c r="R81" s="80"/>
    </row>
    <row r="82" spans="1:18" ht="30">
      <c r="A82" s="80">
        <v>76</v>
      </c>
      <c r="B82" s="80" t="s">
        <v>616</v>
      </c>
      <c r="C82" s="80" t="s">
        <v>554</v>
      </c>
      <c r="D82" s="82" t="s">
        <v>638</v>
      </c>
      <c r="E82" s="82" t="s">
        <v>682</v>
      </c>
      <c r="F82" s="80"/>
      <c r="G82" s="80"/>
      <c r="H82" s="80"/>
      <c r="I82" s="80"/>
      <c r="J82" s="80"/>
      <c r="K82" s="80"/>
      <c r="L82" s="80"/>
      <c r="M82" s="80"/>
      <c r="N82" s="82" t="s">
        <v>681</v>
      </c>
      <c r="O82" s="85" t="s">
        <v>558</v>
      </c>
      <c r="P82" s="80"/>
      <c r="Q82" s="80"/>
      <c r="R82" s="80"/>
    </row>
    <row r="83" spans="1:18" ht="30">
      <c r="A83" s="80">
        <v>77</v>
      </c>
      <c r="B83" s="80" t="s">
        <v>616</v>
      </c>
      <c r="C83" s="80" t="s">
        <v>554</v>
      </c>
      <c r="D83" s="82" t="s">
        <v>638</v>
      </c>
      <c r="E83" s="73" t="s">
        <v>683</v>
      </c>
      <c r="F83" s="80"/>
      <c r="G83" s="80"/>
      <c r="H83" s="80"/>
      <c r="I83" s="80"/>
      <c r="J83" s="80"/>
      <c r="K83" s="80"/>
      <c r="L83" s="80"/>
      <c r="M83" s="80"/>
      <c r="N83" s="82" t="s">
        <v>681</v>
      </c>
      <c r="O83" s="85" t="s">
        <v>558</v>
      </c>
      <c r="P83" s="80"/>
      <c r="Q83" s="80"/>
      <c r="R83" s="80"/>
    </row>
    <row r="84" spans="1:18" ht="30">
      <c r="A84" s="80">
        <v>78</v>
      </c>
      <c r="B84" s="80" t="s">
        <v>616</v>
      </c>
      <c r="C84" s="80" t="s">
        <v>554</v>
      </c>
      <c r="D84" s="82" t="s">
        <v>638</v>
      </c>
      <c r="E84" s="73" t="s">
        <v>684</v>
      </c>
      <c r="F84" s="80"/>
      <c r="G84" s="80"/>
      <c r="H84" s="80"/>
      <c r="I84" s="80"/>
      <c r="J84" s="80"/>
      <c r="K84" s="80"/>
      <c r="L84" s="80"/>
      <c r="M84" s="80"/>
      <c r="N84" s="82" t="s">
        <v>685</v>
      </c>
      <c r="O84" s="85" t="s">
        <v>558</v>
      </c>
      <c r="P84" s="80"/>
      <c r="Q84" s="80"/>
      <c r="R84" s="80"/>
    </row>
    <row r="85" spans="1:18" ht="30">
      <c r="A85" s="80">
        <v>79</v>
      </c>
      <c r="B85" s="80" t="s">
        <v>616</v>
      </c>
      <c r="C85" s="80" t="s">
        <v>605</v>
      </c>
      <c r="D85" s="82" t="s">
        <v>638</v>
      </c>
      <c r="E85" s="82" t="s">
        <v>686</v>
      </c>
      <c r="F85" s="80"/>
      <c r="G85" s="80"/>
      <c r="H85" s="80"/>
      <c r="I85" s="80"/>
      <c r="J85" s="80"/>
      <c r="K85" s="80"/>
      <c r="L85" s="80"/>
      <c r="M85" s="80"/>
      <c r="N85" s="82" t="s">
        <v>622</v>
      </c>
      <c r="O85" s="85" t="s">
        <v>609</v>
      </c>
      <c r="P85" s="80"/>
      <c r="Q85" s="80"/>
      <c r="R85" s="80"/>
    </row>
    <row r="86" spans="1:18" ht="30">
      <c r="A86" s="80">
        <v>80</v>
      </c>
      <c r="B86" s="80" t="s">
        <v>616</v>
      </c>
      <c r="C86" s="80" t="s">
        <v>605</v>
      </c>
      <c r="D86" s="82" t="s">
        <v>638</v>
      </c>
      <c r="E86" s="82" t="s">
        <v>687</v>
      </c>
      <c r="F86" s="80"/>
      <c r="G86" s="80"/>
      <c r="H86" s="80"/>
      <c r="I86" s="80"/>
      <c r="J86" s="80"/>
      <c r="K86" s="80"/>
      <c r="L86" s="80"/>
      <c r="M86" s="80"/>
      <c r="N86" s="82" t="s">
        <v>622</v>
      </c>
      <c r="O86" s="85" t="s">
        <v>609</v>
      </c>
      <c r="P86" s="80"/>
      <c r="Q86" s="80"/>
      <c r="R86" s="80"/>
    </row>
    <row r="87" spans="1:18" ht="30">
      <c r="A87" s="80">
        <v>81</v>
      </c>
      <c r="B87" s="80" t="s">
        <v>616</v>
      </c>
      <c r="C87" s="80" t="s">
        <v>605</v>
      </c>
      <c r="D87" s="82" t="s">
        <v>638</v>
      </c>
      <c r="E87" s="82" t="s">
        <v>688</v>
      </c>
      <c r="F87" s="80"/>
      <c r="G87" s="80"/>
      <c r="H87" s="80"/>
      <c r="I87" s="80"/>
      <c r="J87" s="80"/>
      <c r="K87" s="80"/>
      <c r="L87" s="80"/>
      <c r="M87" s="80"/>
      <c r="N87" s="82" t="s">
        <v>622</v>
      </c>
      <c r="O87" s="85" t="s">
        <v>609</v>
      </c>
      <c r="P87" s="80"/>
      <c r="Q87" s="80"/>
      <c r="R87" s="80"/>
    </row>
    <row r="88" spans="1:18" ht="30">
      <c r="A88" s="80">
        <v>82</v>
      </c>
      <c r="B88" s="80" t="s">
        <v>616</v>
      </c>
      <c r="C88" s="80" t="s">
        <v>605</v>
      </c>
      <c r="D88" s="82" t="s">
        <v>638</v>
      </c>
      <c r="E88" s="82" t="s">
        <v>689</v>
      </c>
      <c r="F88" s="80"/>
      <c r="G88" s="80"/>
      <c r="H88" s="80"/>
      <c r="I88" s="80"/>
      <c r="J88" s="80"/>
      <c r="K88" s="80"/>
      <c r="L88" s="80"/>
      <c r="M88" s="80"/>
      <c r="N88" s="82" t="s">
        <v>622</v>
      </c>
      <c r="O88" s="85" t="s">
        <v>609</v>
      </c>
      <c r="P88" s="80"/>
      <c r="Q88" s="80"/>
      <c r="R88" s="80"/>
    </row>
    <row r="89" spans="1:18" ht="30">
      <c r="A89" s="80">
        <v>83</v>
      </c>
      <c r="B89" s="80" t="s">
        <v>616</v>
      </c>
      <c r="C89" s="80" t="s">
        <v>19</v>
      </c>
      <c r="D89" s="82" t="s">
        <v>690</v>
      </c>
      <c r="E89" s="73" t="s">
        <v>691</v>
      </c>
      <c r="F89" s="80"/>
      <c r="G89" s="80"/>
      <c r="H89" s="80"/>
      <c r="I89" s="80"/>
      <c r="J89" s="80"/>
      <c r="K89" s="80"/>
      <c r="L89" s="80"/>
      <c r="M89" s="80"/>
      <c r="N89" s="80" t="s">
        <v>692</v>
      </c>
      <c r="O89" s="84" t="s">
        <v>19</v>
      </c>
      <c r="P89" s="80"/>
      <c r="Q89" s="80"/>
      <c r="R89" s="80"/>
    </row>
    <row r="90" spans="1:18" ht="30">
      <c r="A90" s="80">
        <v>84</v>
      </c>
      <c r="B90" s="80" t="s">
        <v>616</v>
      </c>
      <c r="C90" s="80" t="s">
        <v>656</v>
      </c>
      <c r="D90" s="82" t="s">
        <v>690</v>
      </c>
      <c r="E90" s="82" t="s">
        <v>693</v>
      </c>
      <c r="F90" s="80"/>
      <c r="G90" s="80"/>
      <c r="H90" s="80"/>
      <c r="I90" s="80"/>
      <c r="J90" s="80"/>
      <c r="K90" s="80"/>
      <c r="L90" s="80"/>
      <c r="M90" s="80"/>
      <c r="N90" s="82" t="s">
        <v>694</v>
      </c>
      <c r="O90" s="84" t="s">
        <v>659</v>
      </c>
      <c r="P90" s="80"/>
      <c r="Q90" s="80"/>
      <c r="R90" s="80"/>
    </row>
    <row r="91" spans="1:18">
      <c r="A91" s="80">
        <v>85</v>
      </c>
      <c r="B91" s="80" t="s">
        <v>616</v>
      </c>
      <c r="C91" s="80" t="s">
        <v>7</v>
      </c>
      <c r="D91" s="82" t="s">
        <v>690</v>
      </c>
      <c r="E91" s="82" t="s">
        <v>695</v>
      </c>
      <c r="F91" s="80"/>
      <c r="G91" s="80"/>
      <c r="H91" s="80"/>
      <c r="I91" s="80"/>
      <c r="J91" s="80"/>
      <c r="K91" s="80"/>
      <c r="L91" s="80"/>
      <c r="M91" s="80"/>
      <c r="N91" s="80" t="s">
        <v>696</v>
      </c>
      <c r="O91" s="84" t="s">
        <v>7</v>
      </c>
      <c r="P91" s="80"/>
      <c r="Q91" s="80"/>
      <c r="R91" s="80"/>
    </row>
    <row r="92" spans="1:18" ht="30">
      <c r="A92" s="80">
        <v>86</v>
      </c>
      <c r="B92" s="80" t="s">
        <v>616</v>
      </c>
      <c r="C92" s="80" t="s">
        <v>605</v>
      </c>
      <c r="D92" s="82" t="s">
        <v>697</v>
      </c>
      <c r="E92" s="82" t="s">
        <v>698</v>
      </c>
      <c r="F92" s="80"/>
      <c r="G92" s="80"/>
      <c r="H92" s="80"/>
      <c r="I92" s="80"/>
      <c r="J92" s="80"/>
      <c r="K92" s="80"/>
      <c r="L92" s="80"/>
      <c r="M92" s="80"/>
      <c r="N92" s="82" t="s">
        <v>622</v>
      </c>
      <c r="O92" s="85" t="s">
        <v>609</v>
      </c>
      <c r="P92" s="80"/>
      <c r="Q92" s="80"/>
      <c r="R92" s="80"/>
    </row>
    <row r="93" spans="1:18">
      <c r="A93" s="80">
        <v>87</v>
      </c>
      <c r="B93" s="80" t="s">
        <v>699</v>
      </c>
      <c r="C93" s="80" t="s">
        <v>700</v>
      </c>
      <c r="D93" s="82" t="s">
        <v>701</v>
      </c>
      <c r="E93" s="73" t="s">
        <v>702</v>
      </c>
      <c r="F93" s="80"/>
      <c r="G93" s="80"/>
      <c r="H93" s="80"/>
      <c r="I93" s="80"/>
      <c r="J93" s="80"/>
      <c r="K93" s="80"/>
      <c r="L93" s="80"/>
      <c r="M93" s="80"/>
      <c r="N93" s="80" t="s">
        <v>703</v>
      </c>
      <c r="O93" s="84" t="s">
        <v>704</v>
      </c>
      <c r="P93" s="80"/>
      <c r="Q93" s="80"/>
      <c r="R93" s="80"/>
    </row>
    <row r="94" spans="1:18">
      <c r="A94" s="80">
        <v>88</v>
      </c>
      <c r="B94" s="80" t="s">
        <v>699</v>
      </c>
      <c r="C94" s="80" t="s">
        <v>700</v>
      </c>
      <c r="D94" s="82" t="s">
        <v>701</v>
      </c>
      <c r="E94" s="73" t="s">
        <v>705</v>
      </c>
      <c r="F94" s="80"/>
      <c r="G94" s="80"/>
      <c r="H94" s="80"/>
      <c r="I94" s="80"/>
      <c r="J94" s="80"/>
      <c r="K94" s="80"/>
      <c r="L94" s="80"/>
      <c r="M94" s="80"/>
      <c r="N94" s="80" t="s">
        <v>703</v>
      </c>
      <c r="O94" s="84" t="s">
        <v>704</v>
      </c>
      <c r="P94" s="80"/>
      <c r="Q94" s="80"/>
      <c r="R94" s="80"/>
    </row>
    <row r="95" spans="1:18" ht="30">
      <c r="A95" s="80">
        <v>89</v>
      </c>
      <c r="B95" s="80" t="s">
        <v>699</v>
      </c>
      <c r="C95" s="80" t="s">
        <v>706</v>
      </c>
      <c r="D95" s="82" t="s">
        <v>707</v>
      </c>
      <c r="E95" s="73" t="s">
        <v>708</v>
      </c>
      <c r="F95" s="80"/>
      <c r="G95" s="80"/>
      <c r="H95" s="80"/>
      <c r="I95" s="80"/>
      <c r="J95" s="80"/>
      <c r="K95" s="80"/>
      <c r="L95" s="80"/>
      <c r="M95" s="80"/>
      <c r="N95" s="80" t="s">
        <v>709</v>
      </c>
      <c r="O95" s="84" t="s">
        <v>709</v>
      </c>
      <c r="P95" s="80"/>
      <c r="Q95" s="80"/>
      <c r="R95" s="80"/>
    </row>
    <row r="96" spans="1:18" ht="30">
      <c r="A96" s="80">
        <v>90</v>
      </c>
      <c r="B96" s="80" t="s">
        <v>699</v>
      </c>
      <c r="C96" s="80" t="s">
        <v>700</v>
      </c>
      <c r="D96" s="82" t="s">
        <v>707</v>
      </c>
      <c r="E96" s="73" t="s">
        <v>710</v>
      </c>
      <c r="F96" s="80"/>
      <c r="G96" s="80"/>
      <c r="H96" s="80"/>
      <c r="I96" s="80"/>
      <c r="J96" s="80"/>
      <c r="K96" s="80"/>
      <c r="L96" s="80"/>
      <c r="M96" s="80"/>
      <c r="N96" s="80" t="s">
        <v>711</v>
      </c>
      <c r="O96" s="84" t="s">
        <v>704</v>
      </c>
      <c r="P96" s="80"/>
      <c r="Q96" s="80"/>
      <c r="R96" s="80"/>
    </row>
    <row r="97" spans="1:18" ht="90">
      <c r="A97" s="80">
        <v>91</v>
      </c>
      <c r="B97" s="80" t="s">
        <v>699</v>
      </c>
      <c r="C97" s="80" t="s">
        <v>572</v>
      </c>
      <c r="D97" s="82" t="s">
        <v>707</v>
      </c>
      <c r="E97" s="82" t="s">
        <v>712</v>
      </c>
      <c r="F97" s="80"/>
      <c r="G97" s="80"/>
      <c r="H97" s="80"/>
      <c r="I97" s="80"/>
      <c r="J97" s="80"/>
      <c r="K97" s="80"/>
      <c r="L97" s="80"/>
      <c r="M97" s="80"/>
      <c r="N97" s="82" t="s">
        <v>713</v>
      </c>
      <c r="O97" s="84" t="s">
        <v>14</v>
      </c>
      <c r="P97" s="80"/>
      <c r="Q97" s="80"/>
      <c r="R97" s="80"/>
    </row>
    <row r="98" spans="1:18" ht="30">
      <c r="A98" s="80">
        <v>92</v>
      </c>
      <c r="B98" s="80" t="s">
        <v>699</v>
      </c>
      <c r="C98" s="80"/>
      <c r="D98" s="82" t="s">
        <v>714</v>
      </c>
      <c r="E98" s="73" t="s">
        <v>715</v>
      </c>
      <c r="F98" s="80"/>
      <c r="G98" s="80"/>
      <c r="H98" s="80"/>
      <c r="I98" s="80"/>
      <c r="J98" s="80"/>
      <c r="K98" s="80"/>
      <c r="L98" s="80"/>
      <c r="M98" s="80"/>
      <c r="N98" s="82" t="s">
        <v>670</v>
      </c>
      <c r="O98" s="85" t="s">
        <v>6</v>
      </c>
      <c r="P98" s="80"/>
      <c r="Q98" s="80"/>
      <c r="R98" s="80"/>
    </row>
    <row r="99" spans="1:18" ht="30">
      <c r="A99" s="80">
        <v>93</v>
      </c>
      <c r="B99" s="80" t="s">
        <v>699</v>
      </c>
      <c r="C99" s="80"/>
      <c r="D99" s="82" t="s">
        <v>714</v>
      </c>
      <c r="E99" s="73" t="s">
        <v>716</v>
      </c>
      <c r="F99" s="80"/>
      <c r="G99" s="80"/>
      <c r="H99" s="80"/>
      <c r="I99" s="80"/>
      <c r="J99" s="80"/>
      <c r="K99" s="80"/>
      <c r="L99" s="80"/>
      <c r="M99" s="80"/>
      <c r="N99" s="82" t="s">
        <v>670</v>
      </c>
      <c r="O99" s="85" t="s">
        <v>6</v>
      </c>
      <c r="P99" s="80"/>
      <c r="Q99" s="80"/>
      <c r="R99" s="80"/>
    </row>
    <row r="100" spans="1:18" ht="45">
      <c r="A100" s="80">
        <v>94</v>
      </c>
      <c r="B100" s="80" t="s">
        <v>699</v>
      </c>
      <c r="C100" s="80"/>
      <c r="D100" s="82" t="s">
        <v>714</v>
      </c>
      <c r="E100" s="98" t="s">
        <v>717</v>
      </c>
      <c r="F100" s="80"/>
      <c r="G100" s="80"/>
      <c r="H100" s="80"/>
      <c r="I100" s="80"/>
      <c r="J100" s="80"/>
      <c r="K100" s="80"/>
      <c r="L100" s="80"/>
      <c r="M100" s="80"/>
      <c r="N100" s="82" t="s">
        <v>670</v>
      </c>
      <c r="O100" s="85" t="s">
        <v>6</v>
      </c>
      <c r="P100" s="80"/>
      <c r="Q100" s="80"/>
      <c r="R100" s="80"/>
    </row>
    <row r="101" spans="1:18" ht="75">
      <c r="A101" s="80">
        <v>95</v>
      </c>
      <c r="B101" s="80" t="s">
        <v>699</v>
      </c>
      <c r="C101" s="80"/>
      <c r="D101" s="82" t="s">
        <v>714</v>
      </c>
      <c r="E101" s="98" t="s">
        <v>718</v>
      </c>
      <c r="F101" s="80"/>
      <c r="G101" s="80"/>
      <c r="H101" s="80"/>
      <c r="I101" s="80"/>
      <c r="J101" s="80"/>
      <c r="K101" s="80"/>
      <c r="L101" s="80"/>
      <c r="M101" s="80"/>
      <c r="N101" s="82" t="s">
        <v>670</v>
      </c>
      <c r="O101" s="85" t="s">
        <v>6</v>
      </c>
      <c r="P101" s="80"/>
      <c r="Q101" s="80"/>
      <c r="R101" s="80"/>
    </row>
    <row r="102" spans="1:18">
      <c r="A102" s="80">
        <v>96</v>
      </c>
      <c r="B102" s="80" t="s">
        <v>699</v>
      </c>
      <c r="C102" s="80" t="s">
        <v>719</v>
      </c>
      <c r="D102" s="82" t="s">
        <v>720</v>
      </c>
      <c r="E102" s="73" t="s">
        <v>721</v>
      </c>
      <c r="F102" s="80"/>
      <c r="G102" s="80"/>
      <c r="H102" s="80"/>
      <c r="I102" s="80"/>
      <c r="J102" s="80"/>
      <c r="K102" s="80"/>
      <c r="L102" s="80"/>
      <c r="M102" s="80"/>
      <c r="N102" s="80" t="s">
        <v>722</v>
      </c>
      <c r="O102" s="84" t="s">
        <v>722</v>
      </c>
      <c r="P102" s="80"/>
      <c r="Q102" s="80"/>
      <c r="R102" s="80"/>
    </row>
    <row r="103" spans="1:18">
      <c r="A103" s="80">
        <v>97</v>
      </c>
      <c r="B103" s="80" t="s">
        <v>699</v>
      </c>
      <c r="C103" s="80" t="s">
        <v>719</v>
      </c>
      <c r="D103" s="82" t="s">
        <v>720</v>
      </c>
      <c r="E103" s="73" t="s">
        <v>723</v>
      </c>
      <c r="F103" s="80"/>
      <c r="G103" s="80"/>
      <c r="H103" s="80"/>
      <c r="I103" s="80"/>
      <c r="J103" s="80"/>
      <c r="K103" s="80"/>
      <c r="L103" s="80"/>
      <c r="M103" s="80"/>
      <c r="N103" s="80" t="s">
        <v>722</v>
      </c>
      <c r="O103" s="84" t="s">
        <v>722</v>
      </c>
      <c r="P103" s="80"/>
      <c r="Q103" s="80"/>
      <c r="R103" s="80"/>
    </row>
    <row r="104" spans="1:18">
      <c r="A104" s="80">
        <v>98</v>
      </c>
      <c r="B104" s="80" t="s">
        <v>699</v>
      </c>
      <c r="C104" s="80" t="s">
        <v>719</v>
      </c>
      <c r="D104" s="82" t="s">
        <v>720</v>
      </c>
      <c r="E104" s="73" t="s">
        <v>724</v>
      </c>
      <c r="F104" s="80"/>
      <c r="G104" s="80"/>
      <c r="H104" s="80"/>
      <c r="I104" s="80"/>
      <c r="J104" s="80"/>
      <c r="K104" s="80"/>
      <c r="L104" s="80"/>
      <c r="M104" s="80"/>
      <c r="N104" s="80" t="s">
        <v>722</v>
      </c>
      <c r="O104" s="84" t="s">
        <v>722</v>
      </c>
      <c r="P104" s="80"/>
      <c r="Q104" s="80"/>
      <c r="R104" s="80"/>
    </row>
    <row r="105" spans="1:18">
      <c r="A105" s="80">
        <v>99</v>
      </c>
      <c r="B105" s="80" t="s">
        <v>725</v>
      </c>
      <c r="C105" s="80" t="s">
        <v>554</v>
      </c>
      <c r="D105" s="82" t="s">
        <v>726</v>
      </c>
      <c r="E105" s="73" t="s">
        <v>727</v>
      </c>
      <c r="F105" s="80"/>
      <c r="G105" s="80"/>
      <c r="H105" s="80"/>
      <c r="I105" s="80"/>
      <c r="J105" s="80"/>
      <c r="K105" s="80"/>
      <c r="L105" s="80"/>
      <c r="M105" s="80"/>
      <c r="N105" s="82" t="s">
        <v>636</v>
      </c>
      <c r="O105" s="85" t="s">
        <v>558</v>
      </c>
      <c r="P105" s="80"/>
      <c r="Q105" s="80"/>
      <c r="R105" s="80"/>
    </row>
    <row r="106" spans="1:18" ht="30">
      <c r="A106" s="80">
        <v>100</v>
      </c>
      <c r="B106" s="80" t="s">
        <v>725</v>
      </c>
      <c r="C106" s="80" t="s">
        <v>554</v>
      </c>
      <c r="D106" s="82" t="s">
        <v>726</v>
      </c>
      <c r="E106" s="73" t="s">
        <v>728</v>
      </c>
      <c r="F106" s="80"/>
      <c r="G106" s="80"/>
      <c r="H106" s="80"/>
      <c r="I106" s="80"/>
      <c r="J106" s="80"/>
      <c r="K106" s="80"/>
      <c r="L106" s="80"/>
      <c r="M106" s="80"/>
      <c r="N106" s="82" t="s">
        <v>636</v>
      </c>
      <c r="O106" s="85" t="s">
        <v>558</v>
      </c>
      <c r="P106" s="80"/>
      <c r="Q106" s="80"/>
      <c r="R106" s="80"/>
    </row>
    <row r="107" spans="1:18">
      <c r="A107" s="80">
        <v>101</v>
      </c>
      <c r="B107" s="80" t="s">
        <v>725</v>
      </c>
      <c r="C107" s="80" t="s">
        <v>605</v>
      </c>
      <c r="D107" s="82" t="s">
        <v>729</v>
      </c>
      <c r="E107" s="73" t="s">
        <v>730</v>
      </c>
      <c r="F107" s="80"/>
      <c r="G107" s="80"/>
      <c r="H107" s="80"/>
      <c r="I107" s="80"/>
      <c r="J107" s="80"/>
      <c r="K107" s="80"/>
      <c r="L107" s="80"/>
      <c r="M107" s="80"/>
      <c r="N107" s="82" t="s">
        <v>636</v>
      </c>
      <c r="O107" s="85" t="s">
        <v>609</v>
      </c>
      <c r="P107" s="80"/>
      <c r="Q107" s="80"/>
      <c r="R107" s="80"/>
    </row>
    <row r="108" spans="1:18" ht="30">
      <c r="A108" s="80">
        <v>102</v>
      </c>
      <c r="B108" s="80" t="s">
        <v>725</v>
      </c>
      <c r="C108" s="80" t="s">
        <v>554</v>
      </c>
      <c r="D108" s="82" t="s">
        <v>729</v>
      </c>
      <c r="E108" s="82" t="s">
        <v>731</v>
      </c>
      <c r="F108" s="80"/>
      <c r="G108" s="80"/>
      <c r="H108" s="80"/>
      <c r="I108" s="80"/>
      <c r="J108" s="80"/>
      <c r="K108" s="80"/>
      <c r="L108" s="80"/>
      <c r="M108" s="80"/>
      <c r="N108" s="82" t="s">
        <v>636</v>
      </c>
      <c r="O108" s="85" t="s">
        <v>558</v>
      </c>
      <c r="P108" s="80"/>
      <c r="Q108" s="80"/>
      <c r="R108" s="80"/>
    </row>
    <row r="109" spans="1:18" ht="30">
      <c r="A109" s="80">
        <v>103</v>
      </c>
      <c r="B109" s="80" t="s">
        <v>732</v>
      </c>
      <c r="C109" s="80" t="s">
        <v>5</v>
      </c>
      <c r="D109" s="82" t="s">
        <v>733</v>
      </c>
      <c r="E109" s="73" t="s">
        <v>734</v>
      </c>
      <c r="F109" s="80"/>
      <c r="G109" s="80"/>
      <c r="H109" s="80"/>
      <c r="I109" s="80"/>
      <c r="J109" s="80"/>
      <c r="K109" s="80"/>
      <c r="L109" s="80"/>
      <c r="M109" s="80"/>
      <c r="N109" s="80" t="s">
        <v>569</v>
      </c>
      <c r="O109" s="84" t="s">
        <v>5</v>
      </c>
      <c r="P109" s="80"/>
      <c r="Q109" s="80"/>
      <c r="R109" s="80"/>
    </row>
    <row r="110" spans="1:18" ht="30">
      <c r="A110" s="80">
        <v>104</v>
      </c>
      <c r="B110" s="80" t="s">
        <v>732</v>
      </c>
      <c r="C110" s="80" t="s">
        <v>554</v>
      </c>
      <c r="D110" s="82" t="s">
        <v>733</v>
      </c>
      <c r="E110" s="73" t="s">
        <v>735</v>
      </c>
      <c r="F110" s="80"/>
      <c r="G110" s="80"/>
      <c r="H110" s="80"/>
      <c r="I110" s="80"/>
      <c r="J110" s="80"/>
      <c r="K110" s="80"/>
      <c r="L110" s="80"/>
      <c r="M110" s="80"/>
      <c r="N110" s="82" t="s">
        <v>636</v>
      </c>
      <c r="O110" s="85" t="s">
        <v>558</v>
      </c>
      <c r="P110" s="80"/>
      <c r="Q110" s="80"/>
      <c r="R110" s="80"/>
    </row>
    <row r="111" spans="1:18" ht="45">
      <c r="A111" s="80">
        <v>105</v>
      </c>
      <c r="B111" s="80" t="s">
        <v>732</v>
      </c>
      <c r="C111" s="80" t="s">
        <v>3</v>
      </c>
      <c r="D111" s="82" t="s">
        <v>736</v>
      </c>
      <c r="E111" s="73" t="s">
        <v>737</v>
      </c>
      <c r="F111" s="80"/>
      <c r="G111" s="80"/>
      <c r="H111" s="80"/>
      <c r="I111" s="80"/>
      <c r="J111" s="80"/>
      <c r="K111" s="80"/>
      <c r="L111" s="80"/>
      <c r="M111" s="80"/>
      <c r="N111" s="80" t="s">
        <v>738</v>
      </c>
      <c r="O111" s="84" t="s">
        <v>3</v>
      </c>
      <c r="P111" s="80"/>
      <c r="Q111" s="80"/>
      <c r="R111" s="80"/>
    </row>
    <row r="112" spans="1:18">
      <c r="A112" s="80">
        <v>106</v>
      </c>
      <c r="B112" s="80" t="s">
        <v>732</v>
      </c>
      <c r="C112" s="80"/>
      <c r="D112" s="82" t="s">
        <v>736</v>
      </c>
      <c r="E112" s="73" t="s">
        <v>739</v>
      </c>
      <c r="F112" s="80"/>
      <c r="G112" s="80"/>
      <c r="H112" s="80"/>
      <c r="I112" s="80"/>
      <c r="J112" s="80"/>
      <c r="K112" s="80"/>
      <c r="L112" s="80"/>
      <c r="M112" s="80"/>
      <c r="N112" s="80" t="s">
        <v>740</v>
      </c>
      <c r="O112" s="84" t="s">
        <v>741</v>
      </c>
      <c r="P112" s="80"/>
      <c r="Q112" s="80"/>
      <c r="R112" s="80"/>
    </row>
    <row r="113" spans="1:18">
      <c r="A113" s="80">
        <v>107</v>
      </c>
      <c r="B113" s="80" t="s">
        <v>732</v>
      </c>
      <c r="C113" s="80" t="s">
        <v>742</v>
      </c>
      <c r="D113" s="82" t="s">
        <v>736</v>
      </c>
      <c r="E113" s="73" t="s">
        <v>537</v>
      </c>
      <c r="F113" s="80"/>
      <c r="G113" s="80"/>
      <c r="H113" s="80"/>
      <c r="I113" s="80"/>
      <c r="J113" s="80"/>
      <c r="K113" s="80"/>
      <c r="L113" s="80"/>
      <c r="M113" s="80"/>
      <c r="N113" s="80" t="s">
        <v>743</v>
      </c>
      <c r="O113" s="85" t="s">
        <v>744</v>
      </c>
      <c r="P113" s="80"/>
      <c r="Q113" s="80"/>
      <c r="R113" s="80"/>
    </row>
    <row r="114" spans="1:18" ht="30">
      <c r="A114" s="80">
        <v>108</v>
      </c>
      <c r="B114" s="80" t="s">
        <v>732</v>
      </c>
      <c r="C114" s="80" t="s">
        <v>656</v>
      </c>
      <c r="D114" s="82" t="s">
        <v>736</v>
      </c>
      <c r="E114" s="73" t="s">
        <v>745</v>
      </c>
      <c r="F114" s="80"/>
      <c r="G114" s="80"/>
      <c r="H114" s="80"/>
      <c r="I114" s="80"/>
      <c r="J114" s="80"/>
      <c r="K114" s="80"/>
      <c r="L114" s="80"/>
      <c r="M114" s="80"/>
      <c r="N114" s="82" t="s">
        <v>694</v>
      </c>
      <c r="O114" s="84" t="s">
        <v>659</v>
      </c>
      <c r="P114" s="80"/>
      <c r="Q114" s="80"/>
      <c r="R114" s="80"/>
    </row>
    <row r="115" spans="1:18" ht="30">
      <c r="A115" s="80">
        <v>109</v>
      </c>
      <c r="B115" s="80" t="s">
        <v>732</v>
      </c>
      <c r="C115" s="80" t="s">
        <v>746</v>
      </c>
      <c r="D115" s="82" t="s">
        <v>736</v>
      </c>
      <c r="E115" s="82" t="s">
        <v>747</v>
      </c>
      <c r="F115" s="80"/>
      <c r="G115" s="80"/>
      <c r="H115" s="80"/>
      <c r="I115" s="80"/>
      <c r="J115" s="80"/>
      <c r="K115" s="80"/>
      <c r="L115" s="80"/>
      <c r="M115" s="80"/>
      <c r="N115" s="80" t="s">
        <v>748</v>
      </c>
      <c r="O115" s="84" t="s">
        <v>746</v>
      </c>
      <c r="P115" s="80"/>
      <c r="Q115" s="80"/>
      <c r="R115" s="80"/>
    </row>
    <row r="116" spans="1:18">
      <c r="A116" s="80">
        <v>110</v>
      </c>
      <c r="B116" s="80" t="s">
        <v>732</v>
      </c>
      <c r="C116" s="80" t="s">
        <v>746</v>
      </c>
      <c r="D116" s="82" t="s">
        <v>736</v>
      </c>
      <c r="E116" s="82" t="s">
        <v>749</v>
      </c>
      <c r="F116" s="80"/>
      <c r="G116" s="80"/>
      <c r="H116" s="80"/>
      <c r="I116" s="80"/>
      <c r="J116" s="80"/>
      <c r="K116" s="80"/>
      <c r="L116" s="80"/>
      <c r="M116" s="80"/>
      <c r="N116" s="80" t="s">
        <v>748</v>
      </c>
      <c r="O116" s="84" t="s">
        <v>746</v>
      </c>
      <c r="P116" s="80"/>
      <c r="Q116" s="80"/>
      <c r="R116" s="80"/>
    </row>
    <row r="117" spans="1:18" ht="30">
      <c r="A117" s="80">
        <v>111</v>
      </c>
      <c r="B117" s="80" t="s">
        <v>732</v>
      </c>
      <c r="C117" s="80" t="s">
        <v>746</v>
      </c>
      <c r="D117" s="82" t="s">
        <v>736</v>
      </c>
      <c r="E117" s="82" t="s">
        <v>750</v>
      </c>
      <c r="F117" s="80"/>
      <c r="G117" s="80"/>
      <c r="H117" s="80"/>
      <c r="I117" s="80"/>
      <c r="J117" s="80"/>
      <c r="K117" s="80"/>
      <c r="L117" s="80"/>
      <c r="M117" s="80"/>
      <c r="N117" s="80" t="s">
        <v>748</v>
      </c>
      <c r="O117" s="84" t="s">
        <v>746</v>
      </c>
      <c r="P117" s="80"/>
      <c r="Q117" s="80"/>
      <c r="R117" s="80"/>
    </row>
    <row r="118" spans="1:18">
      <c r="A118" s="80">
        <v>112</v>
      </c>
      <c r="B118" s="80" t="s">
        <v>732</v>
      </c>
      <c r="C118" s="80" t="s">
        <v>554</v>
      </c>
      <c r="D118" s="82" t="s">
        <v>751</v>
      </c>
      <c r="E118" s="73" t="s">
        <v>752</v>
      </c>
      <c r="F118" s="80"/>
      <c r="G118" s="80"/>
      <c r="H118" s="80"/>
      <c r="I118" s="80"/>
      <c r="J118" s="80"/>
      <c r="K118" s="80"/>
      <c r="L118" s="80"/>
      <c r="M118" s="80"/>
      <c r="N118" s="82" t="s">
        <v>753</v>
      </c>
      <c r="O118" s="85" t="s">
        <v>558</v>
      </c>
      <c r="P118" s="80"/>
      <c r="Q118" s="80"/>
      <c r="R118" s="80"/>
    </row>
    <row r="119" spans="1:18" ht="30">
      <c r="A119" s="80">
        <v>112</v>
      </c>
      <c r="B119" s="80" t="s">
        <v>732</v>
      </c>
      <c r="C119" s="80" t="s">
        <v>706</v>
      </c>
      <c r="D119" s="82" t="s">
        <v>751</v>
      </c>
      <c r="E119" s="73" t="s">
        <v>754</v>
      </c>
      <c r="F119" s="80"/>
      <c r="G119" s="80"/>
      <c r="H119" s="80"/>
      <c r="I119" s="80"/>
      <c r="J119" s="80"/>
      <c r="K119" s="80"/>
      <c r="L119" s="80"/>
      <c r="M119" s="80"/>
      <c r="N119" s="82" t="s">
        <v>755</v>
      </c>
      <c r="O119" s="85" t="s">
        <v>673</v>
      </c>
      <c r="P119" s="80"/>
      <c r="Q119" s="80"/>
      <c r="R119" s="80"/>
    </row>
    <row r="120" spans="1:18" ht="30">
      <c r="A120" s="80">
        <v>113</v>
      </c>
      <c r="B120" s="80" t="s">
        <v>732</v>
      </c>
      <c r="C120" s="80" t="s">
        <v>742</v>
      </c>
      <c r="D120" s="82" t="s">
        <v>751</v>
      </c>
      <c r="E120" s="73" t="s">
        <v>756</v>
      </c>
      <c r="F120" s="80"/>
      <c r="G120" s="80"/>
      <c r="H120" s="80"/>
      <c r="I120" s="80"/>
      <c r="J120" s="80"/>
      <c r="K120" s="80"/>
      <c r="L120" s="80"/>
      <c r="M120" s="80"/>
      <c r="N120" s="82" t="s">
        <v>757</v>
      </c>
      <c r="O120" s="85" t="s">
        <v>744</v>
      </c>
      <c r="P120" s="80"/>
      <c r="Q120" s="80"/>
      <c r="R120" s="80"/>
    </row>
    <row r="121" spans="1:18" ht="30">
      <c r="A121" s="80">
        <v>114</v>
      </c>
      <c r="B121" s="80" t="s">
        <v>732</v>
      </c>
      <c r="C121" s="80" t="s">
        <v>742</v>
      </c>
      <c r="D121" s="82" t="s">
        <v>758</v>
      </c>
      <c r="E121" s="73" t="s">
        <v>759</v>
      </c>
      <c r="F121" s="80"/>
      <c r="G121" s="80"/>
      <c r="H121" s="80"/>
      <c r="I121" s="80"/>
      <c r="J121" s="80"/>
      <c r="K121" s="80"/>
      <c r="L121" s="80"/>
      <c r="M121" s="80"/>
      <c r="N121" s="82" t="s">
        <v>757</v>
      </c>
      <c r="O121" s="85" t="s">
        <v>744</v>
      </c>
      <c r="P121" s="80"/>
      <c r="Q121" s="80"/>
      <c r="R121" s="80"/>
    </row>
    <row r="122" spans="1:18" ht="30">
      <c r="A122" s="80">
        <v>115</v>
      </c>
      <c r="B122" s="80" t="s">
        <v>732</v>
      </c>
      <c r="C122" s="80" t="s">
        <v>554</v>
      </c>
      <c r="D122" s="82" t="s">
        <v>758</v>
      </c>
      <c r="E122" s="73" t="s">
        <v>760</v>
      </c>
      <c r="F122" s="80"/>
      <c r="G122" s="80"/>
      <c r="H122" s="80"/>
      <c r="I122" s="80"/>
      <c r="J122" s="80"/>
      <c r="K122" s="80"/>
      <c r="L122" s="80"/>
      <c r="M122" s="80"/>
      <c r="N122" s="80" t="s">
        <v>761</v>
      </c>
      <c r="O122" s="84" t="s">
        <v>558</v>
      </c>
      <c r="P122" s="80"/>
      <c r="Q122" s="80"/>
      <c r="R122" s="80"/>
    </row>
    <row r="123" spans="1:18" ht="30">
      <c r="A123" s="80">
        <v>116</v>
      </c>
      <c r="B123" s="80" t="s">
        <v>732</v>
      </c>
      <c r="C123" s="80"/>
      <c r="D123" s="82" t="s">
        <v>762</v>
      </c>
      <c r="E123" s="73" t="s">
        <v>763</v>
      </c>
      <c r="F123" s="80"/>
      <c r="G123" s="80"/>
      <c r="H123" s="80"/>
      <c r="I123" s="80"/>
      <c r="J123" s="80"/>
      <c r="K123" s="80"/>
      <c r="L123" s="80"/>
      <c r="M123" s="80"/>
      <c r="N123" s="80" t="s">
        <v>764</v>
      </c>
      <c r="O123" s="85" t="s">
        <v>561</v>
      </c>
      <c r="P123" s="80"/>
      <c r="Q123" s="80"/>
      <c r="R123" s="80"/>
    </row>
    <row r="124" spans="1:18" ht="30">
      <c r="A124" s="80">
        <v>117</v>
      </c>
      <c r="B124" s="80" t="s">
        <v>732</v>
      </c>
      <c r="C124" s="80"/>
      <c r="D124" s="82" t="s">
        <v>762</v>
      </c>
      <c r="E124" s="73" t="s">
        <v>765</v>
      </c>
      <c r="F124" s="80"/>
      <c r="G124" s="80"/>
      <c r="H124" s="80"/>
      <c r="I124" s="80"/>
      <c r="J124" s="80"/>
      <c r="K124" s="80"/>
      <c r="L124" s="80"/>
      <c r="M124" s="80"/>
      <c r="N124" s="82" t="s">
        <v>636</v>
      </c>
      <c r="O124" s="85" t="s">
        <v>766</v>
      </c>
      <c r="P124" s="80"/>
      <c r="Q124" s="80"/>
      <c r="R124" s="80"/>
    </row>
    <row r="125" spans="1:18">
      <c r="A125" s="80">
        <v>118</v>
      </c>
      <c r="B125" s="80" t="s">
        <v>732</v>
      </c>
      <c r="C125" s="80"/>
      <c r="D125" s="82" t="s">
        <v>762</v>
      </c>
      <c r="E125" s="73" t="s">
        <v>767</v>
      </c>
      <c r="F125" s="80"/>
      <c r="G125" s="80"/>
      <c r="H125" s="80"/>
      <c r="I125" s="80"/>
      <c r="J125" s="80"/>
      <c r="K125" s="80"/>
      <c r="L125" s="80"/>
      <c r="M125" s="80"/>
      <c r="N125" s="82" t="s">
        <v>636</v>
      </c>
      <c r="O125" s="85" t="s">
        <v>766</v>
      </c>
      <c r="P125" s="80"/>
      <c r="Q125" s="80"/>
      <c r="R125" s="80"/>
    </row>
    <row r="126" spans="1:18">
      <c r="A126" s="80">
        <v>119</v>
      </c>
      <c r="B126" s="80" t="s">
        <v>732</v>
      </c>
      <c r="C126" s="80"/>
      <c r="D126" s="82" t="s">
        <v>762</v>
      </c>
      <c r="E126" s="82" t="s">
        <v>768</v>
      </c>
      <c r="F126" s="80"/>
      <c r="G126" s="80"/>
      <c r="H126" s="80"/>
      <c r="I126" s="80"/>
      <c r="J126" s="80"/>
      <c r="K126" s="80"/>
      <c r="L126" s="80"/>
      <c r="M126" s="80"/>
      <c r="N126" s="82" t="s">
        <v>636</v>
      </c>
      <c r="O126" s="85" t="s">
        <v>766</v>
      </c>
      <c r="P126" s="80"/>
      <c r="Q126" s="80"/>
      <c r="R126" s="80"/>
    </row>
    <row r="127" spans="1:18">
      <c r="A127" s="80">
        <v>120</v>
      </c>
      <c r="B127" s="80" t="s">
        <v>732</v>
      </c>
      <c r="C127" s="80"/>
      <c r="D127" s="82" t="s">
        <v>762</v>
      </c>
      <c r="E127" s="82" t="s">
        <v>769</v>
      </c>
      <c r="F127" s="80"/>
      <c r="G127" s="80"/>
      <c r="H127" s="80"/>
      <c r="I127" s="80"/>
      <c r="J127" s="80"/>
      <c r="K127" s="80"/>
      <c r="L127" s="80"/>
      <c r="M127" s="80"/>
      <c r="N127" s="82" t="s">
        <v>636</v>
      </c>
      <c r="O127" s="85" t="s">
        <v>766</v>
      </c>
      <c r="P127" s="80"/>
      <c r="Q127" s="80"/>
      <c r="R127" s="80"/>
    </row>
    <row r="128" spans="1:18">
      <c r="A128" s="80">
        <v>121</v>
      </c>
      <c r="B128" s="80" t="s">
        <v>770</v>
      </c>
      <c r="C128" s="80" t="s">
        <v>742</v>
      </c>
      <c r="D128" s="82" t="s">
        <v>771</v>
      </c>
      <c r="E128" s="82" t="s">
        <v>772</v>
      </c>
      <c r="F128" s="80"/>
      <c r="G128" s="80"/>
      <c r="H128" s="80"/>
      <c r="I128" s="80"/>
      <c r="J128" s="80"/>
      <c r="K128" s="80"/>
      <c r="L128" s="80"/>
      <c r="M128" s="80"/>
      <c r="N128" s="82"/>
      <c r="O128" s="85" t="s">
        <v>744</v>
      </c>
      <c r="P128" s="80"/>
      <c r="Q128" s="80"/>
      <c r="R128" s="80"/>
    </row>
    <row r="129" spans="1:18">
      <c r="A129" s="80">
        <v>122</v>
      </c>
      <c r="B129" s="80" t="s">
        <v>770</v>
      </c>
      <c r="C129" s="80" t="s">
        <v>554</v>
      </c>
      <c r="D129" s="82" t="s">
        <v>771</v>
      </c>
      <c r="E129" s="82" t="s">
        <v>773</v>
      </c>
      <c r="F129" s="80"/>
      <c r="G129" s="80"/>
      <c r="H129" s="80"/>
      <c r="I129" s="80"/>
      <c r="J129" s="80"/>
      <c r="K129" s="80"/>
      <c r="L129" s="80"/>
      <c r="M129" s="80"/>
      <c r="N129" s="82"/>
      <c r="O129" s="85" t="s">
        <v>558</v>
      </c>
      <c r="P129" s="80"/>
      <c r="Q129" s="80"/>
      <c r="R129" s="80"/>
    </row>
    <row r="130" spans="1:18">
      <c r="A130" s="80">
        <v>123</v>
      </c>
      <c r="B130" s="80" t="s">
        <v>770</v>
      </c>
      <c r="C130" s="80" t="s">
        <v>554</v>
      </c>
      <c r="D130" s="82" t="s">
        <v>774</v>
      </c>
      <c r="E130" s="82" t="s">
        <v>775</v>
      </c>
      <c r="F130" s="80"/>
      <c r="G130" s="80"/>
      <c r="H130" s="80"/>
      <c r="I130" s="80"/>
      <c r="J130" s="80"/>
      <c r="K130" s="80"/>
      <c r="L130" s="80"/>
      <c r="M130" s="80"/>
      <c r="N130" s="82" t="s">
        <v>636</v>
      </c>
      <c r="O130" s="85" t="s">
        <v>558</v>
      </c>
      <c r="P130" s="80"/>
      <c r="Q130" s="80"/>
      <c r="R130" s="80"/>
    </row>
    <row r="131" spans="1:18" ht="30">
      <c r="A131" s="80">
        <v>124</v>
      </c>
      <c r="B131" s="80" t="s">
        <v>776</v>
      </c>
      <c r="C131" s="80"/>
      <c r="D131" s="82" t="s">
        <v>777</v>
      </c>
      <c r="E131" s="73" t="s">
        <v>778</v>
      </c>
      <c r="F131" s="80"/>
      <c r="G131" s="80"/>
      <c r="H131" s="80"/>
      <c r="I131" s="80"/>
      <c r="J131" s="80"/>
      <c r="K131" s="80"/>
      <c r="L131" s="80"/>
      <c r="M131" s="80"/>
      <c r="N131" s="80" t="s">
        <v>764</v>
      </c>
      <c r="O131" s="85" t="s">
        <v>561</v>
      </c>
      <c r="P131" s="80"/>
      <c r="Q131" s="80"/>
      <c r="R131" s="80"/>
    </row>
    <row r="132" spans="1:18" ht="30">
      <c r="A132" s="80">
        <v>125</v>
      </c>
      <c r="B132" s="80" t="s">
        <v>776</v>
      </c>
      <c r="C132" s="80"/>
      <c r="D132" s="82" t="s">
        <v>777</v>
      </c>
      <c r="E132" s="73" t="s">
        <v>779</v>
      </c>
      <c r="F132" s="80"/>
      <c r="G132" s="80"/>
      <c r="H132" s="80"/>
      <c r="I132" s="80"/>
      <c r="J132" s="80"/>
      <c r="K132" s="80"/>
      <c r="L132" s="80"/>
      <c r="M132" s="80"/>
      <c r="N132" s="82" t="s">
        <v>780</v>
      </c>
      <c r="O132" s="85" t="s">
        <v>561</v>
      </c>
      <c r="P132" s="80"/>
      <c r="Q132" s="80"/>
      <c r="R132" s="80"/>
    </row>
    <row r="133" spans="1:18" ht="30">
      <c r="A133" s="80">
        <v>126</v>
      </c>
      <c r="B133" s="80" t="s">
        <v>776</v>
      </c>
      <c r="C133" s="80" t="s">
        <v>742</v>
      </c>
      <c r="D133" s="82" t="s">
        <v>781</v>
      </c>
      <c r="E133" s="73" t="s">
        <v>782</v>
      </c>
      <c r="F133" s="80"/>
      <c r="G133" s="80"/>
      <c r="H133" s="80"/>
      <c r="I133" s="80"/>
      <c r="J133" s="80"/>
      <c r="K133" s="80"/>
      <c r="L133" s="80"/>
      <c r="M133" s="80"/>
      <c r="N133" s="82" t="s">
        <v>757</v>
      </c>
      <c r="O133" s="85" t="s">
        <v>783</v>
      </c>
      <c r="P133" s="80"/>
      <c r="Q133" s="80"/>
      <c r="R133" s="80"/>
    </row>
    <row r="134" spans="1:18" ht="30">
      <c r="A134" s="80">
        <v>127</v>
      </c>
      <c r="B134" s="80" t="s">
        <v>776</v>
      </c>
      <c r="C134" s="80" t="s">
        <v>656</v>
      </c>
      <c r="D134" s="82" t="s">
        <v>781</v>
      </c>
      <c r="E134" s="73" t="s">
        <v>784</v>
      </c>
      <c r="F134" s="80"/>
      <c r="G134" s="80"/>
      <c r="H134" s="80"/>
      <c r="I134" s="80"/>
      <c r="J134" s="80"/>
      <c r="K134" s="80"/>
      <c r="L134" s="80"/>
      <c r="M134" s="80"/>
      <c r="N134" s="82" t="s">
        <v>757</v>
      </c>
      <c r="O134" s="85" t="s">
        <v>659</v>
      </c>
      <c r="P134" s="80"/>
      <c r="Q134" s="80"/>
      <c r="R134" s="80"/>
    </row>
    <row r="135" spans="1:18" ht="30">
      <c r="A135" s="80">
        <v>128</v>
      </c>
      <c r="B135" s="80" t="s">
        <v>776</v>
      </c>
      <c r="C135" s="80" t="s">
        <v>597</v>
      </c>
      <c r="D135" s="82" t="s">
        <v>785</v>
      </c>
      <c r="E135" s="73" t="s">
        <v>786</v>
      </c>
      <c r="F135" s="80"/>
      <c r="G135" s="80"/>
      <c r="H135" s="80"/>
      <c r="I135" s="80"/>
      <c r="J135" s="80"/>
      <c r="K135" s="80"/>
      <c r="L135" s="80"/>
      <c r="M135" s="80"/>
      <c r="N135" s="82" t="s">
        <v>787</v>
      </c>
      <c r="O135" s="85" t="s">
        <v>597</v>
      </c>
      <c r="P135" s="80"/>
      <c r="Q135" s="80"/>
      <c r="R135" s="80"/>
    </row>
    <row r="136" spans="1:18">
      <c r="A136" s="80">
        <v>129</v>
      </c>
      <c r="B136" s="80" t="s">
        <v>776</v>
      </c>
      <c r="C136" s="80" t="s">
        <v>706</v>
      </c>
      <c r="D136" s="82" t="s">
        <v>785</v>
      </c>
      <c r="E136" s="73" t="s">
        <v>788</v>
      </c>
      <c r="F136" s="80"/>
      <c r="G136" s="80"/>
      <c r="H136" s="80"/>
      <c r="I136" s="80"/>
      <c r="J136" s="80"/>
      <c r="K136" s="80"/>
      <c r="L136" s="80"/>
      <c r="M136" s="80"/>
      <c r="N136" s="82" t="s">
        <v>789</v>
      </c>
      <c r="O136" s="85" t="s">
        <v>673</v>
      </c>
      <c r="P136" s="80"/>
      <c r="Q136" s="80"/>
      <c r="R136" s="80"/>
    </row>
    <row r="137" spans="1:18">
      <c r="A137" s="80">
        <v>130</v>
      </c>
      <c r="B137" s="80" t="s">
        <v>790</v>
      </c>
      <c r="C137" s="80"/>
      <c r="D137" s="82" t="s">
        <v>791</v>
      </c>
      <c r="E137" s="73" t="s">
        <v>792</v>
      </c>
      <c r="F137" s="80"/>
      <c r="G137" s="80"/>
      <c r="H137" s="80"/>
      <c r="I137" s="80"/>
      <c r="J137" s="80"/>
      <c r="K137" s="80"/>
      <c r="L137" s="80"/>
      <c r="M137" s="80"/>
      <c r="N137" s="80"/>
      <c r="O137" s="85" t="s">
        <v>766</v>
      </c>
      <c r="P137" s="80"/>
      <c r="Q137" s="80"/>
      <c r="R137" s="80"/>
    </row>
    <row r="138" spans="1:18">
      <c r="A138" s="80">
        <v>131</v>
      </c>
      <c r="B138" s="80" t="s">
        <v>790</v>
      </c>
      <c r="C138" s="80" t="s">
        <v>719</v>
      </c>
      <c r="D138" s="82" t="s">
        <v>791</v>
      </c>
      <c r="E138" s="73" t="s">
        <v>793</v>
      </c>
      <c r="F138" s="80"/>
      <c r="G138" s="80"/>
      <c r="H138" s="80"/>
      <c r="I138" s="80"/>
      <c r="J138" s="80"/>
      <c r="K138" s="80"/>
      <c r="L138" s="80"/>
      <c r="M138" s="80"/>
      <c r="N138" s="80" t="s">
        <v>794</v>
      </c>
      <c r="O138" s="84" t="s">
        <v>722</v>
      </c>
      <c r="P138" s="80"/>
      <c r="Q138" s="80"/>
      <c r="R138" s="80"/>
    </row>
    <row r="139" spans="1:18" ht="30">
      <c r="A139" s="80">
        <v>132</v>
      </c>
      <c r="B139" s="80" t="s">
        <v>790</v>
      </c>
      <c r="C139" s="80"/>
      <c r="D139" s="82" t="s">
        <v>795</v>
      </c>
      <c r="E139" s="73" t="s">
        <v>796</v>
      </c>
      <c r="F139" s="80"/>
      <c r="G139" s="80"/>
      <c r="H139" s="80"/>
      <c r="I139" s="80"/>
      <c r="J139" s="80"/>
      <c r="K139" s="80"/>
      <c r="L139" s="80"/>
      <c r="M139" s="80"/>
      <c r="N139" s="80" t="s">
        <v>797</v>
      </c>
      <c r="O139" s="85" t="s">
        <v>561</v>
      </c>
      <c r="P139" s="80"/>
      <c r="Q139" s="80"/>
      <c r="R139" s="80"/>
    </row>
    <row r="140" spans="1:18" ht="30">
      <c r="A140" s="80">
        <v>133</v>
      </c>
      <c r="B140" s="80" t="s">
        <v>790</v>
      </c>
      <c r="C140" s="80"/>
      <c r="D140" s="82" t="s">
        <v>795</v>
      </c>
      <c r="E140" s="73" t="s">
        <v>798</v>
      </c>
      <c r="F140" s="80"/>
      <c r="G140" s="80"/>
      <c r="H140" s="80"/>
      <c r="I140" s="80"/>
      <c r="J140" s="80"/>
      <c r="K140" s="80"/>
      <c r="L140" s="80"/>
      <c r="M140" s="80"/>
      <c r="N140" s="82" t="s">
        <v>799</v>
      </c>
      <c r="O140" s="85" t="s">
        <v>561</v>
      </c>
      <c r="P140" s="80"/>
      <c r="Q140" s="80"/>
      <c r="R140" s="80"/>
    </row>
    <row r="141" spans="1:18" ht="30">
      <c r="A141" s="80">
        <v>134</v>
      </c>
      <c r="B141" s="80" t="s">
        <v>790</v>
      </c>
      <c r="C141" s="80" t="s">
        <v>656</v>
      </c>
      <c r="D141" s="82" t="s">
        <v>800</v>
      </c>
      <c r="E141" s="73" t="s">
        <v>801</v>
      </c>
      <c r="F141" s="80"/>
      <c r="G141" s="80"/>
      <c r="H141" s="80"/>
      <c r="I141" s="80"/>
      <c r="J141" s="80"/>
      <c r="K141" s="80"/>
      <c r="L141" s="80"/>
      <c r="M141" s="80"/>
      <c r="N141" s="80" t="s">
        <v>761</v>
      </c>
      <c r="O141" s="84" t="s">
        <v>659</v>
      </c>
      <c r="P141" s="80"/>
      <c r="Q141" s="80"/>
      <c r="R141" s="80"/>
    </row>
    <row r="142" spans="1:18" ht="30">
      <c r="A142" s="80">
        <v>135</v>
      </c>
      <c r="B142" s="80" t="s">
        <v>790</v>
      </c>
      <c r="C142" s="80" t="s">
        <v>656</v>
      </c>
      <c r="D142" s="82" t="s">
        <v>800</v>
      </c>
      <c r="E142" s="73" t="s">
        <v>802</v>
      </c>
      <c r="F142" s="80"/>
      <c r="G142" s="80"/>
      <c r="H142" s="80"/>
      <c r="I142" s="80"/>
      <c r="J142" s="80"/>
      <c r="K142" s="80"/>
      <c r="L142" s="80"/>
      <c r="M142" s="80"/>
      <c r="N142" s="80" t="s">
        <v>761</v>
      </c>
      <c r="O142" s="84" t="s">
        <v>659</v>
      </c>
      <c r="P142" s="80"/>
      <c r="Q142" s="80"/>
      <c r="R142" s="80"/>
    </row>
    <row r="143" spans="1:18" ht="30">
      <c r="A143" s="80">
        <v>136</v>
      </c>
      <c r="B143" s="80" t="s">
        <v>790</v>
      </c>
      <c r="C143" s="80" t="s">
        <v>554</v>
      </c>
      <c r="D143" s="82" t="s">
        <v>803</v>
      </c>
      <c r="E143" s="82" t="s">
        <v>804</v>
      </c>
      <c r="F143" s="80"/>
      <c r="G143" s="80"/>
      <c r="H143" s="80"/>
      <c r="I143" s="80"/>
      <c r="J143" s="80"/>
      <c r="K143" s="80"/>
      <c r="L143" s="80"/>
      <c r="M143" s="80"/>
      <c r="N143" s="82" t="s">
        <v>636</v>
      </c>
      <c r="O143" s="85" t="s">
        <v>558</v>
      </c>
      <c r="P143" s="80"/>
      <c r="Q143" s="80"/>
      <c r="R143" s="80"/>
    </row>
    <row r="144" spans="1:18" ht="30">
      <c r="A144" s="80">
        <v>137</v>
      </c>
      <c r="B144" s="80" t="s">
        <v>790</v>
      </c>
      <c r="C144" s="80" t="s">
        <v>554</v>
      </c>
      <c r="D144" s="82" t="s">
        <v>805</v>
      </c>
      <c r="E144" s="73" t="s">
        <v>806</v>
      </c>
      <c r="F144" s="80"/>
      <c r="G144" s="80"/>
      <c r="H144" s="80"/>
      <c r="I144" s="80"/>
      <c r="J144" s="80"/>
      <c r="K144" s="80"/>
      <c r="L144" s="80"/>
      <c r="M144" s="80"/>
      <c r="N144" s="82" t="s">
        <v>636</v>
      </c>
      <c r="O144" s="85" t="s">
        <v>558</v>
      </c>
      <c r="P144" s="80"/>
      <c r="Q144" s="80"/>
      <c r="R144" s="80"/>
    </row>
    <row r="145" spans="1:18">
      <c r="A145" s="80">
        <v>138</v>
      </c>
      <c r="B145" s="80" t="s">
        <v>790</v>
      </c>
      <c r="C145" s="80" t="s">
        <v>554</v>
      </c>
      <c r="D145" s="82" t="s">
        <v>805</v>
      </c>
      <c r="E145" s="73" t="s">
        <v>807</v>
      </c>
      <c r="F145" s="80"/>
      <c r="G145" s="80"/>
      <c r="H145" s="80"/>
      <c r="I145" s="80"/>
      <c r="J145" s="80"/>
      <c r="K145" s="80"/>
      <c r="L145" s="80"/>
      <c r="M145" s="80"/>
      <c r="N145" s="82" t="s">
        <v>808</v>
      </c>
      <c r="O145" s="85" t="s">
        <v>558</v>
      </c>
      <c r="P145" s="80"/>
      <c r="Q145" s="80"/>
      <c r="R145" s="80"/>
    </row>
    <row r="146" spans="1:18">
      <c r="A146" s="80">
        <v>139</v>
      </c>
      <c r="B146" s="80" t="s">
        <v>809</v>
      </c>
      <c r="C146" s="80" t="s">
        <v>554</v>
      </c>
      <c r="D146" s="82" t="s">
        <v>810</v>
      </c>
      <c r="E146" s="73" t="s">
        <v>811</v>
      </c>
      <c r="F146" s="80"/>
      <c r="G146" s="80"/>
      <c r="H146" s="80"/>
      <c r="I146" s="80"/>
      <c r="J146" s="80"/>
      <c r="K146" s="80"/>
      <c r="L146" s="80"/>
      <c r="M146" s="80"/>
      <c r="N146" s="82" t="s">
        <v>808</v>
      </c>
      <c r="O146" s="85" t="s">
        <v>558</v>
      </c>
      <c r="P146" s="80"/>
      <c r="Q146" s="80"/>
      <c r="R146" s="80"/>
    </row>
    <row r="147" spans="1:18">
      <c r="A147" s="80">
        <v>140</v>
      </c>
      <c r="B147" s="80" t="s">
        <v>809</v>
      </c>
      <c r="C147" s="80" t="s">
        <v>554</v>
      </c>
      <c r="D147" s="82" t="s">
        <v>810</v>
      </c>
      <c r="E147" s="73" t="s">
        <v>812</v>
      </c>
      <c r="F147" s="80"/>
      <c r="G147" s="80"/>
      <c r="H147" s="80"/>
      <c r="I147" s="80"/>
      <c r="J147" s="80"/>
      <c r="K147" s="80"/>
      <c r="L147" s="80"/>
      <c r="M147" s="80"/>
      <c r="N147" s="82" t="s">
        <v>808</v>
      </c>
      <c r="O147" s="85" t="s">
        <v>558</v>
      </c>
      <c r="P147" s="80"/>
      <c r="Q147" s="80"/>
      <c r="R147" s="80"/>
    </row>
    <row r="148" spans="1:18">
      <c r="A148" s="80">
        <v>141</v>
      </c>
      <c r="B148" s="80" t="s">
        <v>809</v>
      </c>
      <c r="C148" s="80" t="s">
        <v>554</v>
      </c>
      <c r="D148" s="82" t="s">
        <v>810</v>
      </c>
      <c r="E148" s="82" t="s">
        <v>813</v>
      </c>
      <c r="F148" s="80"/>
      <c r="G148" s="80"/>
      <c r="H148" s="80"/>
      <c r="I148" s="80"/>
      <c r="J148" s="80"/>
      <c r="K148" s="80"/>
      <c r="L148" s="80"/>
      <c r="M148" s="80"/>
      <c r="N148" s="82" t="s">
        <v>808</v>
      </c>
      <c r="O148" s="85" t="s">
        <v>558</v>
      </c>
      <c r="P148" s="80"/>
      <c r="Q148" s="80"/>
      <c r="R148" s="80"/>
    </row>
    <row r="149" spans="1:18" ht="30">
      <c r="A149" s="80">
        <v>142</v>
      </c>
      <c r="B149" s="80" t="s">
        <v>809</v>
      </c>
      <c r="C149" s="80" t="s">
        <v>554</v>
      </c>
      <c r="D149" s="82" t="s">
        <v>814</v>
      </c>
      <c r="E149" s="73" t="s">
        <v>815</v>
      </c>
      <c r="F149" s="80"/>
      <c r="G149" s="80"/>
      <c r="H149" s="80"/>
      <c r="I149" s="80"/>
      <c r="J149" s="80"/>
      <c r="K149" s="80"/>
      <c r="L149" s="80"/>
      <c r="M149" s="80"/>
      <c r="N149" s="82" t="s">
        <v>636</v>
      </c>
      <c r="O149" s="85" t="s">
        <v>558</v>
      </c>
      <c r="P149" s="80"/>
      <c r="Q149" s="80"/>
      <c r="R149" s="80"/>
    </row>
    <row r="150" spans="1:18" ht="30">
      <c r="A150" s="80">
        <v>143</v>
      </c>
      <c r="B150" s="80" t="s">
        <v>809</v>
      </c>
      <c r="C150" s="80" t="s">
        <v>554</v>
      </c>
      <c r="D150" s="82" t="s">
        <v>814</v>
      </c>
      <c r="E150" s="73" t="s">
        <v>816</v>
      </c>
      <c r="F150" s="80"/>
      <c r="G150" s="80"/>
      <c r="H150" s="80"/>
      <c r="I150" s="80"/>
      <c r="J150" s="80"/>
      <c r="K150" s="80"/>
      <c r="L150" s="80"/>
      <c r="M150" s="80"/>
      <c r="N150" s="82" t="s">
        <v>636</v>
      </c>
      <c r="O150" s="85" t="s">
        <v>558</v>
      </c>
      <c r="P150" s="80"/>
      <c r="Q150" s="80"/>
      <c r="R150" s="80"/>
    </row>
    <row r="151" spans="1:18" ht="30">
      <c r="A151" s="80">
        <v>144</v>
      </c>
      <c r="B151" s="80" t="s">
        <v>809</v>
      </c>
      <c r="C151" s="80" t="s">
        <v>554</v>
      </c>
      <c r="D151" s="82" t="s">
        <v>817</v>
      </c>
      <c r="E151" s="73" t="s">
        <v>818</v>
      </c>
      <c r="F151" s="80"/>
      <c r="G151" s="80"/>
      <c r="H151" s="80"/>
      <c r="I151" s="80"/>
      <c r="J151" s="80"/>
      <c r="K151" s="80"/>
      <c r="L151" s="80"/>
      <c r="M151" s="80"/>
      <c r="N151" s="82" t="s">
        <v>636</v>
      </c>
      <c r="O151" s="85" t="s">
        <v>558</v>
      </c>
      <c r="P151" s="80"/>
      <c r="Q151" s="80"/>
      <c r="R151" s="80"/>
    </row>
    <row r="152" spans="1:18" ht="30">
      <c r="A152" s="80">
        <v>145</v>
      </c>
      <c r="B152" s="80" t="s">
        <v>809</v>
      </c>
      <c r="C152" s="80" t="s">
        <v>554</v>
      </c>
      <c r="D152" s="82" t="s">
        <v>817</v>
      </c>
      <c r="E152" s="73" t="s">
        <v>819</v>
      </c>
      <c r="F152" s="80"/>
      <c r="G152" s="80"/>
      <c r="H152" s="80"/>
      <c r="I152" s="80"/>
      <c r="J152" s="80"/>
      <c r="K152" s="80"/>
      <c r="L152" s="80"/>
      <c r="M152" s="80"/>
      <c r="N152" s="82" t="s">
        <v>636</v>
      </c>
      <c r="O152" s="85" t="s">
        <v>558</v>
      </c>
      <c r="P152" s="80"/>
      <c r="Q152" s="80"/>
      <c r="R152" s="80"/>
    </row>
    <row r="153" spans="1:18">
      <c r="A153" s="80">
        <v>146</v>
      </c>
      <c r="B153" s="80" t="s">
        <v>809</v>
      </c>
      <c r="C153" s="80" t="s">
        <v>554</v>
      </c>
      <c r="D153" s="82" t="s">
        <v>820</v>
      </c>
      <c r="E153" s="73" t="s">
        <v>821</v>
      </c>
      <c r="F153" s="80"/>
      <c r="G153" s="80"/>
      <c r="H153" s="80"/>
      <c r="I153" s="80"/>
      <c r="J153" s="80"/>
      <c r="K153" s="80"/>
      <c r="L153" s="80"/>
      <c r="M153" s="80"/>
      <c r="N153" s="82" t="s">
        <v>636</v>
      </c>
      <c r="O153" s="85" t="s">
        <v>558</v>
      </c>
      <c r="P153" s="80"/>
      <c r="Q153" s="80"/>
      <c r="R153" s="80"/>
    </row>
    <row r="154" spans="1:18">
      <c r="A154" s="80">
        <v>147</v>
      </c>
      <c r="B154" s="80" t="s">
        <v>809</v>
      </c>
      <c r="C154" s="80" t="s">
        <v>656</v>
      </c>
      <c r="D154" s="82" t="s">
        <v>820</v>
      </c>
      <c r="E154" s="73" t="s">
        <v>822</v>
      </c>
      <c r="F154" s="80"/>
      <c r="G154" s="80"/>
      <c r="H154" s="80"/>
      <c r="I154" s="80"/>
      <c r="J154" s="80"/>
      <c r="K154" s="80"/>
      <c r="L154" s="80"/>
      <c r="M154" s="80"/>
      <c r="N154" s="80" t="s">
        <v>761</v>
      </c>
      <c r="O154" s="84" t="s">
        <v>659</v>
      </c>
      <c r="P154" s="80"/>
      <c r="Q154" s="80"/>
      <c r="R154" s="80"/>
    </row>
    <row r="155" spans="1:18">
      <c r="A155" s="80">
        <v>148</v>
      </c>
      <c r="B155" s="80" t="s">
        <v>809</v>
      </c>
      <c r="C155" s="80" t="s">
        <v>554</v>
      </c>
      <c r="D155" s="82" t="s">
        <v>823</v>
      </c>
      <c r="E155" s="73" t="s">
        <v>824</v>
      </c>
      <c r="F155" s="80"/>
      <c r="G155" s="80"/>
      <c r="H155" s="80"/>
      <c r="I155" s="80"/>
      <c r="J155" s="80"/>
      <c r="K155" s="80"/>
      <c r="L155" s="80"/>
      <c r="M155" s="80"/>
      <c r="N155" s="82" t="s">
        <v>808</v>
      </c>
      <c r="O155" s="85" t="s">
        <v>558</v>
      </c>
      <c r="P155" s="80"/>
      <c r="Q155" s="80"/>
      <c r="R155" s="80"/>
    </row>
    <row r="156" spans="1:18" ht="30">
      <c r="A156" s="80">
        <v>149</v>
      </c>
      <c r="B156" s="80" t="s">
        <v>825</v>
      </c>
      <c r="C156" s="80" t="s">
        <v>656</v>
      </c>
      <c r="D156" s="82" t="s">
        <v>826</v>
      </c>
      <c r="E156" s="73" t="s">
        <v>827</v>
      </c>
      <c r="F156" s="80"/>
      <c r="G156" s="80"/>
      <c r="H156" s="80"/>
      <c r="I156" s="80"/>
      <c r="J156" s="80"/>
      <c r="K156" s="80"/>
      <c r="L156" s="80"/>
      <c r="M156" s="80"/>
      <c r="N156" s="80" t="s">
        <v>761</v>
      </c>
      <c r="O156" s="84" t="s">
        <v>659</v>
      </c>
      <c r="P156" s="80"/>
      <c r="Q156" s="80"/>
      <c r="R156" s="80"/>
    </row>
    <row r="157" spans="1:18">
      <c r="A157" s="80">
        <v>150</v>
      </c>
      <c r="B157" s="80" t="s">
        <v>825</v>
      </c>
      <c r="C157" s="80" t="s">
        <v>656</v>
      </c>
      <c r="D157" s="82" t="s">
        <v>826</v>
      </c>
      <c r="E157" s="73" t="s">
        <v>828</v>
      </c>
      <c r="F157" s="80"/>
      <c r="G157" s="80"/>
      <c r="H157" s="80"/>
      <c r="I157" s="80"/>
      <c r="J157" s="80"/>
      <c r="K157" s="80"/>
      <c r="L157" s="80"/>
      <c r="M157" s="80"/>
      <c r="N157" s="80" t="s">
        <v>761</v>
      </c>
      <c r="O157" s="84" t="s">
        <v>659</v>
      </c>
      <c r="P157" s="80"/>
      <c r="Q157" s="80"/>
      <c r="R157" s="80"/>
    </row>
    <row r="158" spans="1:18" ht="30">
      <c r="A158" s="80">
        <v>151</v>
      </c>
      <c r="B158" s="80" t="s">
        <v>825</v>
      </c>
      <c r="C158" s="80" t="s">
        <v>829</v>
      </c>
      <c r="D158" s="82" t="s">
        <v>830</v>
      </c>
      <c r="E158" s="73" t="s">
        <v>831</v>
      </c>
      <c r="F158" s="80"/>
      <c r="G158" s="80"/>
      <c r="H158" s="80"/>
      <c r="I158" s="80"/>
      <c r="J158" s="80"/>
      <c r="K158" s="80"/>
      <c r="L158" s="80"/>
      <c r="M158" s="80"/>
      <c r="N158" s="80" t="s">
        <v>832</v>
      </c>
      <c r="O158" s="84" t="s">
        <v>8</v>
      </c>
      <c r="P158" s="80"/>
      <c r="Q158" s="80"/>
      <c r="R158" s="80"/>
    </row>
    <row r="159" spans="1:18">
      <c r="A159" s="80">
        <v>152</v>
      </c>
      <c r="B159" s="80" t="s">
        <v>825</v>
      </c>
      <c r="C159" s="80" t="s">
        <v>554</v>
      </c>
      <c r="D159" s="82" t="s">
        <v>830</v>
      </c>
      <c r="E159" s="73" t="s">
        <v>833</v>
      </c>
      <c r="F159" s="80"/>
      <c r="G159" s="80"/>
      <c r="H159" s="80"/>
      <c r="I159" s="80"/>
      <c r="J159" s="80"/>
      <c r="K159" s="80"/>
      <c r="L159" s="80"/>
      <c r="M159" s="80"/>
      <c r="N159" s="80" t="s">
        <v>832</v>
      </c>
      <c r="O159" s="84" t="s">
        <v>558</v>
      </c>
      <c r="P159" s="80"/>
      <c r="Q159" s="80"/>
      <c r="R159" s="80"/>
    </row>
    <row r="160" spans="1:18">
      <c r="A160" s="80">
        <v>153</v>
      </c>
      <c r="B160" s="80" t="s">
        <v>834</v>
      </c>
      <c r="C160" s="80" t="s">
        <v>19</v>
      </c>
      <c r="D160" s="82" t="s">
        <v>835</v>
      </c>
      <c r="E160" s="82" t="s">
        <v>836</v>
      </c>
      <c r="F160" s="80"/>
      <c r="G160" s="80"/>
      <c r="H160" s="80"/>
      <c r="I160" s="80"/>
      <c r="J160" s="80"/>
      <c r="K160" s="80"/>
      <c r="L160" s="80"/>
      <c r="M160" s="80"/>
      <c r="N160" s="82" t="s">
        <v>692</v>
      </c>
      <c r="O160" s="84" t="s">
        <v>19</v>
      </c>
      <c r="P160" s="80"/>
      <c r="Q160" s="80"/>
      <c r="R160" s="80"/>
    </row>
    <row r="161" spans="1:18">
      <c r="A161" s="80">
        <v>154</v>
      </c>
      <c r="B161" s="80" t="s">
        <v>834</v>
      </c>
      <c r="C161" s="80" t="s">
        <v>19</v>
      </c>
      <c r="D161" s="82" t="s">
        <v>835</v>
      </c>
      <c r="E161" s="82" t="s">
        <v>837</v>
      </c>
      <c r="F161" s="80"/>
      <c r="G161" s="80"/>
      <c r="H161" s="80"/>
      <c r="I161" s="80"/>
      <c r="J161" s="80"/>
      <c r="K161" s="80"/>
      <c r="L161" s="80"/>
      <c r="M161" s="80"/>
      <c r="N161" s="82" t="s">
        <v>692</v>
      </c>
      <c r="O161" s="84" t="s">
        <v>19</v>
      </c>
      <c r="P161" s="80"/>
      <c r="Q161" s="80"/>
      <c r="R161" s="80"/>
    </row>
    <row r="162" spans="1:18">
      <c r="A162" s="80">
        <v>155</v>
      </c>
      <c r="B162" s="80" t="s">
        <v>834</v>
      </c>
      <c r="C162" s="80" t="s">
        <v>19</v>
      </c>
      <c r="D162" s="82" t="s">
        <v>835</v>
      </c>
      <c r="E162" s="82" t="s">
        <v>838</v>
      </c>
      <c r="F162" s="80"/>
      <c r="G162" s="80"/>
      <c r="H162" s="80"/>
      <c r="I162" s="80"/>
      <c r="J162" s="80"/>
      <c r="K162" s="80"/>
      <c r="L162" s="80"/>
      <c r="M162" s="80"/>
      <c r="N162" s="82" t="s">
        <v>692</v>
      </c>
      <c r="O162" s="84" t="s">
        <v>19</v>
      </c>
      <c r="P162" s="80"/>
      <c r="Q162" s="80"/>
      <c r="R162" s="80"/>
    </row>
    <row r="163" spans="1:18">
      <c r="A163" s="80">
        <v>156</v>
      </c>
      <c r="B163" s="80" t="s">
        <v>834</v>
      </c>
      <c r="C163" s="80" t="s">
        <v>19</v>
      </c>
      <c r="D163" s="82" t="s">
        <v>835</v>
      </c>
      <c r="E163" s="82" t="s">
        <v>839</v>
      </c>
      <c r="F163" s="80"/>
      <c r="G163" s="80"/>
      <c r="H163" s="80"/>
      <c r="I163" s="80"/>
      <c r="J163" s="80"/>
      <c r="K163" s="80"/>
      <c r="L163" s="80"/>
      <c r="M163" s="80"/>
      <c r="N163" s="82" t="s">
        <v>692</v>
      </c>
      <c r="O163" s="84" t="s">
        <v>19</v>
      </c>
      <c r="P163" s="80"/>
      <c r="Q163" s="80"/>
      <c r="R163" s="80"/>
    </row>
    <row r="164" spans="1:18">
      <c r="A164" s="80">
        <v>157</v>
      </c>
      <c r="B164" s="80" t="s">
        <v>834</v>
      </c>
      <c r="C164" s="80" t="s">
        <v>19</v>
      </c>
      <c r="D164" s="82" t="s">
        <v>835</v>
      </c>
      <c r="E164" s="82" t="s">
        <v>840</v>
      </c>
      <c r="F164" s="80"/>
      <c r="G164" s="80"/>
      <c r="H164" s="80"/>
      <c r="I164" s="80"/>
      <c r="J164" s="80"/>
      <c r="K164" s="80"/>
      <c r="L164" s="80"/>
      <c r="M164" s="80"/>
      <c r="N164" s="82" t="s">
        <v>692</v>
      </c>
      <c r="O164" s="84" t="s">
        <v>19</v>
      </c>
      <c r="P164" s="80"/>
      <c r="Q164" s="80"/>
      <c r="R164" s="80"/>
    </row>
    <row r="165" spans="1:18" ht="30">
      <c r="A165" s="80">
        <v>158</v>
      </c>
      <c r="B165" s="80" t="s">
        <v>834</v>
      </c>
      <c r="C165" s="80" t="s">
        <v>19</v>
      </c>
      <c r="D165" s="82" t="s">
        <v>835</v>
      </c>
      <c r="E165" s="82" t="s">
        <v>841</v>
      </c>
      <c r="F165" s="80"/>
      <c r="G165" s="80"/>
      <c r="H165" s="80"/>
      <c r="I165" s="80"/>
      <c r="J165" s="80"/>
      <c r="K165" s="80"/>
      <c r="L165" s="80"/>
      <c r="M165" s="80"/>
      <c r="N165" s="82" t="s">
        <v>692</v>
      </c>
      <c r="O165" s="84" t="s">
        <v>19</v>
      </c>
      <c r="P165" s="80"/>
      <c r="Q165" s="80"/>
      <c r="R165" s="80"/>
    </row>
    <row r="166" spans="1:18">
      <c r="A166" s="80">
        <v>159</v>
      </c>
      <c r="B166" s="80" t="s">
        <v>834</v>
      </c>
      <c r="C166" s="80" t="s">
        <v>19</v>
      </c>
      <c r="D166" s="82" t="s">
        <v>835</v>
      </c>
      <c r="E166" s="82" t="s">
        <v>692</v>
      </c>
      <c r="F166" s="80"/>
      <c r="G166" s="80"/>
      <c r="H166" s="80"/>
      <c r="I166" s="80"/>
      <c r="J166" s="80"/>
      <c r="K166" s="80"/>
      <c r="L166" s="80"/>
      <c r="M166" s="80"/>
      <c r="N166" s="82" t="s">
        <v>692</v>
      </c>
      <c r="O166" s="84" t="s">
        <v>19</v>
      </c>
      <c r="P166" s="80"/>
      <c r="Q166" s="80"/>
      <c r="R166" s="80"/>
    </row>
    <row r="167" spans="1:18" ht="30">
      <c r="A167" s="80">
        <v>160</v>
      </c>
      <c r="B167" s="80" t="s">
        <v>834</v>
      </c>
      <c r="C167" s="80" t="s">
        <v>554</v>
      </c>
      <c r="D167" s="82" t="s">
        <v>835</v>
      </c>
      <c r="E167" s="82" t="s">
        <v>842</v>
      </c>
      <c r="F167" s="80"/>
      <c r="G167" s="80"/>
      <c r="H167" s="80"/>
      <c r="I167" s="80"/>
      <c r="J167" s="80"/>
      <c r="K167" s="80"/>
      <c r="L167" s="80"/>
      <c r="M167" s="80"/>
      <c r="N167" s="82" t="s">
        <v>843</v>
      </c>
      <c r="O167" s="85" t="s">
        <v>558</v>
      </c>
      <c r="P167" s="80"/>
      <c r="Q167" s="80"/>
      <c r="R167" s="80"/>
    </row>
    <row r="168" spans="1:18" ht="30">
      <c r="A168" s="80">
        <v>161</v>
      </c>
      <c r="B168" s="80" t="s">
        <v>844</v>
      </c>
      <c r="C168" s="80" t="s">
        <v>845</v>
      </c>
      <c r="D168" s="82" t="s">
        <v>846</v>
      </c>
      <c r="E168" s="82" t="s">
        <v>847</v>
      </c>
      <c r="F168" s="80"/>
      <c r="G168" s="80"/>
      <c r="H168" s="80"/>
      <c r="I168" s="80"/>
      <c r="J168" s="80"/>
      <c r="K168" s="80"/>
      <c r="L168" s="80"/>
      <c r="M168" s="80"/>
      <c r="N168" s="82"/>
      <c r="O168" s="85" t="s">
        <v>848</v>
      </c>
      <c r="P168" s="80"/>
      <c r="Q168" s="80"/>
      <c r="R168" s="80"/>
    </row>
    <row r="169" spans="1:18">
      <c r="A169" s="80">
        <v>162</v>
      </c>
      <c r="B169" s="80"/>
      <c r="C169" s="80"/>
      <c r="D169" s="82"/>
      <c r="E169" s="82"/>
      <c r="F169" s="80"/>
      <c r="G169" s="80"/>
      <c r="H169" s="80"/>
      <c r="I169" s="80"/>
      <c r="J169" s="80"/>
      <c r="K169" s="80"/>
      <c r="L169" s="80"/>
      <c r="M169" s="80"/>
      <c r="N169" s="82"/>
      <c r="O169" s="85"/>
      <c r="P169" s="80"/>
      <c r="Q169" s="80"/>
      <c r="R169" s="80"/>
    </row>
    <row r="170" spans="1:18">
      <c r="A170" s="80">
        <v>163</v>
      </c>
      <c r="B170" s="80"/>
      <c r="C170" s="80"/>
      <c r="D170" s="82"/>
      <c r="E170" s="82"/>
      <c r="F170" s="80"/>
      <c r="G170" s="80"/>
      <c r="H170" s="80"/>
      <c r="I170" s="80"/>
      <c r="J170" s="80"/>
      <c r="K170" s="80"/>
      <c r="L170" s="80"/>
      <c r="M170" s="80"/>
      <c r="N170" s="82"/>
      <c r="O170" s="85"/>
      <c r="P170" s="80"/>
      <c r="Q170" s="80"/>
      <c r="R170" s="80"/>
    </row>
    <row r="171" spans="1:18">
      <c r="A171" s="80">
        <v>164</v>
      </c>
      <c r="B171" s="80"/>
      <c r="C171" s="80"/>
      <c r="D171" s="82"/>
      <c r="E171" s="82"/>
      <c r="F171" s="80"/>
      <c r="G171" s="80"/>
      <c r="H171" s="80"/>
      <c r="I171" s="80"/>
      <c r="J171" s="80"/>
      <c r="K171" s="80"/>
      <c r="L171" s="80"/>
      <c r="M171" s="80"/>
      <c r="N171" s="82"/>
      <c r="O171" s="85"/>
      <c r="P171" s="80"/>
      <c r="Q171" s="80"/>
      <c r="R171" s="80"/>
    </row>
    <row r="172" spans="1:18">
      <c r="A172" s="80">
        <v>165</v>
      </c>
      <c r="B172" s="80"/>
      <c r="C172" s="80"/>
      <c r="D172" s="82"/>
      <c r="E172" s="82"/>
      <c r="F172" s="80"/>
      <c r="G172" s="80"/>
      <c r="H172" s="80"/>
      <c r="I172" s="80"/>
      <c r="J172" s="80"/>
      <c r="K172" s="80"/>
      <c r="L172" s="80"/>
      <c r="M172" s="80"/>
      <c r="N172" s="82"/>
      <c r="O172" s="85"/>
      <c r="P172" s="80"/>
      <c r="Q172" s="80"/>
      <c r="R172" s="80"/>
    </row>
    <row r="173" spans="1:18">
      <c r="A173" s="80">
        <v>166</v>
      </c>
      <c r="B173" s="80"/>
      <c r="C173" s="80"/>
      <c r="D173" s="82"/>
      <c r="E173" s="82"/>
      <c r="F173" s="80"/>
      <c r="G173" s="80"/>
      <c r="H173" s="80"/>
      <c r="I173" s="80"/>
      <c r="J173" s="80"/>
      <c r="K173" s="80"/>
      <c r="L173" s="80"/>
      <c r="M173" s="80"/>
      <c r="N173" s="82"/>
      <c r="O173" s="85"/>
      <c r="P173" s="80"/>
      <c r="Q173" s="80"/>
      <c r="R173" s="80"/>
    </row>
    <row r="174" spans="1:18">
      <c r="A174" s="80">
        <v>167</v>
      </c>
      <c r="B174" s="80"/>
      <c r="C174" s="80"/>
      <c r="D174" s="82"/>
      <c r="E174" s="82"/>
      <c r="F174" s="80"/>
      <c r="G174" s="80"/>
      <c r="H174" s="80"/>
      <c r="I174" s="80"/>
      <c r="J174" s="80"/>
      <c r="K174" s="80"/>
      <c r="L174" s="80"/>
      <c r="M174" s="80"/>
      <c r="N174" s="82"/>
      <c r="O174" s="85"/>
      <c r="P174" s="80"/>
      <c r="Q174" s="80"/>
      <c r="R174" s="80"/>
    </row>
    <row r="175" spans="1:18">
      <c r="A175" s="80">
        <v>168</v>
      </c>
      <c r="B175" s="80"/>
      <c r="C175" s="80"/>
      <c r="D175" s="82"/>
      <c r="E175" s="82"/>
      <c r="F175" s="80"/>
      <c r="G175" s="80"/>
      <c r="H175" s="80"/>
      <c r="I175" s="80"/>
      <c r="J175" s="80"/>
      <c r="K175" s="80"/>
      <c r="L175" s="80"/>
      <c r="M175" s="80"/>
      <c r="N175" s="82"/>
      <c r="O175" s="85"/>
      <c r="P175" s="80"/>
      <c r="Q175" s="80"/>
      <c r="R175" s="80"/>
    </row>
    <row r="176" spans="1:18">
      <c r="A176" s="80">
        <v>169</v>
      </c>
      <c r="B176" s="80"/>
      <c r="C176" s="80"/>
      <c r="D176" s="82"/>
      <c r="E176" s="82"/>
      <c r="F176" s="80"/>
      <c r="G176" s="80"/>
      <c r="H176" s="80"/>
      <c r="I176" s="80"/>
      <c r="J176" s="80"/>
      <c r="K176" s="80"/>
      <c r="L176" s="80"/>
      <c r="M176" s="80"/>
      <c r="N176" s="82"/>
      <c r="O176" s="85"/>
      <c r="P176" s="80"/>
      <c r="Q176" s="80"/>
      <c r="R176" s="80"/>
    </row>
    <row r="177" spans="1:18">
      <c r="A177" s="80">
        <v>170</v>
      </c>
      <c r="B177" s="80"/>
      <c r="C177" s="80"/>
      <c r="D177" s="82"/>
      <c r="E177" s="82"/>
      <c r="F177" s="80"/>
      <c r="G177" s="80"/>
      <c r="H177" s="80"/>
      <c r="I177" s="80"/>
      <c r="J177" s="80"/>
      <c r="K177" s="80"/>
      <c r="L177" s="80"/>
      <c r="M177" s="80"/>
      <c r="N177" s="82"/>
      <c r="O177" s="85"/>
      <c r="P177" s="80"/>
      <c r="Q177" s="80"/>
      <c r="R177" s="80"/>
    </row>
    <row r="178" spans="1:18">
      <c r="A178" s="80">
        <v>171</v>
      </c>
      <c r="B178" s="80"/>
      <c r="C178" s="80"/>
      <c r="D178" s="82"/>
      <c r="E178" s="82"/>
      <c r="F178" s="80"/>
      <c r="G178" s="80"/>
      <c r="H178" s="80"/>
      <c r="I178" s="80"/>
      <c r="J178" s="80"/>
      <c r="K178" s="80"/>
      <c r="L178" s="80"/>
      <c r="M178" s="80"/>
      <c r="N178" s="82"/>
      <c r="O178" s="85"/>
      <c r="P178" s="80"/>
      <c r="Q178" s="80"/>
      <c r="R178" s="80"/>
    </row>
    <row r="179" spans="1:18">
      <c r="A179" s="80">
        <v>172</v>
      </c>
      <c r="B179" s="80"/>
      <c r="C179" s="80"/>
      <c r="D179" s="82"/>
      <c r="E179" s="82"/>
      <c r="F179" s="80"/>
      <c r="G179" s="80"/>
      <c r="H179" s="80"/>
      <c r="I179" s="80"/>
      <c r="J179" s="80"/>
      <c r="K179" s="80"/>
      <c r="L179" s="80"/>
      <c r="M179" s="80"/>
      <c r="N179" s="82"/>
      <c r="O179" s="85"/>
      <c r="P179" s="80"/>
      <c r="Q179" s="80"/>
      <c r="R179" s="80"/>
    </row>
    <row r="180" spans="1:18">
      <c r="A180" s="80">
        <v>173</v>
      </c>
      <c r="B180" s="80"/>
      <c r="C180" s="80"/>
      <c r="D180" s="82"/>
      <c r="E180" s="82"/>
      <c r="F180" s="80"/>
      <c r="G180" s="80"/>
      <c r="H180" s="80"/>
      <c r="I180" s="80"/>
      <c r="J180" s="80"/>
      <c r="K180" s="80"/>
      <c r="L180" s="80"/>
      <c r="M180" s="80"/>
      <c r="N180" s="82"/>
      <c r="O180" s="85"/>
      <c r="P180" s="80"/>
      <c r="Q180" s="80"/>
      <c r="R180" s="80"/>
    </row>
    <row r="181" spans="1:18">
      <c r="A181" s="80">
        <v>174</v>
      </c>
      <c r="B181" s="80"/>
      <c r="C181" s="80"/>
      <c r="D181" s="82"/>
      <c r="E181" s="82"/>
      <c r="F181" s="80"/>
      <c r="G181" s="80"/>
      <c r="H181" s="80"/>
      <c r="I181" s="80"/>
      <c r="J181" s="80"/>
      <c r="K181" s="80"/>
      <c r="L181" s="80"/>
      <c r="M181" s="80"/>
      <c r="N181" s="82"/>
      <c r="O181" s="85"/>
      <c r="P181" s="80"/>
      <c r="Q181" s="80"/>
      <c r="R181" s="80"/>
    </row>
    <row r="182" spans="1:18">
      <c r="A182" s="80">
        <v>175</v>
      </c>
      <c r="B182" s="80"/>
      <c r="C182" s="80"/>
      <c r="D182" s="82"/>
      <c r="E182" s="82"/>
      <c r="F182" s="80"/>
      <c r="G182" s="80"/>
      <c r="H182" s="80"/>
      <c r="I182" s="80"/>
      <c r="J182" s="80"/>
      <c r="K182" s="80"/>
      <c r="L182" s="80"/>
      <c r="M182" s="80"/>
      <c r="N182" s="82"/>
      <c r="O182" s="85"/>
      <c r="P182" s="80"/>
      <c r="Q182" s="80"/>
      <c r="R182" s="80"/>
    </row>
    <row r="183" spans="1:18">
      <c r="A183" s="80">
        <v>176</v>
      </c>
      <c r="B183" s="80"/>
      <c r="C183" s="80"/>
      <c r="D183" s="82"/>
      <c r="E183" s="82"/>
      <c r="F183" s="80"/>
      <c r="G183" s="80"/>
      <c r="H183" s="80"/>
      <c r="I183" s="80"/>
      <c r="J183" s="80"/>
      <c r="K183" s="80"/>
      <c r="L183" s="80"/>
      <c r="M183" s="80"/>
      <c r="N183" s="82"/>
      <c r="O183" s="85"/>
      <c r="P183" s="80"/>
      <c r="Q183" s="80"/>
      <c r="R183" s="80"/>
    </row>
    <row r="184" spans="1:18">
      <c r="A184" s="80">
        <v>177</v>
      </c>
      <c r="B184" s="80"/>
      <c r="C184" s="80"/>
      <c r="D184" s="82"/>
      <c r="E184" s="82"/>
      <c r="F184" s="80"/>
      <c r="G184" s="80"/>
      <c r="H184" s="80"/>
      <c r="I184" s="80"/>
      <c r="J184" s="80"/>
      <c r="K184" s="80"/>
      <c r="L184" s="80"/>
      <c r="M184" s="80"/>
      <c r="N184" s="82"/>
      <c r="O184" s="85"/>
      <c r="P184" s="80"/>
      <c r="Q184" s="80"/>
      <c r="R184" s="80"/>
    </row>
    <row r="185" spans="1:18">
      <c r="A185" s="80">
        <v>178</v>
      </c>
      <c r="B185" s="80"/>
      <c r="C185" s="80"/>
      <c r="D185" s="82"/>
      <c r="E185" s="82"/>
      <c r="F185" s="80"/>
      <c r="G185" s="80"/>
      <c r="H185" s="80"/>
      <c r="I185" s="80"/>
      <c r="J185" s="80"/>
      <c r="K185" s="80"/>
      <c r="L185" s="80"/>
      <c r="M185" s="80"/>
      <c r="N185" s="82"/>
      <c r="O185" s="85"/>
      <c r="P185" s="80"/>
      <c r="Q185" s="80"/>
      <c r="R185" s="80"/>
    </row>
    <row r="186" spans="1:18">
      <c r="A186" s="80">
        <v>179</v>
      </c>
      <c r="B186" s="80"/>
      <c r="C186" s="80"/>
      <c r="D186" s="82"/>
      <c r="E186" s="82"/>
      <c r="F186" s="80"/>
      <c r="G186" s="80"/>
      <c r="H186" s="80"/>
      <c r="I186" s="80"/>
      <c r="J186" s="80"/>
      <c r="K186" s="80"/>
      <c r="L186" s="80"/>
      <c r="M186" s="80"/>
      <c r="N186" s="82"/>
      <c r="O186" s="85"/>
      <c r="P186" s="80"/>
      <c r="Q186" s="80"/>
      <c r="R186" s="80"/>
    </row>
    <row r="187" spans="1:18">
      <c r="A187" s="80">
        <v>180</v>
      </c>
      <c r="B187" s="80"/>
      <c r="C187" s="80"/>
      <c r="D187" s="82"/>
      <c r="E187" s="82"/>
      <c r="F187" s="80"/>
      <c r="G187" s="80"/>
      <c r="H187" s="80"/>
      <c r="I187" s="80"/>
      <c r="J187" s="80"/>
      <c r="K187" s="80"/>
      <c r="L187" s="80"/>
      <c r="M187" s="80"/>
      <c r="N187" s="82"/>
      <c r="O187" s="85"/>
      <c r="P187" s="80"/>
      <c r="Q187" s="80"/>
      <c r="R187" s="80"/>
    </row>
    <row r="188" spans="1:18">
      <c r="A188" s="80">
        <v>181</v>
      </c>
      <c r="B188" s="80"/>
      <c r="C188" s="80"/>
      <c r="D188" s="82"/>
      <c r="E188" s="82"/>
      <c r="F188" s="80"/>
      <c r="G188" s="80"/>
      <c r="H188" s="80"/>
      <c r="I188" s="80"/>
      <c r="J188" s="80"/>
      <c r="K188" s="80"/>
      <c r="L188" s="80"/>
      <c r="M188" s="80"/>
      <c r="N188" s="82"/>
      <c r="O188" s="85"/>
      <c r="P188" s="80"/>
      <c r="Q188" s="80"/>
      <c r="R188" s="80"/>
    </row>
    <row r="189" spans="1:18">
      <c r="A189" s="80">
        <v>182</v>
      </c>
      <c r="B189" s="80"/>
      <c r="C189" s="80"/>
      <c r="D189" s="82"/>
      <c r="E189" s="82"/>
      <c r="F189" s="80"/>
      <c r="G189" s="80"/>
      <c r="H189" s="80"/>
      <c r="I189" s="80"/>
      <c r="J189" s="80"/>
      <c r="K189" s="80"/>
      <c r="L189" s="80"/>
      <c r="M189" s="80"/>
      <c r="N189" s="82"/>
      <c r="O189" s="85"/>
      <c r="P189" s="80"/>
      <c r="Q189" s="80"/>
      <c r="R189" s="80"/>
    </row>
    <row r="190" spans="1:18">
      <c r="A190" s="80">
        <v>183</v>
      </c>
      <c r="B190" s="80"/>
      <c r="C190" s="80"/>
      <c r="D190" s="82"/>
      <c r="E190" s="82"/>
      <c r="F190" s="80"/>
      <c r="G190" s="80"/>
      <c r="H190" s="80"/>
      <c r="I190" s="80"/>
      <c r="J190" s="80"/>
      <c r="K190" s="80"/>
      <c r="L190" s="80"/>
      <c r="M190" s="80"/>
      <c r="N190" s="82"/>
      <c r="O190" s="85"/>
      <c r="P190" s="80"/>
      <c r="Q190" s="80"/>
      <c r="R190" s="80"/>
    </row>
    <row r="191" spans="1:18">
      <c r="A191" s="80">
        <v>184</v>
      </c>
      <c r="B191" s="80"/>
      <c r="C191" s="80"/>
      <c r="D191" s="82"/>
      <c r="E191" s="82"/>
      <c r="F191" s="80"/>
      <c r="G191" s="80"/>
      <c r="H191" s="80"/>
      <c r="I191" s="80"/>
      <c r="J191" s="80"/>
      <c r="K191" s="80"/>
      <c r="L191" s="80"/>
      <c r="M191" s="80"/>
      <c r="N191" s="82"/>
      <c r="O191" s="85"/>
      <c r="P191" s="80"/>
      <c r="Q191" s="80"/>
      <c r="R191" s="80"/>
    </row>
    <row r="192" spans="1:18">
      <c r="A192" s="80">
        <v>185</v>
      </c>
      <c r="B192" s="80"/>
      <c r="C192" s="80"/>
      <c r="D192" s="82"/>
      <c r="E192" s="82"/>
      <c r="F192" s="80"/>
      <c r="G192" s="80"/>
      <c r="H192" s="80"/>
      <c r="I192" s="80"/>
      <c r="J192" s="80"/>
      <c r="K192" s="80"/>
      <c r="L192" s="80"/>
      <c r="M192" s="80"/>
      <c r="N192" s="82"/>
      <c r="O192" s="85"/>
      <c r="P192" s="80"/>
      <c r="Q192" s="80"/>
      <c r="R192" s="80"/>
    </row>
    <row r="193" spans="1:18">
      <c r="A193" s="80">
        <v>186</v>
      </c>
      <c r="B193" s="80"/>
      <c r="C193" s="80"/>
      <c r="D193" s="82"/>
      <c r="E193" s="82"/>
      <c r="F193" s="80"/>
      <c r="G193" s="80"/>
      <c r="H193" s="80"/>
      <c r="I193" s="80"/>
      <c r="J193" s="80"/>
      <c r="K193" s="80"/>
      <c r="L193" s="80"/>
      <c r="M193" s="80"/>
      <c r="N193" s="82"/>
      <c r="O193" s="85"/>
      <c r="P193" s="80"/>
      <c r="Q193" s="80"/>
      <c r="R193" s="80"/>
    </row>
    <row r="194" spans="1:18">
      <c r="A194" s="80">
        <v>187</v>
      </c>
      <c r="B194" s="80"/>
      <c r="C194" s="80"/>
      <c r="D194" s="82"/>
      <c r="E194" s="82"/>
      <c r="F194" s="80"/>
      <c r="G194" s="80"/>
      <c r="H194" s="80"/>
      <c r="I194" s="80"/>
      <c r="J194" s="80"/>
      <c r="K194" s="80"/>
      <c r="L194" s="80"/>
      <c r="M194" s="80"/>
      <c r="N194" s="82"/>
      <c r="O194" s="85"/>
      <c r="P194" s="80"/>
      <c r="Q194" s="80"/>
      <c r="R194" s="80"/>
    </row>
    <row r="195" spans="1:18">
      <c r="A195" s="80">
        <v>188</v>
      </c>
      <c r="B195" s="80"/>
      <c r="C195" s="80"/>
      <c r="D195" s="82"/>
      <c r="E195" s="82"/>
      <c r="F195" s="80"/>
      <c r="G195" s="80"/>
      <c r="H195" s="80"/>
      <c r="I195" s="80"/>
      <c r="J195" s="80"/>
      <c r="K195" s="80"/>
      <c r="L195" s="80"/>
      <c r="M195" s="80"/>
      <c r="N195" s="82"/>
      <c r="O195" s="85"/>
      <c r="P195" s="80"/>
      <c r="Q195" s="80"/>
      <c r="R195" s="80"/>
    </row>
    <row r="196" spans="1:18">
      <c r="A196" s="80">
        <v>189</v>
      </c>
      <c r="B196" s="80"/>
      <c r="C196" s="80"/>
      <c r="D196" s="82"/>
      <c r="E196" s="82"/>
      <c r="F196" s="80"/>
      <c r="G196" s="80"/>
      <c r="H196" s="80"/>
      <c r="I196" s="80"/>
      <c r="J196" s="80"/>
      <c r="K196" s="80"/>
      <c r="L196" s="80"/>
      <c r="M196" s="80"/>
      <c r="N196" s="82"/>
      <c r="O196" s="85"/>
      <c r="P196" s="80"/>
      <c r="Q196" s="80"/>
      <c r="R196" s="80"/>
    </row>
    <row r="197" spans="1:18">
      <c r="A197" s="80">
        <v>190</v>
      </c>
      <c r="B197" s="80"/>
      <c r="C197" s="80"/>
      <c r="D197" s="82"/>
      <c r="E197" s="82"/>
      <c r="F197" s="80"/>
      <c r="G197" s="80"/>
      <c r="H197" s="80"/>
      <c r="I197" s="80"/>
      <c r="J197" s="80"/>
      <c r="K197" s="80"/>
      <c r="L197" s="80"/>
      <c r="M197" s="80"/>
      <c r="N197" s="82"/>
      <c r="O197" s="85"/>
      <c r="P197" s="80"/>
      <c r="Q197" s="80"/>
      <c r="R197" s="80"/>
    </row>
    <row r="198" spans="1:18">
      <c r="A198" s="80">
        <v>191</v>
      </c>
      <c r="B198" s="80"/>
      <c r="C198" s="80"/>
      <c r="D198" s="82"/>
      <c r="E198" s="82"/>
      <c r="F198" s="80"/>
      <c r="G198" s="80"/>
      <c r="H198" s="80"/>
      <c r="I198" s="80"/>
      <c r="J198" s="80"/>
      <c r="K198" s="80"/>
      <c r="L198" s="80"/>
      <c r="M198" s="80"/>
      <c r="N198" s="82"/>
      <c r="O198" s="85"/>
      <c r="P198" s="80"/>
      <c r="Q198" s="80"/>
      <c r="R198" s="80"/>
    </row>
    <row r="199" spans="1:18">
      <c r="A199" s="80">
        <v>192</v>
      </c>
      <c r="B199" s="80"/>
      <c r="C199" s="80"/>
      <c r="D199" s="82"/>
      <c r="E199" s="82"/>
      <c r="F199" s="80"/>
      <c r="G199" s="80"/>
      <c r="H199" s="80"/>
      <c r="I199" s="80"/>
      <c r="J199" s="80"/>
      <c r="K199" s="80"/>
      <c r="L199" s="80"/>
      <c r="M199" s="80"/>
      <c r="N199" s="82"/>
      <c r="O199" s="85"/>
      <c r="P199" s="80"/>
      <c r="Q199" s="80"/>
      <c r="R199" s="80"/>
    </row>
    <row r="200" spans="1:18">
      <c r="A200" s="80">
        <v>193</v>
      </c>
      <c r="B200" s="80"/>
      <c r="C200" s="80"/>
      <c r="D200" s="82"/>
      <c r="E200" s="82"/>
      <c r="F200" s="80"/>
      <c r="G200" s="80"/>
      <c r="H200" s="80"/>
      <c r="I200" s="80"/>
      <c r="J200" s="80"/>
      <c r="K200" s="80"/>
      <c r="L200" s="80"/>
      <c r="M200" s="80"/>
      <c r="N200" s="82"/>
      <c r="O200" s="85"/>
      <c r="P200" s="80"/>
      <c r="Q200" s="80"/>
      <c r="R200" s="80"/>
    </row>
    <row r="201" spans="1:18">
      <c r="A201" s="80">
        <v>194</v>
      </c>
      <c r="B201" s="80"/>
      <c r="C201" s="80"/>
      <c r="D201" s="82"/>
      <c r="E201" s="82"/>
      <c r="F201" s="80"/>
      <c r="G201" s="80"/>
      <c r="H201" s="80"/>
      <c r="I201" s="80"/>
      <c r="J201" s="80"/>
      <c r="K201" s="80"/>
      <c r="L201" s="80"/>
      <c r="M201" s="80"/>
      <c r="N201" s="82"/>
      <c r="O201" s="85"/>
      <c r="P201" s="80"/>
      <c r="Q201" s="80"/>
      <c r="R201" s="80"/>
    </row>
    <row r="202" spans="1:18">
      <c r="A202" s="80">
        <v>195</v>
      </c>
      <c r="B202" s="80"/>
      <c r="C202" s="80"/>
      <c r="D202" s="82"/>
      <c r="E202" s="82"/>
      <c r="F202" s="80"/>
      <c r="G202" s="80"/>
      <c r="H202" s="80"/>
      <c r="I202" s="80"/>
      <c r="J202" s="80"/>
      <c r="K202" s="80"/>
      <c r="L202" s="80"/>
      <c r="M202" s="80"/>
      <c r="N202" s="82"/>
      <c r="O202" s="85"/>
      <c r="P202" s="80"/>
      <c r="Q202" s="80"/>
      <c r="R202" s="80"/>
    </row>
    <row r="203" spans="1:18">
      <c r="A203" s="80">
        <v>196</v>
      </c>
      <c r="B203" s="80"/>
      <c r="C203" s="80"/>
      <c r="D203" s="82"/>
      <c r="E203" s="82"/>
      <c r="F203" s="80"/>
      <c r="G203" s="80"/>
      <c r="H203" s="80"/>
      <c r="I203" s="80"/>
      <c r="J203" s="80"/>
      <c r="K203" s="80"/>
      <c r="L203" s="80"/>
      <c r="M203" s="80"/>
      <c r="N203" s="82"/>
      <c r="O203" s="85"/>
      <c r="P203" s="80"/>
      <c r="Q203" s="80"/>
      <c r="R203" s="80"/>
    </row>
    <row r="204" spans="1:18">
      <c r="A204" s="80">
        <v>197</v>
      </c>
      <c r="B204" s="80"/>
      <c r="C204" s="80"/>
      <c r="D204" s="82"/>
      <c r="E204" s="82"/>
      <c r="F204" s="80"/>
      <c r="G204" s="80"/>
      <c r="H204" s="80"/>
      <c r="I204" s="80"/>
      <c r="J204" s="80"/>
      <c r="K204" s="80"/>
      <c r="L204" s="80"/>
      <c r="M204" s="80"/>
      <c r="N204" s="82"/>
      <c r="O204" s="85"/>
      <c r="P204" s="80"/>
      <c r="Q204" s="80"/>
      <c r="R204" s="80"/>
    </row>
    <row r="205" spans="1:18">
      <c r="A205" s="80">
        <v>198</v>
      </c>
      <c r="B205" s="80"/>
      <c r="C205" s="80"/>
      <c r="D205" s="82"/>
      <c r="E205" s="82"/>
      <c r="F205" s="80"/>
      <c r="G205" s="80"/>
      <c r="H205" s="80"/>
      <c r="I205" s="80"/>
      <c r="J205" s="80"/>
      <c r="K205" s="80"/>
      <c r="L205" s="80"/>
      <c r="M205" s="80"/>
      <c r="N205" s="82"/>
      <c r="O205" s="85"/>
      <c r="P205" s="80"/>
      <c r="Q205" s="80"/>
      <c r="R205" s="80"/>
    </row>
    <row r="206" spans="1:18">
      <c r="A206" s="80">
        <v>199</v>
      </c>
      <c r="B206" s="80"/>
      <c r="C206" s="80"/>
      <c r="D206" s="82"/>
      <c r="E206" s="82"/>
      <c r="F206" s="80"/>
      <c r="G206" s="80"/>
      <c r="H206" s="80"/>
      <c r="I206" s="80"/>
      <c r="J206" s="80"/>
      <c r="K206" s="80"/>
      <c r="L206" s="80"/>
      <c r="M206" s="80"/>
      <c r="N206" s="82"/>
      <c r="O206" s="85"/>
      <c r="P206" s="80"/>
      <c r="Q206" s="80"/>
      <c r="R206" s="80"/>
    </row>
    <row r="207" spans="1:18">
      <c r="A207" s="80">
        <v>200</v>
      </c>
      <c r="B207" s="80"/>
      <c r="C207" s="80"/>
      <c r="D207" s="82"/>
      <c r="E207" s="82"/>
      <c r="F207" s="80"/>
      <c r="G207" s="80"/>
      <c r="H207" s="80"/>
      <c r="I207" s="80"/>
      <c r="J207" s="80"/>
      <c r="K207" s="80"/>
      <c r="L207" s="80"/>
      <c r="M207" s="80"/>
      <c r="N207" s="82"/>
      <c r="O207" s="85"/>
      <c r="P207" s="80"/>
      <c r="Q207" s="80"/>
      <c r="R207" s="80"/>
    </row>
    <row r="208" spans="1:18">
      <c r="A208" s="80">
        <v>201</v>
      </c>
      <c r="B208" s="80"/>
      <c r="C208" s="80"/>
      <c r="D208" s="82"/>
      <c r="E208" s="82"/>
      <c r="F208" s="80"/>
      <c r="G208" s="80"/>
      <c r="H208" s="80"/>
      <c r="I208" s="80"/>
      <c r="J208" s="80"/>
      <c r="K208" s="80"/>
      <c r="L208" s="80"/>
      <c r="M208" s="80"/>
      <c r="N208" s="82"/>
      <c r="O208" s="85"/>
      <c r="P208" s="80"/>
      <c r="Q208" s="80"/>
      <c r="R208" s="80"/>
    </row>
    <row r="209" spans="1:18">
      <c r="A209" s="80">
        <v>202</v>
      </c>
      <c r="B209" s="80"/>
      <c r="C209" s="80"/>
      <c r="D209" s="82"/>
      <c r="E209" s="82"/>
      <c r="F209" s="80"/>
      <c r="G209" s="80"/>
      <c r="H209" s="80"/>
      <c r="I209" s="80"/>
      <c r="J209" s="80"/>
      <c r="K209" s="80"/>
      <c r="L209" s="80"/>
      <c r="M209" s="80"/>
      <c r="N209" s="82"/>
      <c r="O209" s="85"/>
      <c r="P209" s="80"/>
      <c r="Q209" s="80"/>
      <c r="R209" s="80"/>
    </row>
    <row r="210" spans="1:18">
      <c r="A210" s="80">
        <v>203</v>
      </c>
      <c r="B210" s="80"/>
      <c r="C210" s="80"/>
      <c r="D210" s="82"/>
      <c r="E210" s="82"/>
      <c r="F210" s="80"/>
      <c r="G210" s="80"/>
      <c r="H210" s="80"/>
      <c r="I210" s="80"/>
      <c r="J210" s="80"/>
      <c r="K210" s="80"/>
      <c r="L210" s="80"/>
      <c r="M210" s="80"/>
      <c r="N210" s="82"/>
      <c r="O210" s="85"/>
      <c r="P210" s="80"/>
      <c r="Q210" s="80"/>
      <c r="R210" s="80"/>
    </row>
    <row r="211" spans="1:18">
      <c r="A211" s="80">
        <v>204</v>
      </c>
      <c r="B211" s="80"/>
      <c r="C211" s="80"/>
      <c r="D211" s="82"/>
      <c r="E211" s="82"/>
      <c r="F211" s="80"/>
      <c r="G211" s="80"/>
      <c r="H211" s="80"/>
      <c r="I211" s="80"/>
      <c r="J211" s="80"/>
      <c r="K211" s="80"/>
      <c r="L211" s="80"/>
      <c r="M211" s="80"/>
      <c r="N211" s="82"/>
      <c r="O211" s="85"/>
      <c r="P211" s="80"/>
      <c r="Q211" s="80"/>
      <c r="R211" s="80"/>
    </row>
    <row r="212" spans="1:18">
      <c r="A212" s="80">
        <v>205</v>
      </c>
      <c r="B212" s="80"/>
      <c r="C212" s="80"/>
      <c r="D212" s="82"/>
      <c r="E212" s="82"/>
      <c r="F212" s="80"/>
      <c r="G212" s="80"/>
      <c r="H212" s="80"/>
      <c r="I212" s="80"/>
      <c r="J212" s="80"/>
      <c r="K212" s="80"/>
      <c r="L212" s="80"/>
      <c r="M212" s="80"/>
      <c r="N212" s="82"/>
      <c r="O212" s="85"/>
      <c r="P212" s="80"/>
      <c r="Q212" s="80"/>
      <c r="R212" s="80"/>
    </row>
    <row r="213" spans="1:18">
      <c r="A213" s="80">
        <v>206</v>
      </c>
      <c r="B213" s="80"/>
      <c r="C213" s="80"/>
      <c r="D213" s="82"/>
      <c r="E213" s="82"/>
      <c r="F213" s="80"/>
      <c r="G213" s="80"/>
      <c r="H213" s="80"/>
      <c r="I213" s="80"/>
      <c r="J213" s="80"/>
      <c r="K213" s="80"/>
      <c r="L213" s="80"/>
      <c r="M213" s="80"/>
      <c r="N213" s="82"/>
      <c r="O213" s="85"/>
      <c r="P213" s="80"/>
      <c r="Q213" s="80"/>
      <c r="R213" s="80"/>
    </row>
    <row r="214" spans="1:18">
      <c r="A214" s="80">
        <v>207</v>
      </c>
      <c r="B214" s="80"/>
      <c r="C214" s="80"/>
      <c r="D214" s="82"/>
      <c r="E214" s="82"/>
      <c r="F214" s="80"/>
      <c r="G214" s="80"/>
      <c r="H214" s="80"/>
      <c r="I214" s="80"/>
      <c r="J214" s="80"/>
      <c r="K214" s="80"/>
      <c r="L214" s="80"/>
      <c r="M214" s="80"/>
      <c r="N214" s="82"/>
      <c r="O214" s="85"/>
      <c r="P214" s="80"/>
      <c r="Q214" s="80"/>
      <c r="R214" s="80"/>
    </row>
    <row r="215" spans="1:18">
      <c r="A215" s="80">
        <v>208</v>
      </c>
      <c r="B215" s="80"/>
      <c r="C215" s="80"/>
      <c r="D215" s="82"/>
      <c r="E215" s="82"/>
      <c r="F215" s="80"/>
      <c r="G215" s="80"/>
      <c r="H215" s="80"/>
      <c r="I215" s="80"/>
      <c r="J215" s="80"/>
      <c r="K215" s="80"/>
      <c r="L215" s="80"/>
      <c r="M215" s="80"/>
      <c r="N215" s="82"/>
      <c r="O215" s="85"/>
      <c r="P215" s="80"/>
      <c r="Q215" s="80"/>
      <c r="R215" s="80"/>
    </row>
    <row r="216" spans="1:18">
      <c r="A216" s="80">
        <v>209</v>
      </c>
      <c r="B216" s="80"/>
      <c r="C216" s="80"/>
      <c r="D216" s="82"/>
      <c r="E216" s="82"/>
      <c r="F216" s="80"/>
      <c r="G216" s="80"/>
      <c r="H216" s="80"/>
      <c r="I216" s="80"/>
      <c r="J216" s="80"/>
      <c r="K216" s="80"/>
      <c r="L216" s="80"/>
      <c r="M216" s="80"/>
      <c r="N216" s="82"/>
      <c r="O216" s="85"/>
      <c r="P216" s="80"/>
      <c r="Q216" s="80"/>
      <c r="R216" s="80"/>
    </row>
    <row r="217" spans="1:18">
      <c r="A217" s="80">
        <v>210</v>
      </c>
      <c r="B217" s="80"/>
      <c r="C217" s="80"/>
      <c r="D217" s="82"/>
      <c r="E217" s="82"/>
      <c r="F217" s="80"/>
      <c r="G217" s="80"/>
      <c r="H217" s="80"/>
      <c r="I217" s="80"/>
      <c r="J217" s="80"/>
      <c r="K217" s="80"/>
      <c r="L217" s="80"/>
      <c r="M217" s="80"/>
      <c r="N217" s="82"/>
      <c r="O217" s="85"/>
      <c r="P217" s="80"/>
      <c r="Q217" s="80"/>
      <c r="R217" s="80"/>
    </row>
    <row r="218" spans="1:18">
      <c r="A218" s="80">
        <v>211</v>
      </c>
      <c r="B218" s="80"/>
      <c r="C218" s="80"/>
      <c r="D218" s="82"/>
      <c r="E218" s="82"/>
      <c r="F218" s="80"/>
      <c r="G218" s="80"/>
      <c r="H218" s="80"/>
      <c r="I218" s="80"/>
      <c r="J218" s="80"/>
      <c r="K218" s="80"/>
      <c r="L218" s="80"/>
      <c r="M218" s="80"/>
      <c r="N218" s="82"/>
      <c r="O218" s="85"/>
      <c r="P218" s="80"/>
      <c r="Q218" s="80"/>
      <c r="R218" s="80"/>
    </row>
    <row r="219" spans="1:18">
      <c r="A219" s="80">
        <v>212</v>
      </c>
      <c r="B219" s="80"/>
      <c r="C219" s="80"/>
      <c r="D219" s="82"/>
      <c r="E219" s="82"/>
      <c r="F219" s="80"/>
      <c r="G219" s="80"/>
      <c r="H219" s="80"/>
      <c r="I219" s="80"/>
      <c r="J219" s="80"/>
      <c r="K219" s="80"/>
      <c r="L219" s="80"/>
      <c r="M219" s="80"/>
      <c r="N219" s="82"/>
      <c r="O219" s="85"/>
      <c r="P219" s="80"/>
      <c r="Q219" s="80"/>
      <c r="R219" s="80"/>
    </row>
    <row r="220" spans="1:18">
      <c r="A220" s="80">
        <v>213</v>
      </c>
      <c r="B220" s="80"/>
      <c r="C220" s="80"/>
      <c r="D220" s="82"/>
      <c r="E220" s="82"/>
      <c r="F220" s="80"/>
      <c r="G220" s="80"/>
      <c r="H220" s="80"/>
      <c r="I220" s="80"/>
      <c r="J220" s="80"/>
      <c r="K220" s="80"/>
      <c r="L220" s="80"/>
      <c r="M220" s="80"/>
      <c r="N220" s="82"/>
      <c r="O220" s="85"/>
      <c r="P220" s="80"/>
      <c r="Q220" s="80"/>
      <c r="R220" s="80"/>
    </row>
    <row r="221" spans="1:18">
      <c r="A221" s="80">
        <v>214</v>
      </c>
      <c r="B221" s="80"/>
      <c r="C221" s="80"/>
      <c r="D221" s="82"/>
      <c r="E221" s="82"/>
      <c r="F221" s="80"/>
      <c r="G221" s="80"/>
      <c r="H221" s="80"/>
      <c r="I221" s="80"/>
      <c r="J221" s="80"/>
      <c r="K221" s="80"/>
      <c r="L221" s="80"/>
      <c r="M221" s="80"/>
      <c r="N221" s="82"/>
      <c r="O221" s="85"/>
      <c r="P221" s="80"/>
      <c r="Q221" s="80"/>
      <c r="R221" s="80"/>
    </row>
    <row r="222" spans="1:18">
      <c r="A222" s="80">
        <v>215</v>
      </c>
      <c r="B222" s="80"/>
      <c r="C222" s="80"/>
      <c r="D222" s="82"/>
      <c r="E222" s="82"/>
      <c r="F222" s="80"/>
      <c r="G222" s="80"/>
      <c r="H222" s="80"/>
      <c r="I222" s="80"/>
      <c r="J222" s="80"/>
      <c r="K222" s="80"/>
      <c r="L222" s="80"/>
      <c r="M222" s="80"/>
      <c r="N222" s="82"/>
      <c r="O222" s="85"/>
      <c r="P222" s="80"/>
      <c r="Q222" s="80"/>
      <c r="R222" s="80"/>
    </row>
    <row r="223" spans="1:18">
      <c r="A223" s="80">
        <v>216</v>
      </c>
      <c r="B223" s="80"/>
      <c r="C223" s="80"/>
      <c r="D223" s="82"/>
      <c r="E223" s="82"/>
      <c r="F223" s="80"/>
      <c r="G223" s="80"/>
      <c r="H223" s="80"/>
      <c r="I223" s="80"/>
      <c r="J223" s="80"/>
      <c r="K223" s="80"/>
      <c r="L223" s="80"/>
      <c r="M223" s="80"/>
      <c r="N223" s="82"/>
      <c r="O223" s="85"/>
      <c r="P223" s="80"/>
      <c r="Q223" s="80"/>
      <c r="R223" s="80"/>
    </row>
    <row r="224" spans="1:18">
      <c r="A224" s="80">
        <v>217</v>
      </c>
      <c r="B224" s="80"/>
      <c r="C224" s="80"/>
      <c r="D224" s="82"/>
      <c r="E224" s="82"/>
      <c r="F224" s="80"/>
      <c r="G224" s="80"/>
      <c r="H224" s="80"/>
      <c r="I224" s="80"/>
      <c r="J224" s="80"/>
      <c r="K224" s="80"/>
      <c r="L224" s="80"/>
      <c r="M224" s="80"/>
      <c r="N224" s="82"/>
      <c r="O224" s="85"/>
      <c r="P224" s="80"/>
      <c r="Q224" s="80"/>
      <c r="R224" s="80"/>
    </row>
    <row r="225" spans="1:18">
      <c r="A225" s="80">
        <v>218</v>
      </c>
      <c r="B225" s="80"/>
      <c r="C225" s="80"/>
      <c r="D225" s="82"/>
      <c r="E225" s="82"/>
      <c r="F225" s="80"/>
      <c r="G225" s="80"/>
      <c r="H225" s="80"/>
      <c r="I225" s="80"/>
      <c r="J225" s="80"/>
      <c r="K225" s="80"/>
      <c r="L225" s="80"/>
      <c r="M225" s="80"/>
      <c r="N225" s="82"/>
      <c r="O225" s="85"/>
      <c r="P225" s="80"/>
      <c r="Q225" s="80"/>
      <c r="R225" s="80"/>
    </row>
    <row r="226" spans="1:18">
      <c r="A226" s="80">
        <v>219</v>
      </c>
      <c r="B226" s="80"/>
      <c r="C226" s="80"/>
      <c r="D226" s="82"/>
      <c r="E226" s="82"/>
      <c r="F226" s="80"/>
      <c r="G226" s="80"/>
      <c r="H226" s="80"/>
      <c r="I226" s="80"/>
      <c r="J226" s="80"/>
      <c r="K226" s="80"/>
      <c r="L226" s="80"/>
      <c r="M226" s="80"/>
      <c r="N226" s="82"/>
      <c r="O226" s="85"/>
      <c r="P226" s="80"/>
      <c r="Q226" s="80"/>
      <c r="R226" s="80"/>
    </row>
    <row r="227" spans="1:18">
      <c r="A227" s="80">
        <v>220</v>
      </c>
      <c r="B227" s="80"/>
      <c r="C227" s="80"/>
      <c r="D227" s="82"/>
      <c r="E227" s="82"/>
      <c r="F227" s="80"/>
      <c r="G227" s="80"/>
      <c r="H227" s="80"/>
      <c r="I227" s="80"/>
      <c r="J227" s="80"/>
      <c r="K227" s="80"/>
      <c r="L227" s="80"/>
      <c r="M227" s="80"/>
      <c r="N227" s="82"/>
      <c r="O227" s="85"/>
      <c r="P227" s="80"/>
      <c r="Q227" s="80"/>
      <c r="R227" s="80"/>
    </row>
    <row r="228" spans="1:18">
      <c r="A228" s="80">
        <v>221</v>
      </c>
      <c r="B228" s="80"/>
      <c r="C228" s="80"/>
      <c r="D228" s="82"/>
      <c r="E228" s="82"/>
      <c r="F228" s="80"/>
      <c r="G228" s="80"/>
      <c r="H228" s="80"/>
      <c r="I228" s="80"/>
      <c r="J228" s="80"/>
      <c r="K228" s="80"/>
      <c r="L228" s="80"/>
      <c r="M228" s="80"/>
      <c r="N228" s="82"/>
      <c r="O228" s="85"/>
      <c r="P228" s="80"/>
      <c r="Q228" s="80"/>
      <c r="R228" s="80"/>
    </row>
    <row r="229" spans="1:18">
      <c r="A229" s="80">
        <v>222</v>
      </c>
      <c r="B229" s="80"/>
      <c r="C229" s="80"/>
      <c r="D229" s="82"/>
      <c r="E229" s="82"/>
      <c r="F229" s="80"/>
      <c r="G229" s="80"/>
      <c r="H229" s="80"/>
      <c r="I229" s="80"/>
      <c r="J229" s="80"/>
      <c r="K229" s="80"/>
      <c r="L229" s="80"/>
      <c r="M229" s="80"/>
      <c r="N229" s="82"/>
      <c r="O229" s="85"/>
      <c r="P229" s="80"/>
      <c r="Q229" s="80"/>
      <c r="R229" s="80"/>
    </row>
    <row r="230" spans="1:18">
      <c r="A230" s="80">
        <v>223</v>
      </c>
      <c r="B230" s="80"/>
      <c r="C230" s="80"/>
      <c r="D230" s="82"/>
      <c r="E230" s="82"/>
      <c r="F230" s="80"/>
      <c r="G230" s="80"/>
      <c r="H230" s="80"/>
      <c r="I230" s="80"/>
      <c r="J230" s="80"/>
      <c r="K230" s="80"/>
      <c r="L230" s="80"/>
      <c r="M230" s="80"/>
      <c r="N230" s="82"/>
      <c r="O230" s="85"/>
      <c r="P230" s="80"/>
      <c r="Q230" s="80"/>
      <c r="R230" s="80"/>
    </row>
    <row r="231" spans="1:18">
      <c r="A231" s="80">
        <v>224</v>
      </c>
      <c r="B231" s="80"/>
      <c r="C231" s="80"/>
      <c r="D231" s="82"/>
      <c r="E231" s="82"/>
      <c r="F231" s="80"/>
      <c r="G231" s="80"/>
      <c r="H231" s="80"/>
      <c r="I231" s="80"/>
      <c r="J231" s="80"/>
      <c r="K231" s="80"/>
      <c r="L231" s="80"/>
      <c r="M231" s="80"/>
      <c r="N231" s="82"/>
      <c r="O231" s="85"/>
      <c r="P231" s="80"/>
      <c r="Q231" s="80"/>
      <c r="R231" s="80"/>
    </row>
    <row r="232" spans="1:18">
      <c r="A232" s="80">
        <v>225</v>
      </c>
      <c r="B232" s="80"/>
      <c r="C232" s="80"/>
      <c r="D232" s="82"/>
      <c r="E232" s="82"/>
      <c r="F232" s="80"/>
      <c r="G232" s="80"/>
      <c r="H232" s="80"/>
      <c r="I232" s="80"/>
      <c r="J232" s="80"/>
      <c r="K232" s="80"/>
      <c r="L232" s="80"/>
      <c r="M232" s="80"/>
      <c r="N232" s="82"/>
      <c r="O232" s="85"/>
      <c r="P232" s="80"/>
      <c r="Q232" s="80"/>
      <c r="R232" s="80"/>
    </row>
    <row r="233" spans="1:18">
      <c r="A233" s="80">
        <v>226</v>
      </c>
      <c r="B233" s="80"/>
      <c r="C233" s="80"/>
      <c r="D233" s="82"/>
      <c r="E233" s="82"/>
      <c r="F233" s="80"/>
      <c r="G233" s="80"/>
      <c r="H233" s="80"/>
      <c r="I233" s="80"/>
      <c r="J233" s="80"/>
      <c r="K233" s="80"/>
      <c r="L233" s="80"/>
      <c r="M233" s="80"/>
      <c r="N233" s="82"/>
      <c r="O233" s="85"/>
      <c r="P233" s="80"/>
      <c r="Q233" s="80"/>
      <c r="R233" s="80"/>
    </row>
    <row r="234" spans="1:18">
      <c r="A234" s="80">
        <v>227</v>
      </c>
      <c r="B234" s="80"/>
      <c r="C234" s="80"/>
      <c r="D234" s="82"/>
      <c r="E234" s="82"/>
      <c r="F234" s="80"/>
      <c r="G234" s="80"/>
      <c r="H234" s="80"/>
      <c r="I234" s="80"/>
      <c r="J234" s="80"/>
      <c r="K234" s="80"/>
      <c r="L234" s="80"/>
      <c r="M234" s="80"/>
      <c r="N234" s="82"/>
      <c r="O234" s="85"/>
      <c r="P234" s="80"/>
      <c r="Q234" s="80"/>
      <c r="R234" s="80"/>
    </row>
    <row r="235" spans="1:18">
      <c r="A235" s="80">
        <v>228</v>
      </c>
      <c r="B235" s="80"/>
      <c r="C235" s="80"/>
      <c r="D235" s="82"/>
      <c r="E235" s="82"/>
      <c r="F235" s="80"/>
      <c r="G235" s="80"/>
      <c r="H235" s="80"/>
      <c r="I235" s="80"/>
      <c r="J235" s="80"/>
      <c r="K235" s="80"/>
      <c r="L235" s="80"/>
      <c r="M235" s="80"/>
      <c r="N235" s="82"/>
      <c r="O235" s="85"/>
      <c r="P235" s="80"/>
      <c r="Q235" s="80"/>
      <c r="R235" s="80"/>
    </row>
    <row r="236" spans="1:18">
      <c r="A236" s="80">
        <v>229</v>
      </c>
      <c r="B236" s="80"/>
      <c r="C236" s="80"/>
      <c r="D236" s="82"/>
      <c r="E236" s="82"/>
      <c r="F236" s="80"/>
      <c r="G236" s="80"/>
      <c r="H236" s="80"/>
      <c r="I236" s="80"/>
      <c r="J236" s="80"/>
      <c r="K236" s="80"/>
      <c r="L236" s="80"/>
      <c r="M236" s="80"/>
      <c r="N236" s="82"/>
      <c r="O236" s="85"/>
      <c r="P236" s="80"/>
      <c r="Q236" s="80"/>
      <c r="R236" s="80"/>
    </row>
    <row r="237" spans="1:18">
      <c r="A237" s="80">
        <v>230</v>
      </c>
      <c r="B237" s="80"/>
      <c r="C237" s="80"/>
      <c r="D237" s="82"/>
      <c r="E237" s="82"/>
      <c r="F237" s="80"/>
      <c r="G237" s="80"/>
      <c r="H237" s="80"/>
      <c r="I237" s="80"/>
      <c r="J237" s="80"/>
      <c r="K237" s="80"/>
      <c r="L237" s="80"/>
      <c r="M237" s="80"/>
      <c r="N237" s="82"/>
      <c r="O237" s="85"/>
      <c r="P237" s="80"/>
      <c r="Q237" s="80"/>
      <c r="R237" s="80"/>
    </row>
    <row r="238" spans="1:18">
      <c r="A238" s="80">
        <v>231</v>
      </c>
      <c r="B238" s="80"/>
      <c r="C238" s="80"/>
      <c r="D238" s="82"/>
      <c r="E238" s="82"/>
      <c r="F238" s="80"/>
      <c r="G238" s="80"/>
      <c r="H238" s="80"/>
      <c r="I238" s="80"/>
      <c r="J238" s="80"/>
      <c r="K238" s="80"/>
      <c r="L238" s="80"/>
      <c r="M238" s="80"/>
      <c r="N238" s="82"/>
      <c r="O238" s="85"/>
      <c r="P238" s="80"/>
      <c r="Q238" s="80"/>
      <c r="R238" s="80"/>
    </row>
    <row r="239" spans="1:18">
      <c r="A239" s="80">
        <v>232</v>
      </c>
      <c r="B239" s="80"/>
      <c r="C239" s="80"/>
      <c r="D239" s="82"/>
      <c r="E239" s="82"/>
      <c r="F239" s="80"/>
      <c r="G239" s="80"/>
      <c r="H239" s="80"/>
      <c r="I239" s="80"/>
      <c r="J239" s="80"/>
      <c r="K239" s="80"/>
      <c r="L239" s="80"/>
      <c r="M239" s="80"/>
      <c r="N239" s="82"/>
      <c r="O239" s="85"/>
      <c r="P239" s="80"/>
      <c r="Q239" s="80"/>
      <c r="R239" s="80"/>
    </row>
    <row r="240" spans="1:18">
      <c r="A240" s="80">
        <v>233</v>
      </c>
      <c r="B240" s="80"/>
      <c r="C240" s="80"/>
      <c r="D240" s="82"/>
      <c r="E240" s="82"/>
      <c r="F240" s="80"/>
      <c r="G240" s="80"/>
      <c r="H240" s="80"/>
      <c r="I240" s="80"/>
      <c r="J240" s="80"/>
      <c r="K240" s="80"/>
      <c r="L240" s="80"/>
      <c r="M240" s="80"/>
      <c r="N240" s="82"/>
      <c r="O240" s="85"/>
      <c r="P240" s="80"/>
      <c r="Q240" s="80"/>
      <c r="R240" s="80"/>
    </row>
    <row r="241" spans="1:18">
      <c r="A241" s="80">
        <v>234</v>
      </c>
      <c r="B241" s="80"/>
      <c r="C241" s="80"/>
      <c r="D241" s="82"/>
      <c r="E241" s="82"/>
      <c r="F241" s="80"/>
      <c r="G241" s="80"/>
      <c r="H241" s="80"/>
      <c r="I241" s="80"/>
      <c r="J241" s="80"/>
      <c r="K241" s="80"/>
      <c r="L241" s="80"/>
      <c r="M241" s="80"/>
      <c r="N241" s="82"/>
      <c r="O241" s="85"/>
      <c r="P241" s="80"/>
      <c r="Q241" s="80"/>
      <c r="R241" s="80"/>
    </row>
    <row r="242" spans="1:18">
      <c r="A242" s="80">
        <v>235</v>
      </c>
      <c r="B242" s="80"/>
      <c r="C242" s="80"/>
      <c r="D242" s="82"/>
      <c r="E242" s="82"/>
      <c r="F242" s="80"/>
      <c r="G242" s="80"/>
      <c r="H242" s="80"/>
      <c r="I242" s="80"/>
      <c r="J242" s="80"/>
      <c r="K242" s="80"/>
      <c r="L242" s="80"/>
      <c r="M242" s="80"/>
      <c r="N242" s="82"/>
      <c r="O242" s="85"/>
      <c r="P242" s="80"/>
      <c r="Q242" s="80"/>
      <c r="R242" s="80"/>
    </row>
    <row r="243" spans="1:18">
      <c r="A243" s="80">
        <v>236</v>
      </c>
      <c r="B243" s="80"/>
      <c r="C243" s="80"/>
      <c r="D243" s="82"/>
      <c r="E243" s="82"/>
      <c r="F243" s="80"/>
      <c r="G243" s="80"/>
      <c r="H243" s="80"/>
      <c r="I243" s="80"/>
      <c r="J243" s="80"/>
      <c r="K243" s="80"/>
      <c r="L243" s="80"/>
      <c r="M243" s="80"/>
      <c r="N243" s="82"/>
      <c r="O243" s="85"/>
      <c r="P243" s="80"/>
      <c r="Q243" s="80"/>
      <c r="R243" s="80"/>
    </row>
    <row r="244" spans="1:18">
      <c r="A244" s="80">
        <v>237</v>
      </c>
      <c r="B244" s="80"/>
      <c r="C244" s="80"/>
      <c r="D244" s="82"/>
      <c r="E244" s="82"/>
      <c r="F244" s="80"/>
      <c r="G244" s="80"/>
      <c r="H244" s="80"/>
      <c r="I244" s="80"/>
      <c r="J244" s="80"/>
      <c r="K244" s="80"/>
      <c r="L244" s="80"/>
      <c r="M244" s="80"/>
      <c r="N244" s="82"/>
      <c r="O244" s="85"/>
      <c r="P244" s="80"/>
      <c r="Q244" s="80"/>
      <c r="R244" s="80"/>
    </row>
    <row r="245" spans="1:18">
      <c r="A245" s="80">
        <v>238</v>
      </c>
      <c r="B245" s="80"/>
      <c r="C245" s="80"/>
      <c r="D245" s="82"/>
      <c r="E245" s="82"/>
      <c r="F245" s="80"/>
      <c r="G245" s="80"/>
      <c r="H245" s="80"/>
      <c r="I245" s="80"/>
      <c r="J245" s="80"/>
      <c r="K245" s="80"/>
      <c r="L245" s="80"/>
      <c r="M245" s="80"/>
      <c r="N245" s="82"/>
      <c r="O245" s="85"/>
      <c r="P245" s="80"/>
      <c r="Q245" s="80"/>
      <c r="R245" s="80"/>
    </row>
    <row r="246" spans="1:18">
      <c r="A246" s="80">
        <v>239</v>
      </c>
      <c r="B246" s="80"/>
      <c r="C246" s="80"/>
      <c r="D246" s="82"/>
      <c r="E246" s="82"/>
      <c r="F246" s="80"/>
      <c r="G246" s="80"/>
      <c r="H246" s="80"/>
      <c r="I246" s="80"/>
      <c r="J246" s="80"/>
      <c r="K246" s="80"/>
      <c r="L246" s="80"/>
      <c r="M246" s="80"/>
      <c r="N246" s="82"/>
      <c r="O246" s="85"/>
      <c r="P246" s="80"/>
      <c r="Q246" s="80"/>
      <c r="R246" s="80"/>
    </row>
    <row r="247" spans="1:18">
      <c r="A247" s="80">
        <v>240</v>
      </c>
      <c r="B247" s="80"/>
      <c r="C247" s="80"/>
      <c r="D247" s="82"/>
      <c r="E247" s="82"/>
      <c r="F247" s="80"/>
      <c r="G247" s="80"/>
      <c r="H247" s="80"/>
      <c r="I247" s="80"/>
      <c r="J247" s="80"/>
      <c r="K247" s="80"/>
      <c r="L247" s="80"/>
      <c r="M247" s="80"/>
      <c r="N247" s="82"/>
      <c r="O247" s="85"/>
      <c r="P247" s="80"/>
      <c r="Q247" s="80"/>
      <c r="R247" s="80"/>
    </row>
    <row r="248" spans="1:18">
      <c r="A248" s="80">
        <v>241</v>
      </c>
      <c r="B248" s="80"/>
      <c r="C248" s="80"/>
      <c r="D248" s="82"/>
      <c r="E248" s="82"/>
      <c r="F248" s="80"/>
      <c r="G248" s="80"/>
      <c r="H248" s="80"/>
      <c r="I248" s="80"/>
      <c r="J248" s="80"/>
      <c r="K248" s="80"/>
      <c r="L248" s="80"/>
      <c r="M248" s="80"/>
      <c r="N248" s="82"/>
      <c r="O248" s="85"/>
      <c r="P248" s="80"/>
      <c r="Q248" s="80"/>
      <c r="R248" s="80"/>
    </row>
    <row r="249" spans="1:18">
      <c r="A249" s="80">
        <v>242</v>
      </c>
      <c r="B249" s="80"/>
      <c r="C249" s="80"/>
      <c r="D249" s="82"/>
      <c r="E249" s="82"/>
      <c r="F249" s="80"/>
      <c r="G249" s="80"/>
      <c r="H249" s="80"/>
      <c r="I249" s="80"/>
      <c r="J249" s="80"/>
      <c r="K249" s="80"/>
      <c r="L249" s="80"/>
      <c r="M249" s="80"/>
      <c r="N249" s="82"/>
      <c r="O249" s="85"/>
      <c r="P249" s="80"/>
      <c r="Q249" s="80"/>
      <c r="R249" s="80"/>
    </row>
    <row r="250" spans="1:18">
      <c r="A250" s="80">
        <v>243</v>
      </c>
      <c r="B250" s="80"/>
      <c r="C250" s="80"/>
      <c r="D250" s="82"/>
      <c r="E250" s="82"/>
      <c r="F250" s="80"/>
      <c r="G250" s="80"/>
      <c r="H250" s="80"/>
      <c r="I250" s="80"/>
      <c r="J250" s="80"/>
      <c r="K250" s="80"/>
      <c r="L250" s="80"/>
      <c r="M250" s="80"/>
      <c r="N250" s="82"/>
      <c r="O250" s="85"/>
      <c r="P250" s="80"/>
      <c r="Q250" s="80"/>
      <c r="R250" s="80"/>
    </row>
    <row r="251" spans="1:18">
      <c r="A251" s="80">
        <v>244</v>
      </c>
      <c r="B251" s="80"/>
      <c r="C251" s="80"/>
      <c r="D251" s="82"/>
      <c r="E251" s="82"/>
      <c r="F251" s="80"/>
      <c r="G251" s="80"/>
      <c r="H251" s="80"/>
      <c r="I251" s="80"/>
      <c r="J251" s="80"/>
      <c r="K251" s="80"/>
      <c r="L251" s="80"/>
      <c r="M251" s="80"/>
      <c r="N251" s="82"/>
      <c r="O251" s="85"/>
      <c r="P251" s="80"/>
      <c r="Q251" s="80"/>
      <c r="R251" s="80"/>
    </row>
    <row r="252" spans="1:18">
      <c r="A252" s="80">
        <v>245</v>
      </c>
      <c r="B252" s="80"/>
      <c r="C252" s="80"/>
      <c r="D252" s="82"/>
      <c r="E252" s="82"/>
      <c r="F252" s="80"/>
      <c r="G252" s="80"/>
      <c r="H252" s="80"/>
      <c r="I252" s="80"/>
      <c r="J252" s="80"/>
      <c r="K252" s="80"/>
      <c r="L252" s="80"/>
      <c r="M252" s="80"/>
      <c r="N252" s="82"/>
      <c r="O252" s="85"/>
      <c r="P252" s="80"/>
      <c r="Q252" s="80"/>
      <c r="R252" s="80"/>
    </row>
    <row r="253" spans="1:18">
      <c r="A253" s="80">
        <v>246</v>
      </c>
      <c r="B253" s="80"/>
      <c r="C253" s="80"/>
      <c r="D253" s="82"/>
      <c r="E253" s="82"/>
      <c r="F253" s="80"/>
      <c r="G253" s="80"/>
      <c r="H253" s="80"/>
      <c r="I253" s="80"/>
      <c r="J253" s="80"/>
      <c r="K253" s="80"/>
      <c r="L253" s="80"/>
      <c r="M253" s="80"/>
      <c r="N253" s="82"/>
      <c r="O253" s="85"/>
      <c r="P253" s="80"/>
      <c r="Q253" s="80"/>
      <c r="R253" s="80"/>
    </row>
    <row r="254" spans="1:18">
      <c r="A254" s="80">
        <v>247</v>
      </c>
      <c r="B254" s="80"/>
      <c r="C254" s="80"/>
      <c r="D254" s="82"/>
      <c r="E254" s="82"/>
      <c r="F254" s="80"/>
      <c r="G254" s="80"/>
      <c r="H254" s="80"/>
      <c r="I254" s="80"/>
      <c r="J254" s="80"/>
      <c r="K254" s="80"/>
      <c r="L254" s="80"/>
      <c r="M254" s="80"/>
      <c r="N254" s="82"/>
      <c r="O254" s="85"/>
      <c r="P254" s="80"/>
      <c r="Q254" s="80"/>
      <c r="R254" s="80"/>
    </row>
    <row r="255" spans="1:18">
      <c r="A255" s="80">
        <v>248</v>
      </c>
      <c r="B255" s="80"/>
      <c r="C255" s="80"/>
      <c r="D255" s="82"/>
      <c r="E255" s="82"/>
      <c r="F255" s="80"/>
      <c r="G255" s="80"/>
      <c r="H255" s="80"/>
      <c r="I255" s="80"/>
      <c r="J255" s="80"/>
      <c r="K255" s="80"/>
      <c r="L255" s="80"/>
      <c r="M255" s="80"/>
      <c r="N255" s="82"/>
      <c r="O255" s="85"/>
      <c r="P255" s="80"/>
      <c r="Q255" s="80"/>
      <c r="R255" s="80"/>
    </row>
    <row r="256" spans="1:18">
      <c r="A256" s="80">
        <v>249</v>
      </c>
      <c r="B256" s="80"/>
      <c r="C256" s="80"/>
      <c r="D256" s="82"/>
      <c r="E256" s="82"/>
      <c r="F256" s="80"/>
      <c r="G256" s="80"/>
      <c r="H256" s="80"/>
      <c r="I256" s="80"/>
      <c r="J256" s="80"/>
      <c r="K256" s="80"/>
      <c r="L256" s="80"/>
      <c r="M256" s="80"/>
      <c r="N256" s="82"/>
      <c r="O256" s="85"/>
      <c r="P256" s="80"/>
      <c r="Q256" s="80"/>
      <c r="R256" s="80"/>
    </row>
    <row r="257" spans="1:18">
      <c r="A257" s="80">
        <v>250</v>
      </c>
      <c r="B257" s="80"/>
      <c r="C257" s="80"/>
      <c r="D257" s="82"/>
      <c r="E257" s="82"/>
      <c r="F257" s="80"/>
      <c r="G257" s="80"/>
      <c r="H257" s="80"/>
      <c r="I257" s="80"/>
      <c r="J257" s="80"/>
      <c r="K257" s="80"/>
      <c r="L257" s="80"/>
      <c r="M257" s="80"/>
      <c r="N257" s="82"/>
      <c r="O257" s="85"/>
      <c r="P257" s="80"/>
      <c r="Q257" s="80"/>
      <c r="R257" s="80"/>
    </row>
    <row r="258" spans="1:18">
      <c r="A258" s="80">
        <v>251</v>
      </c>
      <c r="B258" s="80"/>
      <c r="C258" s="80"/>
      <c r="D258" s="82"/>
      <c r="E258" s="82"/>
      <c r="F258" s="80"/>
      <c r="G258" s="80"/>
      <c r="H258" s="80"/>
      <c r="I258" s="80"/>
      <c r="J258" s="80"/>
      <c r="K258" s="80"/>
      <c r="L258" s="80"/>
      <c r="M258" s="80"/>
      <c r="N258" s="82"/>
      <c r="O258" s="85"/>
      <c r="P258" s="80"/>
      <c r="Q258" s="80"/>
      <c r="R258" s="80"/>
    </row>
    <row r="259" spans="1:18">
      <c r="A259" s="80">
        <v>252</v>
      </c>
      <c r="B259" s="80"/>
      <c r="C259" s="80"/>
      <c r="D259" s="82"/>
      <c r="E259" s="82"/>
      <c r="F259" s="80"/>
      <c r="G259" s="80"/>
      <c r="H259" s="80"/>
      <c r="I259" s="80"/>
      <c r="J259" s="80"/>
      <c r="K259" s="80"/>
      <c r="L259" s="80"/>
      <c r="M259" s="80"/>
      <c r="N259" s="82"/>
      <c r="O259" s="85"/>
      <c r="P259" s="80"/>
      <c r="Q259" s="80"/>
      <c r="R259" s="80"/>
    </row>
    <row r="260" spans="1:18">
      <c r="A260" s="80">
        <v>253</v>
      </c>
      <c r="B260" s="80"/>
      <c r="C260" s="80"/>
      <c r="D260" s="82"/>
      <c r="E260" s="82"/>
      <c r="F260" s="80"/>
      <c r="G260" s="80"/>
      <c r="H260" s="80"/>
      <c r="I260" s="80"/>
      <c r="J260" s="80"/>
      <c r="K260" s="80"/>
      <c r="L260" s="80"/>
      <c r="M260" s="80"/>
      <c r="N260" s="82"/>
      <c r="O260" s="85"/>
      <c r="P260" s="80"/>
      <c r="Q260" s="80"/>
      <c r="R260" s="80"/>
    </row>
    <row r="261" spans="1:18">
      <c r="A261" s="80">
        <v>254</v>
      </c>
      <c r="B261" s="80"/>
      <c r="C261" s="80"/>
      <c r="D261" s="82"/>
      <c r="E261" s="82"/>
      <c r="F261" s="80"/>
      <c r="G261" s="80"/>
      <c r="H261" s="80"/>
      <c r="I261" s="80"/>
      <c r="J261" s="80"/>
      <c r="K261" s="80"/>
      <c r="L261" s="80"/>
      <c r="M261" s="80"/>
      <c r="N261" s="82"/>
      <c r="O261" s="85"/>
      <c r="P261" s="80"/>
      <c r="Q261" s="80"/>
      <c r="R261" s="80"/>
    </row>
    <row r="262" spans="1:18">
      <c r="A262" s="80">
        <v>255</v>
      </c>
      <c r="B262" s="80"/>
      <c r="C262" s="80"/>
      <c r="D262" s="82"/>
      <c r="E262" s="82"/>
      <c r="F262" s="80"/>
      <c r="G262" s="80"/>
      <c r="H262" s="80"/>
      <c r="I262" s="80"/>
      <c r="J262" s="80"/>
      <c r="K262" s="80"/>
      <c r="L262" s="80"/>
      <c r="M262" s="80"/>
      <c r="N262" s="82"/>
      <c r="O262" s="85"/>
      <c r="P262" s="80"/>
      <c r="Q262" s="80"/>
      <c r="R262" s="80"/>
    </row>
    <row r="263" spans="1:18">
      <c r="A263" s="80">
        <v>256</v>
      </c>
      <c r="B263" s="80"/>
      <c r="C263" s="80"/>
      <c r="D263" s="82"/>
      <c r="E263" s="82"/>
      <c r="F263" s="80"/>
      <c r="G263" s="80"/>
      <c r="H263" s="80"/>
      <c r="I263" s="80"/>
      <c r="J263" s="80"/>
      <c r="K263" s="80"/>
      <c r="L263" s="80"/>
      <c r="M263" s="80"/>
      <c r="N263" s="82"/>
      <c r="O263" s="85"/>
      <c r="P263" s="80"/>
      <c r="Q263" s="80"/>
      <c r="R263" s="80"/>
    </row>
    <row r="264" spans="1:18">
      <c r="A264" s="80">
        <v>257</v>
      </c>
      <c r="B264" s="80"/>
      <c r="C264" s="80"/>
      <c r="D264" s="82"/>
      <c r="E264" s="82"/>
      <c r="F264" s="80"/>
      <c r="G264" s="80"/>
      <c r="H264" s="80"/>
      <c r="I264" s="80"/>
      <c r="J264" s="80"/>
      <c r="K264" s="80"/>
      <c r="L264" s="80"/>
      <c r="M264" s="80"/>
      <c r="N264" s="82"/>
      <c r="O264" s="85"/>
      <c r="P264" s="80"/>
      <c r="Q264" s="80"/>
      <c r="R264" s="80"/>
    </row>
    <row r="265" spans="1:18">
      <c r="A265" s="80">
        <v>258</v>
      </c>
      <c r="B265" s="80"/>
      <c r="C265" s="80"/>
      <c r="D265" s="82"/>
      <c r="E265" s="82"/>
      <c r="F265" s="80"/>
      <c r="G265" s="80"/>
      <c r="H265" s="80"/>
      <c r="I265" s="80"/>
      <c r="J265" s="80"/>
      <c r="K265" s="80"/>
      <c r="L265" s="80"/>
      <c r="M265" s="80"/>
      <c r="N265" s="82"/>
      <c r="O265" s="85"/>
      <c r="P265" s="80"/>
      <c r="Q265" s="80"/>
      <c r="R265" s="80"/>
    </row>
    <row r="266" spans="1:18">
      <c r="A266" s="80">
        <v>259</v>
      </c>
      <c r="B266" s="80"/>
      <c r="C266" s="80"/>
      <c r="D266" s="82"/>
      <c r="E266" s="82"/>
      <c r="F266" s="80"/>
      <c r="G266" s="80"/>
      <c r="H266" s="80"/>
      <c r="I266" s="80"/>
      <c r="J266" s="80"/>
      <c r="K266" s="80"/>
      <c r="L266" s="80"/>
      <c r="M266" s="80"/>
      <c r="N266" s="82"/>
      <c r="O266" s="85"/>
      <c r="P266" s="80"/>
      <c r="Q266" s="80"/>
      <c r="R266" s="80"/>
    </row>
    <row r="267" spans="1:18">
      <c r="A267" s="80">
        <v>260</v>
      </c>
      <c r="B267" s="80"/>
      <c r="C267" s="80"/>
      <c r="D267" s="82"/>
      <c r="E267" s="82"/>
      <c r="F267" s="80"/>
      <c r="G267" s="80"/>
      <c r="H267" s="80"/>
      <c r="I267" s="80"/>
      <c r="J267" s="80"/>
      <c r="K267" s="80"/>
      <c r="L267" s="80"/>
      <c r="M267" s="80"/>
      <c r="N267" s="82"/>
      <c r="O267" s="85"/>
      <c r="P267" s="80"/>
      <c r="Q267" s="80"/>
      <c r="R267" s="80"/>
    </row>
    <row r="268" spans="1:18">
      <c r="A268" s="80">
        <v>261</v>
      </c>
      <c r="B268" s="80"/>
      <c r="C268" s="80"/>
      <c r="D268" s="82"/>
      <c r="E268" s="82"/>
      <c r="F268" s="80"/>
      <c r="G268" s="80"/>
      <c r="H268" s="80"/>
      <c r="I268" s="80"/>
      <c r="J268" s="80"/>
      <c r="K268" s="80"/>
      <c r="L268" s="80"/>
      <c r="M268" s="80"/>
      <c r="N268" s="82"/>
      <c r="O268" s="85"/>
      <c r="P268" s="80"/>
      <c r="Q268" s="80"/>
      <c r="R268" s="80"/>
    </row>
    <row r="269" spans="1:18">
      <c r="A269" s="80">
        <v>262</v>
      </c>
      <c r="B269" s="80"/>
      <c r="C269" s="80"/>
      <c r="D269" s="82"/>
      <c r="E269" s="82"/>
      <c r="F269" s="80"/>
      <c r="G269" s="80"/>
      <c r="H269" s="80"/>
      <c r="I269" s="80"/>
      <c r="J269" s="80"/>
      <c r="K269" s="80"/>
      <c r="L269" s="80"/>
      <c r="M269" s="80"/>
      <c r="N269" s="82"/>
      <c r="O269" s="85"/>
      <c r="P269" s="80"/>
      <c r="Q269" s="80"/>
      <c r="R269" s="80"/>
    </row>
    <row r="270" spans="1:18">
      <c r="A270" s="80">
        <v>263</v>
      </c>
      <c r="B270" s="80"/>
      <c r="C270" s="80"/>
      <c r="D270" s="82"/>
      <c r="E270" s="82"/>
      <c r="F270" s="80"/>
      <c r="G270" s="80"/>
      <c r="H270" s="80"/>
      <c r="I270" s="80"/>
      <c r="J270" s="80"/>
      <c r="K270" s="80"/>
      <c r="L270" s="80"/>
      <c r="M270" s="80"/>
      <c r="N270" s="82"/>
      <c r="O270" s="85"/>
      <c r="P270" s="80"/>
      <c r="Q270" s="80"/>
      <c r="R270" s="80"/>
    </row>
    <row r="271" spans="1:18">
      <c r="A271" s="80">
        <v>264</v>
      </c>
      <c r="B271" s="80"/>
      <c r="C271" s="80"/>
      <c r="D271" s="82"/>
      <c r="E271" s="82"/>
      <c r="F271" s="80"/>
      <c r="G271" s="80"/>
      <c r="H271" s="80"/>
      <c r="I271" s="80"/>
      <c r="J271" s="80"/>
      <c r="K271" s="80"/>
      <c r="L271" s="80"/>
      <c r="M271" s="80"/>
      <c r="N271" s="82"/>
      <c r="O271" s="85"/>
      <c r="P271" s="80"/>
      <c r="Q271" s="80"/>
      <c r="R271" s="80"/>
    </row>
    <row r="272" spans="1:18">
      <c r="A272" s="80">
        <v>265</v>
      </c>
      <c r="B272" s="80"/>
      <c r="C272" s="80"/>
      <c r="D272" s="82"/>
      <c r="E272" s="82"/>
      <c r="F272" s="80"/>
      <c r="G272" s="80"/>
      <c r="H272" s="80"/>
      <c r="I272" s="80"/>
      <c r="J272" s="80"/>
      <c r="K272" s="80"/>
      <c r="L272" s="80"/>
      <c r="M272" s="80"/>
      <c r="N272" s="82"/>
      <c r="O272" s="85"/>
      <c r="P272" s="80"/>
      <c r="Q272" s="80"/>
      <c r="R272" s="80"/>
    </row>
    <row r="273" spans="1:18">
      <c r="A273" s="80">
        <v>266</v>
      </c>
      <c r="B273" s="80"/>
      <c r="C273" s="80"/>
      <c r="D273" s="82"/>
      <c r="E273" s="82"/>
      <c r="F273" s="80"/>
      <c r="G273" s="80"/>
      <c r="H273" s="80"/>
      <c r="I273" s="80"/>
      <c r="J273" s="80"/>
      <c r="K273" s="80"/>
      <c r="L273" s="80"/>
      <c r="M273" s="80"/>
      <c r="N273" s="82"/>
      <c r="O273" s="85"/>
      <c r="P273" s="80"/>
      <c r="Q273" s="80"/>
      <c r="R273" s="80"/>
    </row>
    <row r="274" spans="1:18">
      <c r="A274" s="80">
        <v>267</v>
      </c>
      <c r="B274" s="80"/>
      <c r="C274" s="80"/>
      <c r="D274" s="82"/>
      <c r="E274" s="82"/>
      <c r="F274" s="80"/>
      <c r="G274" s="80"/>
      <c r="H274" s="80"/>
      <c r="I274" s="80"/>
      <c r="J274" s="80"/>
      <c r="K274" s="80"/>
      <c r="L274" s="80"/>
      <c r="M274" s="80"/>
      <c r="N274" s="82"/>
      <c r="O274" s="85"/>
      <c r="P274" s="80"/>
      <c r="Q274" s="80"/>
      <c r="R274" s="80"/>
    </row>
    <row r="275" spans="1:18">
      <c r="A275" s="80">
        <v>268</v>
      </c>
      <c r="B275" s="80"/>
      <c r="C275" s="80"/>
      <c r="D275" s="82"/>
      <c r="E275" s="82"/>
      <c r="F275" s="80"/>
      <c r="G275" s="80"/>
      <c r="H275" s="80"/>
      <c r="I275" s="80"/>
      <c r="J275" s="80"/>
      <c r="K275" s="80"/>
      <c r="L275" s="80"/>
      <c r="M275" s="80"/>
      <c r="N275" s="82"/>
      <c r="O275" s="85"/>
      <c r="P275" s="80"/>
      <c r="Q275" s="80"/>
      <c r="R275" s="80"/>
    </row>
    <row r="276" spans="1:18">
      <c r="A276" s="80">
        <v>269</v>
      </c>
      <c r="B276" s="80"/>
      <c r="C276" s="80"/>
      <c r="D276" s="82"/>
      <c r="E276" s="82"/>
      <c r="F276" s="80"/>
      <c r="G276" s="80"/>
      <c r="H276" s="80"/>
      <c r="I276" s="80"/>
      <c r="J276" s="80"/>
      <c r="K276" s="80"/>
      <c r="L276" s="80"/>
      <c r="M276" s="80"/>
      <c r="N276" s="82"/>
      <c r="O276" s="85"/>
      <c r="P276" s="80"/>
      <c r="Q276" s="80"/>
      <c r="R276" s="80"/>
    </row>
    <row r="277" spans="1:18">
      <c r="A277" s="80">
        <v>270</v>
      </c>
      <c r="B277" s="80"/>
      <c r="C277" s="80"/>
      <c r="D277" s="82"/>
      <c r="E277" s="82"/>
      <c r="F277" s="80"/>
      <c r="G277" s="80"/>
      <c r="H277" s="80"/>
      <c r="I277" s="80"/>
      <c r="J277" s="80"/>
      <c r="K277" s="80"/>
      <c r="L277" s="80"/>
      <c r="M277" s="80"/>
      <c r="N277" s="82"/>
      <c r="O277" s="85"/>
      <c r="P277" s="80"/>
      <c r="Q277" s="80"/>
      <c r="R277" s="80"/>
    </row>
    <row r="278" spans="1:18">
      <c r="A278" s="80">
        <v>271</v>
      </c>
      <c r="B278" s="80"/>
      <c r="C278" s="80"/>
      <c r="D278" s="82"/>
      <c r="E278" s="82"/>
      <c r="F278" s="80"/>
      <c r="G278" s="80"/>
      <c r="H278" s="80"/>
      <c r="I278" s="80"/>
      <c r="J278" s="80"/>
      <c r="K278" s="80"/>
      <c r="L278" s="80"/>
      <c r="M278" s="80"/>
      <c r="N278" s="82"/>
      <c r="O278" s="85"/>
      <c r="P278" s="80"/>
      <c r="Q278" s="80"/>
      <c r="R278" s="80"/>
    </row>
    <row r="279" spans="1:18">
      <c r="A279" s="80">
        <v>272</v>
      </c>
      <c r="B279" s="80"/>
      <c r="C279" s="80"/>
      <c r="D279" s="82"/>
      <c r="E279" s="82"/>
      <c r="F279" s="80"/>
      <c r="G279" s="80"/>
      <c r="H279" s="80"/>
      <c r="I279" s="80"/>
      <c r="J279" s="80"/>
      <c r="K279" s="80"/>
      <c r="L279" s="80"/>
      <c r="M279" s="80"/>
      <c r="N279" s="82"/>
      <c r="O279" s="85"/>
      <c r="P279" s="80"/>
      <c r="Q279" s="80"/>
      <c r="R279" s="80"/>
    </row>
    <row r="280" spans="1:18">
      <c r="A280" s="80">
        <v>273</v>
      </c>
      <c r="B280" s="80"/>
      <c r="C280" s="80"/>
      <c r="D280" s="82"/>
      <c r="E280" s="82"/>
      <c r="F280" s="80"/>
      <c r="G280" s="80"/>
      <c r="H280" s="80"/>
      <c r="I280" s="80"/>
      <c r="J280" s="80"/>
      <c r="K280" s="80"/>
      <c r="L280" s="80"/>
      <c r="M280" s="80"/>
      <c r="N280" s="82"/>
      <c r="O280" s="85"/>
      <c r="P280" s="80"/>
      <c r="Q280" s="80"/>
      <c r="R280" s="80"/>
    </row>
    <row r="281" spans="1:18">
      <c r="A281" s="80">
        <v>274</v>
      </c>
      <c r="B281" s="80"/>
      <c r="C281" s="80"/>
      <c r="D281" s="82"/>
      <c r="E281" s="82"/>
      <c r="F281" s="80"/>
      <c r="G281" s="80"/>
      <c r="H281" s="80"/>
      <c r="I281" s="80"/>
      <c r="J281" s="80"/>
      <c r="K281" s="80"/>
      <c r="L281" s="80"/>
      <c r="M281" s="80"/>
      <c r="N281" s="82"/>
      <c r="O281" s="85"/>
      <c r="P281" s="80"/>
      <c r="Q281" s="80"/>
      <c r="R281" s="80"/>
    </row>
    <row r="282" spans="1:18">
      <c r="A282" s="80">
        <v>275</v>
      </c>
      <c r="B282" s="80"/>
      <c r="C282" s="80"/>
      <c r="D282" s="82"/>
      <c r="E282" s="82"/>
      <c r="F282" s="80"/>
      <c r="G282" s="80"/>
      <c r="H282" s="80"/>
      <c r="I282" s="80"/>
      <c r="J282" s="80"/>
      <c r="K282" s="80"/>
      <c r="L282" s="80"/>
      <c r="M282" s="80"/>
      <c r="N282" s="82"/>
      <c r="O282" s="85"/>
      <c r="P282" s="80"/>
      <c r="Q282" s="80"/>
      <c r="R282" s="80"/>
    </row>
    <row r="283" spans="1:18">
      <c r="A283" s="80">
        <v>276</v>
      </c>
      <c r="B283" s="80"/>
      <c r="C283" s="80"/>
      <c r="D283" s="82"/>
      <c r="E283" s="82"/>
      <c r="F283" s="80"/>
      <c r="G283" s="80"/>
      <c r="H283" s="80"/>
      <c r="I283" s="80"/>
      <c r="J283" s="80"/>
      <c r="K283" s="80"/>
      <c r="L283" s="80"/>
      <c r="M283" s="80"/>
      <c r="N283" s="82"/>
      <c r="O283" s="85"/>
      <c r="P283" s="80"/>
      <c r="Q283" s="80"/>
      <c r="R283" s="80"/>
    </row>
    <row r="284" spans="1:18">
      <c r="A284" s="80">
        <v>277</v>
      </c>
      <c r="B284" s="80"/>
      <c r="C284" s="80"/>
      <c r="D284" s="82"/>
      <c r="E284" s="82"/>
      <c r="F284" s="80"/>
      <c r="G284" s="80"/>
      <c r="H284" s="80"/>
      <c r="I284" s="80"/>
      <c r="J284" s="80"/>
      <c r="K284" s="80"/>
      <c r="L284" s="80"/>
      <c r="M284" s="80"/>
      <c r="N284" s="82"/>
      <c r="O284" s="85"/>
      <c r="P284" s="80"/>
      <c r="Q284" s="80"/>
      <c r="R284" s="80"/>
    </row>
    <row r="285" spans="1:18">
      <c r="A285" s="80">
        <v>278</v>
      </c>
      <c r="B285" s="80"/>
      <c r="C285" s="80"/>
      <c r="D285" s="82"/>
      <c r="E285" s="82"/>
      <c r="F285" s="80"/>
      <c r="G285" s="80"/>
      <c r="H285" s="80"/>
      <c r="I285" s="80"/>
      <c r="J285" s="80"/>
      <c r="K285" s="80"/>
      <c r="L285" s="80"/>
      <c r="M285" s="80"/>
      <c r="N285" s="82"/>
      <c r="O285" s="85"/>
      <c r="P285" s="80"/>
      <c r="Q285" s="80"/>
      <c r="R285" s="80"/>
    </row>
    <row r="286" spans="1:18">
      <c r="A286" s="80">
        <v>279</v>
      </c>
      <c r="B286" s="80"/>
      <c r="C286" s="80"/>
      <c r="D286" s="82"/>
      <c r="E286" s="82"/>
      <c r="F286" s="80"/>
      <c r="G286" s="80"/>
      <c r="H286" s="80"/>
      <c r="I286" s="80"/>
      <c r="J286" s="80"/>
      <c r="K286" s="80"/>
      <c r="L286" s="80"/>
      <c r="M286" s="80"/>
      <c r="N286" s="82"/>
      <c r="O286" s="85"/>
      <c r="P286" s="80"/>
      <c r="Q286" s="80"/>
      <c r="R286" s="80"/>
    </row>
    <row r="287" spans="1:18">
      <c r="A287" s="80">
        <v>280</v>
      </c>
      <c r="B287" s="80"/>
      <c r="C287" s="80"/>
      <c r="D287" s="82"/>
      <c r="E287" s="82"/>
      <c r="F287" s="80"/>
      <c r="G287" s="80"/>
      <c r="H287" s="80"/>
      <c r="I287" s="80"/>
      <c r="J287" s="80"/>
      <c r="K287" s="80"/>
      <c r="L287" s="80"/>
      <c r="M287" s="80"/>
      <c r="N287" s="82"/>
      <c r="O287" s="85"/>
      <c r="P287" s="80"/>
      <c r="Q287" s="80"/>
      <c r="R287" s="80"/>
    </row>
    <row r="288" spans="1:18">
      <c r="A288" s="80">
        <v>281</v>
      </c>
      <c r="B288" s="80"/>
      <c r="C288" s="80"/>
      <c r="D288" s="82"/>
      <c r="E288" s="82"/>
      <c r="F288" s="80"/>
      <c r="G288" s="80"/>
      <c r="H288" s="80"/>
      <c r="I288" s="80"/>
      <c r="J288" s="80"/>
      <c r="K288" s="80"/>
      <c r="L288" s="80"/>
      <c r="M288" s="80"/>
      <c r="N288" s="82"/>
      <c r="O288" s="85"/>
      <c r="P288" s="80"/>
      <c r="Q288" s="80"/>
      <c r="R288" s="80"/>
    </row>
    <row r="289" spans="1:18">
      <c r="A289" s="80">
        <v>282</v>
      </c>
      <c r="B289" s="80"/>
      <c r="C289" s="80"/>
      <c r="D289" s="82"/>
      <c r="E289" s="82"/>
      <c r="F289" s="80"/>
      <c r="G289" s="80"/>
      <c r="H289" s="80"/>
      <c r="I289" s="80"/>
      <c r="J289" s="80"/>
      <c r="K289" s="80"/>
      <c r="L289" s="80"/>
      <c r="M289" s="80"/>
      <c r="N289" s="82"/>
      <c r="O289" s="85"/>
      <c r="P289" s="80"/>
      <c r="Q289" s="80"/>
      <c r="R289" s="80"/>
    </row>
    <row r="290" spans="1:18">
      <c r="A290" s="80">
        <v>283</v>
      </c>
      <c r="B290" s="80"/>
      <c r="C290" s="80"/>
      <c r="D290" s="82"/>
      <c r="E290" s="82"/>
      <c r="F290" s="80"/>
      <c r="G290" s="80"/>
      <c r="H290" s="80"/>
      <c r="I290" s="80"/>
      <c r="J290" s="80"/>
      <c r="K290" s="80"/>
      <c r="L290" s="80"/>
      <c r="M290" s="80"/>
      <c r="N290" s="82"/>
      <c r="O290" s="85"/>
      <c r="P290" s="80"/>
      <c r="Q290" s="80"/>
      <c r="R290" s="80"/>
    </row>
    <row r="291" spans="1:18">
      <c r="A291" s="80">
        <v>284</v>
      </c>
      <c r="B291" s="80"/>
      <c r="C291" s="80"/>
      <c r="D291" s="82"/>
      <c r="E291" s="82"/>
      <c r="F291" s="80"/>
      <c r="G291" s="80"/>
      <c r="H291" s="80"/>
      <c r="I291" s="80"/>
      <c r="J291" s="80"/>
      <c r="K291" s="80"/>
      <c r="L291" s="80"/>
      <c r="M291" s="80"/>
      <c r="N291" s="82"/>
      <c r="O291" s="85"/>
      <c r="P291" s="80"/>
      <c r="Q291" s="80"/>
      <c r="R291" s="80"/>
    </row>
    <row r="292" spans="1:18">
      <c r="A292" s="80">
        <v>285</v>
      </c>
      <c r="B292" s="80"/>
      <c r="C292" s="80"/>
      <c r="D292" s="82"/>
      <c r="E292" s="82"/>
      <c r="F292" s="80"/>
      <c r="G292" s="80"/>
      <c r="H292" s="80"/>
      <c r="I292" s="80"/>
      <c r="J292" s="80"/>
      <c r="K292" s="80"/>
      <c r="L292" s="80"/>
      <c r="M292" s="80"/>
      <c r="N292" s="82"/>
      <c r="O292" s="85"/>
      <c r="P292" s="80"/>
      <c r="Q292" s="80"/>
      <c r="R292" s="80"/>
    </row>
    <row r="293" spans="1:18">
      <c r="A293" s="80">
        <v>286</v>
      </c>
      <c r="B293" s="80"/>
      <c r="C293" s="80"/>
      <c r="D293" s="82"/>
      <c r="E293" s="82"/>
      <c r="F293" s="80"/>
      <c r="G293" s="80"/>
      <c r="H293" s="80"/>
      <c r="I293" s="80"/>
      <c r="J293" s="80"/>
      <c r="K293" s="80"/>
      <c r="L293" s="80"/>
      <c r="M293" s="80"/>
      <c r="N293" s="82"/>
      <c r="O293" s="85"/>
      <c r="P293" s="80"/>
      <c r="Q293" s="80"/>
      <c r="R293" s="80"/>
    </row>
    <row r="294" spans="1:18">
      <c r="A294" s="80">
        <v>287</v>
      </c>
      <c r="B294" s="80"/>
      <c r="C294" s="80"/>
      <c r="D294" s="82"/>
      <c r="E294" s="82"/>
      <c r="F294" s="80"/>
      <c r="G294" s="80"/>
      <c r="H294" s="80"/>
      <c r="I294" s="80"/>
      <c r="J294" s="80"/>
      <c r="K294" s="80"/>
      <c r="L294" s="80"/>
      <c r="M294" s="80"/>
      <c r="N294" s="82"/>
      <c r="O294" s="85"/>
      <c r="P294" s="80"/>
      <c r="Q294" s="80"/>
      <c r="R294" s="80"/>
    </row>
    <row r="295" spans="1:18">
      <c r="A295" s="80">
        <v>288</v>
      </c>
      <c r="B295" s="80"/>
      <c r="C295" s="80"/>
      <c r="D295" s="82"/>
      <c r="E295" s="82"/>
      <c r="F295" s="80"/>
      <c r="G295" s="80"/>
      <c r="H295" s="80"/>
      <c r="I295" s="80"/>
      <c r="J295" s="80"/>
      <c r="K295" s="80"/>
      <c r="L295" s="80"/>
      <c r="M295" s="80"/>
      <c r="N295" s="82"/>
      <c r="O295" s="85"/>
      <c r="P295" s="80"/>
      <c r="Q295" s="80"/>
      <c r="R295" s="80"/>
    </row>
    <row r="296" spans="1:18">
      <c r="A296" s="80">
        <v>289</v>
      </c>
      <c r="B296" s="80"/>
      <c r="C296" s="80"/>
      <c r="D296" s="82"/>
      <c r="E296" s="82"/>
      <c r="F296" s="80"/>
      <c r="G296" s="80"/>
      <c r="H296" s="80"/>
      <c r="I296" s="80"/>
      <c r="J296" s="80"/>
      <c r="K296" s="80"/>
      <c r="L296" s="80"/>
      <c r="M296" s="80"/>
      <c r="N296" s="82"/>
      <c r="O296" s="85"/>
      <c r="P296" s="80"/>
      <c r="Q296" s="80"/>
      <c r="R296" s="80"/>
    </row>
    <row r="297" spans="1:18">
      <c r="A297" s="80">
        <v>290</v>
      </c>
      <c r="B297" s="80"/>
      <c r="C297" s="80"/>
      <c r="D297" s="82"/>
      <c r="E297" s="82"/>
      <c r="F297" s="80"/>
      <c r="G297" s="80"/>
      <c r="H297" s="80"/>
      <c r="I297" s="80"/>
      <c r="J297" s="80"/>
      <c r="K297" s="80"/>
      <c r="L297" s="80"/>
      <c r="M297" s="80"/>
      <c r="N297" s="82"/>
      <c r="O297" s="85"/>
      <c r="P297" s="80"/>
      <c r="Q297" s="80"/>
      <c r="R297" s="80"/>
    </row>
    <row r="298" spans="1:18">
      <c r="A298" s="80">
        <v>291</v>
      </c>
      <c r="B298" s="80"/>
      <c r="C298" s="80"/>
      <c r="D298" s="82"/>
      <c r="E298" s="82"/>
      <c r="F298" s="80"/>
      <c r="G298" s="80"/>
      <c r="H298" s="80"/>
      <c r="I298" s="80"/>
      <c r="J298" s="80"/>
      <c r="K298" s="80"/>
      <c r="L298" s="80"/>
      <c r="M298" s="80"/>
      <c r="N298" s="82"/>
      <c r="O298" s="85"/>
      <c r="P298" s="80"/>
      <c r="Q298" s="80"/>
      <c r="R298" s="80"/>
    </row>
    <row r="299" spans="1:18">
      <c r="A299" s="80">
        <v>292</v>
      </c>
      <c r="B299" s="80"/>
      <c r="C299" s="80"/>
      <c r="D299" s="82"/>
      <c r="E299" s="82"/>
      <c r="F299" s="80"/>
      <c r="G299" s="80"/>
      <c r="H299" s="80"/>
      <c r="I299" s="80"/>
      <c r="J299" s="80"/>
      <c r="K299" s="80"/>
      <c r="L299" s="80"/>
      <c r="M299" s="80"/>
      <c r="N299" s="82"/>
      <c r="O299" s="85"/>
      <c r="P299" s="80"/>
      <c r="Q299" s="80"/>
      <c r="R299" s="80"/>
    </row>
    <row r="300" spans="1:18">
      <c r="A300" s="80">
        <v>293</v>
      </c>
      <c r="B300" s="80"/>
      <c r="C300" s="80"/>
      <c r="D300" s="82"/>
      <c r="E300" s="82"/>
      <c r="F300" s="80"/>
      <c r="G300" s="80"/>
      <c r="H300" s="80"/>
      <c r="I300" s="80"/>
      <c r="J300" s="80"/>
      <c r="K300" s="80"/>
      <c r="L300" s="80"/>
      <c r="M300" s="80"/>
      <c r="N300" s="82"/>
      <c r="O300" s="85"/>
      <c r="P300" s="80"/>
      <c r="Q300" s="80"/>
      <c r="R300" s="80"/>
    </row>
    <row r="301" spans="1:18">
      <c r="A301" s="80">
        <v>294</v>
      </c>
      <c r="B301" s="80"/>
      <c r="C301" s="80"/>
      <c r="D301" s="82"/>
      <c r="E301" s="82"/>
      <c r="F301" s="80"/>
      <c r="G301" s="80"/>
      <c r="H301" s="80"/>
      <c r="I301" s="80"/>
      <c r="J301" s="80"/>
      <c r="K301" s="80"/>
      <c r="L301" s="80"/>
      <c r="M301" s="80"/>
      <c r="N301" s="82"/>
      <c r="O301" s="85"/>
      <c r="P301" s="80"/>
      <c r="Q301" s="80"/>
      <c r="R301" s="80"/>
    </row>
    <row r="302" spans="1:18">
      <c r="A302" s="80">
        <v>295</v>
      </c>
      <c r="B302" s="80"/>
      <c r="C302" s="80"/>
      <c r="D302" s="82"/>
      <c r="E302" s="82"/>
      <c r="F302" s="80"/>
      <c r="G302" s="80"/>
      <c r="H302" s="80"/>
      <c r="I302" s="80"/>
      <c r="J302" s="80"/>
      <c r="K302" s="80"/>
      <c r="L302" s="80"/>
      <c r="M302" s="80"/>
      <c r="N302" s="82"/>
      <c r="O302" s="85"/>
      <c r="P302" s="80"/>
      <c r="Q302" s="80"/>
      <c r="R302" s="80"/>
    </row>
    <row r="303" spans="1:18">
      <c r="A303" s="80">
        <v>296</v>
      </c>
      <c r="B303" s="80"/>
      <c r="C303" s="80"/>
      <c r="D303" s="82"/>
      <c r="E303" s="82"/>
      <c r="F303" s="80"/>
      <c r="G303" s="80"/>
      <c r="H303" s="80"/>
      <c r="I303" s="80"/>
      <c r="J303" s="80"/>
      <c r="K303" s="80"/>
      <c r="L303" s="80"/>
      <c r="M303" s="80"/>
      <c r="N303" s="82"/>
      <c r="O303" s="85"/>
      <c r="P303" s="80"/>
      <c r="Q303" s="80"/>
      <c r="R303" s="80"/>
    </row>
    <row r="304" spans="1:18">
      <c r="A304" s="80">
        <v>297</v>
      </c>
      <c r="B304" s="80"/>
      <c r="C304" s="80"/>
      <c r="D304" s="82"/>
      <c r="E304" s="82"/>
      <c r="F304" s="80"/>
      <c r="G304" s="80"/>
      <c r="H304" s="80"/>
      <c r="I304" s="80"/>
      <c r="J304" s="80"/>
      <c r="K304" s="80"/>
      <c r="L304" s="80"/>
      <c r="M304" s="80"/>
      <c r="N304" s="82"/>
      <c r="O304" s="85"/>
      <c r="P304" s="80"/>
      <c r="Q304" s="80"/>
      <c r="R304" s="80"/>
    </row>
    <row r="305" spans="1:18">
      <c r="A305" s="80">
        <v>298</v>
      </c>
      <c r="B305" s="80"/>
      <c r="C305" s="80"/>
      <c r="D305" s="82"/>
      <c r="E305" s="82"/>
      <c r="F305" s="80"/>
      <c r="G305" s="80"/>
      <c r="H305" s="80"/>
      <c r="I305" s="80"/>
      <c r="J305" s="80"/>
      <c r="K305" s="80"/>
      <c r="L305" s="80"/>
      <c r="M305" s="80"/>
      <c r="N305" s="82"/>
      <c r="O305" s="85"/>
      <c r="P305" s="80"/>
      <c r="Q305" s="80"/>
      <c r="R305" s="80"/>
    </row>
    <row r="306" spans="1:18">
      <c r="A306" s="80">
        <v>299</v>
      </c>
      <c r="B306" s="80"/>
      <c r="C306" s="80"/>
      <c r="D306" s="82"/>
      <c r="E306" s="82"/>
      <c r="F306" s="80"/>
      <c r="G306" s="80"/>
      <c r="H306" s="80"/>
      <c r="I306" s="80"/>
      <c r="J306" s="80"/>
      <c r="K306" s="80"/>
      <c r="L306" s="80"/>
      <c r="M306" s="80"/>
      <c r="N306" s="82"/>
      <c r="O306" s="85"/>
      <c r="P306" s="80"/>
      <c r="Q306" s="80"/>
      <c r="R306" s="80"/>
    </row>
    <row r="307" spans="1:18">
      <c r="A307" s="80">
        <v>300</v>
      </c>
      <c r="B307" s="80"/>
      <c r="C307" s="80"/>
      <c r="D307" s="82"/>
      <c r="E307" s="82"/>
      <c r="F307" s="80"/>
      <c r="G307" s="80"/>
      <c r="H307" s="80"/>
      <c r="I307" s="80"/>
      <c r="J307" s="80"/>
      <c r="K307" s="80"/>
      <c r="L307" s="80"/>
      <c r="M307" s="80"/>
      <c r="N307" s="82"/>
      <c r="O307" s="85"/>
      <c r="P307" s="80"/>
      <c r="Q307" s="80"/>
      <c r="R307" s="80"/>
    </row>
    <row r="308" spans="1:18">
      <c r="A308" s="80">
        <v>301</v>
      </c>
      <c r="B308" s="80"/>
      <c r="C308" s="80"/>
      <c r="D308" s="82"/>
      <c r="E308" s="82"/>
      <c r="F308" s="80"/>
      <c r="G308" s="80"/>
      <c r="H308" s="80"/>
      <c r="I308" s="80"/>
      <c r="J308" s="80"/>
      <c r="K308" s="80"/>
      <c r="L308" s="80"/>
      <c r="M308" s="80"/>
      <c r="N308" s="82"/>
      <c r="O308" s="85"/>
      <c r="P308" s="80"/>
      <c r="Q308" s="80"/>
      <c r="R308" s="80"/>
    </row>
    <row r="309" spans="1:18">
      <c r="A309" s="80">
        <v>302</v>
      </c>
      <c r="B309" s="80"/>
      <c r="C309" s="80"/>
      <c r="D309" s="82"/>
      <c r="E309" s="82"/>
      <c r="F309" s="80"/>
      <c r="G309" s="80"/>
      <c r="H309" s="80"/>
      <c r="I309" s="80"/>
      <c r="J309" s="80"/>
      <c r="K309" s="80"/>
      <c r="L309" s="80"/>
      <c r="M309" s="80"/>
      <c r="N309" s="82"/>
      <c r="O309" s="85"/>
      <c r="P309" s="80"/>
      <c r="Q309" s="80"/>
      <c r="R309" s="80"/>
    </row>
    <row r="310" spans="1:18">
      <c r="A310" s="80">
        <v>303</v>
      </c>
      <c r="B310" s="80"/>
      <c r="C310" s="80"/>
      <c r="D310" s="82"/>
      <c r="E310" s="82"/>
      <c r="F310" s="80"/>
      <c r="G310" s="80"/>
      <c r="H310" s="80"/>
      <c r="I310" s="80"/>
      <c r="J310" s="80"/>
      <c r="K310" s="80"/>
      <c r="L310" s="80"/>
      <c r="M310" s="80"/>
      <c r="N310" s="82"/>
      <c r="O310" s="85"/>
      <c r="P310" s="80"/>
      <c r="Q310" s="80"/>
      <c r="R310" s="80"/>
    </row>
    <row r="311" spans="1:18">
      <c r="A311" s="80">
        <v>304</v>
      </c>
      <c r="B311" s="80"/>
      <c r="C311" s="80"/>
      <c r="D311" s="82"/>
      <c r="E311" s="82"/>
      <c r="F311" s="80"/>
      <c r="G311" s="80"/>
      <c r="H311" s="80"/>
      <c r="I311" s="80"/>
      <c r="J311" s="80"/>
      <c r="K311" s="80"/>
      <c r="L311" s="80"/>
      <c r="M311" s="80"/>
      <c r="N311" s="82"/>
      <c r="O311" s="85"/>
      <c r="P311" s="80"/>
      <c r="Q311" s="80"/>
      <c r="R311" s="80"/>
    </row>
    <row r="312" spans="1:18">
      <c r="A312" s="80">
        <v>305</v>
      </c>
      <c r="B312" s="80"/>
      <c r="C312" s="80"/>
      <c r="D312" s="82"/>
      <c r="E312" s="82"/>
      <c r="F312" s="80"/>
      <c r="G312" s="80"/>
      <c r="H312" s="80"/>
      <c r="I312" s="80"/>
      <c r="J312" s="80"/>
      <c r="K312" s="80"/>
      <c r="L312" s="80"/>
      <c r="M312" s="80"/>
      <c r="N312" s="82"/>
      <c r="O312" s="85"/>
      <c r="P312" s="80"/>
      <c r="Q312" s="80"/>
      <c r="R312" s="80"/>
    </row>
    <row r="313" spans="1:18">
      <c r="A313" s="80">
        <v>306</v>
      </c>
      <c r="B313" s="80"/>
      <c r="C313" s="80"/>
      <c r="D313" s="82"/>
      <c r="E313" s="82"/>
      <c r="F313" s="80"/>
      <c r="G313" s="80"/>
      <c r="H313" s="80"/>
      <c r="I313" s="80"/>
      <c r="J313" s="80"/>
      <c r="K313" s="80"/>
      <c r="L313" s="80"/>
      <c r="M313" s="80"/>
      <c r="N313" s="82"/>
      <c r="O313" s="85"/>
      <c r="P313" s="80"/>
      <c r="Q313" s="80"/>
      <c r="R313" s="80"/>
    </row>
    <row r="314" spans="1:18">
      <c r="A314" s="80">
        <v>307</v>
      </c>
      <c r="B314" s="80"/>
      <c r="C314" s="80"/>
      <c r="D314" s="82"/>
      <c r="E314" s="82"/>
      <c r="F314" s="80"/>
      <c r="G314" s="80"/>
      <c r="H314" s="80"/>
      <c r="I314" s="80"/>
      <c r="J314" s="80"/>
      <c r="K314" s="80"/>
      <c r="L314" s="80"/>
      <c r="M314" s="80"/>
      <c r="N314" s="82"/>
      <c r="O314" s="85"/>
      <c r="P314" s="80"/>
      <c r="Q314" s="80"/>
      <c r="R314" s="80"/>
    </row>
    <row r="315" spans="1:18">
      <c r="A315" s="80">
        <v>308</v>
      </c>
      <c r="B315" s="80"/>
      <c r="C315" s="80"/>
      <c r="D315" s="82"/>
      <c r="E315" s="82"/>
      <c r="F315" s="80"/>
      <c r="G315" s="80"/>
      <c r="H315" s="80"/>
      <c r="I315" s="80"/>
      <c r="J315" s="80"/>
      <c r="K315" s="80"/>
      <c r="L315" s="80"/>
      <c r="M315" s="80"/>
      <c r="N315" s="82"/>
      <c r="O315" s="85"/>
      <c r="P315" s="80"/>
      <c r="Q315" s="80"/>
      <c r="R315" s="80"/>
    </row>
    <row r="316" spans="1:18">
      <c r="A316" s="80">
        <v>309</v>
      </c>
      <c r="B316" s="80"/>
      <c r="C316" s="80"/>
      <c r="D316" s="82"/>
      <c r="E316" s="82"/>
      <c r="F316" s="80"/>
      <c r="G316" s="80"/>
      <c r="H316" s="80"/>
      <c r="I316" s="80"/>
      <c r="J316" s="80"/>
      <c r="K316" s="80"/>
      <c r="L316" s="80"/>
      <c r="M316" s="80"/>
      <c r="N316" s="82"/>
      <c r="O316" s="85"/>
      <c r="P316" s="80"/>
      <c r="Q316" s="80"/>
      <c r="R316" s="80"/>
    </row>
    <row r="317" spans="1:18">
      <c r="A317" s="80">
        <v>310</v>
      </c>
      <c r="B317" s="80"/>
      <c r="C317" s="80"/>
      <c r="D317" s="82"/>
      <c r="E317" s="82"/>
      <c r="F317" s="80"/>
      <c r="G317" s="80"/>
      <c r="H317" s="80"/>
      <c r="I317" s="80"/>
      <c r="J317" s="80"/>
      <c r="K317" s="80"/>
      <c r="L317" s="80"/>
      <c r="M317" s="80"/>
      <c r="N317" s="82"/>
      <c r="O317" s="85"/>
      <c r="P317" s="80"/>
      <c r="Q317" s="80"/>
      <c r="R317" s="80"/>
    </row>
    <row r="318" spans="1:18">
      <c r="A318" s="80">
        <v>311</v>
      </c>
      <c r="B318" s="80"/>
      <c r="C318" s="80"/>
      <c r="D318" s="82"/>
      <c r="E318" s="82"/>
      <c r="F318" s="80"/>
      <c r="G318" s="80"/>
      <c r="H318" s="80"/>
      <c r="I318" s="80"/>
      <c r="J318" s="80"/>
      <c r="K318" s="80"/>
      <c r="L318" s="80"/>
      <c r="M318" s="80"/>
      <c r="N318" s="82"/>
      <c r="O318" s="85"/>
      <c r="P318" s="80"/>
      <c r="Q318" s="80"/>
      <c r="R318" s="80"/>
    </row>
    <row r="319" spans="1:18">
      <c r="A319" s="80">
        <v>312</v>
      </c>
      <c r="B319" s="80"/>
      <c r="C319" s="80"/>
      <c r="D319" s="82"/>
      <c r="E319" s="82"/>
      <c r="F319" s="80"/>
      <c r="G319" s="80"/>
      <c r="H319" s="80"/>
      <c r="I319" s="80"/>
      <c r="J319" s="80"/>
      <c r="K319" s="80"/>
      <c r="L319" s="80"/>
      <c r="M319" s="80"/>
      <c r="N319" s="82"/>
      <c r="O319" s="85"/>
      <c r="P319" s="80"/>
      <c r="Q319" s="80"/>
      <c r="R319" s="80"/>
    </row>
    <row r="320" spans="1:18">
      <c r="A320" s="80">
        <v>313</v>
      </c>
      <c r="B320" s="80"/>
      <c r="C320" s="80"/>
      <c r="D320" s="82"/>
      <c r="E320" s="82"/>
      <c r="F320" s="80"/>
      <c r="G320" s="80"/>
      <c r="H320" s="80"/>
      <c r="I320" s="80"/>
      <c r="J320" s="80"/>
      <c r="K320" s="80"/>
      <c r="L320" s="80"/>
      <c r="M320" s="80"/>
      <c r="N320" s="82"/>
      <c r="O320" s="85"/>
      <c r="P320" s="80"/>
      <c r="Q320" s="80"/>
      <c r="R320" s="80"/>
    </row>
    <row r="321" spans="1:18">
      <c r="A321" s="80">
        <v>314</v>
      </c>
      <c r="B321" s="80"/>
      <c r="C321" s="80"/>
      <c r="D321" s="82"/>
      <c r="E321" s="82"/>
      <c r="F321" s="80"/>
      <c r="G321" s="80"/>
      <c r="H321" s="80"/>
      <c r="I321" s="80"/>
      <c r="J321" s="80"/>
      <c r="K321" s="80"/>
      <c r="L321" s="80"/>
      <c r="M321" s="80"/>
      <c r="N321" s="82"/>
      <c r="O321" s="85"/>
      <c r="P321" s="80"/>
      <c r="Q321" s="80"/>
      <c r="R321" s="80"/>
    </row>
    <row r="322" spans="1:18">
      <c r="A322" s="80">
        <v>315</v>
      </c>
      <c r="B322" s="80"/>
      <c r="C322" s="80"/>
      <c r="D322" s="82"/>
      <c r="E322" s="82"/>
      <c r="F322" s="80"/>
      <c r="G322" s="80"/>
      <c r="H322" s="80"/>
      <c r="I322" s="80"/>
      <c r="J322" s="80"/>
      <c r="K322" s="80"/>
      <c r="L322" s="80"/>
      <c r="M322" s="80"/>
      <c r="N322" s="82"/>
      <c r="O322" s="85"/>
      <c r="P322" s="80"/>
      <c r="Q322" s="80"/>
      <c r="R322" s="80"/>
    </row>
    <row r="323" spans="1:18">
      <c r="A323" s="80">
        <v>316</v>
      </c>
      <c r="B323" s="80"/>
      <c r="C323" s="80"/>
      <c r="D323" s="82"/>
      <c r="E323" s="82"/>
      <c r="F323" s="80"/>
      <c r="G323" s="80"/>
      <c r="H323" s="80"/>
      <c r="I323" s="80"/>
      <c r="J323" s="80"/>
      <c r="K323" s="80"/>
      <c r="L323" s="80"/>
      <c r="M323" s="80"/>
      <c r="N323" s="82"/>
      <c r="O323" s="85"/>
      <c r="P323" s="80"/>
      <c r="Q323" s="80"/>
      <c r="R323" s="80"/>
    </row>
    <row r="324" spans="1:18">
      <c r="A324" s="80">
        <v>317</v>
      </c>
      <c r="B324" s="80"/>
      <c r="C324" s="80"/>
      <c r="D324" s="82"/>
      <c r="E324" s="82"/>
      <c r="F324" s="80"/>
      <c r="G324" s="80"/>
      <c r="H324" s="80"/>
      <c r="I324" s="80"/>
      <c r="J324" s="80"/>
      <c r="K324" s="80"/>
      <c r="L324" s="80"/>
      <c r="M324" s="80"/>
      <c r="N324" s="82"/>
      <c r="O324" s="85"/>
      <c r="P324" s="80"/>
      <c r="Q324" s="80"/>
      <c r="R324" s="80"/>
    </row>
    <row r="325" spans="1:18">
      <c r="A325" s="80">
        <v>318</v>
      </c>
      <c r="B325" s="80"/>
      <c r="C325" s="80"/>
      <c r="D325" s="82"/>
      <c r="E325" s="82"/>
      <c r="F325" s="80"/>
      <c r="G325" s="80"/>
      <c r="H325" s="80"/>
      <c r="I325" s="80"/>
      <c r="J325" s="80"/>
      <c r="K325" s="80"/>
      <c r="L325" s="80"/>
      <c r="M325" s="80"/>
      <c r="N325" s="82"/>
      <c r="O325" s="85"/>
      <c r="P325" s="80"/>
      <c r="Q325" s="80"/>
      <c r="R325" s="80"/>
    </row>
    <row r="326" spans="1:18">
      <c r="A326" s="80">
        <v>319</v>
      </c>
      <c r="B326" s="80"/>
      <c r="C326" s="80"/>
      <c r="D326" s="82"/>
      <c r="E326" s="82"/>
      <c r="F326" s="80"/>
      <c r="G326" s="80"/>
      <c r="H326" s="80"/>
      <c r="I326" s="80"/>
      <c r="J326" s="80"/>
      <c r="K326" s="80"/>
      <c r="L326" s="80"/>
      <c r="M326" s="80"/>
      <c r="N326" s="82"/>
      <c r="O326" s="85"/>
      <c r="P326" s="80"/>
      <c r="Q326" s="80"/>
      <c r="R326" s="80"/>
    </row>
    <row r="327" spans="1:18">
      <c r="A327" s="80">
        <v>320</v>
      </c>
      <c r="B327" s="80"/>
      <c r="C327" s="80"/>
      <c r="D327" s="82"/>
      <c r="E327" s="82"/>
      <c r="F327" s="80"/>
      <c r="G327" s="80"/>
      <c r="H327" s="80"/>
      <c r="I327" s="80"/>
      <c r="J327" s="80"/>
      <c r="K327" s="80"/>
      <c r="L327" s="80"/>
      <c r="M327" s="80"/>
      <c r="N327" s="82"/>
      <c r="O327" s="85"/>
      <c r="P327" s="80"/>
      <c r="Q327" s="80"/>
      <c r="R327" s="80"/>
    </row>
    <row r="328" spans="1:18">
      <c r="A328" s="80">
        <v>321</v>
      </c>
      <c r="B328" s="80"/>
      <c r="C328" s="80"/>
      <c r="D328" s="82"/>
      <c r="E328" s="82"/>
      <c r="F328" s="80"/>
      <c r="G328" s="80"/>
      <c r="H328" s="80"/>
      <c r="I328" s="80"/>
      <c r="J328" s="80"/>
      <c r="K328" s="80"/>
      <c r="L328" s="80"/>
      <c r="M328" s="80"/>
      <c r="N328" s="82"/>
      <c r="O328" s="85"/>
      <c r="P328" s="80"/>
      <c r="Q328" s="80"/>
      <c r="R328" s="80"/>
    </row>
    <row r="329" spans="1:18">
      <c r="A329" s="80">
        <v>322</v>
      </c>
      <c r="B329" s="80"/>
      <c r="C329" s="80"/>
      <c r="D329" s="82"/>
      <c r="E329" s="82"/>
      <c r="F329" s="80"/>
      <c r="G329" s="80"/>
      <c r="H329" s="80"/>
      <c r="I329" s="80"/>
      <c r="J329" s="80"/>
      <c r="K329" s="80"/>
      <c r="L329" s="80"/>
      <c r="M329" s="80"/>
      <c r="N329" s="82"/>
      <c r="O329" s="85"/>
      <c r="P329" s="80"/>
      <c r="Q329" s="80"/>
      <c r="R329" s="80"/>
    </row>
    <row r="330" spans="1:18">
      <c r="A330" s="80">
        <v>323</v>
      </c>
      <c r="B330" s="80"/>
      <c r="C330" s="80"/>
      <c r="D330" s="82"/>
      <c r="E330" s="82"/>
      <c r="F330" s="80"/>
      <c r="G330" s="80"/>
      <c r="H330" s="80"/>
      <c r="I330" s="80"/>
      <c r="J330" s="80"/>
      <c r="K330" s="80"/>
      <c r="L330" s="80"/>
      <c r="M330" s="80"/>
      <c r="N330" s="82"/>
      <c r="O330" s="85"/>
      <c r="P330" s="80"/>
      <c r="Q330" s="80"/>
      <c r="R330" s="80"/>
    </row>
    <row r="331" spans="1:18">
      <c r="A331" s="80">
        <v>324</v>
      </c>
      <c r="B331" s="80"/>
      <c r="C331" s="80"/>
      <c r="D331" s="82"/>
      <c r="E331" s="82"/>
      <c r="F331" s="80"/>
      <c r="G331" s="80"/>
      <c r="H331" s="80"/>
      <c r="I331" s="80"/>
      <c r="J331" s="80"/>
      <c r="K331" s="80"/>
      <c r="L331" s="80"/>
      <c r="M331" s="80"/>
      <c r="N331" s="82"/>
      <c r="O331" s="85"/>
      <c r="P331" s="80"/>
      <c r="Q331" s="80"/>
      <c r="R331" s="80"/>
    </row>
    <row r="332" spans="1:18">
      <c r="A332" s="80">
        <v>325</v>
      </c>
      <c r="B332" s="80"/>
      <c r="C332" s="80"/>
      <c r="D332" s="82"/>
      <c r="E332" s="82"/>
      <c r="F332" s="80"/>
      <c r="G332" s="80"/>
      <c r="H332" s="80"/>
      <c r="I332" s="80"/>
      <c r="J332" s="80"/>
      <c r="K332" s="80"/>
      <c r="L332" s="80"/>
      <c r="M332" s="80"/>
      <c r="N332" s="82"/>
      <c r="O332" s="85"/>
      <c r="P332" s="80"/>
      <c r="Q332" s="80"/>
      <c r="R332" s="80"/>
    </row>
    <row r="333" spans="1:18">
      <c r="A333" s="80">
        <v>326</v>
      </c>
      <c r="B333" s="80"/>
      <c r="C333" s="80"/>
      <c r="D333" s="82"/>
      <c r="E333" s="82"/>
      <c r="F333" s="80"/>
      <c r="G333" s="80"/>
      <c r="H333" s="80"/>
      <c r="I333" s="80"/>
      <c r="J333" s="80"/>
      <c r="K333" s="80"/>
      <c r="L333" s="80"/>
      <c r="M333" s="80"/>
      <c r="N333" s="82"/>
      <c r="O333" s="85"/>
      <c r="P333" s="80"/>
      <c r="Q333" s="80"/>
      <c r="R333" s="80"/>
    </row>
    <row r="334" spans="1:18">
      <c r="A334" s="80">
        <v>327</v>
      </c>
      <c r="B334" s="80"/>
      <c r="C334" s="80"/>
      <c r="D334" s="82"/>
      <c r="E334" s="82"/>
      <c r="F334" s="80"/>
      <c r="G334" s="80"/>
      <c r="H334" s="80"/>
      <c r="I334" s="80"/>
      <c r="J334" s="80"/>
      <c r="K334" s="80"/>
      <c r="L334" s="80"/>
      <c r="M334" s="80"/>
      <c r="N334" s="82"/>
      <c r="O334" s="85"/>
      <c r="P334" s="80"/>
      <c r="Q334" s="80"/>
      <c r="R334" s="80"/>
    </row>
    <row r="335" spans="1:18">
      <c r="A335" s="80">
        <v>328</v>
      </c>
      <c r="B335" s="80"/>
      <c r="C335" s="80"/>
      <c r="D335" s="82"/>
      <c r="E335" s="82"/>
      <c r="F335" s="80"/>
      <c r="G335" s="80"/>
      <c r="H335" s="80"/>
      <c r="I335" s="80"/>
      <c r="J335" s="80"/>
      <c r="K335" s="80"/>
      <c r="L335" s="80"/>
      <c r="M335" s="80"/>
      <c r="N335" s="82"/>
      <c r="O335" s="85"/>
      <c r="P335" s="80"/>
      <c r="Q335" s="80"/>
      <c r="R335" s="80"/>
    </row>
    <row r="336" spans="1:18">
      <c r="A336" s="80">
        <v>329</v>
      </c>
      <c r="B336" s="80"/>
      <c r="C336" s="80"/>
      <c r="D336" s="82"/>
      <c r="E336" s="82"/>
      <c r="F336" s="80"/>
      <c r="G336" s="80"/>
      <c r="H336" s="80"/>
      <c r="I336" s="80"/>
      <c r="J336" s="80"/>
      <c r="K336" s="80"/>
      <c r="L336" s="80"/>
      <c r="M336" s="80"/>
      <c r="N336" s="82"/>
      <c r="O336" s="85"/>
      <c r="P336" s="80"/>
      <c r="Q336" s="80"/>
      <c r="R336" s="80"/>
    </row>
    <row r="337" spans="1:18">
      <c r="A337" s="80">
        <v>330</v>
      </c>
      <c r="B337" s="80"/>
      <c r="C337" s="80"/>
      <c r="D337" s="82"/>
      <c r="E337" s="82"/>
      <c r="F337" s="80"/>
      <c r="G337" s="80"/>
      <c r="H337" s="80"/>
      <c r="I337" s="80"/>
      <c r="J337" s="80"/>
      <c r="K337" s="80"/>
      <c r="L337" s="80"/>
      <c r="M337" s="80"/>
      <c r="N337" s="82"/>
      <c r="O337" s="85"/>
      <c r="P337" s="80"/>
      <c r="Q337" s="80"/>
      <c r="R337" s="80"/>
    </row>
    <row r="338" spans="1:18">
      <c r="A338" s="80">
        <v>331</v>
      </c>
      <c r="B338" s="80"/>
      <c r="C338" s="80"/>
      <c r="D338" s="82"/>
      <c r="E338" s="82"/>
      <c r="F338" s="80"/>
      <c r="G338" s="80"/>
      <c r="H338" s="80"/>
      <c r="I338" s="80"/>
      <c r="J338" s="80"/>
      <c r="K338" s="80"/>
      <c r="L338" s="80"/>
      <c r="M338" s="80"/>
      <c r="N338" s="82"/>
      <c r="O338" s="85"/>
      <c r="P338" s="80"/>
      <c r="Q338" s="80"/>
      <c r="R338" s="80"/>
    </row>
    <row r="339" spans="1:18">
      <c r="A339" s="80">
        <v>332</v>
      </c>
      <c r="B339" s="80"/>
      <c r="C339" s="80"/>
      <c r="D339" s="82"/>
      <c r="E339" s="82"/>
      <c r="F339" s="80"/>
      <c r="G339" s="80"/>
      <c r="H339" s="80"/>
      <c r="I339" s="80"/>
      <c r="J339" s="80"/>
      <c r="K339" s="80"/>
      <c r="L339" s="80"/>
      <c r="M339" s="80"/>
      <c r="N339" s="82"/>
      <c r="O339" s="85"/>
      <c r="P339" s="80"/>
      <c r="Q339" s="80"/>
      <c r="R339" s="80"/>
    </row>
    <row r="340" spans="1:18">
      <c r="A340" s="80">
        <v>333</v>
      </c>
      <c r="B340" s="80"/>
      <c r="C340" s="80"/>
      <c r="D340" s="82"/>
      <c r="E340" s="82"/>
      <c r="F340" s="80"/>
      <c r="G340" s="80"/>
      <c r="H340" s="80"/>
      <c r="I340" s="80"/>
      <c r="J340" s="80"/>
      <c r="K340" s="80"/>
      <c r="L340" s="80"/>
      <c r="M340" s="80"/>
      <c r="N340" s="82"/>
      <c r="O340" s="85"/>
      <c r="P340" s="80"/>
      <c r="Q340" s="80"/>
      <c r="R340" s="80"/>
    </row>
    <row r="341" spans="1:18">
      <c r="A341" s="80">
        <v>334</v>
      </c>
      <c r="B341" s="80"/>
      <c r="C341" s="80"/>
      <c r="D341" s="82"/>
      <c r="E341" s="82"/>
      <c r="F341" s="80"/>
      <c r="G341" s="80"/>
      <c r="H341" s="80"/>
      <c r="I341" s="80"/>
      <c r="J341" s="80"/>
      <c r="K341" s="80"/>
      <c r="L341" s="80"/>
      <c r="M341" s="80"/>
      <c r="N341" s="82"/>
      <c r="O341" s="85"/>
      <c r="P341" s="80"/>
      <c r="Q341" s="80"/>
      <c r="R341" s="80"/>
    </row>
    <row r="342" spans="1:18">
      <c r="A342" s="80">
        <v>335</v>
      </c>
      <c r="B342" s="80"/>
      <c r="C342" s="80"/>
      <c r="D342" s="82"/>
      <c r="E342" s="82"/>
      <c r="F342" s="80"/>
      <c r="G342" s="80"/>
      <c r="H342" s="80"/>
      <c r="I342" s="80"/>
      <c r="J342" s="80"/>
      <c r="K342" s="80"/>
      <c r="L342" s="80"/>
      <c r="M342" s="80"/>
      <c r="N342" s="82"/>
      <c r="O342" s="85"/>
      <c r="P342" s="80"/>
      <c r="Q342" s="80"/>
      <c r="R342" s="80"/>
    </row>
    <row r="343" spans="1:18">
      <c r="A343" s="80">
        <v>336</v>
      </c>
      <c r="B343" s="80"/>
      <c r="C343" s="80"/>
      <c r="D343" s="82"/>
      <c r="E343" s="82"/>
      <c r="F343" s="80"/>
      <c r="G343" s="80"/>
      <c r="H343" s="80"/>
      <c r="I343" s="80"/>
      <c r="J343" s="80"/>
      <c r="K343" s="80"/>
      <c r="L343" s="80"/>
      <c r="M343" s="80"/>
      <c r="N343" s="82"/>
      <c r="O343" s="85"/>
      <c r="P343" s="80"/>
      <c r="Q343" s="80"/>
      <c r="R343" s="80"/>
    </row>
    <row r="344" spans="1:18">
      <c r="A344" s="80">
        <v>337</v>
      </c>
      <c r="B344" s="80"/>
      <c r="C344" s="80"/>
      <c r="D344" s="82"/>
      <c r="E344" s="82"/>
      <c r="F344" s="80"/>
      <c r="G344" s="80"/>
      <c r="H344" s="80"/>
      <c r="I344" s="80"/>
      <c r="J344" s="80"/>
      <c r="K344" s="80"/>
      <c r="L344" s="80"/>
      <c r="M344" s="80"/>
      <c r="N344" s="82"/>
      <c r="O344" s="85"/>
      <c r="P344" s="80"/>
      <c r="Q344" s="80"/>
      <c r="R344" s="80"/>
    </row>
    <row r="345" spans="1:18">
      <c r="A345" s="80">
        <v>338</v>
      </c>
      <c r="B345" s="80"/>
      <c r="C345" s="80"/>
      <c r="D345" s="82"/>
      <c r="E345" s="82"/>
      <c r="F345" s="80"/>
      <c r="G345" s="80"/>
      <c r="H345" s="80"/>
      <c r="I345" s="80"/>
      <c r="J345" s="80"/>
      <c r="K345" s="80"/>
      <c r="L345" s="80"/>
      <c r="M345" s="80"/>
      <c r="N345" s="82"/>
      <c r="O345" s="85"/>
      <c r="P345" s="80"/>
      <c r="Q345" s="80"/>
      <c r="R345" s="80"/>
    </row>
    <row r="346" spans="1:18">
      <c r="A346" s="80">
        <v>339</v>
      </c>
      <c r="B346" s="80"/>
      <c r="C346" s="80"/>
      <c r="D346" s="82"/>
      <c r="E346" s="82"/>
      <c r="F346" s="80"/>
      <c r="G346" s="80"/>
      <c r="H346" s="80"/>
      <c r="I346" s="80"/>
      <c r="J346" s="80"/>
      <c r="K346" s="80"/>
      <c r="L346" s="80"/>
      <c r="M346" s="80"/>
      <c r="N346" s="82"/>
      <c r="O346" s="85"/>
      <c r="P346" s="80"/>
      <c r="Q346" s="80"/>
      <c r="R346" s="80"/>
    </row>
    <row r="347" spans="1:18">
      <c r="A347" s="80">
        <v>340</v>
      </c>
      <c r="B347" s="80"/>
      <c r="C347" s="80"/>
      <c r="D347" s="82"/>
      <c r="E347" s="82"/>
      <c r="F347" s="80"/>
      <c r="G347" s="80"/>
      <c r="H347" s="80"/>
      <c r="I347" s="80"/>
      <c r="J347" s="80"/>
      <c r="K347" s="80"/>
      <c r="L347" s="80"/>
      <c r="M347" s="80"/>
      <c r="N347" s="82"/>
      <c r="O347" s="85"/>
      <c r="P347" s="80"/>
      <c r="Q347" s="80"/>
      <c r="R347" s="80"/>
    </row>
    <row r="348" spans="1:18">
      <c r="A348" s="80">
        <v>341</v>
      </c>
      <c r="B348" s="80"/>
      <c r="C348" s="80"/>
      <c r="D348" s="82"/>
      <c r="E348" s="82"/>
      <c r="F348" s="80"/>
      <c r="G348" s="80"/>
      <c r="H348" s="80"/>
      <c r="I348" s="80"/>
      <c r="J348" s="80"/>
      <c r="K348" s="80"/>
      <c r="L348" s="80"/>
      <c r="M348" s="80"/>
      <c r="N348" s="82"/>
      <c r="O348" s="85"/>
      <c r="P348" s="80"/>
      <c r="Q348" s="80"/>
      <c r="R348" s="80"/>
    </row>
    <row r="349" spans="1:18">
      <c r="A349" s="80">
        <v>342</v>
      </c>
      <c r="B349" s="80"/>
      <c r="C349" s="80"/>
      <c r="D349" s="82"/>
      <c r="E349" s="82"/>
      <c r="F349" s="80"/>
      <c r="G349" s="80"/>
      <c r="H349" s="80"/>
      <c r="I349" s="80"/>
      <c r="J349" s="80"/>
      <c r="K349" s="80"/>
      <c r="L349" s="80"/>
      <c r="M349" s="80"/>
      <c r="N349" s="82"/>
      <c r="O349" s="85"/>
      <c r="P349" s="80"/>
      <c r="Q349" s="80"/>
      <c r="R349" s="80"/>
    </row>
    <row r="350" spans="1:18">
      <c r="A350" s="80">
        <v>343</v>
      </c>
      <c r="B350" s="80"/>
      <c r="C350" s="80"/>
      <c r="D350" s="82"/>
      <c r="E350" s="82"/>
      <c r="F350" s="80"/>
      <c r="G350" s="80"/>
      <c r="H350" s="80"/>
      <c r="I350" s="80"/>
      <c r="J350" s="80"/>
      <c r="K350" s="80"/>
      <c r="L350" s="80"/>
      <c r="M350" s="80"/>
      <c r="N350" s="82"/>
      <c r="O350" s="85"/>
      <c r="P350" s="80"/>
      <c r="Q350" s="80"/>
      <c r="R350" s="80"/>
    </row>
  </sheetData>
  <autoFilter ref="A5:R350" xr:uid="{7AB8D802-21C2-4A46-B67F-9D44A90E3ECC}"/>
  <mergeCells count="1">
    <mergeCell ref="A2:R2"/>
  </mergeCells>
  <pageMargins left="0.7" right="0.7" top="0.75" bottom="0.75" header="0.3" footer="0.3"/>
  <pageSetup orientation="portrait" r:id="rId1"/>
  <headerFooter>
    <oddHeader>&amp;R&amp;"arial"&amp;12&amp;K696969NON CLASSIFIÉ / UNCLASSIFIED&amp;1#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6393-3308-45D4-9FCE-B97F4F23CD27}">
  <sheetPr codeName="Sheet10"/>
  <dimension ref="A1:AA60"/>
  <sheetViews>
    <sheetView topLeftCell="A29" zoomScale="60" zoomScaleNormal="60" workbookViewId="0">
      <selection activeCell="J57" sqref="J57"/>
    </sheetView>
  </sheetViews>
  <sheetFormatPr defaultRowHeight="15"/>
  <cols>
    <col min="1" max="1" width="9.5703125" bestFit="1" customWidth="1"/>
    <col min="2" max="2" width="41.85546875" customWidth="1"/>
    <col min="3" max="3" width="27.5703125" customWidth="1"/>
    <col min="4" max="4" width="17.140625" customWidth="1"/>
    <col min="5" max="5" width="41.85546875" customWidth="1"/>
    <col min="6" max="7" width="16.140625" customWidth="1"/>
    <col min="8" max="8" width="16.7109375" customWidth="1"/>
    <col min="9" max="15" width="11" customWidth="1"/>
    <col min="16" max="26" width="13" customWidth="1"/>
  </cols>
  <sheetData>
    <row r="1" spans="1:27">
      <c r="A1" s="269" t="s">
        <v>9</v>
      </c>
      <c r="B1" s="269"/>
    </row>
    <row r="3" spans="1:27" ht="31.5">
      <c r="A3" s="11" t="s">
        <v>866</v>
      </c>
      <c r="B3" s="12"/>
    </row>
    <row r="4" spans="1:27">
      <c r="A4" t="s">
        <v>314</v>
      </c>
    </row>
    <row r="5" spans="1:27">
      <c r="B5" t="s">
        <v>849</v>
      </c>
    </row>
    <row r="6" spans="1:27">
      <c r="B6" s="44" t="s">
        <v>1192</v>
      </c>
      <c r="C6" s="44" t="s">
        <v>1193</v>
      </c>
      <c r="D6" s="44" t="s">
        <v>1194</v>
      </c>
      <c r="E6" s="44" t="s">
        <v>1195</v>
      </c>
      <c r="F6" s="44" t="s">
        <v>1196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1"/>
    </row>
    <row r="7" spans="1:27" ht="30" customHeight="1">
      <c r="B7" s="172" t="s">
        <v>1197</v>
      </c>
      <c r="C7" s="173"/>
      <c r="D7" s="173" t="s">
        <v>2</v>
      </c>
      <c r="E7" s="173" t="s">
        <v>1198</v>
      </c>
      <c r="F7" s="173" t="s">
        <v>850</v>
      </c>
      <c r="G7" s="173" t="s">
        <v>319</v>
      </c>
      <c r="H7" s="173" t="s">
        <v>1223</v>
      </c>
      <c r="I7" s="173">
        <v>0</v>
      </c>
      <c r="J7" s="173" t="s">
        <v>1199</v>
      </c>
      <c r="K7" s="173" t="s">
        <v>1200</v>
      </c>
      <c r="L7" s="173" t="s">
        <v>929</v>
      </c>
      <c r="M7" s="173" t="s">
        <v>934</v>
      </c>
      <c r="N7" s="173" t="s">
        <v>936</v>
      </c>
      <c r="O7" s="173" t="s">
        <v>1201</v>
      </c>
      <c r="P7" s="174">
        <v>2026</v>
      </c>
      <c r="Q7" s="174">
        <v>2027</v>
      </c>
      <c r="R7" s="174">
        <v>2028</v>
      </c>
      <c r="S7" s="174">
        <v>2029</v>
      </c>
      <c r="T7" s="174">
        <v>2030</v>
      </c>
      <c r="U7" s="174">
        <v>2031</v>
      </c>
      <c r="V7" s="174">
        <v>2032</v>
      </c>
      <c r="W7" s="174">
        <v>2033</v>
      </c>
      <c r="X7" s="174">
        <v>2034</v>
      </c>
      <c r="Y7" s="174">
        <v>2035</v>
      </c>
      <c r="Z7" s="175">
        <v>2036</v>
      </c>
      <c r="AA7" s="169"/>
    </row>
    <row r="8" spans="1:27" ht="54">
      <c r="B8" s="179">
        <v>1</v>
      </c>
      <c r="C8" s="176" t="s">
        <v>1224</v>
      </c>
      <c r="D8" s="183" t="s">
        <v>1039</v>
      </c>
      <c r="E8" s="187" t="s">
        <v>1225</v>
      </c>
      <c r="F8" s="191" t="s">
        <v>851</v>
      </c>
      <c r="G8" s="191" t="s">
        <v>852</v>
      </c>
      <c r="H8" s="195">
        <v>174775</v>
      </c>
      <c r="I8" s="199">
        <v>0.2</v>
      </c>
      <c r="J8" s="199">
        <v>0.4</v>
      </c>
      <c r="K8" s="199">
        <v>0.4</v>
      </c>
      <c r="L8" s="199">
        <v>0.5</v>
      </c>
      <c r="M8" s="199">
        <v>0.6</v>
      </c>
      <c r="N8" s="199">
        <v>0.25</v>
      </c>
      <c r="O8" s="199">
        <v>0.1</v>
      </c>
      <c r="P8" s="191" t="s">
        <v>1206</v>
      </c>
      <c r="Q8" s="191" t="s">
        <v>1205</v>
      </c>
      <c r="R8" s="191" t="s">
        <v>1205</v>
      </c>
      <c r="S8" s="191" t="s">
        <v>1211</v>
      </c>
      <c r="T8" s="191" t="s">
        <v>1211</v>
      </c>
      <c r="U8" s="191" t="s">
        <v>1205</v>
      </c>
      <c r="V8" s="191" t="s">
        <v>1203</v>
      </c>
      <c r="W8" s="191" t="s">
        <v>1203</v>
      </c>
      <c r="X8" s="191" t="s">
        <v>1203</v>
      </c>
      <c r="Y8" s="191" t="s">
        <v>1203</v>
      </c>
      <c r="Z8" s="200" t="s">
        <v>1202</v>
      </c>
      <c r="AA8" s="169"/>
    </row>
    <row r="9" spans="1:27" ht="54">
      <c r="B9" s="180">
        <v>2</v>
      </c>
      <c r="C9" s="177" t="s">
        <v>1224</v>
      </c>
      <c r="D9" s="184" t="s">
        <v>999</v>
      </c>
      <c r="E9" s="188" t="s">
        <v>1226</v>
      </c>
      <c r="F9" s="192" t="s">
        <v>1000</v>
      </c>
      <c r="G9" s="192" t="s">
        <v>852</v>
      </c>
      <c r="H9" s="196">
        <v>174775</v>
      </c>
      <c r="I9" s="201">
        <v>0</v>
      </c>
      <c r="J9" s="201">
        <v>0.25</v>
      </c>
      <c r="K9" s="201">
        <v>0.6</v>
      </c>
      <c r="L9" s="201">
        <v>0.8</v>
      </c>
      <c r="M9" s="201">
        <v>0.9</v>
      </c>
      <c r="N9" s="201">
        <v>0.2</v>
      </c>
      <c r="O9" s="201">
        <v>0.05</v>
      </c>
      <c r="P9" s="192" t="s">
        <v>1203</v>
      </c>
      <c r="Q9" s="192" t="s">
        <v>1211</v>
      </c>
      <c r="R9" s="192" t="s">
        <v>1213</v>
      </c>
      <c r="S9" s="192" t="s">
        <v>1210</v>
      </c>
      <c r="T9" s="192" t="s">
        <v>1210</v>
      </c>
      <c r="U9" s="192" t="s">
        <v>1205</v>
      </c>
      <c r="V9" s="192" t="s">
        <v>1203</v>
      </c>
      <c r="W9" s="192" t="s">
        <v>1203</v>
      </c>
      <c r="X9" s="192" t="s">
        <v>1203</v>
      </c>
      <c r="Y9" s="192" t="s">
        <v>1203</v>
      </c>
      <c r="Z9" s="202" t="s">
        <v>1202</v>
      </c>
      <c r="AA9" s="169"/>
    </row>
    <row r="10" spans="1:27" ht="54">
      <c r="B10" s="179">
        <v>3</v>
      </c>
      <c r="C10" s="176" t="s">
        <v>1224</v>
      </c>
      <c r="D10" s="183" t="s">
        <v>1001</v>
      </c>
      <c r="E10" s="187" t="s">
        <v>1227</v>
      </c>
      <c r="F10" s="191" t="s">
        <v>1000</v>
      </c>
      <c r="G10" s="191" t="s">
        <v>853</v>
      </c>
      <c r="H10" s="195">
        <v>157770</v>
      </c>
      <c r="I10" s="199">
        <v>0.7</v>
      </c>
      <c r="J10" s="199">
        <v>0.3</v>
      </c>
      <c r="K10" s="199">
        <v>0.7</v>
      </c>
      <c r="L10" s="199">
        <v>0.8</v>
      </c>
      <c r="M10" s="199">
        <v>0.4</v>
      </c>
      <c r="N10" s="199">
        <v>0.05</v>
      </c>
      <c r="O10" s="199">
        <v>0</v>
      </c>
      <c r="P10" s="191" t="s">
        <v>1211</v>
      </c>
      <c r="Q10" s="191" t="s">
        <v>1213</v>
      </c>
      <c r="R10" s="191" t="s">
        <v>1213</v>
      </c>
      <c r="S10" s="191" t="s">
        <v>1207</v>
      </c>
      <c r="T10" s="191" t="s">
        <v>1205</v>
      </c>
      <c r="U10" s="191" t="s">
        <v>1203</v>
      </c>
      <c r="V10" s="191" t="s">
        <v>1202</v>
      </c>
      <c r="W10" s="191" t="s">
        <v>1202</v>
      </c>
      <c r="X10" s="191" t="s">
        <v>1202</v>
      </c>
      <c r="Y10" s="191" t="s">
        <v>1202</v>
      </c>
      <c r="Z10" s="200" t="s">
        <v>1212</v>
      </c>
      <c r="AA10" s="169"/>
    </row>
    <row r="11" spans="1:27" ht="54">
      <c r="B11" s="180">
        <v>4</v>
      </c>
      <c r="C11" s="177" t="s">
        <v>1228</v>
      </c>
      <c r="D11" s="184" t="s">
        <v>1002</v>
      </c>
      <c r="E11" s="188" t="s">
        <v>1229</v>
      </c>
      <c r="F11" s="192" t="s">
        <v>1000</v>
      </c>
      <c r="G11" s="192" t="s">
        <v>852</v>
      </c>
      <c r="H11" s="196">
        <v>174775</v>
      </c>
      <c r="I11" s="201">
        <v>0.2</v>
      </c>
      <c r="J11" s="201">
        <v>0.25</v>
      </c>
      <c r="K11" s="201">
        <v>0.5</v>
      </c>
      <c r="L11" s="201">
        <v>0.7</v>
      </c>
      <c r="M11" s="201">
        <v>0.9</v>
      </c>
      <c r="N11" s="201">
        <v>0.2</v>
      </c>
      <c r="O11" s="201">
        <v>0</v>
      </c>
      <c r="P11" s="192" t="s">
        <v>1206</v>
      </c>
      <c r="Q11" s="192" t="s">
        <v>1207</v>
      </c>
      <c r="R11" s="192" t="s">
        <v>1211</v>
      </c>
      <c r="S11" s="192" t="s">
        <v>1210</v>
      </c>
      <c r="T11" s="192" t="s">
        <v>1210</v>
      </c>
      <c r="U11" s="192" t="s">
        <v>1205</v>
      </c>
      <c r="V11" s="192" t="s">
        <v>1203</v>
      </c>
      <c r="W11" s="192" t="s">
        <v>1203</v>
      </c>
      <c r="X11" s="192" t="s">
        <v>1203</v>
      </c>
      <c r="Y11" s="192" t="s">
        <v>1203</v>
      </c>
      <c r="Z11" s="202" t="s">
        <v>1202</v>
      </c>
      <c r="AA11" s="169"/>
    </row>
    <row r="12" spans="1:27" ht="54">
      <c r="B12" s="179">
        <v>5</v>
      </c>
      <c r="C12" s="176" t="s">
        <v>1228</v>
      </c>
      <c r="D12" s="183" t="s">
        <v>1003</v>
      </c>
      <c r="E12" s="187" t="s">
        <v>1230</v>
      </c>
      <c r="F12" s="191" t="s">
        <v>1000</v>
      </c>
      <c r="G12" s="191" t="s">
        <v>853</v>
      </c>
      <c r="H12" s="195">
        <v>157770</v>
      </c>
      <c r="I12" s="199">
        <v>0.4</v>
      </c>
      <c r="J12" s="199">
        <v>0.2</v>
      </c>
      <c r="K12" s="199">
        <v>0.4</v>
      </c>
      <c r="L12" s="199">
        <v>0.7</v>
      </c>
      <c r="M12" s="199">
        <v>0.8</v>
      </c>
      <c r="N12" s="199">
        <v>0.1</v>
      </c>
      <c r="O12" s="199">
        <v>0</v>
      </c>
      <c r="P12" s="191" t="s">
        <v>1205</v>
      </c>
      <c r="Q12" s="191" t="s">
        <v>1205</v>
      </c>
      <c r="R12" s="191" t="s">
        <v>1207</v>
      </c>
      <c r="S12" s="191" t="s">
        <v>1208</v>
      </c>
      <c r="T12" s="191" t="s">
        <v>1208</v>
      </c>
      <c r="U12" s="191" t="s">
        <v>1206</v>
      </c>
      <c r="V12" s="191" t="s">
        <v>1202</v>
      </c>
      <c r="W12" s="191" t="s">
        <v>1202</v>
      </c>
      <c r="X12" s="191" t="s">
        <v>1202</v>
      </c>
      <c r="Y12" s="191" t="s">
        <v>1202</v>
      </c>
      <c r="Z12" s="200" t="s">
        <v>1212</v>
      </c>
      <c r="AA12" s="169"/>
    </row>
    <row r="13" spans="1:27" ht="54">
      <c r="B13" s="180">
        <v>6</v>
      </c>
      <c r="C13" s="177" t="s">
        <v>1228</v>
      </c>
      <c r="D13" s="184" t="s">
        <v>1004</v>
      </c>
      <c r="E13" s="188" t="s">
        <v>1231</v>
      </c>
      <c r="F13" s="192" t="s">
        <v>1000</v>
      </c>
      <c r="G13" s="192" t="s">
        <v>853</v>
      </c>
      <c r="H13" s="196">
        <v>157770</v>
      </c>
      <c r="I13" s="201">
        <v>0.9</v>
      </c>
      <c r="J13" s="201">
        <v>0.15</v>
      </c>
      <c r="K13" s="201">
        <v>0.3</v>
      </c>
      <c r="L13" s="201">
        <v>0.6</v>
      </c>
      <c r="M13" s="201">
        <v>0.7</v>
      </c>
      <c r="N13" s="201">
        <v>0.1</v>
      </c>
      <c r="O13" s="201">
        <v>0</v>
      </c>
      <c r="P13" s="192" t="s">
        <v>1211</v>
      </c>
      <c r="Q13" s="192" t="s">
        <v>1206</v>
      </c>
      <c r="R13" s="192" t="s">
        <v>1205</v>
      </c>
      <c r="S13" s="192" t="s">
        <v>1213</v>
      </c>
      <c r="T13" s="192" t="s">
        <v>1213</v>
      </c>
      <c r="U13" s="192" t="s">
        <v>1206</v>
      </c>
      <c r="V13" s="192" t="s">
        <v>1202</v>
      </c>
      <c r="W13" s="192" t="s">
        <v>1202</v>
      </c>
      <c r="X13" s="192" t="s">
        <v>1202</v>
      </c>
      <c r="Y13" s="192" t="s">
        <v>1202</v>
      </c>
      <c r="Z13" s="202" t="s">
        <v>1212</v>
      </c>
      <c r="AA13" s="169"/>
    </row>
    <row r="14" spans="1:27" ht="54">
      <c r="B14" s="179">
        <v>7</v>
      </c>
      <c r="C14" s="176" t="s">
        <v>1228</v>
      </c>
      <c r="D14" s="183" t="s">
        <v>1005</v>
      </c>
      <c r="E14" s="187" t="s">
        <v>1232</v>
      </c>
      <c r="F14" s="191" t="s">
        <v>1000</v>
      </c>
      <c r="G14" s="191" t="s">
        <v>853</v>
      </c>
      <c r="H14" s="195">
        <v>157770</v>
      </c>
      <c r="I14" s="199">
        <v>0.5</v>
      </c>
      <c r="J14" s="199">
        <v>0.15</v>
      </c>
      <c r="K14" s="199">
        <v>0.3</v>
      </c>
      <c r="L14" s="199">
        <v>0.6</v>
      </c>
      <c r="M14" s="199">
        <v>0.6</v>
      </c>
      <c r="N14" s="199">
        <v>0.2</v>
      </c>
      <c r="O14" s="199">
        <v>0</v>
      </c>
      <c r="P14" s="191" t="s">
        <v>1205</v>
      </c>
      <c r="Q14" s="191" t="s">
        <v>1206</v>
      </c>
      <c r="R14" s="191" t="s">
        <v>1205</v>
      </c>
      <c r="S14" s="191" t="s">
        <v>1211</v>
      </c>
      <c r="T14" s="191" t="s">
        <v>1211</v>
      </c>
      <c r="U14" s="191" t="s">
        <v>1206</v>
      </c>
      <c r="V14" s="191" t="s">
        <v>1203</v>
      </c>
      <c r="W14" s="191" t="s">
        <v>1203</v>
      </c>
      <c r="X14" s="191" t="s">
        <v>1203</v>
      </c>
      <c r="Y14" s="191" t="s">
        <v>1203</v>
      </c>
      <c r="Z14" s="200" t="s">
        <v>1202</v>
      </c>
      <c r="AA14" s="169"/>
    </row>
    <row r="15" spans="1:27" ht="54">
      <c r="B15" s="180">
        <v>8</v>
      </c>
      <c r="C15" s="177" t="s">
        <v>1228</v>
      </c>
      <c r="D15" s="184" t="s">
        <v>1006</v>
      </c>
      <c r="E15" s="188" t="s">
        <v>1233</v>
      </c>
      <c r="F15" s="192" t="s">
        <v>1000</v>
      </c>
      <c r="G15" s="192" t="s">
        <v>853</v>
      </c>
      <c r="H15" s="196">
        <v>157770</v>
      </c>
      <c r="I15" s="201">
        <v>0.9</v>
      </c>
      <c r="J15" s="201">
        <v>0.2</v>
      </c>
      <c r="K15" s="201">
        <v>0.4</v>
      </c>
      <c r="L15" s="201">
        <v>0.7</v>
      </c>
      <c r="M15" s="201">
        <v>0.9</v>
      </c>
      <c r="N15" s="201">
        <v>0.25</v>
      </c>
      <c r="O15" s="201">
        <v>0</v>
      </c>
      <c r="P15" s="192" t="s">
        <v>1211</v>
      </c>
      <c r="Q15" s="192" t="s">
        <v>1205</v>
      </c>
      <c r="R15" s="192" t="s">
        <v>1207</v>
      </c>
      <c r="S15" s="192" t="s">
        <v>1210</v>
      </c>
      <c r="T15" s="192" t="s">
        <v>1210</v>
      </c>
      <c r="U15" s="192" t="s">
        <v>1207</v>
      </c>
      <c r="V15" s="192" t="s">
        <v>1203</v>
      </c>
      <c r="W15" s="192" t="s">
        <v>1203</v>
      </c>
      <c r="X15" s="192" t="s">
        <v>1203</v>
      </c>
      <c r="Y15" s="192" t="s">
        <v>1203</v>
      </c>
      <c r="Z15" s="202" t="s">
        <v>1202</v>
      </c>
      <c r="AA15" s="169"/>
    </row>
    <row r="16" spans="1:27" ht="54">
      <c r="B16" s="179">
        <v>9</v>
      </c>
      <c r="C16" s="176" t="s">
        <v>1228</v>
      </c>
      <c r="D16" s="183" t="s">
        <v>1007</v>
      </c>
      <c r="E16" s="187" t="s">
        <v>1234</v>
      </c>
      <c r="F16" s="191" t="s">
        <v>856</v>
      </c>
      <c r="G16" s="191" t="s">
        <v>853</v>
      </c>
      <c r="H16" s="195">
        <v>157770</v>
      </c>
      <c r="I16" s="199">
        <v>1</v>
      </c>
      <c r="J16" s="199">
        <v>0.1</v>
      </c>
      <c r="K16" s="199">
        <v>0.2</v>
      </c>
      <c r="L16" s="199">
        <v>0.6</v>
      </c>
      <c r="M16" s="199">
        <v>0.8</v>
      </c>
      <c r="N16" s="199">
        <v>0.3</v>
      </c>
      <c r="O16" s="199">
        <v>0.1</v>
      </c>
      <c r="P16" s="191" t="s">
        <v>1211</v>
      </c>
      <c r="Q16" s="191" t="s">
        <v>1203</v>
      </c>
      <c r="R16" s="191" t="s">
        <v>1205</v>
      </c>
      <c r="S16" s="191" t="s">
        <v>1208</v>
      </c>
      <c r="T16" s="191" t="s">
        <v>1208</v>
      </c>
      <c r="U16" s="191" t="s">
        <v>1207</v>
      </c>
      <c r="V16" s="191" t="s">
        <v>1206</v>
      </c>
      <c r="W16" s="191" t="s">
        <v>1206</v>
      </c>
      <c r="X16" s="191" t="s">
        <v>1206</v>
      </c>
      <c r="Y16" s="191" t="s">
        <v>1206</v>
      </c>
      <c r="Z16" s="200" t="s">
        <v>1202</v>
      </c>
      <c r="AA16" s="169"/>
    </row>
    <row r="17" spans="2:27" ht="54">
      <c r="B17" s="180">
        <v>10</v>
      </c>
      <c r="C17" s="177" t="s">
        <v>1228</v>
      </c>
      <c r="D17" s="184" t="s">
        <v>1008</v>
      </c>
      <c r="E17" s="188" t="s">
        <v>1235</v>
      </c>
      <c r="F17" s="192" t="s">
        <v>1000</v>
      </c>
      <c r="G17" s="192" t="s">
        <v>853</v>
      </c>
      <c r="H17" s="196">
        <v>157770</v>
      </c>
      <c r="I17" s="201">
        <v>0.9</v>
      </c>
      <c r="J17" s="201">
        <v>0.2</v>
      </c>
      <c r="K17" s="201">
        <v>0.3</v>
      </c>
      <c r="L17" s="201">
        <v>0.6</v>
      </c>
      <c r="M17" s="201">
        <v>0.9</v>
      </c>
      <c r="N17" s="201">
        <v>0.3</v>
      </c>
      <c r="O17" s="201">
        <v>0.05</v>
      </c>
      <c r="P17" s="192" t="s">
        <v>1211</v>
      </c>
      <c r="Q17" s="192" t="s">
        <v>1206</v>
      </c>
      <c r="R17" s="192" t="s">
        <v>1205</v>
      </c>
      <c r="S17" s="192" t="s">
        <v>1208</v>
      </c>
      <c r="T17" s="192" t="s">
        <v>1210</v>
      </c>
      <c r="U17" s="192" t="s">
        <v>1207</v>
      </c>
      <c r="V17" s="192" t="s">
        <v>1206</v>
      </c>
      <c r="W17" s="192" t="s">
        <v>1206</v>
      </c>
      <c r="X17" s="192" t="s">
        <v>1206</v>
      </c>
      <c r="Y17" s="192" t="s">
        <v>1206</v>
      </c>
      <c r="Z17" s="202" t="s">
        <v>1202</v>
      </c>
      <c r="AA17" s="169"/>
    </row>
    <row r="18" spans="2:27" ht="54">
      <c r="B18" s="179">
        <v>11</v>
      </c>
      <c r="C18" s="176" t="s">
        <v>1228</v>
      </c>
      <c r="D18" s="183" t="s">
        <v>1009</v>
      </c>
      <c r="E18" s="187" t="s">
        <v>1236</v>
      </c>
      <c r="F18" s="191" t="s">
        <v>856</v>
      </c>
      <c r="G18" s="191" t="s">
        <v>853</v>
      </c>
      <c r="H18" s="195">
        <v>157770</v>
      </c>
      <c r="I18" s="199">
        <v>0.5</v>
      </c>
      <c r="J18" s="199">
        <v>0.1</v>
      </c>
      <c r="K18" s="199">
        <v>0.2</v>
      </c>
      <c r="L18" s="199">
        <v>0.4</v>
      </c>
      <c r="M18" s="199">
        <v>0.8</v>
      </c>
      <c r="N18" s="199">
        <v>0.5</v>
      </c>
      <c r="O18" s="199">
        <v>0.1</v>
      </c>
      <c r="P18" s="191" t="s">
        <v>1206</v>
      </c>
      <c r="Q18" s="191" t="s">
        <v>1203</v>
      </c>
      <c r="R18" s="191" t="s">
        <v>1206</v>
      </c>
      <c r="S18" s="191" t="s">
        <v>1213</v>
      </c>
      <c r="T18" s="191" t="s">
        <v>1208</v>
      </c>
      <c r="U18" s="191" t="s">
        <v>1211</v>
      </c>
      <c r="V18" s="191" t="s">
        <v>1207</v>
      </c>
      <c r="W18" s="191" t="s">
        <v>1207</v>
      </c>
      <c r="X18" s="191" t="s">
        <v>1207</v>
      </c>
      <c r="Y18" s="191" t="s">
        <v>1207</v>
      </c>
      <c r="Z18" s="200" t="s">
        <v>1203</v>
      </c>
      <c r="AA18" s="169"/>
    </row>
    <row r="19" spans="2:27" ht="54">
      <c r="B19" s="180">
        <v>12</v>
      </c>
      <c r="C19" s="177" t="s">
        <v>1228</v>
      </c>
      <c r="D19" s="184" t="s">
        <v>1010</v>
      </c>
      <c r="E19" s="188" t="s">
        <v>1237</v>
      </c>
      <c r="F19" s="192" t="s">
        <v>1000</v>
      </c>
      <c r="G19" s="192" t="s">
        <v>853</v>
      </c>
      <c r="H19" s="196">
        <v>157770</v>
      </c>
      <c r="I19" s="201">
        <v>0.7</v>
      </c>
      <c r="J19" s="201">
        <v>0.2</v>
      </c>
      <c r="K19" s="201">
        <v>0.4</v>
      </c>
      <c r="L19" s="201">
        <v>0.6</v>
      </c>
      <c r="M19" s="201">
        <v>0.8</v>
      </c>
      <c r="N19" s="201">
        <v>0.2</v>
      </c>
      <c r="O19" s="201">
        <v>0</v>
      </c>
      <c r="P19" s="192" t="s">
        <v>1207</v>
      </c>
      <c r="Q19" s="192" t="s">
        <v>1205</v>
      </c>
      <c r="R19" s="192" t="s">
        <v>1207</v>
      </c>
      <c r="S19" s="192" t="s">
        <v>1208</v>
      </c>
      <c r="T19" s="192" t="s">
        <v>1208</v>
      </c>
      <c r="U19" s="192" t="s">
        <v>1205</v>
      </c>
      <c r="V19" s="192" t="s">
        <v>1203</v>
      </c>
      <c r="W19" s="192" t="s">
        <v>1203</v>
      </c>
      <c r="X19" s="192" t="s">
        <v>1203</v>
      </c>
      <c r="Y19" s="192" t="s">
        <v>1203</v>
      </c>
      <c r="Z19" s="202" t="s">
        <v>1202</v>
      </c>
      <c r="AA19" s="169"/>
    </row>
    <row r="20" spans="2:27" ht="54">
      <c r="B20" s="179">
        <v>13</v>
      </c>
      <c r="C20" s="176" t="s">
        <v>1224</v>
      </c>
      <c r="D20" s="183" t="s">
        <v>1011</v>
      </c>
      <c r="E20" s="187" t="s">
        <v>1238</v>
      </c>
      <c r="F20" s="191" t="s">
        <v>1000</v>
      </c>
      <c r="G20" s="191" t="s">
        <v>853</v>
      </c>
      <c r="H20" s="195">
        <v>157770</v>
      </c>
      <c r="I20" s="199">
        <v>0.3</v>
      </c>
      <c r="J20" s="199">
        <v>0.2</v>
      </c>
      <c r="K20" s="199">
        <v>0.3</v>
      </c>
      <c r="L20" s="199">
        <v>0.5</v>
      </c>
      <c r="M20" s="199">
        <v>0.7</v>
      </c>
      <c r="N20" s="199">
        <v>0.1</v>
      </c>
      <c r="O20" s="199">
        <v>0</v>
      </c>
      <c r="P20" s="191" t="s">
        <v>1206</v>
      </c>
      <c r="Q20" s="191" t="s">
        <v>1206</v>
      </c>
      <c r="R20" s="191" t="s">
        <v>1205</v>
      </c>
      <c r="S20" s="191" t="s">
        <v>1211</v>
      </c>
      <c r="T20" s="191" t="s">
        <v>1213</v>
      </c>
      <c r="U20" s="191" t="s">
        <v>1206</v>
      </c>
      <c r="V20" s="191" t="s">
        <v>1202</v>
      </c>
      <c r="W20" s="191" t="s">
        <v>1202</v>
      </c>
      <c r="X20" s="191" t="s">
        <v>1202</v>
      </c>
      <c r="Y20" s="191" t="s">
        <v>1202</v>
      </c>
      <c r="Z20" s="200" t="s">
        <v>1212</v>
      </c>
      <c r="AA20" s="169"/>
    </row>
    <row r="21" spans="2:27" ht="54">
      <c r="B21" s="180">
        <v>14</v>
      </c>
      <c r="C21" s="177" t="s">
        <v>1224</v>
      </c>
      <c r="D21" s="184" t="s">
        <v>1013</v>
      </c>
      <c r="E21" s="188" t="s">
        <v>1239</v>
      </c>
      <c r="F21" s="192" t="s">
        <v>1000</v>
      </c>
      <c r="G21" s="192" t="s">
        <v>853</v>
      </c>
      <c r="H21" s="196">
        <v>157770</v>
      </c>
      <c r="I21" s="201">
        <v>0.5</v>
      </c>
      <c r="J21" s="201">
        <v>0.2</v>
      </c>
      <c r="K21" s="201">
        <v>0.3</v>
      </c>
      <c r="L21" s="201">
        <v>0.5</v>
      </c>
      <c r="M21" s="201">
        <v>0.8</v>
      </c>
      <c r="N21" s="201">
        <v>0.15</v>
      </c>
      <c r="O21" s="201">
        <v>0</v>
      </c>
      <c r="P21" s="192" t="s">
        <v>1205</v>
      </c>
      <c r="Q21" s="192" t="s">
        <v>1206</v>
      </c>
      <c r="R21" s="192" t="s">
        <v>1205</v>
      </c>
      <c r="S21" s="192" t="s">
        <v>1213</v>
      </c>
      <c r="T21" s="192" t="s">
        <v>1208</v>
      </c>
      <c r="U21" s="192" t="s">
        <v>1205</v>
      </c>
      <c r="V21" s="192" t="s">
        <v>1202</v>
      </c>
      <c r="W21" s="192" t="s">
        <v>1202</v>
      </c>
      <c r="X21" s="192" t="s">
        <v>1202</v>
      </c>
      <c r="Y21" s="192" t="s">
        <v>1202</v>
      </c>
      <c r="Z21" s="202" t="s">
        <v>1212</v>
      </c>
      <c r="AA21" s="169"/>
    </row>
    <row r="22" spans="2:27" ht="54">
      <c r="B22" s="179">
        <v>15</v>
      </c>
      <c r="C22" s="176" t="s">
        <v>1224</v>
      </c>
      <c r="D22" s="183" t="s">
        <v>1014</v>
      </c>
      <c r="E22" s="187" t="s">
        <v>1240</v>
      </c>
      <c r="F22" s="191" t="s">
        <v>1000</v>
      </c>
      <c r="G22" s="191" t="s">
        <v>853</v>
      </c>
      <c r="H22" s="195">
        <v>157770</v>
      </c>
      <c r="I22" s="199">
        <v>0.3</v>
      </c>
      <c r="J22" s="199">
        <v>0.15</v>
      </c>
      <c r="K22" s="199">
        <v>0.2</v>
      </c>
      <c r="L22" s="199">
        <v>0.5</v>
      </c>
      <c r="M22" s="199">
        <v>0.8</v>
      </c>
      <c r="N22" s="199">
        <v>0.4</v>
      </c>
      <c r="O22" s="199">
        <v>0.05</v>
      </c>
      <c r="P22" s="191" t="s">
        <v>1203</v>
      </c>
      <c r="Q22" s="191" t="s">
        <v>1203</v>
      </c>
      <c r="R22" s="191" t="s">
        <v>1206</v>
      </c>
      <c r="S22" s="191" t="s">
        <v>1213</v>
      </c>
      <c r="T22" s="191" t="s">
        <v>1208</v>
      </c>
      <c r="U22" s="191" t="s">
        <v>1207</v>
      </c>
      <c r="V22" s="191" t="s">
        <v>1205</v>
      </c>
      <c r="W22" s="191" t="s">
        <v>1205</v>
      </c>
      <c r="X22" s="191" t="s">
        <v>1205</v>
      </c>
      <c r="Y22" s="191" t="s">
        <v>1205</v>
      </c>
      <c r="Z22" s="200" t="s">
        <v>1202</v>
      </c>
      <c r="AA22" s="169"/>
    </row>
    <row r="23" spans="2:27" ht="54">
      <c r="B23" s="180">
        <v>16</v>
      </c>
      <c r="C23" s="177" t="s">
        <v>1224</v>
      </c>
      <c r="D23" s="184" t="s">
        <v>1016</v>
      </c>
      <c r="E23" s="188" t="s">
        <v>1241</v>
      </c>
      <c r="F23" s="192" t="s">
        <v>1000</v>
      </c>
      <c r="G23" s="192" t="s">
        <v>853</v>
      </c>
      <c r="H23" s="196">
        <v>157770</v>
      </c>
      <c r="I23" s="201">
        <v>0.9</v>
      </c>
      <c r="J23" s="201">
        <v>0.1</v>
      </c>
      <c r="K23" s="201">
        <v>0.1</v>
      </c>
      <c r="L23" s="201">
        <v>0.3</v>
      </c>
      <c r="M23" s="201">
        <v>0.9</v>
      </c>
      <c r="N23" s="201">
        <v>0.2</v>
      </c>
      <c r="O23" s="201">
        <v>0.05</v>
      </c>
      <c r="P23" s="192" t="s">
        <v>1207</v>
      </c>
      <c r="Q23" s="192" t="s">
        <v>1202</v>
      </c>
      <c r="R23" s="192" t="s">
        <v>1203</v>
      </c>
      <c r="S23" s="192" t="s">
        <v>1208</v>
      </c>
      <c r="T23" s="192" t="s">
        <v>1210</v>
      </c>
      <c r="U23" s="192" t="s">
        <v>1205</v>
      </c>
      <c r="V23" s="192" t="s">
        <v>1203</v>
      </c>
      <c r="W23" s="192" t="s">
        <v>1203</v>
      </c>
      <c r="X23" s="192" t="s">
        <v>1203</v>
      </c>
      <c r="Y23" s="192" t="s">
        <v>1203</v>
      </c>
      <c r="Z23" s="202" t="s">
        <v>1202</v>
      </c>
      <c r="AA23" s="169"/>
    </row>
    <row r="24" spans="2:27" ht="54">
      <c r="B24" s="179">
        <v>17</v>
      </c>
      <c r="C24" s="176" t="s">
        <v>1224</v>
      </c>
      <c r="D24" s="183" t="s">
        <v>1018</v>
      </c>
      <c r="E24" s="187" t="s">
        <v>1242</v>
      </c>
      <c r="F24" s="191" t="s">
        <v>1000</v>
      </c>
      <c r="G24" s="191" t="s">
        <v>853</v>
      </c>
      <c r="H24" s="195">
        <v>157770</v>
      </c>
      <c r="I24" s="199">
        <v>0.7</v>
      </c>
      <c r="J24" s="199">
        <v>0.1</v>
      </c>
      <c r="K24" s="199">
        <v>0.1</v>
      </c>
      <c r="L24" s="199">
        <v>0.3</v>
      </c>
      <c r="M24" s="199">
        <v>0.85</v>
      </c>
      <c r="N24" s="199">
        <v>0.15</v>
      </c>
      <c r="O24" s="199">
        <v>0</v>
      </c>
      <c r="P24" s="191" t="s">
        <v>1205</v>
      </c>
      <c r="Q24" s="191" t="s">
        <v>1202</v>
      </c>
      <c r="R24" s="191" t="s">
        <v>1203</v>
      </c>
      <c r="S24" s="191" t="s">
        <v>1213</v>
      </c>
      <c r="T24" s="191" t="s">
        <v>1208</v>
      </c>
      <c r="U24" s="191" t="s">
        <v>1205</v>
      </c>
      <c r="V24" s="191" t="s">
        <v>1202</v>
      </c>
      <c r="W24" s="191" t="s">
        <v>1202</v>
      </c>
      <c r="X24" s="191" t="s">
        <v>1202</v>
      </c>
      <c r="Y24" s="191" t="s">
        <v>1202</v>
      </c>
      <c r="Z24" s="200" t="s">
        <v>1212</v>
      </c>
      <c r="AA24" s="169"/>
    </row>
    <row r="25" spans="2:27" ht="54">
      <c r="B25" s="180">
        <v>18</v>
      </c>
      <c r="C25" s="177" t="s">
        <v>1224</v>
      </c>
      <c r="D25" s="184" t="s">
        <v>1019</v>
      </c>
      <c r="E25" s="188" t="s">
        <v>1243</v>
      </c>
      <c r="F25" s="192" t="s">
        <v>1000</v>
      </c>
      <c r="G25" s="192" t="s">
        <v>853</v>
      </c>
      <c r="H25" s="196">
        <v>157770</v>
      </c>
      <c r="I25" s="201">
        <v>0.9</v>
      </c>
      <c r="J25" s="201">
        <v>0.15</v>
      </c>
      <c r="K25" s="201">
        <v>0.2</v>
      </c>
      <c r="L25" s="201">
        <v>0.5</v>
      </c>
      <c r="M25" s="201">
        <v>0.9</v>
      </c>
      <c r="N25" s="201">
        <v>0.3</v>
      </c>
      <c r="O25" s="201">
        <v>0.05</v>
      </c>
      <c r="P25" s="192" t="s">
        <v>1207</v>
      </c>
      <c r="Q25" s="192" t="s">
        <v>1203</v>
      </c>
      <c r="R25" s="192" t="s">
        <v>1206</v>
      </c>
      <c r="S25" s="192" t="s">
        <v>1208</v>
      </c>
      <c r="T25" s="192" t="s">
        <v>1210</v>
      </c>
      <c r="U25" s="192" t="s">
        <v>1207</v>
      </c>
      <c r="V25" s="192" t="s">
        <v>1206</v>
      </c>
      <c r="W25" s="192" t="s">
        <v>1206</v>
      </c>
      <c r="X25" s="192" t="s">
        <v>1206</v>
      </c>
      <c r="Y25" s="192" t="s">
        <v>1206</v>
      </c>
      <c r="Z25" s="202" t="s">
        <v>1202</v>
      </c>
      <c r="AA25" s="169"/>
    </row>
    <row r="26" spans="2:27" ht="54">
      <c r="B26" s="179">
        <v>19</v>
      </c>
      <c r="C26" s="176" t="s">
        <v>1224</v>
      </c>
      <c r="D26" s="183" t="s">
        <v>1020</v>
      </c>
      <c r="E26" s="187" t="s">
        <v>1244</v>
      </c>
      <c r="F26" s="191" t="s">
        <v>1000</v>
      </c>
      <c r="G26" s="191" t="s">
        <v>853</v>
      </c>
      <c r="H26" s="195">
        <v>157770</v>
      </c>
      <c r="I26" s="199">
        <v>0.5</v>
      </c>
      <c r="J26" s="199">
        <v>0.15</v>
      </c>
      <c r="K26" s="199">
        <v>0.15</v>
      </c>
      <c r="L26" s="199">
        <v>0.4</v>
      </c>
      <c r="M26" s="199">
        <v>0.75</v>
      </c>
      <c r="N26" s="199">
        <v>0.25</v>
      </c>
      <c r="O26" s="199">
        <v>0.05</v>
      </c>
      <c r="P26" s="191" t="s">
        <v>1206</v>
      </c>
      <c r="Q26" s="191" t="s">
        <v>1202</v>
      </c>
      <c r="R26" s="191" t="s">
        <v>1206</v>
      </c>
      <c r="S26" s="191" t="s">
        <v>1213</v>
      </c>
      <c r="T26" s="191" t="s">
        <v>1208</v>
      </c>
      <c r="U26" s="191" t="s">
        <v>1205</v>
      </c>
      <c r="V26" s="191" t="s">
        <v>1203</v>
      </c>
      <c r="W26" s="191" t="s">
        <v>1203</v>
      </c>
      <c r="X26" s="191" t="s">
        <v>1203</v>
      </c>
      <c r="Y26" s="191" t="s">
        <v>1203</v>
      </c>
      <c r="Z26" s="200" t="s">
        <v>1202</v>
      </c>
      <c r="AA26" s="169"/>
    </row>
    <row r="27" spans="2:27" ht="54">
      <c r="B27" s="180">
        <v>20</v>
      </c>
      <c r="C27" s="177" t="s">
        <v>1224</v>
      </c>
      <c r="D27" s="184" t="s">
        <v>1022</v>
      </c>
      <c r="E27" s="188" t="s">
        <v>1245</v>
      </c>
      <c r="F27" s="192" t="s">
        <v>856</v>
      </c>
      <c r="G27" s="192" t="s">
        <v>853</v>
      </c>
      <c r="H27" s="196">
        <v>157770</v>
      </c>
      <c r="I27" s="201">
        <v>0.8</v>
      </c>
      <c r="J27" s="201">
        <v>0.1</v>
      </c>
      <c r="K27" s="201">
        <v>0.1</v>
      </c>
      <c r="L27" s="201">
        <v>0.4</v>
      </c>
      <c r="M27" s="201">
        <v>0.7</v>
      </c>
      <c r="N27" s="201">
        <v>0.25</v>
      </c>
      <c r="O27" s="201">
        <v>0.05</v>
      </c>
      <c r="P27" s="192" t="s">
        <v>1207</v>
      </c>
      <c r="Q27" s="192" t="s">
        <v>1202</v>
      </c>
      <c r="R27" s="192" t="s">
        <v>1203</v>
      </c>
      <c r="S27" s="192" t="s">
        <v>1211</v>
      </c>
      <c r="T27" s="192" t="s">
        <v>1213</v>
      </c>
      <c r="U27" s="192" t="s">
        <v>1205</v>
      </c>
      <c r="V27" s="192" t="s">
        <v>1203</v>
      </c>
      <c r="W27" s="192" t="s">
        <v>1203</v>
      </c>
      <c r="X27" s="192" t="s">
        <v>1203</v>
      </c>
      <c r="Y27" s="192" t="s">
        <v>1203</v>
      </c>
      <c r="Z27" s="202" t="s">
        <v>1202</v>
      </c>
      <c r="AA27" s="169"/>
    </row>
    <row r="28" spans="2:27" ht="54">
      <c r="B28" s="179">
        <v>21</v>
      </c>
      <c r="C28" s="176" t="s">
        <v>1224</v>
      </c>
      <c r="D28" s="183" t="s">
        <v>1024</v>
      </c>
      <c r="E28" s="187" t="s">
        <v>1246</v>
      </c>
      <c r="F28" s="191" t="s">
        <v>1000</v>
      </c>
      <c r="G28" s="191" t="s">
        <v>854</v>
      </c>
      <c r="H28" s="195">
        <v>137411</v>
      </c>
      <c r="I28" s="199">
        <v>0.7</v>
      </c>
      <c r="J28" s="199">
        <v>0.2</v>
      </c>
      <c r="K28" s="199">
        <v>0.3</v>
      </c>
      <c r="L28" s="199">
        <v>0.5</v>
      </c>
      <c r="M28" s="199">
        <v>0.75</v>
      </c>
      <c r="N28" s="199">
        <v>0.25</v>
      </c>
      <c r="O28" s="199">
        <v>0.1</v>
      </c>
      <c r="P28" s="191" t="s">
        <v>1207</v>
      </c>
      <c r="Q28" s="191" t="s">
        <v>1206</v>
      </c>
      <c r="R28" s="191" t="s">
        <v>1205</v>
      </c>
      <c r="S28" s="191" t="s">
        <v>1213</v>
      </c>
      <c r="T28" s="191" t="s">
        <v>1208</v>
      </c>
      <c r="U28" s="191" t="s">
        <v>1205</v>
      </c>
      <c r="V28" s="191" t="s">
        <v>1203</v>
      </c>
      <c r="W28" s="191" t="s">
        <v>1203</v>
      </c>
      <c r="X28" s="191" t="s">
        <v>1203</v>
      </c>
      <c r="Y28" s="191" t="s">
        <v>1203</v>
      </c>
      <c r="Z28" s="200" t="s">
        <v>1202</v>
      </c>
      <c r="AA28" s="169"/>
    </row>
    <row r="29" spans="2:27" ht="54">
      <c r="B29" s="180">
        <v>22</v>
      </c>
      <c r="C29" s="177" t="s">
        <v>1247</v>
      </c>
      <c r="D29" s="184" t="s">
        <v>1025</v>
      </c>
      <c r="E29" s="188" t="s">
        <v>1248</v>
      </c>
      <c r="F29" s="192" t="s">
        <v>1000</v>
      </c>
      <c r="G29" s="192" t="s">
        <v>854</v>
      </c>
      <c r="H29" s="196">
        <v>137411</v>
      </c>
      <c r="I29" s="201">
        <v>0.5</v>
      </c>
      <c r="J29" s="201">
        <v>0.1</v>
      </c>
      <c r="K29" s="201">
        <v>0</v>
      </c>
      <c r="L29" s="201">
        <v>0.2</v>
      </c>
      <c r="M29" s="201">
        <v>0.7</v>
      </c>
      <c r="N29" s="201">
        <v>0.8</v>
      </c>
      <c r="O29" s="201">
        <v>0.5</v>
      </c>
      <c r="P29" s="192" t="s">
        <v>1206</v>
      </c>
      <c r="Q29" s="192" t="s">
        <v>1204</v>
      </c>
      <c r="R29" s="192" t="s">
        <v>1202</v>
      </c>
      <c r="S29" s="192" t="s">
        <v>1211</v>
      </c>
      <c r="T29" s="192" t="s">
        <v>1213</v>
      </c>
      <c r="U29" s="192" t="s">
        <v>1208</v>
      </c>
      <c r="V29" s="192" t="s">
        <v>1208</v>
      </c>
      <c r="W29" s="192" t="s">
        <v>1208</v>
      </c>
      <c r="X29" s="192" t="s">
        <v>1208</v>
      </c>
      <c r="Y29" s="192" t="s">
        <v>1208</v>
      </c>
      <c r="Z29" s="202" t="s">
        <v>1206</v>
      </c>
      <c r="AA29" s="169"/>
    </row>
    <row r="30" spans="2:27" ht="54">
      <c r="B30" s="179">
        <v>23</v>
      </c>
      <c r="C30" s="176" t="s">
        <v>1247</v>
      </c>
      <c r="D30" s="183" t="s">
        <v>1027</v>
      </c>
      <c r="E30" s="187" t="s">
        <v>1249</v>
      </c>
      <c r="F30" s="191" t="s">
        <v>1000</v>
      </c>
      <c r="G30" s="191" t="s">
        <v>1028</v>
      </c>
      <c r="H30" s="195">
        <v>141340</v>
      </c>
      <c r="I30" s="199">
        <v>0.4</v>
      </c>
      <c r="J30" s="199">
        <v>0.05</v>
      </c>
      <c r="K30" s="199">
        <v>0</v>
      </c>
      <c r="L30" s="199">
        <v>0.1</v>
      </c>
      <c r="M30" s="199">
        <v>0.4</v>
      </c>
      <c r="N30" s="199">
        <v>0.6</v>
      </c>
      <c r="O30" s="199">
        <v>0.3</v>
      </c>
      <c r="P30" s="191" t="s">
        <v>1203</v>
      </c>
      <c r="Q30" s="191" t="s">
        <v>1204</v>
      </c>
      <c r="R30" s="191" t="s">
        <v>1212</v>
      </c>
      <c r="S30" s="191" t="s">
        <v>1206</v>
      </c>
      <c r="T30" s="191" t="s">
        <v>1205</v>
      </c>
      <c r="U30" s="191" t="s">
        <v>1207</v>
      </c>
      <c r="V30" s="191" t="s">
        <v>1211</v>
      </c>
      <c r="W30" s="191" t="s">
        <v>1211</v>
      </c>
      <c r="X30" s="191" t="s">
        <v>1211</v>
      </c>
      <c r="Y30" s="191" t="s">
        <v>1211</v>
      </c>
      <c r="Z30" s="200" t="s">
        <v>1203</v>
      </c>
      <c r="AA30" s="169"/>
    </row>
    <row r="31" spans="2:27" ht="54">
      <c r="B31" s="180">
        <v>24</v>
      </c>
      <c r="C31" s="177" t="s">
        <v>1247</v>
      </c>
      <c r="D31" s="184" t="s">
        <v>1029</v>
      </c>
      <c r="E31" s="188" t="s">
        <v>1250</v>
      </c>
      <c r="F31" s="192" t="s">
        <v>1000</v>
      </c>
      <c r="G31" s="192" t="s">
        <v>1028</v>
      </c>
      <c r="H31" s="196">
        <v>141340</v>
      </c>
      <c r="I31" s="201">
        <v>0.7</v>
      </c>
      <c r="J31" s="201">
        <v>0.1</v>
      </c>
      <c r="K31" s="201">
        <v>0.1</v>
      </c>
      <c r="L31" s="201">
        <v>0.3</v>
      </c>
      <c r="M31" s="201">
        <v>0.6</v>
      </c>
      <c r="N31" s="201">
        <v>0.7</v>
      </c>
      <c r="O31" s="201">
        <v>0.3</v>
      </c>
      <c r="P31" s="192" t="s">
        <v>1205</v>
      </c>
      <c r="Q31" s="192" t="s">
        <v>1202</v>
      </c>
      <c r="R31" s="192" t="s">
        <v>1203</v>
      </c>
      <c r="S31" s="192" t="s">
        <v>1207</v>
      </c>
      <c r="T31" s="192" t="s">
        <v>1211</v>
      </c>
      <c r="U31" s="192" t="s">
        <v>1213</v>
      </c>
      <c r="V31" s="192" t="s">
        <v>1213</v>
      </c>
      <c r="W31" s="192" t="s">
        <v>1213</v>
      </c>
      <c r="X31" s="192" t="s">
        <v>1213</v>
      </c>
      <c r="Y31" s="192" t="s">
        <v>1213</v>
      </c>
      <c r="Z31" s="202" t="s">
        <v>1206</v>
      </c>
      <c r="AA31" s="169"/>
    </row>
    <row r="32" spans="2:27" ht="54">
      <c r="B32" s="179">
        <v>25</v>
      </c>
      <c r="C32" s="176" t="s">
        <v>1251</v>
      </c>
      <c r="D32" s="183" t="s">
        <v>1031</v>
      </c>
      <c r="E32" s="187" t="s">
        <v>1252</v>
      </c>
      <c r="F32" s="191" t="s">
        <v>1000</v>
      </c>
      <c r="G32" s="191" t="s">
        <v>1032</v>
      </c>
      <c r="H32" s="195">
        <v>165000</v>
      </c>
      <c r="I32" s="199">
        <v>0.8</v>
      </c>
      <c r="J32" s="199">
        <v>0.05</v>
      </c>
      <c r="K32" s="199">
        <v>0</v>
      </c>
      <c r="L32" s="199">
        <v>0.1</v>
      </c>
      <c r="M32" s="199">
        <v>0.5</v>
      </c>
      <c r="N32" s="199">
        <v>0.8</v>
      </c>
      <c r="O32" s="199">
        <v>0.5</v>
      </c>
      <c r="P32" s="191" t="s">
        <v>1205</v>
      </c>
      <c r="Q32" s="191" t="s">
        <v>1204</v>
      </c>
      <c r="R32" s="191" t="s">
        <v>1212</v>
      </c>
      <c r="S32" s="191" t="s">
        <v>1205</v>
      </c>
      <c r="T32" s="191" t="s">
        <v>1207</v>
      </c>
      <c r="U32" s="191" t="s">
        <v>1213</v>
      </c>
      <c r="V32" s="191" t="s">
        <v>1208</v>
      </c>
      <c r="W32" s="191" t="s">
        <v>1208</v>
      </c>
      <c r="X32" s="191" t="s">
        <v>1208</v>
      </c>
      <c r="Y32" s="191" t="s">
        <v>1208</v>
      </c>
      <c r="Z32" s="200" t="s">
        <v>1206</v>
      </c>
      <c r="AA32" s="169"/>
    </row>
    <row r="33" spans="2:27" ht="54">
      <c r="B33" s="180">
        <v>26</v>
      </c>
      <c r="C33" s="177" t="s">
        <v>1251</v>
      </c>
      <c r="D33" s="184" t="s">
        <v>1034</v>
      </c>
      <c r="E33" s="188" t="s">
        <v>1253</v>
      </c>
      <c r="F33" s="192" t="s">
        <v>1000</v>
      </c>
      <c r="G33" s="192" t="s">
        <v>1035</v>
      </c>
      <c r="H33" s="196">
        <v>150000</v>
      </c>
      <c r="I33" s="201">
        <v>0.1</v>
      </c>
      <c r="J33" s="201">
        <v>0.05</v>
      </c>
      <c r="K33" s="201">
        <v>0</v>
      </c>
      <c r="L33" s="201">
        <v>0.15</v>
      </c>
      <c r="M33" s="201">
        <v>0.4</v>
      </c>
      <c r="N33" s="201">
        <v>0.7</v>
      </c>
      <c r="O33" s="201">
        <v>0.4</v>
      </c>
      <c r="P33" s="192" t="s">
        <v>1202</v>
      </c>
      <c r="Q33" s="192" t="s">
        <v>1204</v>
      </c>
      <c r="R33" s="192" t="s">
        <v>1202</v>
      </c>
      <c r="S33" s="192" t="s">
        <v>1206</v>
      </c>
      <c r="T33" s="192" t="s">
        <v>1205</v>
      </c>
      <c r="U33" s="192" t="s">
        <v>1211</v>
      </c>
      <c r="V33" s="192" t="s">
        <v>1213</v>
      </c>
      <c r="W33" s="192" t="s">
        <v>1213</v>
      </c>
      <c r="X33" s="192" t="s">
        <v>1213</v>
      </c>
      <c r="Y33" s="192" t="s">
        <v>1213</v>
      </c>
      <c r="Z33" s="202" t="s">
        <v>1206</v>
      </c>
      <c r="AA33" s="169"/>
    </row>
    <row r="34" spans="2:27" ht="54">
      <c r="B34" s="179">
        <v>27</v>
      </c>
      <c r="C34" s="176" t="s">
        <v>1254</v>
      </c>
      <c r="D34" s="183" t="s">
        <v>1037</v>
      </c>
      <c r="E34" s="187" t="s">
        <v>1255</v>
      </c>
      <c r="F34" s="191" t="s">
        <v>1000</v>
      </c>
      <c r="G34" s="191" t="s">
        <v>1035</v>
      </c>
      <c r="H34" s="195">
        <v>150000</v>
      </c>
      <c r="I34" s="199">
        <v>1</v>
      </c>
      <c r="J34" s="199">
        <v>0</v>
      </c>
      <c r="K34" s="199">
        <v>0</v>
      </c>
      <c r="L34" s="199">
        <v>0</v>
      </c>
      <c r="M34" s="199">
        <v>0.2</v>
      </c>
      <c r="N34" s="199">
        <v>1</v>
      </c>
      <c r="O34" s="199">
        <v>0.6</v>
      </c>
      <c r="P34" s="191" t="s">
        <v>1207</v>
      </c>
      <c r="Q34" s="191" t="s">
        <v>1204</v>
      </c>
      <c r="R34" s="191" t="s">
        <v>1204</v>
      </c>
      <c r="S34" s="191" t="s">
        <v>1203</v>
      </c>
      <c r="T34" s="191" t="s">
        <v>1203</v>
      </c>
      <c r="U34" s="191" t="s">
        <v>1213</v>
      </c>
      <c r="V34" s="191" t="s">
        <v>1209</v>
      </c>
      <c r="W34" s="191" t="s">
        <v>1209</v>
      </c>
      <c r="X34" s="191" t="s">
        <v>1209</v>
      </c>
      <c r="Y34" s="191" t="s">
        <v>1209</v>
      </c>
      <c r="Z34" s="200" t="s">
        <v>1205</v>
      </c>
      <c r="AA34" s="169"/>
    </row>
    <row r="35" spans="2:27" ht="54">
      <c r="B35" s="180">
        <v>28</v>
      </c>
      <c r="C35" s="177" t="s">
        <v>1254</v>
      </c>
      <c r="D35" s="184" t="s">
        <v>1038</v>
      </c>
      <c r="E35" s="188" t="s">
        <v>1256</v>
      </c>
      <c r="F35" s="192" t="s">
        <v>1000</v>
      </c>
      <c r="G35" s="192" t="s">
        <v>1035</v>
      </c>
      <c r="H35" s="196">
        <v>150000</v>
      </c>
      <c r="I35" s="201">
        <v>0.2</v>
      </c>
      <c r="J35" s="201">
        <v>0</v>
      </c>
      <c r="K35" s="201">
        <v>0</v>
      </c>
      <c r="L35" s="201">
        <v>0</v>
      </c>
      <c r="M35" s="201">
        <v>0.1</v>
      </c>
      <c r="N35" s="201">
        <v>0.8</v>
      </c>
      <c r="O35" s="201">
        <v>0.5</v>
      </c>
      <c r="P35" s="192" t="s">
        <v>1202</v>
      </c>
      <c r="Q35" s="192" t="s">
        <v>1204</v>
      </c>
      <c r="R35" s="192" t="s">
        <v>1204</v>
      </c>
      <c r="S35" s="192" t="s">
        <v>1202</v>
      </c>
      <c r="T35" s="192" t="s">
        <v>1202</v>
      </c>
      <c r="U35" s="192" t="s">
        <v>1211</v>
      </c>
      <c r="V35" s="192" t="s">
        <v>1208</v>
      </c>
      <c r="W35" s="192" t="s">
        <v>1208</v>
      </c>
      <c r="X35" s="192" t="s">
        <v>1208</v>
      </c>
      <c r="Y35" s="192" t="s">
        <v>1208</v>
      </c>
      <c r="Z35" s="202" t="s">
        <v>1206</v>
      </c>
      <c r="AA35" s="169"/>
    </row>
    <row r="36" spans="2:27">
      <c r="B36" s="181"/>
      <c r="C36" s="171"/>
      <c r="D36" s="185"/>
      <c r="E36" s="189"/>
      <c r="F36" s="193"/>
      <c r="G36" s="193"/>
      <c r="H36" s="197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203"/>
      <c r="AA36" s="169"/>
    </row>
    <row r="37" spans="2:27">
      <c r="B37" s="182">
        <v>29</v>
      </c>
      <c r="C37" s="178" t="s">
        <v>45</v>
      </c>
      <c r="D37" s="186" t="s">
        <v>481</v>
      </c>
      <c r="E37" s="190" t="s">
        <v>1214</v>
      </c>
      <c r="F37" s="194"/>
      <c r="G37" s="194"/>
      <c r="H37" s="198"/>
      <c r="I37" s="194" t="s">
        <v>1257</v>
      </c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204"/>
      <c r="AA37" s="169"/>
    </row>
    <row r="38" spans="2:27">
      <c r="B38" s="181"/>
      <c r="C38" s="171"/>
      <c r="D38" s="185"/>
      <c r="E38" s="189"/>
      <c r="F38" s="193"/>
      <c r="G38" s="193"/>
      <c r="H38" s="197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203"/>
      <c r="AA38" s="169"/>
    </row>
    <row r="39" spans="2:27">
      <c r="B39" s="182">
        <v>31</v>
      </c>
      <c r="C39" s="178" t="s">
        <v>1215</v>
      </c>
      <c r="D39" s="186" t="s">
        <v>481</v>
      </c>
      <c r="E39" s="190" t="s">
        <v>1216</v>
      </c>
      <c r="F39" s="194"/>
      <c r="G39" s="194"/>
      <c r="H39" s="198"/>
      <c r="I39" s="194" t="s">
        <v>1257</v>
      </c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204"/>
      <c r="AA39" s="169"/>
    </row>
    <row r="40" spans="2:27">
      <c r="B40" s="182">
        <v>32</v>
      </c>
      <c r="C40" s="178" t="s">
        <v>1215</v>
      </c>
      <c r="D40" s="186" t="s">
        <v>481</v>
      </c>
      <c r="E40" s="190" t="s">
        <v>1217</v>
      </c>
      <c r="F40" s="194"/>
      <c r="G40" s="194"/>
      <c r="H40" s="198"/>
      <c r="I40" s="194" t="s">
        <v>1257</v>
      </c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204"/>
      <c r="AA40" s="169"/>
    </row>
    <row r="41" spans="2:27">
      <c r="B41" s="182">
        <v>33</v>
      </c>
      <c r="C41" s="178" t="s">
        <v>1215</v>
      </c>
      <c r="D41" s="186" t="s">
        <v>481</v>
      </c>
      <c r="E41" s="190" t="s">
        <v>1258</v>
      </c>
      <c r="F41" s="194"/>
      <c r="G41" s="194"/>
      <c r="H41" s="198"/>
      <c r="I41" s="194" t="s">
        <v>1257</v>
      </c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204"/>
      <c r="AA41" s="169"/>
    </row>
    <row r="42" spans="2:27">
      <c r="B42" s="182">
        <v>34</v>
      </c>
      <c r="C42" s="178" t="s">
        <v>1215</v>
      </c>
      <c r="D42" s="186" t="s">
        <v>481</v>
      </c>
      <c r="E42" s="190" t="s">
        <v>379</v>
      </c>
      <c r="F42" s="194"/>
      <c r="G42" s="194"/>
      <c r="H42" s="198"/>
      <c r="I42" s="194" t="s">
        <v>1257</v>
      </c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204"/>
      <c r="AA42" s="169"/>
    </row>
    <row r="43" spans="2:27">
      <c r="B43" s="181"/>
      <c r="C43" s="171"/>
      <c r="D43" s="185"/>
      <c r="E43" s="189"/>
      <c r="F43" s="193"/>
      <c r="G43" s="193"/>
      <c r="H43" s="19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203"/>
      <c r="AA43" s="169"/>
    </row>
    <row r="44" spans="2:27">
      <c r="B44" s="181"/>
      <c r="C44" s="171"/>
      <c r="D44" s="185"/>
      <c r="E44" s="189"/>
      <c r="F44" s="193"/>
      <c r="G44" s="193"/>
      <c r="H44" s="197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203"/>
      <c r="AA44" s="169"/>
    </row>
    <row r="45" spans="2:27" ht="27">
      <c r="B45" s="182">
        <v>37</v>
      </c>
      <c r="C45" s="178" t="s">
        <v>1259</v>
      </c>
      <c r="D45" s="186" t="s">
        <v>481</v>
      </c>
      <c r="E45" s="190" t="s">
        <v>1260</v>
      </c>
      <c r="F45" s="194"/>
      <c r="G45" s="194"/>
      <c r="H45" s="198"/>
      <c r="I45" s="194" t="s">
        <v>1257</v>
      </c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204"/>
      <c r="AA45" s="169"/>
    </row>
    <row r="46" spans="2:27">
      <c r="B46" s="170"/>
      <c r="C46" s="171"/>
      <c r="D46" s="171"/>
      <c r="E46" s="171"/>
      <c r="F46" s="171"/>
      <c r="G46" s="171"/>
      <c r="H46" s="171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203"/>
      <c r="AA46" s="169"/>
    </row>
    <row r="47" spans="2:27" ht="15.75" thickBot="1">
      <c r="B47" s="205"/>
      <c r="C47" s="206"/>
      <c r="D47" s="206"/>
      <c r="E47" s="206"/>
      <c r="F47" s="206"/>
      <c r="G47" s="206"/>
      <c r="H47" s="20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8"/>
      <c r="AA47" s="169"/>
    </row>
    <row r="48" spans="2:27" ht="21.95" customHeight="1" thickTop="1">
      <c r="B48" s="209"/>
      <c r="C48" s="210"/>
      <c r="D48" s="210"/>
      <c r="E48" s="210"/>
      <c r="F48" s="210"/>
      <c r="G48" s="210"/>
      <c r="H48" s="210"/>
      <c r="I48" s="211" t="s">
        <v>1261</v>
      </c>
      <c r="J48" s="211" t="s">
        <v>1262</v>
      </c>
      <c r="K48" s="211" t="s">
        <v>1263</v>
      </c>
      <c r="L48" s="211" t="s">
        <v>1264</v>
      </c>
      <c r="M48" s="211" t="s">
        <v>1265</v>
      </c>
      <c r="N48" s="211" t="s">
        <v>1266</v>
      </c>
      <c r="O48" s="211" t="s">
        <v>1267</v>
      </c>
      <c r="P48" s="211" t="s">
        <v>1268</v>
      </c>
      <c r="Q48" s="211" t="s">
        <v>1263</v>
      </c>
      <c r="R48" s="211" t="s">
        <v>1269</v>
      </c>
      <c r="S48" s="211" t="s">
        <v>1270</v>
      </c>
      <c r="T48" s="211" t="s">
        <v>1265</v>
      </c>
      <c r="U48" s="211" t="s">
        <v>1271</v>
      </c>
      <c r="V48" s="211" t="s">
        <v>1266</v>
      </c>
      <c r="W48" s="211" t="s">
        <v>1266</v>
      </c>
      <c r="X48" s="211" t="s">
        <v>1266</v>
      </c>
      <c r="Y48" s="211" t="s">
        <v>1266</v>
      </c>
      <c r="Z48" s="212" t="s">
        <v>1272</v>
      </c>
      <c r="AA48" s="169"/>
    </row>
    <row r="54" spans="2:13">
      <c r="B54" s="213" t="s">
        <v>1218</v>
      </c>
      <c r="C54" s="215">
        <v>1719868</v>
      </c>
      <c r="D54" s="215">
        <v>1051150</v>
      </c>
      <c r="E54" s="215">
        <v>1430339</v>
      </c>
      <c r="F54" s="215">
        <v>2751051</v>
      </c>
      <c r="G54" s="215">
        <v>3014333</v>
      </c>
      <c r="H54" s="215">
        <v>2036880</v>
      </c>
      <c r="I54" s="215">
        <v>1548153</v>
      </c>
      <c r="J54" s="215">
        <v>1548153</v>
      </c>
      <c r="K54" s="215">
        <v>1548153</v>
      </c>
      <c r="L54" s="215">
        <v>1548153</v>
      </c>
      <c r="M54" s="216">
        <v>612693</v>
      </c>
    </row>
    <row r="55" spans="2:13">
      <c r="B55" s="227" t="s">
        <v>1219</v>
      </c>
      <c r="C55" s="225">
        <v>464364</v>
      </c>
      <c r="D55" s="225">
        <v>283811</v>
      </c>
      <c r="E55" s="225">
        <v>386192</v>
      </c>
      <c r="F55" s="225">
        <v>742784</v>
      </c>
      <c r="G55" s="225">
        <v>813870</v>
      </c>
      <c r="H55" s="225">
        <v>549958</v>
      </c>
      <c r="I55" s="225">
        <v>418001</v>
      </c>
      <c r="J55" s="225">
        <v>418001</v>
      </c>
      <c r="K55" s="225">
        <v>418001</v>
      </c>
      <c r="L55" s="225">
        <v>418001</v>
      </c>
      <c r="M55" s="226">
        <v>165427</v>
      </c>
    </row>
    <row r="56" spans="2:13">
      <c r="B56" s="214" t="s">
        <v>1220</v>
      </c>
      <c r="C56" s="219">
        <v>2184232</v>
      </c>
      <c r="D56" s="219">
        <v>1334961</v>
      </c>
      <c r="E56" s="219">
        <v>1816531</v>
      </c>
      <c r="F56" s="219">
        <v>3493834</v>
      </c>
      <c r="G56" s="219">
        <v>3828203</v>
      </c>
      <c r="H56" s="219">
        <v>2586837</v>
      </c>
      <c r="I56" s="219">
        <v>1966155</v>
      </c>
      <c r="J56" s="219">
        <v>1966155</v>
      </c>
      <c r="K56" s="219">
        <v>1966155</v>
      </c>
      <c r="L56" s="219">
        <v>1966155</v>
      </c>
      <c r="M56" s="220">
        <v>778120</v>
      </c>
    </row>
    <row r="57" spans="2:13">
      <c r="B57" s="214" t="s">
        <v>1273</v>
      </c>
      <c r="C57" s="217">
        <v>2184232</v>
      </c>
      <c r="D57" s="217">
        <v>1334961</v>
      </c>
      <c r="E57" s="217">
        <v>1816531</v>
      </c>
      <c r="F57" s="217">
        <v>3493834</v>
      </c>
      <c r="G57" s="217">
        <v>3828203</v>
      </c>
      <c r="H57" s="217">
        <v>2586837</v>
      </c>
      <c r="I57" s="217">
        <v>1966155</v>
      </c>
      <c r="J57" s="217">
        <v>1966155</v>
      </c>
      <c r="K57" s="217">
        <v>1966155</v>
      </c>
      <c r="L57" s="217">
        <v>1966155</v>
      </c>
      <c r="M57" s="218">
        <v>778120</v>
      </c>
    </row>
    <row r="58" spans="2:13" ht="15.75" thickBot="1">
      <c r="B58" s="221" t="s">
        <v>1221</v>
      </c>
      <c r="C58" s="228">
        <v>2184232</v>
      </c>
      <c r="D58" s="228">
        <v>1361660</v>
      </c>
      <c r="E58" s="228">
        <v>1889919</v>
      </c>
      <c r="F58" s="228">
        <v>3707685</v>
      </c>
      <c r="G58" s="228">
        <v>4143770</v>
      </c>
      <c r="H58" s="228">
        <v>2856078</v>
      </c>
      <c r="I58" s="228">
        <v>2214210</v>
      </c>
      <c r="J58" s="228">
        <v>2258494</v>
      </c>
      <c r="K58" s="228">
        <v>2303664</v>
      </c>
      <c r="L58" s="228">
        <v>2349737</v>
      </c>
      <c r="M58" s="229">
        <v>948524</v>
      </c>
    </row>
    <row r="59" spans="2:13" ht="27.75" thickTop="1">
      <c r="B59" s="222" t="s">
        <v>1222</v>
      </c>
      <c r="C59" s="223">
        <v>2184232</v>
      </c>
      <c r="D59" s="223">
        <v>1361660</v>
      </c>
      <c r="E59" s="223">
        <v>1889919</v>
      </c>
      <c r="F59" s="223">
        <v>3707685</v>
      </c>
      <c r="G59" s="223">
        <v>4143770</v>
      </c>
      <c r="H59" s="223">
        <v>2856078</v>
      </c>
      <c r="I59" s="223">
        <v>2214210</v>
      </c>
      <c r="J59" s="223">
        <v>2258494</v>
      </c>
      <c r="K59" s="223">
        <v>2303664</v>
      </c>
      <c r="L59" s="223">
        <v>2349737</v>
      </c>
      <c r="M59" s="224">
        <v>948524</v>
      </c>
    </row>
    <row r="60" spans="2:13">
      <c r="B60" s="50"/>
      <c r="C60" s="50" t="s">
        <v>1274</v>
      </c>
      <c r="D60" s="50"/>
      <c r="E60" s="50"/>
      <c r="F60" s="50"/>
      <c r="G60" s="50"/>
      <c r="H60" s="50"/>
      <c r="I60" s="50"/>
      <c r="J60" s="50"/>
      <c r="K60" s="50"/>
      <c r="L60" s="50"/>
      <c r="M60" s="50"/>
    </row>
  </sheetData>
  <mergeCells count="1">
    <mergeCell ref="A1:B1"/>
  </mergeCells>
  <phoneticPr fontId="8" type="noConversion"/>
  <hyperlinks>
    <hyperlink ref="A1" location="'Table of contents'!A1" display="` ToC" xr:uid="{A5DB0461-E3FD-470C-BCAC-9A851F9550A9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E2B0-37AD-4F57-8844-19070B6AE304}">
  <dimension ref="A1:U103"/>
  <sheetViews>
    <sheetView tabSelected="1" workbookViewId="0">
      <selection sqref="A1:E2"/>
    </sheetView>
  </sheetViews>
  <sheetFormatPr defaultRowHeight="15"/>
  <cols>
    <col min="2" max="2" width="6.42578125" customWidth="1"/>
    <col min="3" max="3" width="11" customWidth="1"/>
    <col min="4" max="4" width="23.85546875" customWidth="1"/>
    <col min="5" max="5" width="21.85546875" customWidth="1"/>
    <col min="6" max="6" width="27.5703125" customWidth="1"/>
    <col min="7" max="7" width="13.7109375" customWidth="1"/>
    <col min="8" max="8" width="38.140625" customWidth="1"/>
    <col min="9" max="10" width="33.28515625" customWidth="1"/>
    <col min="11" max="11" width="13" customWidth="1"/>
    <col min="12" max="12" width="15.5703125" customWidth="1"/>
    <col min="13" max="13" width="38.140625" customWidth="1"/>
    <col min="14" max="17" width="16.7109375" customWidth="1"/>
    <col min="18" max="19" width="15.5703125" customWidth="1"/>
    <col min="20" max="21" width="36.140625" customWidth="1"/>
  </cols>
  <sheetData>
    <row r="1" spans="1:21">
      <c r="A1" s="265" t="s">
        <v>2166</v>
      </c>
      <c r="B1" s="266"/>
      <c r="C1" s="266"/>
      <c r="D1" s="266"/>
      <c r="E1" s="266"/>
    </row>
    <row r="2" spans="1:21">
      <c r="A2" s="266"/>
      <c r="B2" s="266"/>
      <c r="C2" s="266"/>
      <c r="D2" s="266"/>
      <c r="E2" s="266"/>
    </row>
    <row r="3" spans="1:21" ht="42" customHeight="1">
      <c r="B3" s="230" t="s">
        <v>907</v>
      </c>
      <c r="C3" s="231" t="s">
        <v>33</v>
      </c>
      <c r="D3" s="231" t="s">
        <v>867</v>
      </c>
      <c r="E3" s="231" t="s">
        <v>868</v>
      </c>
      <c r="F3" s="231" t="s">
        <v>869</v>
      </c>
      <c r="G3" s="231" t="s">
        <v>1275</v>
      </c>
      <c r="H3" s="231" t="s">
        <v>480</v>
      </c>
      <c r="I3" s="231" t="s">
        <v>870</v>
      </c>
      <c r="J3" s="231" t="s">
        <v>871</v>
      </c>
      <c r="K3" s="231" t="s">
        <v>1276</v>
      </c>
      <c r="L3" s="231" t="s">
        <v>1277</v>
      </c>
      <c r="M3" s="251" t="s">
        <v>1278</v>
      </c>
      <c r="N3" s="255" t="s">
        <v>1279</v>
      </c>
      <c r="O3" s="252" t="s">
        <v>1280</v>
      </c>
      <c r="P3" s="232" t="s">
        <v>1281</v>
      </c>
      <c r="Q3" s="258" t="s">
        <v>1282</v>
      </c>
      <c r="R3" s="262" t="s">
        <v>1283</v>
      </c>
      <c r="S3" s="261" t="s">
        <v>1284</v>
      </c>
      <c r="T3" s="233" t="s">
        <v>543</v>
      </c>
      <c r="U3" s="234" t="s">
        <v>858</v>
      </c>
    </row>
    <row r="4" spans="1:21" ht="60">
      <c r="B4" s="235">
        <v>1</v>
      </c>
      <c r="C4" s="236" t="s">
        <v>1040</v>
      </c>
      <c r="D4" s="239" t="s">
        <v>1285</v>
      </c>
      <c r="E4" s="239" t="s">
        <v>1286</v>
      </c>
      <c r="F4" s="239" t="s">
        <v>1287</v>
      </c>
      <c r="G4" s="239" t="s">
        <v>877</v>
      </c>
      <c r="H4" s="241" t="s">
        <v>1288</v>
      </c>
      <c r="I4" s="241" t="s">
        <v>1289</v>
      </c>
      <c r="J4" s="241" t="s">
        <v>1290</v>
      </c>
      <c r="K4" s="247">
        <v>0.5</v>
      </c>
      <c r="L4" s="249" t="s">
        <v>1291</v>
      </c>
      <c r="M4" s="243" t="s">
        <v>1292</v>
      </c>
      <c r="N4" s="256">
        <v>400</v>
      </c>
      <c r="O4" s="253">
        <v>1800</v>
      </c>
      <c r="P4" s="245">
        <v>4200</v>
      </c>
      <c r="Q4" s="259">
        <v>900</v>
      </c>
      <c r="R4" s="263" t="s">
        <v>1293</v>
      </c>
      <c r="S4" s="235" t="s">
        <v>1294</v>
      </c>
      <c r="T4" s="241" t="s">
        <v>1295</v>
      </c>
      <c r="U4" s="243" t="s">
        <v>1296</v>
      </c>
    </row>
    <row r="5" spans="1:21" ht="48">
      <c r="B5" s="235">
        <v>2</v>
      </c>
      <c r="C5" s="236" t="s">
        <v>1043</v>
      </c>
      <c r="D5" s="239" t="s">
        <v>1285</v>
      </c>
      <c r="E5" s="239" t="s">
        <v>1286</v>
      </c>
      <c r="F5" s="239" t="s">
        <v>1297</v>
      </c>
      <c r="G5" s="239" t="s">
        <v>877</v>
      </c>
      <c r="H5" s="241" t="s">
        <v>1298</v>
      </c>
      <c r="I5" s="241" t="s">
        <v>1299</v>
      </c>
      <c r="J5" s="241" t="s">
        <v>1300</v>
      </c>
      <c r="K5" s="247">
        <v>0.4</v>
      </c>
      <c r="L5" s="249" t="s">
        <v>1301</v>
      </c>
      <c r="M5" s="243" t="s">
        <v>1302</v>
      </c>
      <c r="N5" s="256">
        <v>800</v>
      </c>
      <c r="O5" s="253">
        <v>3500</v>
      </c>
      <c r="P5" s="245">
        <v>8000</v>
      </c>
      <c r="Q5" s="259">
        <v>1400</v>
      </c>
      <c r="R5" s="263" t="s">
        <v>934</v>
      </c>
      <c r="S5" s="235" t="s">
        <v>1303</v>
      </c>
      <c r="T5" s="241" t="s">
        <v>1304</v>
      </c>
      <c r="U5" s="243" t="s">
        <v>1305</v>
      </c>
    </row>
    <row r="6" spans="1:21" ht="48">
      <c r="B6" s="235">
        <v>3</v>
      </c>
      <c r="C6" s="236" t="s">
        <v>1045</v>
      </c>
      <c r="D6" s="239" t="s">
        <v>1285</v>
      </c>
      <c r="E6" s="239" t="s">
        <v>1306</v>
      </c>
      <c r="F6" s="239" t="s">
        <v>1046</v>
      </c>
      <c r="G6" s="239" t="s">
        <v>877</v>
      </c>
      <c r="H6" s="241" t="s">
        <v>1307</v>
      </c>
      <c r="I6" s="241" t="s">
        <v>1308</v>
      </c>
      <c r="J6" s="241" t="s">
        <v>1309</v>
      </c>
      <c r="K6" s="247">
        <v>0.45</v>
      </c>
      <c r="L6" s="249" t="s">
        <v>1291</v>
      </c>
      <c r="M6" s="243" t="s">
        <v>1310</v>
      </c>
      <c r="N6" s="256">
        <v>500</v>
      </c>
      <c r="O6" s="253">
        <v>2200</v>
      </c>
      <c r="P6" s="245">
        <v>5000</v>
      </c>
      <c r="Q6" s="259">
        <v>990</v>
      </c>
      <c r="R6" s="263" t="s">
        <v>1311</v>
      </c>
      <c r="S6" s="235" t="s">
        <v>1311</v>
      </c>
      <c r="T6" s="241" t="s">
        <v>1312</v>
      </c>
      <c r="U6" s="243" t="s">
        <v>1313</v>
      </c>
    </row>
    <row r="7" spans="1:21" ht="48">
      <c r="B7" s="235">
        <v>4</v>
      </c>
      <c r="C7" s="236" t="s">
        <v>1047</v>
      </c>
      <c r="D7" s="239" t="s">
        <v>1314</v>
      </c>
      <c r="E7" s="239" t="s">
        <v>1315</v>
      </c>
      <c r="F7" s="239" t="s">
        <v>1048</v>
      </c>
      <c r="G7" s="239" t="s">
        <v>877</v>
      </c>
      <c r="H7" s="241" t="s">
        <v>1316</v>
      </c>
      <c r="I7" s="241" t="s">
        <v>1317</v>
      </c>
      <c r="J7" s="241" t="s">
        <v>1318</v>
      </c>
      <c r="K7" s="247">
        <v>0.5</v>
      </c>
      <c r="L7" s="249" t="s">
        <v>1291</v>
      </c>
      <c r="M7" s="243" t="s">
        <v>1319</v>
      </c>
      <c r="N7" s="256">
        <v>300</v>
      </c>
      <c r="O7" s="253">
        <v>1600</v>
      </c>
      <c r="P7" s="245">
        <v>4000</v>
      </c>
      <c r="Q7" s="259">
        <v>800</v>
      </c>
      <c r="R7" s="263" t="s">
        <v>1293</v>
      </c>
      <c r="S7" s="235" t="s">
        <v>1294</v>
      </c>
      <c r="T7" s="241" t="s">
        <v>1320</v>
      </c>
      <c r="U7" s="243" t="s">
        <v>1321</v>
      </c>
    </row>
    <row r="8" spans="1:21" ht="48">
      <c r="B8" s="235">
        <v>5</v>
      </c>
      <c r="C8" s="236" t="s">
        <v>1049</v>
      </c>
      <c r="D8" s="239" t="s">
        <v>1285</v>
      </c>
      <c r="E8" s="239" t="s">
        <v>1322</v>
      </c>
      <c r="F8" s="239" t="s">
        <v>1323</v>
      </c>
      <c r="G8" s="239" t="s">
        <v>878</v>
      </c>
      <c r="H8" s="241" t="s">
        <v>1324</v>
      </c>
      <c r="I8" s="241" t="s">
        <v>1325</v>
      </c>
      <c r="J8" s="241" t="s">
        <v>1326</v>
      </c>
      <c r="K8" s="247">
        <v>0.55000000000000004</v>
      </c>
      <c r="L8" s="249" t="s">
        <v>1291</v>
      </c>
      <c r="M8" s="243" t="s">
        <v>1327</v>
      </c>
      <c r="N8" s="256">
        <v>1500</v>
      </c>
      <c r="O8" s="253">
        <v>5500</v>
      </c>
      <c r="P8" s="245">
        <v>12000</v>
      </c>
      <c r="Q8" s="259">
        <v>3025</v>
      </c>
      <c r="R8" s="263" t="s">
        <v>1328</v>
      </c>
      <c r="S8" s="235" t="s">
        <v>1293</v>
      </c>
      <c r="T8" s="241" t="s">
        <v>1329</v>
      </c>
      <c r="U8" s="243" t="s">
        <v>1330</v>
      </c>
    </row>
    <row r="9" spans="1:21" ht="36">
      <c r="B9" s="235">
        <v>6</v>
      </c>
      <c r="C9" s="236" t="s">
        <v>1051</v>
      </c>
      <c r="D9" s="239" t="s">
        <v>1331</v>
      </c>
      <c r="E9" s="239" t="s">
        <v>1093</v>
      </c>
      <c r="F9" s="239" t="s">
        <v>1052</v>
      </c>
      <c r="G9" s="239" t="s">
        <v>876</v>
      </c>
      <c r="H9" s="241" t="s">
        <v>1332</v>
      </c>
      <c r="I9" s="241" t="s">
        <v>1333</v>
      </c>
      <c r="J9" s="241" t="s">
        <v>1334</v>
      </c>
      <c r="K9" s="247">
        <v>0.45</v>
      </c>
      <c r="L9" s="249" t="s">
        <v>1291</v>
      </c>
      <c r="M9" s="243" t="s">
        <v>1335</v>
      </c>
      <c r="N9" s="256">
        <v>900</v>
      </c>
      <c r="O9" s="253">
        <v>4200</v>
      </c>
      <c r="P9" s="245">
        <v>9000</v>
      </c>
      <c r="Q9" s="259">
        <v>1890</v>
      </c>
      <c r="R9" s="263" t="s">
        <v>1293</v>
      </c>
      <c r="S9" s="235" t="s">
        <v>1293</v>
      </c>
      <c r="T9" s="241" t="s">
        <v>1336</v>
      </c>
      <c r="U9" s="243" t="s">
        <v>1337</v>
      </c>
    </row>
    <row r="10" spans="1:21" ht="36">
      <c r="B10" s="235">
        <v>7</v>
      </c>
      <c r="C10" s="236" t="s">
        <v>1053</v>
      </c>
      <c r="D10" s="239" t="s">
        <v>1285</v>
      </c>
      <c r="E10" s="239" t="s">
        <v>1338</v>
      </c>
      <c r="F10" s="239" t="s">
        <v>1054</v>
      </c>
      <c r="G10" s="239" t="s">
        <v>875</v>
      </c>
      <c r="H10" s="241" t="s">
        <v>1339</v>
      </c>
      <c r="I10" s="241" t="s">
        <v>1340</v>
      </c>
      <c r="J10" s="241" t="s">
        <v>1341</v>
      </c>
      <c r="K10" s="247">
        <v>0.45</v>
      </c>
      <c r="L10" s="249" t="s">
        <v>1291</v>
      </c>
      <c r="M10" s="243" t="s">
        <v>1342</v>
      </c>
      <c r="N10" s="256">
        <v>700</v>
      </c>
      <c r="O10" s="253">
        <v>3000</v>
      </c>
      <c r="P10" s="245">
        <v>7500</v>
      </c>
      <c r="Q10" s="259">
        <v>1350</v>
      </c>
      <c r="R10" s="263" t="s">
        <v>1343</v>
      </c>
      <c r="S10" s="235" t="s">
        <v>1343</v>
      </c>
      <c r="T10" s="241" t="s">
        <v>1344</v>
      </c>
      <c r="U10" s="243" t="s">
        <v>1345</v>
      </c>
    </row>
    <row r="11" spans="1:21" ht="48">
      <c r="B11" s="235">
        <v>8</v>
      </c>
      <c r="C11" s="236" t="s">
        <v>1055</v>
      </c>
      <c r="D11" s="239" t="s">
        <v>1346</v>
      </c>
      <c r="E11" s="239" t="s">
        <v>1347</v>
      </c>
      <c r="F11" s="239" t="s">
        <v>1056</v>
      </c>
      <c r="G11" s="239" t="s">
        <v>876</v>
      </c>
      <c r="H11" s="241" t="s">
        <v>1348</v>
      </c>
      <c r="I11" s="241" t="s">
        <v>1349</v>
      </c>
      <c r="J11" s="241" t="s">
        <v>1350</v>
      </c>
      <c r="K11" s="247">
        <v>0.45</v>
      </c>
      <c r="L11" s="249" t="s">
        <v>1301</v>
      </c>
      <c r="M11" s="243" t="s">
        <v>1351</v>
      </c>
      <c r="N11" s="256">
        <v>700</v>
      </c>
      <c r="O11" s="253">
        <v>2800</v>
      </c>
      <c r="P11" s="245">
        <v>6500</v>
      </c>
      <c r="Q11" s="259">
        <v>1260</v>
      </c>
      <c r="R11" s="263" t="s">
        <v>1294</v>
      </c>
      <c r="S11" s="235" t="s">
        <v>1294</v>
      </c>
      <c r="T11" s="241" t="s">
        <v>1352</v>
      </c>
      <c r="U11" s="243" t="s">
        <v>1353</v>
      </c>
    </row>
    <row r="12" spans="1:21" ht="36">
      <c r="B12" s="235">
        <v>9</v>
      </c>
      <c r="C12" s="236" t="s">
        <v>1057</v>
      </c>
      <c r="D12" s="239" t="s">
        <v>1354</v>
      </c>
      <c r="E12" s="239" t="s">
        <v>1355</v>
      </c>
      <c r="F12" s="239" t="s">
        <v>1058</v>
      </c>
      <c r="G12" s="239" t="s">
        <v>875</v>
      </c>
      <c r="H12" s="241" t="s">
        <v>1356</v>
      </c>
      <c r="I12" s="241" t="s">
        <v>1357</v>
      </c>
      <c r="J12" s="241" t="s">
        <v>1358</v>
      </c>
      <c r="K12" s="247">
        <v>0.5</v>
      </c>
      <c r="L12" s="249" t="s">
        <v>1291</v>
      </c>
      <c r="M12" s="243" t="s">
        <v>1359</v>
      </c>
      <c r="N12" s="256">
        <v>400</v>
      </c>
      <c r="O12" s="253">
        <v>1900</v>
      </c>
      <c r="P12" s="245">
        <v>4200</v>
      </c>
      <c r="Q12" s="259">
        <v>950</v>
      </c>
      <c r="R12" s="263" t="s">
        <v>1360</v>
      </c>
      <c r="S12" s="235" t="s">
        <v>1328</v>
      </c>
      <c r="T12" s="241" t="s">
        <v>1361</v>
      </c>
      <c r="U12" s="243" t="s">
        <v>1362</v>
      </c>
    </row>
    <row r="13" spans="1:21" ht="48">
      <c r="B13" s="235">
        <v>10</v>
      </c>
      <c r="C13" s="236" t="s">
        <v>1059</v>
      </c>
      <c r="D13" s="239" t="s">
        <v>1331</v>
      </c>
      <c r="E13" s="239" t="s">
        <v>1363</v>
      </c>
      <c r="F13" s="239" t="s">
        <v>1060</v>
      </c>
      <c r="G13" s="239" t="s">
        <v>876</v>
      </c>
      <c r="H13" s="241" t="s">
        <v>1364</v>
      </c>
      <c r="I13" s="241" t="s">
        <v>1365</v>
      </c>
      <c r="J13" s="241" t="s">
        <v>1366</v>
      </c>
      <c r="K13" s="247">
        <v>0.4</v>
      </c>
      <c r="L13" s="249" t="s">
        <v>1291</v>
      </c>
      <c r="M13" s="243" t="s">
        <v>1367</v>
      </c>
      <c r="N13" s="256">
        <v>800</v>
      </c>
      <c r="O13" s="253">
        <v>3600</v>
      </c>
      <c r="P13" s="245">
        <v>8200</v>
      </c>
      <c r="Q13" s="259">
        <v>1440</v>
      </c>
      <c r="R13" s="263" t="s">
        <v>1294</v>
      </c>
      <c r="S13" s="235" t="s">
        <v>1294</v>
      </c>
      <c r="T13" s="241" t="s">
        <v>1368</v>
      </c>
      <c r="U13" s="243" t="s">
        <v>1369</v>
      </c>
    </row>
    <row r="14" spans="1:21" ht="36">
      <c r="B14" s="235">
        <v>11</v>
      </c>
      <c r="C14" s="236" t="s">
        <v>1061</v>
      </c>
      <c r="D14" s="239" t="s">
        <v>1354</v>
      </c>
      <c r="E14" s="239" t="s">
        <v>1370</v>
      </c>
      <c r="F14" s="239" t="s">
        <v>1062</v>
      </c>
      <c r="G14" s="239" t="s">
        <v>874</v>
      </c>
      <c r="H14" s="241" t="s">
        <v>1371</v>
      </c>
      <c r="I14" s="241" t="s">
        <v>1372</v>
      </c>
      <c r="J14" s="241" t="s">
        <v>1373</v>
      </c>
      <c r="K14" s="247">
        <v>0.4</v>
      </c>
      <c r="L14" s="249" t="s">
        <v>1291</v>
      </c>
      <c r="M14" s="243" t="s">
        <v>1374</v>
      </c>
      <c r="N14" s="256">
        <v>300</v>
      </c>
      <c r="O14" s="253">
        <v>1300</v>
      </c>
      <c r="P14" s="245">
        <v>3200</v>
      </c>
      <c r="Q14" s="259">
        <v>520</v>
      </c>
      <c r="R14" s="263" t="s">
        <v>1293</v>
      </c>
      <c r="S14" s="235" t="s">
        <v>1293</v>
      </c>
      <c r="T14" s="241" t="s">
        <v>1375</v>
      </c>
      <c r="U14" s="243" t="s">
        <v>1376</v>
      </c>
    </row>
    <row r="15" spans="1:21" ht="48">
      <c r="B15" s="235">
        <v>12</v>
      </c>
      <c r="C15" s="236" t="s">
        <v>1063</v>
      </c>
      <c r="D15" s="239" t="s">
        <v>1285</v>
      </c>
      <c r="E15" s="239" t="s">
        <v>1338</v>
      </c>
      <c r="F15" s="239" t="s">
        <v>1064</v>
      </c>
      <c r="G15" s="239" t="s">
        <v>876</v>
      </c>
      <c r="H15" s="241" t="s">
        <v>1377</v>
      </c>
      <c r="I15" s="241" t="s">
        <v>1378</v>
      </c>
      <c r="J15" s="241" t="s">
        <v>1379</v>
      </c>
      <c r="K15" s="247">
        <v>0.6</v>
      </c>
      <c r="L15" s="249" t="s">
        <v>1291</v>
      </c>
      <c r="M15" s="243" t="s">
        <v>1380</v>
      </c>
      <c r="N15" s="256">
        <v>900</v>
      </c>
      <c r="O15" s="253">
        <v>4000</v>
      </c>
      <c r="P15" s="245">
        <v>9500</v>
      </c>
      <c r="Q15" s="259">
        <v>2400</v>
      </c>
      <c r="R15" s="263" t="s">
        <v>1343</v>
      </c>
      <c r="S15" s="235" t="s">
        <v>1381</v>
      </c>
      <c r="T15" s="241" t="s">
        <v>1382</v>
      </c>
      <c r="U15" s="243" t="s">
        <v>1383</v>
      </c>
    </row>
    <row r="16" spans="1:21" ht="48">
      <c r="B16" s="235">
        <v>13</v>
      </c>
      <c r="C16" s="236" t="s">
        <v>1066</v>
      </c>
      <c r="D16" s="239" t="s">
        <v>1346</v>
      </c>
      <c r="E16" s="239" t="s">
        <v>1030</v>
      </c>
      <c r="F16" s="239" t="s">
        <v>1067</v>
      </c>
      <c r="G16" s="239" t="s">
        <v>1384</v>
      </c>
      <c r="H16" s="241" t="s">
        <v>1385</v>
      </c>
      <c r="I16" s="241" t="s">
        <v>1386</v>
      </c>
      <c r="J16" s="241" t="s">
        <v>1387</v>
      </c>
      <c r="K16" s="247">
        <v>0.5</v>
      </c>
      <c r="L16" s="249" t="s">
        <v>1301</v>
      </c>
      <c r="M16" s="243" t="s">
        <v>1388</v>
      </c>
      <c r="N16" s="256">
        <v>500</v>
      </c>
      <c r="O16" s="253">
        <v>2400</v>
      </c>
      <c r="P16" s="245">
        <v>6000</v>
      </c>
      <c r="Q16" s="259">
        <v>1200</v>
      </c>
      <c r="R16" s="263" t="s">
        <v>1389</v>
      </c>
      <c r="S16" s="235" t="s">
        <v>1303</v>
      </c>
      <c r="T16" s="241" t="s">
        <v>1390</v>
      </c>
      <c r="U16" s="243" t="s">
        <v>1391</v>
      </c>
    </row>
    <row r="17" spans="2:21" ht="36">
      <c r="B17" s="235">
        <v>14</v>
      </c>
      <c r="C17" s="236" t="s">
        <v>1068</v>
      </c>
      <c r="D17" s="239" t="s">
        <v>1346</v>
      </c>
      <c r="E17" s="239" t="s">
        <v>1036</v>
      </c>
      <c r="F17" s="239" t="s">
        <v>1069</v>
      </c>
      <c r="G17" s="239" t="s">
        <v>875</v>
      </c>
      <c r="H17" s="241" t="s">
        <v>1392</v>
      </c>
      <c r="I17" s="241" t="s">
        <v>1393</v>
      </c>
      <c r="J17" s="241" t="s">
        <v>1394</v>
      </c>
      <c r="K17" s="247">
        <v>0.45</v>
      </c>
      <c r="L17" s="249" t="s">
        <v>1291</v>
      </c>
      <c r="M17" s="243" t="s">
        <v>1395</v>
      </c>
      <c r="N17" s="256">
        <v>400</v>
      </c>
      <c r="O17" s="253">
        <v>1800</v>
      </c>
      <c r="P17" s="245">
        <v>4200</v>
      </c>
      <c r="Q17" s="259">
        <v>810</v>
      </c>
      <c r="R17" s="263" t="s">
        <v>1389</v>
      </c>
      <c r="S17" s="235" t="s">
        <v>1294</v>
      </c>
      <c r="T17" s="241" t="s">
        <v>1396</v>
      </c>
      <c r="U17" s="243" t="s">
        <v>1397</v>
      </c>
    </row>
    <row r="18" spans="2:21" ht="36">
      <c r="B18" s="235">
        <v>15</v>
      </c>
      <c r="C18" s="236" t="s">
        <v>1070</v>
      </c>
      <c r="D18" s="239" t="s">
        <v>1398</v>
      </c>
      <c r="E18" s="239" t="s">
        <v>1138</v>
      </c>
      <c r="F18" s="239" t="s">
        <v>1071</v>
      </c>
      <c r="G18" s="239" t="s">
        <v>876</v>
      </c>
      <c r="H18" s="241" t="s">
        <v>1399</v>
      </c>
      <c r="I18" s="241" t="s">
        <v>1400</v>
      </c>
      <c r="J18" s="241" t="s">
        <v>1401</v>
      </c>
      <c r="K18" s="247">
        <v>0.3</v>
      </c>
      <c r="L18" s="249" t="s">
        <v>1291</v>
      </c>
      <c r="M18" s="243" t="s">
        <v>1402</v>
      </c>
      <c r="N18" s="256">
        <v>350</v>
      </c>
      <c r="O18" s="253">
        <v>1500</v>
      </c>
      <c r="P18" s="245">
        <v>3500</v>
      </c>
      <c r="Q18" s="259">
        <v>450</v>
      </c>
      <c r="R18" s="263" t="s">
        <v>1294</v>
      </c>
      <c r="S18" s="235" t="s">
        <v>1294</v>
      </c>
      <c r="T18" s="241" t="s">
        <v>1403</v>
      </c>
      <c r="U18" s="243" t="s">
        <v>1404</v>
      </c>
    </row>
    <row r="19" spans="2:21" ht="48">
      <c r="B19" s="235">
        <v>16</v>
      </c>
      <c r="C19" s="236" t="s">
        <v>1405</v>
      </c>
      <c r="D19" s="239" t="s">
        <v>1331</v>
      </c>
      <c r="E19" s="239" t="s">
        <v>1406</v>
      </c>
      <c r="F19" s="239" t="s">
        <v>1407</v>
      </c>
      <c r="G19" s="239" t="s">
        <v>876</v>
      </c>
      <c r="H19" s="241" t="s">
        <v>1408</v>
      </c>
      <c r="I19" s="241" t="s">
        <v>1409</v>
      </c>
      <c r="J19" s="241" t="s">
        <v>1410</v>
      </c>
      <c r="K19" s="247">
        <v>0.35</v>
      </c>
      <c r="L19" s="249" t="s">
        <v>1291</v>
      </c>
      <c r="M19" s="243" t="s">
        <v>1411</v>
      </c>
      <c r="N19" s="256">
        <v>1200</v>
      </c>
      <c r="O19" s="253">
        <v>4800</v>
      </c>
      <c r="P19" s="245">
        <v>11000</v>
      </c>
      <c r="Q19" s="259">
        <v>1680</v>
      </c>
      <c r="R19" s="263" t="s">
        <v>1381</v>
      </c>
      <c r="S19" s="235" t="s">
        <v>1381</v>
      </c>
      <c r="T19" s="241" t="s">
        <v>1412</v>
      </c>
      <c r="U19" s="243" t="s">
        <v>1413</v>
      </c>
    </row>
    <row r="20" spans="2:21" ht="48">
      <c r="B20" s="235">
        <v>17</v>
      </c>
      <c r="C20" s="236" t="s">
        <v>1414</v>
      </c>
      <c r="D20" s="239" t="s">
        <v>1331</v>
      </c>
      <c r="E20" s="239" t="s">
        <v>1406</v>
      </c>
      <c r="F20" s="239" t="s">
        <v>1415</v>
      </c>
      <c r="G20" s="239" t="s">
        <v>876</v>
      </c>
      <c r="H20" s="241" t="s">
        <v>1416</v>
      </c>
      <c r="I20" s="241" t="s">
        <v>1417</v>
      </c>
      <c r="J20" s="241" t="s">
        <v>1418</v>
      </c>
      <c r="K20" s="247">
        <v>0.45</v>
      </c>
      <c r="L20" s="249" t="s">
        <v>1301</v>
      </c>
      <c r="M20" s="243" t="s">
        <v>1419</v>
      </c>
      <c r="N20" s="256">
        <v>600</v>
      </c>
      <c r="O20" s="253">
        <v>2500</v>
      </c>
      <c r="P20" s="245">
        <v>6000</v>
      </c>
      <c r="Q20" s="259">
        <v>1125</v>
      </c>
      <c r="R20" s="263" t="s">
        <v>1381</v>
      </c>
      <c r="S20" s="235" t="s">
        <v>1381</v>
      </c>
      <c r="T20" s="241" t="s">
        <v>1420</v>
      </c>
      <c r="U20" s="243" t="s">
        <v>1421</v>
      </c>
    </row>
    <row r="21" spans="2:21" ht="36">
      <c r="B21" s="235">
        <v>18</v>
      </c>
      <c r="C21" s="236" t="s">
        <v>1422</v>
      </c>
      <c r="D21" s="239" t="s">
        <v>1285</v>
      </c>
      <c r="E21" s="239" t="s">
        <v>1423</v>
      </c>
      <c r="F21" s="239" t="s">
        <v>1424</v>
      </c>
      <c r="G21" s="239" t="s">
        <v>876</v>
      </c>
      <c r="H21" s="241" t="s">
        <v>1425</v>
      </c>
      <c r="I21" s="241" t="s">
        <v>1426</v>
      </c>
      <c r="J21" s="241" t="s">
        <v>1427</v>
      </c>
      <c r="K21" s="247">
        <v>0.45</v>
      </c>
      <c r="L21" s="249" t="s">
        <v>1291</v>
      </c>
      <c r="M21" s="243" t="s">
        <v>1428</v>
      </c>
      <c r="N21" s="256">
        <v>500</v>
      </c>
      <c r="O21" s="253">
        <v>2200</v>
      </c>
      <c r="P21" s="245">
        <v>5500</v>
      </c>
      <c r="Q21" s="259">
        <v>990</v>
      </c>
      <c r="R21" s="263" t="s">
        <v>1293</v>
      </c>
      <c r="S21" s="235" t="s">
        <v>1294</v>
      </c>
      <c r="T21" s="241" t="s">
        <v>1429</v>
      </c>
      <c r="U21" s="243" t="s">
        <v>1430</v>
      </c>
    </row>
    <row r="22" spans="2:21" ht="36">
      <c r="B22" s="235">
        <v>19</v>
      </c>
      <c r="C22" s="236" t="s">
        <v>1431</v>
      </c>
      <c r="D22" s="239" t="s">
        <v>1331</v>
      </c>
      <c r="E22" s="239" t="s">
        <v>1432</v>
      </c>
      <c r="F22" s="239" t="s">
        <v>1433</v>
      </c>
      <c r="G22" s="239" t="s">
        <v>876</v>
      </c>
      <c r="H22" s="241" t="s">
        <v>1434</v>
      </c>
      <c r="I22" s="241" t="s">
        <v>1435</v>
      </c>
      <c r="J22" s="241" t="s">
        <v>1436</v>
      </c>
      <c r="K22" s="247">
        <v>0.35</v>
      </c>
      <c r="L22" s="249" t="s">
        <v>1291</v>
      </c>
      <c r="M22" s="243" t="s">
        <v>1437</v>
      </c>
      <c r="N22" s="256">
        <v>450</v>
      </c>
      <c r="O22" s="253">
        <v>1900</v>
      </c>
      <c r="P22" s="245">
        <v>4500</v>
      </c>
      <c r="Q22" s="259">
        <v>665</v>
      </c>
      <c r="R22" s="263" t="s">
        <v>1293</v>
      </c>
      <c r="S22" s="235" t="s">
        <v>1294</v>
      </c>
      <c r="T22" s="241" t="s">
        <v>1438</v>
      </c>
      <c r="U22" s="243" t="s">
        <v>1439</v>
      </c>
    </row>
    <row r="23" spans="2:21" ht="36">
      <c r="B23" s="235">
        <v>20</v>
      </c>
      <c r="C23" s="236" t="s">
        <v>1440</v>
      </c>
      <c r="D23" s="239" t="s">
        <v>1331</v>
      </c>
      <c r="E23" s="239" t="s">
        <v>1012</v>
      </c>
      <c r="F23" s="239" t="s">
        <v>1441</v>
      </c>
      <c r="G23" s="239" t="s">
        <v>876</v>
      </c>
      <c r="H23" s="241" t="s">
        <v>1442</v>
      </c>
      <c r="I23" s="241" t="s">
        <v>1443</v>
      </c>
      <c r="J23" s="241" t="s">
        <v>1444</v>
      </c>
      <c r="K23" s="247">
        <v>0.4</v>
      </c>
      <c r="L23" s="249" t="s">
        <v>1291</v>
      </c>
      <c r="M23" s="243" t="s">
        <v>1445</v>
      </c>
      <c r="N23" s="256">
        <v>500</v>
      </c>
      <c r="O23" s="253">
        <v>2400</v>
      </c>
      <c r="P23" s="245">
        <v>5800</v>
      </c>
      <c r="Q23" s="259">
        <v>960</v>
      </c>
      <c r="R23" s="263" t="s">
        <v>1293</v>
      </c>
      <c r="S23" s="235" t="s">
        <v>1294</v>
      </c>
      <c r="T23" s="241" t="s">
        <v>1446</v>
      </c>
      <c r="U23" s="243" t="s">
        <v>1447</v>
      </c>
    </row>
    <row r="24" spans="2:21" ht="36">
      <c r="B24" s="235">
        <v>21</v>
      </c>
      <c r="C24" s="236" t="s">
        <v>1448</v>
      </c>
      <c r="D24" s="239" t="s">
        <v>1331</v>
      </c>
      <c r="E24" s="239" t="s">
        <v>1449</v>
      </c>
      <c r="F24" s="239" t="s">
        <v>1450</v>
      </c>
      <c r="G24" s="239" t="s">
        <v>876</v>
      </c>
      <c r="H24" s="241" t="s">
        <v>1451</v>
      </c>
      <c r="I24" s="241" t="s">
        <v>1452</v>
      </c>
      <c r="J24" s="241" t="s">
        <v>1453</v>
      </c>
      <c r="K24" s="247">
        <v>0.3</v>
      </c>
      <c r="L24" s="249" t="s">
        <v>1291</v>
      </c>
      <c r="M24" s="243" t="s">
        <v>1454</v>
      </c>
      <c r="N24" s="256">
        <v>500</v>
      </c>
      <c r="O24" s="253">
        <v>2200</v>
      </c>
      <c r="P24" s="245">
        <v>5200</v>
      </c>
      <c r="Q24" s="259">
        <v>660</v>
      </c>
      <c r="R24" s="263" t="s">
        <v>1293</v>
      </c>
      <c r="S24" s="235" t="s">
        <v>1294</v>
      </c>
      <c r="T24" s="241" t="s">
        <v>1455</v>
      </c>
      <c r="U24" s="243" t="s">
        <v>1456</v>
      </c>
    </row>
    <row r="25" spans="2:21" ht="48">
      <c r="B25" s="235">
        <v>22</v>
      </c>
      <c r="C25" s="236" t="s">
        <v>1457</v>
      </c>
      <c r="D25" s="239" t="s">
        <v>1331</v>
      </c>
      <c r="E25" s="239" t="s">
        <v>1449</v>
      </c>
      <c r="F25" s="239" t="s">
        <v>1458</v>
      </c>
      <c r="G25" s="239" t="s">
        <v>876</v>
      </c>
      <c r="H25" s="241" t="s">
        <v>1459</v>
      </c>
      <c r="I25" s="241" t="s">
        <v>1460</v>
      </c>
      <c r="J25" s="241" t="s">
        <v>1461</v>
      </c>
      <c r="K25" s="247">
        <v>0.25</v>
      </c>
      <c r="L25" s="249" t="s">
        <v>1301</v>
      </c>
      <c r="M25" s="243" t="s">
        <v>1462</v>
      </c>
      <c r="N25" s="256">
        <v>250</v>
      </c>
      <c r="O25" s="253">
        <v>1200</v>
      </c>
      <c r="P25" s="245">
        <v>3000</v>
      </c>
      <c r="Q25" s="259">
        <v>300</v>
      </c>
      <c r="R25" s="263" t="s">
        <v>1389</v>
      </c>
      <c r="S25" s="235" t="s">
        <v>1303</v>
      </c>
      <c r="T25" s="241" t="s">
        <v>1463</v>
      </c>
      <c r="U25" s="243" t="s">
        <v>1464</v>
      </c>
    </row>
    <row r="26" spans="2:21" ht="36">
      <c r="B26" s="235">
        <v>23</v>
      </c>
      <c r="C26" s="236" t="s">
        <v>1465</v>
      </c>
      <c r="D26" s="239" t="s">
        <v>1331</v>
      </c>
      <c r="E26" s="239" t="s">
        <v>1466</v>
      </c>
      <c r="F26" s="239" t="s">
        <v>1467</v>
      </c>
      <c r="G26" s="239" t="s">
        <v>876</v>
      </c>
      <c r="H26" s="241" t="s">
        <v>1468</v>
      </c>
      <c r="I26" s="241" t="s">
        <v>1469</v>
      </c>
      <c r="J26" s="241" t="s">
        <v>1470</v>
      </c>
      <c r="K26" s="247">
        <v>0.25</v>
      </c>
      <c r="L26" s="249" t="s">
        <v>1291</v>
      </c>
      <c r="M26" s="243" t="s">
        <v>1471</v>
      </c>
      <c r="N26" s="256">
        <v>250</v>
      </c>
      <c r="O26" s="253">
        <v>1100</v>
      </c>
      <c r="P26" s="245">
        <v>2800</v>
      </c>
      <c r="Q26" s="259">
        <v>275</v>
      </c>
      <c r="R26" s="263" t="s">
        <v>1293</v>
      </c>
      <c r="S26" s="235" t="s">
        <v>934</v>
      </c>
      <c r="T26" s="241" t="s">
        <v>1472</v>
      </c>
      <c r="U26" s="243" t="s">
        <v>1473</v>
      </c>
    </row>
    <row r="27" spans="2:21" ht="48">
      <c r="B27" s="235">
        <v>24</v>
      </c>
      <c r="C27" s="236" t="s">
        <v>1474</v>
      </c>
      <c r="D27" s="239" t="s">
        <v>1331</v>
      </c>
      <c r="E27" s="239" t="s">
        <v>1475</v>
      </c>
      <c r="F27" s="239" t="s">
        <v>1476</v>
      </c>
      <c r="G27" s="239" t="s">
        <v>876</v>
      </c>
      <c r="H27" s="241" t="s">
        <v>1477</v>
      </c>
      <c r="I27" s="241" t="s">
        <v>1478</v>
      </c>
      <c r="J27" s="241" t="s">
        <v>1479</v>
      </c>
      <c r="K27" s="247">
        <v>0.3</v>
      </c>
      <c r="L27" s="249" t="s">
        <v>1291</v>
      </c>
      <c r="M27" s="243" t="s">
        <v>1480</v>
      </c>
      <c r="N27" s="256">
        <v>500</v>
      </c>
      <c r="O27" s="253">
        <v>2300</v>
      </c>
      <c r="P27" s="245">
        <v>5500</v>
      </c>
      <c r="Q27" s="259">
        <v>690</v>
      </c>
      <c r="R27" s="263" t="s">
        <v>1381</v>
      </c>
      <c r="S27" s="235" t="s">
        <v>1389</v>
      </c>
      <c r="T27" s="241" t="s">
        <v>1481</v>
      </c>
      <c r="U27" s="243" t="s">
        <v>1482</v>
      </c>
    </row>
    <row r="28" spans="2:21" ht="36">
      <c r="B28" s="235">
        <v>25</v>
      </c>
      <c r="C28" s="236" t="s">
        <v>1483</v>
      </c>
      <c r="D28" s="239" t="s">
        <v>1331</v>
      </c>
      <c r="E28" s="239" t="s">
        <v>1475</v>
      </c>
      <c r="F28" s="239" t="s">
        <v>1484</v>
      </c>
      <c r="G28" s="239" t="s">
        <v>876</v>
      </c>
      <c r="H28" s="241" t="s">
        <v>1485</v>
      </c>
      <c r="I28" s="241" t="s">
        <v>1486</v>
      </c>
      <c r="J28" s="241" t="s">
        <v>1487</v>
      </c>
      <c r="K28" s="247">
        <v>0.2</v>
      </c>
      <c r="L28" s="249" t="s">
        <v>1291</v>
      </c>
      <c r="M28" s="243" t="s">
        <v>1488</v>
      </c>
      <c r="N28" s="256">
        <v>300</v>
      </c>
      <c r="O28" s="253">
        <v>1400</v>
      </c>
      <c r="P28" s="245">
        <v>3500</v>
      </c>
      <c r="Q28" s="259">
        <v>280</v>
      </c>
      <c r="R28" s="263" t="s">
        <v>1293</v>
      </c>
      <c r="S28" s="235" t="s">
        <v>1303</v>
      </c>
      <c r="T28" s="241" t="s">
        <v>1489</v>
      </c>
      <c r="U28" s="243" t="s">
        <v>1490</v>
      </c>
    </row>
    <row r="29" spans="2:21" ht="36">
      <c r="B29" s="235">
        <v>26</v>
      </c>
      <c r="C29" s="236" t="s">
        <v>1491</v>
      </c>
      <c r="D29" s="239" t="s">
        <v>1331</v>
      </c>
      <c r="E29" s="239" t="s">
        <v>1492</v>
      </c>
      <c r="F29" s="239" t="s">
        <v>1493</v>
      </c>
      <c r="G29" s="239" t="s">
        <v>876</v>
      </c>
      <c r="H29" s="241" t="s">
        <v>1494</v>
      </c>
      <c r="I29" s="241" t="s">
        <v>1495</v>
      </c>
      <c r="J29" s="241" t="s">
        <v>1496</v>
      </c>
      <c r="K29" s="247">
        <v>0.3</v>
      </c>
      <c r="L29" s="249" t="s">
        <v>1291</v>
      </c>
      <c r="M29" s="243" t="s">
        <v>1497</v>
      </c>
      <c r="N29" s="256">
        <v>450</v>
      </c>
      <c r="O29" s="253">
        <v>1800</v>
      </c>
      <c r="P29" s="245">
        <v>4800</v>
      </c>
      <c r="Q29" s="259">
        <v>540</v>
      </c>
      <c r="R29" s="263" t="s">
        <v>1293</v>
      </c>
      <c r="S29" s="235" t="s">
        <v>1294</v>
      </c>
      <c r="T29" s="241" t="s">
        <v>1498</v>
      </c>
      <c r="U29" s="243" t="s">
        <v>1499</v>
      </c>
    </row>
    <row r="30" spans="2:21" ht="36">
      <c r="B30" s="235">
        <v>27</v>
      </c>
      <c r="C30" s="236" t="s">
        <v>1500</v>
      </c>
      <c r="D30" s="239" t="s">
        <v>1331</v>
      </c>
      <c r="E30" s="239" t="s">
        <v>1501</v>
      </c>
      <c r="F30" s="239" t="s">
        <v>1502</v>
      </c>
      <c r="G30" s="239" t="s">
        <v>876</v>
      </c>
      <c r="H30" s="241" t="s">
        <v>1503</v>
      </c>
      <c r="I30" s="241" t="s">
        <v>1504</v>
      </c>
      <c r="J30" s="241" t="s">
        <v>1505</v>
      </c>
      <c r="K30" s="247">
        <v>0.25</v>
      </c>
      <c r="L30" s="249" t="s">
        <v>1291</v>
      </c>
      <c r="M30" s="243" t="s">
        <v>1506</v>
      </c>
      <c r="N30" s="256">
        <v>300</v>
      </c>
      <c r="O30" s="253">
        <v>1300</v>
      </c>
      <c r="P30" s="245">
        <v>3200</v>
      </c>
      <c r="Q30" s="259">
        <v>325</v>
      </c>
      <c r="R30" s="263" t="s">
        <v>1294</v>
      </c>
      <c r="S30" s="235" t="s">
        <v>934</v>
      </c>
      <c r="T30" s="241" t="s">
        <v>1507</v>
      </c>
      <c r="U30" s="243" t="s">
        <v>1508</v>
      </c>
    </row>
    <row r="31" spans="2:21" ht="36">
      <c r="B31" s="235">
        <v>28</v>
      </c>
      <c r="C31" s="236" t="s">
        <v>1509</v>
      </c>
      <c r="D31" s="239" t="s">
        <v>1331</v>
      </c>
      <c r="E31" s="239" t="s">
        <v>1510</v>
      </c>
      <c r="F31" s="239" t="s">
        <v>1511</v>
      </c>
      <c r="G31" s="239" t="s">
        <v>876</v>
      </c>
      <c r="H31" s="241" t="s">
        <v>1512</v>
      </c>
      <c r="I31" s="241" t="s">
        <v>1513</v>
      </c>
      <c r="J31" s="241" t="s">
        <v>1514</v>
      </c>
      <c r="K31" s="247">
        <v>0.4</v>
      </c>
      <c r="L31" s="249" t="s">
        <v>1291</v>
      </c>
      <c r="M31" s="243" t="s">
        <v>1515</v>
      </c>
      <c r="N31" s="256">
        <v>400</v>
      </c>
      <c r="O31" s="253">
        <v>1800</v>
      </c>
      <c r="P31" s="245">
        <v>4200</v>
      </c>
      <c r="Q31" s="259">
        <v>720</v>
      </c>
      <c r="R31" s="263" t="s">
        <v>1293</v>
      </c>
      <c r="S31" s="235" t="s">
        <v>1294</v>
      </c>
      <c r="T31" s="241" t="s">
        <v>1516</v>
      </c>
      <c r="U31" s="243" t="s">
        <v>1517</v>
      </c>
    </row>
    <row r="32" spans="2:21" ht="60">
      <c r="B32" s="235">
        <v>29</v>
      </c>
      <c r="C32" s="236" t="s">
        <v>1518</v>
      </c>
      <c r="D32" s="239" t="s">
        <v>1331</v>
      </c>
      <c r="E32" s="239" t="s">
        <v>1519</v>
      </c>
      <c r="F32" s="239" t="s">
        <v>1520</v>
      </c>
      <c r="G32" s="239" t="s">
        <v>876</v>
      </c>
      <c r="H32" s="241" t="s">
        <v>1521</v>
      </c>
      <c r="I32" s="241" t="s">
        <v>1522</v>
      </c>
      <c r="J32" s="241" t="s">
        <v>1523</v>
      </c>
      <c r="K32" s="247">
        <v>0.25</v>
      </c>
      <c r="L32" s="249" t="s">
        <v>1524</v>
      </c>
      <c r="M32" s="243" t="s">
        <v>1525</v>
      </c>
      <c r="N32" s="256">
        <v>500</v>
      </c>
      <c r="O32" s="253">
        <v>2200</v>
      </c>
      <c r="P32" s="245">
        <v>5200</v>
      </c>
      <c r="Q32" s="259">
        <v>550</v>
      </c>
      <c r="R32" s="263" t="s">
        <v>1293</v>
      </c>
      <c r="S32" s="235" t="s">
        <v>1294</v>
      </c>
      <c r="T32" s="241" t="s">
        <v>1526</v>
      </c>
      <c r="U32" s="243" t="s">
        <v>1527</v>
      </c>
    </row>
    <row r="33" spans="2:21" ht="36">
      <c r="B33" s="235">
        <v>30</v>
      </c>
      <c r="C33" s="236" t="s">
        <v>1528</v>
      </c>
      <c r="D33" s="239" t="s">
        <v>1331</v>
      </c>
      <c r="E33" s="239" t="s">
        <v>1529</v>
      </c>
      <c r="F33" s="239" t="s">
        <v>1530</v>
      </c>
      <c r="G33" s="239" t="s">
        <v>877</v>
      </c>
      <c r="H33" s="241" t="s">
        <v>1531</v>
      </c>
      <c r="I33" s="241" t="s">
        <v>1532</v>
      </c>
      <c r="J33" s="241" t="s">
        <v>1533</v>
      </c>
      <c r="K33" s="247">
        <v>0.35</v>
      </c>
      <c r="L33" s="249" t="s">
        <v>1291</v>
      </c>
      <c r="M33" s="243" t="s">
        <v>1534</v>
      </c>
      <c r="N33" s="256">
        <v>300</v>
      </c>
      <c r="O33" s="253">
        <v>1200</v>
      </c>
      <c r="P33" s="245">
        <v>2800</v>
      </c>
      <c r="Q33" s="259">
        <v>420</v>
      </c>
      <c r="R33" s="263" t="s">
        <v>1381</v>
      </c>
      <c r="S33" s="235" t="s">
        <v>1381</v>
      </c>
      <c r="T33" s="241" t="s">
        <v>1535</v>
      </c>
      <c r="U33" s="243" t="s">
        <v>1536</v>
      </c>
    </row>
    <row r="34" spans="2:21" ht="48">
      <c r="B34" s="235">
        <v>31</v>
      </c>
      <c r="C34" s="236" t="s">
        <v>1537</v>
      </c>
      <c r="D34" s="239" t="s">
        <v>1331</v>
      </c>
      <c r="E34" s="239" t="s">
        <v>1538</v>
      </c>
      <c r="F34" s="239" t="s">
        <v>1539</v>
      </c>
      <c r="G34" s="239" t="s">
        <v>876</v>
      </c>
      <c r="H34" s="241" t="s">
        <v>1540</v>
      </c>
      <c r="I34" s="241" t="s">
        <v>1541</v>
      </c>
      <c r="J34" s="241" t="s">
        <v>1542</v>
      </c>
      <c r="K34" s="247">
        <v>0.3</v>
      </c>
      <c r="L34" s="249" t="s">
        <v>1301</v>
      </c>
      <c r="M34" s="243" t="s">
        <v>1543</v>
      </c>
      <c r="N34" s="256">
        <v>350</v>
      </c>
      <c r="O34" s="253">
        <v>1500</v>
      </c>
      <c r="P34" s="245">
        <v>3600</v>
      </c>
      <c r="Q34" s="259">
        <v>450</v>
      </c>
      <c r="R34" s="263" t="s">
        <v>1381</v>
      </c>
      <c r="S34" s="235" t="s">
        <v>1294</v>
      </c>
      <c r="T34" s="241" t="s">
        <v>1544</v>
      </c>
      <c r="U34" s="243" t="s">
        <v>1545</v>
      </c>
    </row>
    <row r="35" spans="2:21" ht="36">
      <c r="B35" s="235">
        <v>32</v>
      </c>
      <c r="C35" s="236" t="s">
        <v>1546</v>
      </c>
      <c r="D35" s="239" t="s">
        <v>1346</v>
      </c>
      <c r="E35" s="239" t="s">
        <v>1547</v>
      </c>
      <c r="F35" s="239" t="s">
        <v>1548</v>
      </c>
      <c r="G35" s="239" t="s">
        <v>876</v>
      </c>
      <c r="H35" s="241" t="s">
        <v>1549</v>
      </c>
      <c r="I35" s="241" t="s">
        <v>1550</v>
      </c>
      <c r="J35" s="241" t="s">
        <v>1551</v>
      </c>
      <c r="K35" s="247">
        <v>0.3</v>
      </c>
      <c r="L35" s="249" t="s">
        <v>1291</v>
      </c>
      <c r="M35" s="243" t="s">
        <v>1552</v>
      </c>
      <c r="N35" s="256">
        <v>450</v>
      </c>
      <c r="O35" s="253">
        <v>2000</v>
      </c>
      <c r="P35" s="245">
        <v>4800</v>
      </c>
      <c r="Q35" s="259">
        <v>600</v>
      </c>
      <c r="R35" s="263" t="s">
        <v>1293</v>
      </c>
      <c r="S35" s="235" t="s">
        <v>1294</v>
      </c>
      <c r="T35" s="241" t="s">
        <v>1553</v>
      </c>
      <c r="U35" s="243" t="s">
        <v>1554</v>
      </c>
    </row>
    <row r="36" spans="2:21" ht="48">
      <c r="B36" s="235">
        <v>33</v>
      </c>
      <c r="C36" s="236" t="s">
        <v>1555</v>
      </c>
      <c r="D36" s="239" t="s">
        <v>1346</v>
      </c>
      <c r="E36" s="239" t="s">
        <v>1347</v>
      </c>
      <c r="F36" s="239" t="s">
        <v>1556</v>
      </c>
      <c r="G36" s="239" t="s">
        <v>876</v>
      </c>
      <c r="H36" s="241" t="s">
        <v>1557</v>
      </c>
      <c r="I36" s="241" t="s">
        <v>1558</v>
      </c>
      <c r="J36" s="241" t="s">
        <v>1559</v>
      </c>
      <c r="K36" s="247">
        <v>0.35</v>
      </c>
      <c r="L36" s="249" t="s">
        <v>1301</v>
      </c>
      <c r="M36" s="243" t="s">
        <v>1560</v>
      </c>
      <c r="N36" s="256">
        <v>500</v>
      </c>
      <c r="O36" s="253">
        <v>2100</v>
      </c>
      <c r="P36" s="245">
        <v>5000</v>
      </c>
      <c r="Q36" s="259">
        <v>735</v>
      </c>
      <c r="R36" s="263" t="s">
        <v>1294</v>
      </c>
      <c r="S36" s="235" t="s">
        <v>1303</v>
      </c>
      <c r="T36" s="241" t="s">
        <v>1561</v>
      </c>
      <c r="U36" s="243" t="s">
        <v>1562</v>
      </c>
    </row>
    <row r="37" spans="2:21" ht="48">
      <c r="B37" s="235">
        <v>34</v>
      </c>
      <c r="C37" s="236" t="s">
        <v>1563</v>
      </c>
      <c r="D37" s="239" t="s">
        <v>1346</v>
      </c>
      <c r="E37" s="239" t="s">
        <v>1564</v>
      </c>
      <c r="F37" s="239" t="s">
        <v>1565</v>
      </c>
      <c r="G37" s="239" t="s">
        <v>876</v>
      </c>
      <c r="H37" s="241" t="s">
        <v>1566</v>
      </c>
      <c r="I37" s="241" t="s">
        <v>1567</v>
      </c>
      <c r="J37" s="241" t="s">
        <v>1568</v>
      </c>
      <c r="K37" s="247">
        <v>0.3</v>
      </c>
      <c r="L37" s="249" t="s">
        <v>1291</v>
      </c>
      <c r="M37" s="243" t="s">
        <v>1569</v>
      </c>
      <c r="N37" s="256">
        <v>400</v>
      </c>
      <c r="O37" s="253">
        <v>1800</v>
      </c>
      <c r="P37" s="245">
        <v>4200</v>
      </c>
      <c r="Q37" s="259">
        <v>540</v>
      </c>
      <c r="R37" s="263" t="s">
        <v>1293</v>
      </c>
      <c r="S37" s="235" t="s">
        <v>1303</v>
      </c>
      <c r="T37" s="241" t="s">
        <v>1570</v>
      </c>
      <c r="U37" s="243" t="s">
        <v>1571</v>
      </c>
    </row>
    <row r="38" spans="2:21" ht="36">
      <c r="B38" s="235">
        <v>35</v>
      </c>
      <c r="C38" s="236" t="s">
        <v>1572</v>
      </c>
      <c r="D38" s="239" t="s">
        <v>1346</v>
      </c>
      <c r="E38" s="239" t="s">
        <v>1573</v>
      </c>
      <c r="F38" s="239" t="s">
        <v>1574</v>
      </c>
      <c r="G38" s="239" t="s">
        <v>876</v>
      </c>
      <c r="H38" s="241" t="s">
        <v>1575</v>
      </c>
      <c r="I38" s="241" t="s">
        <v>1576</v>
      </c>
      <c r="J38" s="241" t="s">
        <v>1577</v>
      </c>
      <c r="K38" s="247">
        <v>0.25</v>
      </c>
      <c r="L38" s="249" t="s">
        <v>1301</v>
      </c>
      <c r="M38" s="243" t="s">
        <v>1578</v>
      </c>
      <c r="N38" s="256">
        <v>250</v>
      </c>
      <c r="O38" s="253">
        <v>1200</v>
      </c>
      <c r="P38" s="245">
        <v>3000</v>
      </c>
      <c r="Q38" s="259">
        <v>300</v>
      </c>
      <c r="R38" s="263" t="s">
        <v>1389</v>
      </c>
      <c r="S38" s="235" t="s">
        <v>1303</v>
      </c>
      <c r="T38" s="241" t="s">
        <v>1579</v>
      </c>
      <c r="U38" s="243" t="s">
        <v>1580</v>
      </c>
    </row>
    <row r="39" spans="2:21" ht="48">
      <c r="B39" s="235">
        <v>36</v>
      </c>
      <c r="C39" s="236" t="s">
        <v>1581</v>
      </c>
      <c r="D39" s="239" t="s">
        <v>1346</v>
      </c>
      <c r="E39" s="239" t="s">
        <v>1582</v>
      </c>
      <c r="F39" s="239" t="s">
        <v>1583</v>
      </c>
      <c r="G39" s="239" t="s">
        <v>909</v>
      </c>
      <c r="H39" s="241" t="s">
        <v>1584</v>
      </c>
      <c r="I39" s="241" t="s">
        <v>1585</v>
      </c>
      <c r="J39" s="241" t="s">
        <v>1586</v>
      </c>
      <c r="K39" s="247">
        <v>0.35</v>
      </c>
      <c r="L39" s="249" t="s">
        <v>1301</v>
      </c>
      <c r="M39" s="243" t="s">
        <v>1587</v>
      </c>
      <c r="N39" s="256">
        <v>350</v>
      </c>
      <c r="O39" s="253">
        <v>1500</v>
      </c>
      <c r="P39" s="245">
        <v>3600</v>
      </c>
      <c r="Q39" s="259">
        <v>525</v>
      </c>
      <c r="R39" s="263" t="s">
        <v>1389</v>
      </c>
      <c r="S39" s="235" t="s">
        <v>1303</v>
      </c>
      <c r="T39" s="241" t="s">
        <v>1588</v>
      </c>
      <c r="U39" s="243" t="s">
        <v>1589</v>
      </c>
    </row>
    <row r="40" spans="2:21" ht="48">
      <c r="B40" s="235">
        <v>37</v>
      </c>
      <c r="C40" s="236" t="s">
        <v>1590</v>
      </c>
      <c r="D40" s="239" t="s">
        <v>1346</v>
      </c>
      <c r="E40" s="239" t="s">
        <v>1591</v>
      </c>
      <c r="F40" s="239" t="s">
        <v>1592</v>
      </c>
      <c r="G40" s="239" t="s">
        <v>875</v>
      </c>
      <c r="H40" s="241" t="s">
        <v>1593</v>
      </c>
      <c r="I40" s="241" t="s">
        <v>1594</v>
      </c>
      <c r="J40" s="241" t="s">
        <v>1595</v>
      </c>
      <c r="K40" s="247">
        <v>0.3</v>
      </c>
      <c r="L40" s="249" t="s">
        <v>1291</v>
      </c>
      <c r="M40" s="243" t="s">
        <v>1596</v>
      </c>
      <c r="N40" s="256">
        <v>250</v>
      </c>
      <c r="O40" s="253">
        <v>1100</v>
      </c>
      <c r="P40" s="245">
        <v>2600</v>
      </c>
      <c r="Q40" s="259">
        <v>330</v>
      </c>
      <c r="R40" s="263" t="s">
        <v>1294</v>
      </c>
      <c r="S40" s="235" t="s">
        <v>1303</v>
      </c>
      <c r="T40" s="241" t="s">
        <v>1597</v>
      </c>
      <c r="U40" s="243" t="s">
        <v>1598</v>
      </c>
    </row>
    <row r="41" spans="2:21" ht="36">
      <c r="B41" s="235">
        <v>38</v>
      </c>
      <c r="C41" s="236" t="s">
        <v>1599</v>
      </c>
      <c r="D41" s="239" t="s">
        <v>1346</v>
      </c>
      <c r="E41" s="239" t="s">
        <v>1600</v>
      </c>
      <c r="F41" s="239" t="s">
        <v>1601</v>
      </c>
      <c r="G41" s="239" t="s">
        <v>876</v>
      </c>
      <c r="H41" s="241" t="s">
        <v>1602</v>
      </c>
      <c r="I41" s="241" t="s">
        <v>1603</v>
      </c>
      <c r="J41" s="241" t="s">
        <v>1604</v>
      </c>
      <c r="K41" s="247">
        <v>0.25</v>
      </c>
      <c r="L41" s="249" t="s">
        <v>1291</v>
      </c>
      <c r="M41" s="243" t="s">
        <v>1605</v>
      </c>
      <c r="N41" s="256">
        <v>350</v>
      </c>
      <c r="O41" s="253">
        <v>1600</v>
      </c>
      <c r="P41" s="245">
        <v>3800</v>
      </c>
      <c r="Q41" s="259">
        <v>400</v>
      </c>
      <c r="R41" s="263" t="s">
        <v>1294</v>
      </c>
      <c r="S41" s="235" t="s">
        <v>934</v>
      </c>
      <c r="T41" s="241" t="s">
        <v>1606</v>
      </c>
      <c r="U41" s="243" t="s">
        <v>1607</v>
      </c>
    </row>
    <row r="42" spans="2:21" ht="48">
      <c r="B42" s="235">
        <v>39</v>
      </c>
      <c r="C42" s="236" t="s">
        <v>1608</v>
      </c>
      <c r="D42" s="239" t="s">
        <v>1609</v>
      </c>
      <c r="E42" s="239" t="s">
        <v>1610</v>
      </c>
      <c r="F42" s="239" t="s">
        <v>1611</v>
      </c>
      <c r="G42" s="239" t="s">
        <v>876</v>
      </c>
      <c r="H42" s="241" t="s">
        <v>1612</v>
      </c>
      <c r="I42" s="241" t="s">
        <v>1613</v>
      </c>
      <c r="J42" s="241" t="s">
        <v>1614</v>
      </c>
      <c r="K42" s="247">
        <v>0.5</v>
      </c>
      <c r="L42" s="249" t="s">
        <v>1291</v>
      </c>
      <c r="M42" s="243" t="s">
        <v>1615</v>
      </c>
      <c r="N42" s="256">
        <v>500</v>
      </c>
      <c r="O42" s="253">
        <v>2400</v>
      </c>
      <c r="P42" s="245">
        <v>6200</v>
      </c>
      <c r="Q42" s="259">
        <v>1200</v>
      </c>
      <c r="R42" s="263" t="s">
        <v>1293</v>
      </c>
      <c r="S42" s="235" t="s">
        <v>1294</v>
      </c>
      <c r="T42" s="241" t="s">
        <v>1616</v>
      </c>
      <c r="U42" s="243" t="s">
        <v>1617</v>
      </c>
    </row>
    <row r="43" spans="2:21" ht="36">
      <c r="B43" s="235">
        <v>40</v>
      </c>
      <c r="C43" s="236" t="s">
        <v>1618</v>
      </c>
      <c r="D43" s="239" t="s">
        <v>1609</v>
      </c>
      <c r="E43" s="239" t="s">
        <v>1619</v>
      </c>
      <c r="F43" s="239" t="s">
        <v>1620</v>
      </c>
      <c r="G43" s="239" t="s">
        <v>876</v>
      </c>
      <c r="H43" s="241" t="s">
        <v>1621</v>
      </c>
      <c r="I43" s="241" t="s">
        <v>1622</v>
      </c>
      <c r="J43" s="241" t="s">
        <v>1623</v>
      </c>
      <c r="K43" s="247">
        <v>0.4</v>
      </c>
      <c r="L43" s="249" t="s">
        <v>1291</v>
      </c>
      <c r="M43" s="243" t="s">
        <v>1624</v>
      </c>
      <c r="N43" s="256">
        <v>300</v>
      </c>
      <c r="O43" s="253">
        <v>1500</v>
      </c>
      <c r="P43" s="245">
        <v>3600</v>
      </c>
      <c r="Q43" s="259">
        <v>600</v>
      </c>
      <c r="R43" s="263" t="s">
        <v>1294</v>
      </c>
      <c r="S43" s="235" t="s">
        <v>934</v>
      </c>
      <c r="T43" s="241" t="s">
        <v>1625</v>
      </c>
      <c r="U43" s="243" t="s">
        <v>1626</v>
      </c>
    </row>
    <row r="44" spans="2:21" ht="36">
      <c r="B44" s="235">
        <v>41</v>
      </c>
      <c r="C44" s="236" t="s">
        <v>1627</v>
      </c>
      <c r="D44" s="239" t="s">
        <v>1628</v>
      </c>
      <c r="E44" s="239" t="s">
        <v>1023</v>
      </c>
      <c r="F44" s="239" t="s">
        <v>1629</v>
      </c>
      <c r="G44" s="239" t="s">
        <v>876</v>
      </c>
      <c r="H44" s="241" t="s">
        <v>1630</v>
      </c>
      <c r="I44" s="241" t="s">
        <v>1631</v>
      </c>
      <c r="J44" s="241" t="s">
        <v>1632</v>
      </c>
      <c r="K44" s="247">
        <v>0.35</v>
      </c>
      <c r="L44" s="249" t="s">
        <v>1291</v>
      </c>
      <c r="M44" s="243" t="s">
        <v>1633</v>
      </c>
      <c r="N44" s="256">
        <v>300</v>
      </c>
      <c r="O44" s="253">
        <v>1300</v>
      </c>
      <c r="P44" s="245">
        <v>3200</v>
      </c>
      <c r="Q44" s="259">
        <v>455</v>
      </c>
      <c r="R44" s="263" t="s">
        <v>1293</v>
      </c>
      <c r="S44" s="235" t="s">
        <v>1293</v>
      </c>
      <c r="T44" s="241" t="s">
        <v>1634</v>
      </c>
      <c r="U44" s="243" t="s">
        <v>1635</v>
      </c>
    </row>
    <row r="45" spans="2:21" ht="36">
      <c r="B45" s="235">
        <v>42</v>
      </c>
      <c r="C45" s="236" t="s">
        <v>1636</v>
      </c>
      <c r="D45" s="239" t="s">
        <v>1637</v>
      </c>
      <c r="E45" s="239" t="s">
        <v>1638</v>
      </c>
      <c r="F45" s="239" t="s">
        <v>1639</v>
      </c>
      <c r="G45" s="239" t="s">
        <v>876</v>
      </c>
      <c r="H45" s="241" t="s">
        <v>1640</v>
      </c>
      <c r="I45" s="241" t="s">
        <v>1641</v>
      </c>
      <c r="J45" s="241" t="s">
        <v>1642</v>
      </c>
      <c r="K45" s="247">
        <v>0.4</v>
      </c>
      <c r="L45" s="249" t="s">
        <v>1291</v>
      </c>
      <c r="M45" s="243" t="s">
        <v>1643</v>
      </c>
      <c r="N45" s="256">
        <v>400</v>
      </c>
      <c r="O45" s="253">
        <v>1800</v>
      </c>
      <c r="P45" s="245">
        <v>4200</v>
      </c>
      <c r="Q45" s="259">
        <v>720</v>
      </c>
      <c r="R45" s="263" t="s">
        <v>1294</v>
      </c>
      <c r="S45" s="235" t="s">
        <v>1294</v>
      </c>
      <c r="T45" s="241" t="s">
        <v>1644</v>
      </c>
      <c r="U45" s="243" t="s">
        <v>1645</v>
      </c>
    </row>
    <row r="46" spans="2:21" ht="36">
      <c r="B46" s="235">
        <v>43</v>
      </c>
      <c r="C46" s="236" t="s">
        <v>1646</v>
      </c>
      <c r="D46" s="239" t="s">
        <v>1637</v>
      </c>
      <c r="E46" s="239" t="s">
        <v>1017</v>
      </c>
      <c r="F46" s="239" t="s">
        <v>1647</v>
      </c>
      <c r="G46" s="239" t="s">
        <v>876</v>
      </c>
      <c r="H46" s="241" t="s">
        <v>1648</v>
      </c>
      <c r="I46" s="241" t="s">
        <v>1649</v>
      </c>
      <c r="J46" s="241" t="s">
        <v>1650</v>
      </c>
      <c r="K46" s="247">
        <v>0.3</v>
      </c>
      <c r="L46" s="249" t="s">
        <v>1291</v>
      </c>
      <c r="M46" s="243" t="s">
        <v>1651</v>
      </c>
      <c r="N46" s="256">
        <v>600</v>
      </c>
      <c r="O46" s="253">
        <v>2600</v>
      </c>
      <c r="P46" s="245">
        <v>6200</v>
      </c>
      <c r="Q46" s="259">
        <v>780</v>
      </c>
      <c r="R46" s="263" t="s">
        <v>934</v>
      </c>
      <c r="S46" s="235" t="s">
        <v>934</v>
      </c>
      <c r="T46" s="241" t="s">
        <v>1652</v>
      </c>
      <c r="U46" s="243" t="s">
        <v>1653</v>
      </c>
    </row>
    <row r="47" spans="2:21" ht="48">
      <c r="B47" s="235">
        <v>44</v>
      </c>
      <c r="C47" s="236" t="s">
        <v>1654</v>
      </c>
      <c r="D47" s="239" t="s">
        <v>1637</v>
      </c>
      <c r="E47" s="239" t="s">
        <v>1655</v>
      </c>
      <c r="F47" s="239" t="s">
        <v>1656</v>
      </c>
      <c r="G47" s="239" t="s">
        <v>876</v>
      </c>
      <c r="H47" s="241" t="s">
        <v>1657</v>
      </c>
      <c r="I47" s="241" t="s">
        <v>1658</v>
      </c>
      <c r="J47" s="241" t="s">
        <v>1659</v>
      </c>
      <c r="K47" s="247">
        <v>0.25</v>
      </c>
      <c r="L47" s="249" t="s">
        <v>1660</v>
      </c>
      <c r="M47" s="243" t="s">
        <v>1661</v>
      </c>
      <c r="N47" s="256">
        <v>350</v>
      </c>
      <c r="O47" s="253">
        <v>1500</v>
      </c>
      <c r="P47" s="245">
        <v>3600</v>
      </c>
      <c r="Q47" s="259">
        <v>375</v>
      </c>
      <c r="R47" s="263" t="s">
        <v>1294</v>
      </c>
      <c r="S47" s="235" t="s">
        <v>934</v>
      </c>
      <c r="T47" s="241" t="s">
        <v>1662</v>
      </c>
      <c r="U47" s="243" t="s">
        <v>1663</v>
      </c>
    </row>
    <row r="48" spans="2:21" ht="36">
      <c r="B48" s="235">
        <v>45</v>
      </c>
      <c r="C48" s="236" t="s">
        <v>1664</v>
      </c>
      <c r="D48" s="239" t="s">
        <v>1665</v>
      </c>
      <c r="E48" s="239" t="s">
        <v>1666</v>
      </c>
      <c r="F48" s="239" t="s">
        <v>1667</v>
      </c>
      <c r="G48" s="239" t="s">
        <v>877</v>
      </c>
      <c r="H48" s="241" t="s">
        <v>1668</v>
      </c>
      <c r="I48" s="241" t="s">
        <v>1669</v>
      </c>
      <c r="J48" s="241" t="s">
        <v>1670</v>
      </c>
      <c r="K48" s="247">
        <v>0.3</v>
      </c>
      <c r="L48" s="249" t="s">
        <v>1291</v>
      </c>
      <c r="M48" s="243" t="s">
        <v>1671</v>
      </c>
      <c r="N48" s="256">
        <v>250</v>
      </c>
      <c r="O48" s="253">
        <v>1000</v>
      </c>
      <c r="P48" s="245">
        <v>2500</v>
      </c>
      <c r="Q48" s="259">
        <v>300</v>
      </c>
      <c r="R48" s="263" t="s">
        <v>1294</v>
      </c>
      <c r="S48" s="235" t="s">
        <v>934</v>
      </c>
      <c r="T48" s="241" t="s">
        <v>1672</v>
      </c>
      <c r="U48" s="243" t="s">
        <v>1673</v>
      </c>
    </row>
    <row r="49" spans="2:21" ht="36">
      <c r="B49" s="235">
        <v>46</v>
      </c>
      <c r="C49" s="236" t="s">
        <v>1674</v>
      </c>
      <c r="D49" s="239" t="s">
        <v>1665</v>
      </c>
      <c r="E49" s="239" t="s">
        <v>1675</v>
      </c>
      <c r="F49" s="239" t="s">
        <v>1676</v>
      </c>
      <c r="G49" s="239" t="s">
        <v>876</v>
      </c>
      <c r="H49" s="241" t="s">
        <v>1677</v>
      </c>
      <c r="I49" s="241" t="s">
        <v>1678</v>
      </c>
      <c r="J49" s="241" t="s">
        <v>1679</v>
      </c>
      <c r="K49" s="247">
        <v>0.45</v>
      </c>
      <c r="L49" s="249" t="s">
        <v>1291</v>
      </c>
      <c r="M49" s="243" t="s">
        <v>1680</v>
      </c>
      <c r="N49" s="256">
        <v>300</v>
      </c>
      <c r="O49" s="253">
        <v>1400</v>
      </c>
      <c r="P49" s="245">
        <v>3400</v>
      </c>
      <c r="Q49" s="259">
        <v>630</v>
      </c>
      <c r="R49" s="263" t="s">
        <v>934</v>
      </c>
      <c r="S49" s="235" t="s">
        <v>934</v>
      </c>
      <c r="T49" s="241" t="s">
        <v>1681</v>
      </c>
      <c r="U49" s="243" t="s">
        <v>1682</v>
      </c>
    </row>
    <row r="50" spans="2:21" ht="48">
      <c r="B50" s="235">
        <v>47</v>
      </c>
      <c r="C50" s="236" t="s">
        <v>1683</v>
      </c>
      <c r="D50" s="239" t="s">
        <v>1665</v>
      </c>
      <c r="E50" s="239" t="s">
        <v>1684</v>
      </c>
      <c r="F50" s="239" t="s">
        <v>1685</v>
      </c>
      <c r="G50" s="239" t="s">
        <v>875</v>
      </c>
      <c r="H50" s="241" t="s">
        <v>1686</v>
      </c>
      <c r="I50" s="241" t="s">
        <v>1687</v>
      </c>
      <c r="J50" s="241" t="s">
        <v>1688</v>
      </c>
      <c r="K50" s="247">
        <v>0.4</v>
      </c>
      <c r="L50" s="249" t="s">
        <v>1291</v>
      </c>
      <c r="M50" s="243" t="s">
        <v>1689</v>
      </c>
      <c r="N50" s="256">
        <v>250</v>
      </c>
      <c r="O50" s="253">
        <v>900</v>
      </c>
      <c r="P50" s="245">
        <v>2300</v>
      </c>
      <c r="Q50" s="259">
        <v>360</v>
      </c>
      <c r="R50" s="263" t="s">
        <v>934</v>
      </c>
      <c r="S50" s="235" t="s">
        <v>934</v>
      </c>
      <c r="T50" s="241" t="s">
        <v>1690</v>
      </c>
      <c r="U50" s="243" t="s">
        <v>1691</v>
      </c>
    </row>
    <row r="51" spans="2:21" ht="36">
      <c r="B51" s="235">
        <v>48</v>
      </c>
      <c r="C51" s="236" t="s">
        <v>1692</v>
      </c>
      <c r="D51" s="239" t="s">
        <v>1665</v>
      </c>
      <c r="E51" s="239" t="s">
        <v>1693</v>
      </c>
      <c r="F51" s="239" t="s">
        <v>1694</v>
      </c>
      <c r="G51" s="239" t="s">
        <v>876</v>
      </c>
      <c r="H51" s="241" t="s">
        <v>1695</v>
      </c>
      <c r="I51" s="241" t="s">
        <v>1696</v>
      </c>
      <c r="J51" s="241" t="s">
        <v>1697</v>
      </c>
      <c r="K51" s="247">
        <v>0.35</v>
      </c>
      <c r="L51" s="249" t="s">
        <v>1291</v>
      </c>
      <c r="M51" s="243" t="s">
        <v>1698</v>
      </c>
      <c r="N51" s="256">
        <v>400</v>
      </c>
      <c r="O51" s="253">
        <v>1500</v>
      </c>
      <c r="P51" s="245">
        <v>3500</v>
      </c>
      <c r="Q51" s="259">
        <v>525</v>
      </c>
      <c r="R51" s="263" t="s">
        <v>1293</v>
      </c>
      <c r="S51" s="235" t="s">
        <v>1294</v>
      </c>
      <c r="T51" s="241" t="s">
        <v>1699</v>
      </c>
      <c r="U51" s="243" t="s">
        <v>1700</v>
      </c>
    </row>
    <row r="52" spans="2:21" ht="48">
      <c r="B52" s="235">
        <v>49</v>
      </c>
      <c r="C52" s="236" t="s">
        <v>1701</v>
      </c>
      <c r="D52" s="239" t="s">
        <v>1314</v>
      </c>
      <c r="E52" s="239" t="s">
        <v>1702</v>
      </c>
      <c r="F52" s="239" t="s">
        <v>1703</v>
      </c>
      <c r="G52" s="239" t="s">
        <v>875</v>
      </c>
      <c r="H52" s="241" t="s">
        <v>1704</v>
      </c>
      <c r="I52" s="241" t="s">
        <v>1705</v>
      </c>
      <c r="J52" s="241" t="s">
        <v>1706</v>
      </c>
      <c r="K52" s="247">
        <v>0.4</v>
      </c>
      <c r="L52" s="249" t="s">
        <v>1524</v>
      </c>
      <c r="M52" s="243" t="s">
        <v>1707</v>
      </c>
      <c r="N52" s="256">
        <v>600</v>
      </c>
      <c r="O52" s="253">
        <v>2800</v>
      </c>
      <c r="P52" s="245">
        <v>7000</v>
      </c>
      <c r="Q52" s="259">
        <v>1120</v>
      </c>
      <c r="R52" s="263" t="s">
        <v>1293</v>
      </c>
      <c r="S52" s="235" t="s">
        <v>1293</v>
      </c>
      <c r="T52" s="241" t="s">
        <v>1708</v>
      </c>
      <c r="U52" s="243" t="s">
        <v>1709</v>
      </c>
    </row>
    <row r="53" spans="2:21" ht="36">
      <c r="B53" s="235">
        <v>50</v>
      </c>
      <c r="C53" s="236" t="s">
        <v>1710</v>
      </c>
      <c r="D53" s="239" t="s">
        <v>1314</v>
      </c>
      <c r="E53" s="239" t="s">
        <v>1702</v>
      </c>
      <c r="F53" s="239" t="s">
        <v>1711</v>
      </c>
      <c r="G53" s="239" t="s">
        <v>875</v>
      </c>
      <c r="H53" s="241" t="s">
        <v>1712</v>
      </c>
      <c r="I53" s="241" t="s">
        <v>1713</v>
      </c>
      <c r="J53" s="241" t="s">
        <v>1714</v>
      </c>
      <c r="K53" s="247">
        <v>0.3</v>
      </c>
      <c r="L53" s="249" t="s">
        <v>1291</v>
      </c>
      <c r="M53" s="243" t="s">
        <v>1715</v>
      </c>
      <c r="N53" s="256">
        <v>450</v>
      </c>
      <c r="O53" s="253">
        <v>1900</v>
      </c>
      <c r="P53" s="245">
        <v>4500</v>
      </c>
      <c r="Q53" s="259">
        <v>570</v>
      </c>
      <c r="R53" s="263" t="s">
        <v>1294</v>
      </c>
      <c r="S53" s="235" t="s">
        <v>934</v>
      </c>
      <c r="T53" s="241" t="s">
        <v>1716</v>
      </c>
      <c r="U53" s="243" t="s">
        <v>1717</v>
      </c>
    </row>
    <row r="54" spans="2:21" ht="60">
      <c r="B54" s="235">
        <v>51</v>
      </c>
      <c r="C54" s="236" t="s">
        <v>1718</v>
      </c>
      <c r="D54" s="239" t="s">
        <v>1314</v>
      </c>
      <c r="E54" s="239" t="s">
        <v>1702</v>
      </c>
      <c r="F54" s="239" t="s">
        <v>1719</v>
      </c>
      <c r="G54" s="239" t="s">
        <v>875</v>
      </c>
      <c r="H54" s="241" t="s">
        <v>1720</v>
      </c>
      <c r="I54" s="241" t="s">
        <v>1721</v>
      </c>
      <c r="J54" s="241" t="s">
        <v>1722</v>
      </c>
      <c r="K54" s="247">
        <v>0.25</v>
      </c>
      <c r="L54" s="249" t="s">
        <v>1524</v>
      </c>
      <c r="M54" s="243" t="s">
        <v>1723</v>
      </c>
      <c r="N54" s="256">
        <v>800</v>
      </c>
      <c r="O54" s="253">
        <v>3200</v>
      </c>
      <c r="P54" s="245">
        <v>7500</v>
      </c>
      <c r="Q54" s="259">
        <v>800</v>
      </c>
      <c r="R54" s="263" t="s">
        <v>934</v>
      </c>
      <c r="S54" s="235" t="s">
        <v>934</v>
      </c>
      <c r="T54" s="241" t="s">
        <v>1724</v>
      </c>
      <c r="U54" s="243" t="s">
        <v>1725</v>
      </c>
    </row>
    <row r="55" spans="2:21" ht="36">
      <c r="B55" s="235">
        <v>52</v>
      </c>
      <c r="C55" s="236" t="s">
        <v>1726</v>
      </c>
      <c r="D55" s="239" t="s">
        <v>1314</v>
      </c>
      <c r="E55" s="239" t="s">
        <v>1727</v>
      </c>
      <c r="F55" s="239" t="s">
        <v>1728</v>
      </c>
      <c r="G55" s="239" t="s">
        <v>874</v>
      </c>
      <c r="H55" s="241" t="s">
        <v>1729</v>
      </c>
      <c r="I55" s="241" t="s">
        <v>1730</v>
      </c>
      <c r="J55" s="241" t="s">
        <v>1731</v>
      </c>
      <c r="K55" s="247">
        <v>0.25</v>
      </c>
      <c r="L55" s="249" t="s">
        <v>1291</v>
      </c>
      <c r="M55" s="243" t="s">
        <v>1732</v>
      </c>
      <c r="N55" s="256">
        <v>350</v>
      </c>
      <c r="O55" s="253">
        <v>1500</v>
      </c>
      <c r="P55" s="245">
        <v>4000</v>
      </c>
      <c r="Q55" s="259">
        <v>375</v>
      </c>
      <c r="R55" s="263" t="s">
        <v>1293</v>
      </c>
      <c r="S55" s="235" t="s">
        <v>1733</v>
      </c>
      <c r="T55" s="241" t="s">
        <v>1734</v>
      </c>
      <c r="U55" s="243" t="s">
        <v>1735</v>
      </c>
    </row>
    <row r="56" spans="2:21" ht="36">
      <c r="B56" s="235">
        <v>53</v>
      </c>
      <c r="C56" s="236" t="s">
        <v>1736</v>
      </c>
      <c r="D56" s="239" t="s">
        <v>1314</v>
      </c>
      <c r="E56" s="239" t="s">
        <v>1737</v>
      </c>
      <c r="F56" s="239" t="s">
        <v>1738</v>
      </c>
      <c r="G56" s="239" t="s">
        <v>876</v>
      </c>
      <c r="H56" s="241" t="s">
        <v>1739</v>
      </c>
      <c r="I56" s="241" t="s">
        <v>1740</v>
      </c>
      <c r="J56" s="241" t="s">
        <v>1741</v>
      </c>
      <c r="K56" s="247">
        <v>0.4</v>
      </c>
      <c r="L56" s="249" t="s">
        <v>1291</v>
      </c>
      <c r="M56" s="243" t="s">
        <v>1742</v>
      </c>
      <c r="N56" s="256">
        <v>250</v>
      </c>
      <c r="O56" s="253">
        <v>1100</v>
      </c>
      <c r="P56" s="245">
        <v>2800</v>
      </c>
      <c r="Q56" s="259">
        <v>440</v>
      </c>
      <c r="R56" s="263" t="s">
        <v>1294</v>
      </c>
      <c r="S56" s="235" t="s">
        <v>1294</v>
      </c>
      <c r="T56" s="241" t="s">
        <v>1743</v>
      </c>
      <c r="U56" s="243" t="s">
        <v>1744</v>
      </c>
    </row>
    <row r="57" spans="2:21" ht="48">
      <c r="B57" s="235">
        <v>54</v>
      </c>
      <c r="C57" s="236" t="s">
        <v>1745</v>
      </c>
      <c r="D57" s="239" t="s">
        <v>1746</v>
      </c>
      <c r="E57" s="239" t="s">
        <v>1747</v>
      </c>
      <c r="F57" s="239" t="s">
        <v>1748</v>
      </c>
      <c r="G57" s="239" t="s">
        <v>875</v>
      </c>
      <c r="H57" s="241" t="s">
        <v>1749</v>
      </c>
      <c r="I57" s="241" t="s">
        <v>1750</v>
      </c>
      <c r="J57" s="241" t="s">
        <v>1751</v>
      </c>
      <c r="K57" s="247">
        <v>0.25</v>
      </c>
      <c r="L57" s="249" t="s">
        <v>1524</v>
      </c>
      <c r="M57" s="243" t="s">
        <v>1752</v>
      </c>
      <c r="N57" s="256">
        <v>400</v>
      </c>
      <c r="O57" s="253">
        <v>1800</v>
      </c>
      <c r="P57" s="245">
        <v>4500</v>
      </c>
      <c r="Q57" s="259">
        <v>450</v>
      </c>
      <c r="R57" s="263" t="s">
        <v>1293</v>
      </c>
      <c r="S57" s="235" t="s">
        <v>1294</v>
      </c>
      <c r="T57" s="241" t="s">
        <v>1753</v>
      </c>
      <c r="U57" s="243" t="s">
        <v>1754</v>
      </c>
    </row>
    <row r="58" spans="2:21" ht="36">
      <c r="B58" s="235">
        <v>55</v>
      </c>
      <c r="C58" s="236" t="s">
        <v>1755</v>
      </c>
      <c r="D58" s="239" t="s">
        <v>1746</v>
      </c>
      <c r="E58" s="239" t="s">
        <v>1756</v>
      </c>
      <c r="F58" s="239" t="s">
        <v>1757</v>
      </c>
      <c r="G58" s="239" t="s">
        <v>878</v>
      </c>
      <c r="H58" s="241" t="s">
        <v>1758</v>
      </c>
      <c r="I58" s="241" t="s">
        <v>1759</v>
      </c>
      <c r="J58" s="241" t="s">
        <v>1760</v>
      </c>
      <c r="K58" s="247">
        <v>0.55000000000000004</v>
      </c>
      <c r="L58" s="249" t="s">
        <v>1291</v>
      </c>
      <c r="M58" s="243" t="s">
        <v>1761</v>
      </c>
      <c r="N58" s="256">
        <v>800</v>
      </c>
      <c r="O58" s="253">
        <v>2800</v>
      </c>
      <c r="P58" s="245">
        <v>6500</v>
      </c>
      <c r="Q58" s="259">
        <v>1540</v>
      </c>
      <c r="R58" s="263" t="s">
        <v>1360</v>
      </c>
      <c r="S58" s="235" t="s">
        <v>1360</v>
      </c>
      <c r="T58" s="241" t="s">
        <v>1762</v>
      </c>
      <c r="U58" s="243" t="s">
        <v>1763</v>
      </c>
    </row>
    <row r="59" spans="2:21" ht="36">
      <c r="B59" s="235">
        <v>56</v>
      </c>
      <c r="C59" s="236" t="s">
        <v>1764</v>
      </c>
      <c r="D59" s="239" t="s">
        <v>1285</v>
      </c>
      <c r="E59" s="239" t="s">
        <v>1765</v>
      </c>
      <c r="F59" s="239" t="s">
        <v>1766</v>
      </c>
      <c r="G59" s="239" t="s">
        <v>875</v>
      </c>
      <c r="H59" s="241" t="s">
        <v>1767</v>
      </c>
      <c r="I59" s="241" t="s">
        <v>1768</v>
      </c>
      <c r="J59" s="241" t="s">
        <v>1769</v>
      </c>
      <c r="K59" s="247">
        <v>0.35</v>
      </c>
      <c r="L59" s="249" t="s">
        <v>1301</v>
      </c>
      <c r="M59" s="243" t="s">
        <v>1770</v>
      </c>
      <c r="N59" s="256">
        <v>600</v>
      </c>
      <c r="O59" s="253">
        <v>2500</v>
      </c>
      <c r="P59" s="245">
        <v>6000</v>
      </c>
      <c r="Q59" s="259">
        <v>875</v>
      </c>
      <c r="R59" s="263" t="s">
        <v>1360</v>
      </c>
      <c r="S59" s="235" t="s">
        <v>1360</v>
      </c>
      <c r="T59" s="241" t="s">
        <v>1771</v>
      </c>
      <c r="U59" s="243" t="s">
        <v>1772</v>
      </c>
    </row>
    <row r="60" spans="2:21" ht="48">
      <c r="B60" s="235">
        <v>57</v>
      </c>
      <c r="C60" s="236" t="s">
        <v>1773</v>
      </c>
      <c r="D60" s="239" t="s">
        <v>1398</v>
      </c>
      <c r="E60" s="239" t="s">
        <v>1774</v>
      </c>
      <c r="F60" s="239" t="s">
        <v>1775</v>
      </c>
      <c r="G60" s="239" t="s">
        <v>878</v>
      </c>
      <c r="H60" s="241" t="s">
        <v>1776</v>
      </c>
      <c r="I60" s="241" t="s">
        <v>1777</v>
      </c>
      <c r="J60" s="241" t="s">
        <v>1778</v>
      </c>
      <c r="K60" s="247">
        <v>0.2</v>
      </c>
      <c r="L60" s="249" t="s">
        <v>1524</v>
      </c>
      <c r="M60" s="243" t="s">
        <v>1779</v>
      </c>
      <c r="N60" s="256">
        <v>500</v>
      </c>
      <c r="O60" s="253">
        <v>2200</v>
      </c>
      <c r="P60" s="245">
        <v>6000</v>
      </c>
      <c r="Q60" s="259">
        <v>440</v>
      </c>
      <c r="R60" s="263" t="s">
        <v>934</v>
      </c>
      <c r="S60" s="235" t="s">
        <v>934</v>
      </c>
      <c r="T60" s="241" t="s">
        <v>1780</v>
      </c>
      <c r="U60" s="243" t="s">
        <v>1781</v>
      </c>
    </row>
    <row r="61" spans="2:21" ht="48">
      <c r="B61" s="235">
        <v>58</v>
      </c>
      <c r="C61" s="236" t="s">
        <v>1782</v>
      </c>
      <c r="D61" s="239" t="s">
        <v>1746</v>
      </c>
      <c r="E61" s="239" t="s">
        <v>1783</v>
      </c>
      <c r="F61" s="239" t="s">
        <v>1784</v>
      </c>
      <c r="G61" s="239" t="s">
        <v>877</v>
      </c>
      <c r="H61" s="241" t="s">
        <v>1785</v>
      </c>
      <c r="I61" s="241" t="s">
        <v>1786</v>
      </c>
      <c r="J61" s="241" t="s">
        <v>1787</v>
      </c>
      <c r="K61" s="247">
        <v>0.35</v>
      </c>
      <c r="L61" s="249" t="s">
        <v>1301</v>
      </c>
      <c r="M61" s="243" t="s">
        <v>1788</v>
      </c>
      <c r="N61" s="256">
        <v>250</v>
      </c>
      <c r="O61" s="253">
        <v>1200</v>
      </c>
      <c r="P61" s="245">
        <v>3000</v>
      </c>
      <c r="Q61" s="259">
        <v>420</v>
      </c>
      <c r="R61" s="263" t="s">
        <v>934</v>
      </c>
      <c r="S61" s="235" t="s">
        <v>934</v>
      </c>
      <c r="T61" s="241" t="s">
        <v>1789</v>
      </c>
      <c r="U61" s="243" t="s">
        <v>1790</v>
      </c>
    </row>
    <row r="62" spans="2:21" ht="48">
      <c r="B62" s="235">
        <v>59</v>
      </c>
      <c r="C62" s="236" t="s">
        <v>1791</v>
      </c>
      <c r="D62" s="239" t="s">
        <v>1792</v>
      </c>
      <c r="E62" s="239" t="s">
        <v>1793</v>
      </c>
      <c r="F62" s="239" t="s">
        <v>1794</v>
      </c>
      <c r="G62" s="239" t="s">
        <v>874</v>
      </c>
      <c r="H62" s="241" t="s">
        <v>1795</v>
      </c>
      <c r="I62" s="241" t="s">
        <v>1796</v>
      </c>
      <c r="J62" s="241" t="s">
        <v>1797</v>
      </c>
      <c r="K62" s="247">
        <v>0.25</v>
      </c>
      <c r="L62" s="249" t="s">
        <v>1291</v>
      </c>
      <c r="M62" s="243" t="s">
        <v>1798</v>
      </c>
      <c r="N62" s="256">
        <v>250</v>
      </c>
      <c r="O62" s="253">
        <v>1100</v>
      </c>
      <c r="P62" s="245">
        <v>2600</v>
      </c>
      <c r="Q62" s="259">
        <v>275</v>
      </c>
      <c r="R62" s="263" t="s">
        <v>1293</v>
      </c>
      <c r="S62" s="235" t="s">
        <v>1294</v>
      </c>
      <c r="T62" s="241" t="s">
        <v>1799</v>
      </c>
      <c r="U62" s="243" t="s">
        <v>1800</v>
      </c>
    </row>
    <row r="63" spans="2:21" ht="36">
      <c r="B63" s="235">
        <v>60</v>
      </c>
      <c r="C63" s="236" t="s">
        <v>1801</v>
      </c>
      <c r="D63" s="239" t="s">
        <v>1628</v>
      </c>
      <c r="E63" s="239" t="s">
        <v>1802</v>
      </c>
      <c r="F63" s="239" t="s">
        <v>1803</v>
      </c>
      <c r="G63" s="239" t="s">
        <v>874</v>
      </c>
      <c r="H63" s="241" t="s">
        <v>1804</v>
      </c>
      <c r="I63" s="241" t="s">
        <v>1805</v>
      </c>
      <c r="J63" s="241" t="s">
        <v>1806</v>
      </c>
      <c r="K63" s="247">
        <v>0.35</v>
      </c>
      <c r="L63" s="249" t="s">
        <v>1291</v>
      </c>
      <c r="M63" s="243" t="s">
        <v>1807</v>
      </c>
      <c r="N63" s="256">
        <v>300</v>
      </c>
      <c r="O63" s="253">
        <v>1400</v>
      </c>
      <c r="P63" s="245">
        <v>3500</v>
      </c>
      <c r="Q63" s="259">
        <v>490</v>
      </c>
      <c r="R63" s="263" t="s">
        <v>1293</v>
      </c>
      <c r="S63" s="235" t="s">
        <v>1389</v>
      </c>
      <c r="T63" s="241" t="s">
        <v>1808</v>
      </c>
      <c r="U63" s="243" t="s">
        <v>1809</v>
      </c>
    </row>
    <row r="64" spans="2:21" ht="48">
      <c r="B64" s="235">
        <v>61</v>
      </c>
      <c r="C64" s="236" t="s">
        <v>1810</v>
      </c>
      <c r="D64" s="239" t="s">
        <v>1746</v>
      </c>
      <c r="E64" s="239" t="s">
        <v>1811</v>
      </c>
      <c r="F64" s="239" t="s">
        <v>1812</v>
      </c>
      <c r="G64" s="239" t="s">
        <v>877</v>
      </c>
      <c r="H64" s="241" t="s">
        <v>1813</v>
      </c>
      <c r="I64" s="241" t="s">
        <v>1814</v>
      </c>
      <c r="J64" s="241" t="s">
        <v>1815</v>
      </c>
      <c r="K64" s="247">
        <v>0.35</v>
      </c>
      <c r="L64" s="249" t="s">
        <v>1301</v>
      </c>
      <c r="M64" s="243" t="s">
        <v>1816</v>
      </c>
      <c r="N64" s="256">
        <v>250</v>
      </c>
      <c r="O64" s="253">
        <v>1000</v>
      </c>
      <c r="P64" s="245">
        <v>2500</v>
      </c>
      <c r="Q64" s="259">
        <v>350</v>
      </c>
      <c r="R64" s="263" t="s">
        <v>1389</v>
      </c>
      <c r="S64" s="235" t="s">
        <v>1303</v>
      </c>
      <c r="T64" s="241" t="s">
        <v>1817</v>
      </c>
      <c r="U64" s="243" t="s">
        <v>1818</v>
      </c>
    </row>
    <row r="65" spans="2:21" ht="36">
      <c r="B65" s="235">
        <v>62</v>
      </c>
      <c r="C65" s="236" t="s">
        <v>1819</v>
      </c>
      <c r="D65" s="239" t="s">
        <v>1354</v>
      </c>
      <c r="E65" s="239" t="s">
        <v>1820</v>
      </c>
      <c r="F65" s="239" t="s">
        <v>1821</v>
      </c>
      <c r="G65" s="239" t="s">
        <v>875</v>
      </c>
      <c r="H65" s="241" t="s">
        <v>1822</v>
      </c>
      <c r="I65" s="241" t="s">
        <v>1823</v>
      </c>
      <c r="J65" s="241" t="s">
        <v>1824</v>
      </c>
      <c r="K65" s="247">
        <v>0.4</v>
      </c>
      <c r="L65" s="249" t="s">
        <v>1301</v>
      </c>
      <c r="M65" s="243" t="s">
        <v>1825</v>
      </c>
      <c r="N65" s="256">
        <v>250</v>
      </c>
      <c r="O65" s="253">
        <v>1000</v>
      </c>
      <c r="P65" s="245">
        <v>2400</v>
      </c>
      <c r="Q65" s="259">
        <v>400</v>
      </c>
      <c r="R65" s="263" t="s">
        <v>1360</v>
      </c>
      <c r="S65" s="235" t="s">
        <v>1733</v>
      </c>
      <c r="T65" s="241" t="s">
        <v>1826</v>
      </c>
      <c r="U65" s="243" t="s">
        <v>1827</v>
      </c>
    </row>
    <row r="66" spans="2:21" ht="36">
      <c r="B66" s="235">
        <v>63</v>
      </c>
      <c r="C66" s="236" t="s">
        <v>1828</v>
      </c>
      <c r="D66" s="239" t="s">
        <v>1829</v>
      </c>
      <c r="E66" s="239" t="s">
        <v>1165</v>
      </c>
      <c r="F66" s="239" t="s">
        <v>1830</v>
      </c>
      <c r="G66" s="239" t="s">
        <v>1384</v>
      </c>
      <c r="H66" s="241" t="s">
        <v>1831</v>
      </c>
      <c r="I66" s="241" t="s">
        <v>1832</v>
      </c>
      <c r="J66" s="241" t="s">
        <v>1833</v>
      </c>
      <c r="K66" s="247">
        <v>0.4</v>
      </c>
      <c r="L66" s="249" t="s">
        <v>1291</v>
      </c>
      <c r="M66" s="243" t="s">
        <v>1834</v>
      </c>
      <c r="N66" s="256">
        <v>350</v>
      </c>
      <c r="O66" s="253">
        <v>1500</v>
      </c>
      <c r="P66" s="245">
        <v>3800</v>
      </c>
      <c r="Q66" s="259">
        <v>600</v>
      </c>
      <c r="R66" s="263" t="s">
        <v>1303</v>
      </c>
      <c r="S66" s="235" t="s">
        <v>1303</v>
      </c>
      <c r="T66" s="241" t="s">
        <v>1835</v>
      </c>
      <c r="U66" s="243" t="s">
        <v>1836</v>
      </c>
    </row>
    <row r="67" spans="2:21" ht="36">
      <c r="B67" s="235">
        <v>64</v>
      </c>
      <c r="C67" s="236" t="s">
        <v>1837</v>
      </c>
      <c r="D67" s="239" t="s">
        <v>1346</v>
      </c>
      <c r="E67" s="239" t="s">
        <v>1036</v>
      </c>
      <c r="F67" s="239" t="s">
        <v>1838</v>
      </c>
      <c r="G67" s="239" t="s">
        <v>1384</v>
      </c>
      <c r="H67" s="241" t="s">
        <v>1839</v>
      </c>
      <c r="I67" s="241" t="s">
        <v>1840</v>
      </c>
      <c r="J67" s="241" t="s">
        <v>1841</v>
      </c>
      <c r="K67" s="247">
        <v>0.45</v>
      </c>
      <c r="L67" s="249" t="s">
        <v>1301</v>
      </c>
      <c r="M67" s="243" t="s">
        <v>1842</v>
      </c>
      <c r="N67" s="256">
        <v>300</v>
      </c>
      <c r="O67" s="253">
        <v>1400</v>
      </c>
      <c r="P67" s="245">
        <v>3300</v>
      </c>
      <c r="Q67" s="259">
        <v>630</v>
      </c>
      <c r="R67" s="263" t="s">
        <v>1389</v>
      </c>
      <c r="S67" s="235" t="s">
        <v>1303</v>
      </c>
      <c r="T67" s="241" t="s">
        <v>1843</v>
      </c>
      <c r="U67" s="243" t="s">
        <v>1844</v>
      </c>
    </row>
    <row r="68" spans="2:21" ht="36">
      <c r="B68" s="235">
        <v>65</v>
      </c>
      <c r="C68" s="236" t="s">
        <v>1845</v>
      </c>
      <c r="D68" s="239" t="s">
        <v>1285</v>
      </c>
      <c r="E68" s="239" t="s">
        <v>1178</v>
      </c>
      <c r="F68" s="239" t="s">
        <v>1846</v>
      </c>
      <c r="G68" s="239" t="s">
        <v>877</v>
      </c>
      <c r="H68" s="241" t="s">
        <v>1847</v>
      </c>
      <c r="I68" s="241" t="s">
        <v>1848</v>
      </c>
      <c r="J68" s="241" t="s">
        <v>1849</v>
      </c>
      <c r="K68" s="247">
        <v>0.4</v>
      </c>
      <c r="L68" s="249" t="s">
        <v>1291</v>
      </c>
      <c r="M68" s="243" t="s">
        <v>1850</v>
      </c>
      <c r="N68" s="256">
        <v>450</v>
      </c>
      <c r="O68" s="253">
        <v>2000</v>
      </c>
      <c r="P68" s="245">
        <v>5000</v>
      </c>
      <c r="Q68" s="259">
        <v>800</v>
      </c>
      <c r="R68" s="263" t="s">
        <v>934</v>
      </c>
      <c r="S68" s="235" t="s">
        <v>934</v>
      </c>
      <c r="T68" s="241" t="s">
        <v>1851</v>
      </c>
      <c r="U68" s="243" t="s">
        <v>1852</v>
      </c>
    </row>
    <row r="69" spans="2:21" ht="36">
      <c r="B69" s="235">
        <v>66</v>
      </c>
      <c r="C69" s="236" t="s">
        <v>1853</v>
      </c>
      <c r="D69" s="239" t="s">
        <v>1854</v>
      </c>
      <c r="E69" s="239" t="s">
        <v>1021</v>
      </c>
      <c r="F69" s="239" t="s">
        <v>1855</v>
      </c>
      <c r="G69" s="239" t="s">
        <v>876</v>
      </c>
      <c r="H69" s="241" t="s">
        <v>1856</v>
      </c>
      <c r="I69" s="241" t="s">
        <v>1857</v>
      </c>
      <c r="J69" s="241" t="s">
        <v>1858</v>
      </c>
      <c r="K69" s="247">
        <v>0.3</v>
      </c>
      <c r="L69" s="249" t="s">
        <v>1291</v>
      </c>
      <c r="M69" s="243" t="s">
        <v>1859</v>
      </c>
      <c r="N69" s="256">
        <v>500</v>
      </c>
      <c r="O69" s="253">
        <v>2500</v>
      </c>
      <c r="P69" s="245">
        <v>6500</v>
      </c>
      <c r="Q69" s="259">
        <v>750</v>
      </c>
      <c r="R69" s="263" t="s">
        <v>1303</v>
      </c>
      <c r="S69" s="235" t="s">
        <v>1303</v>
      </c>
      <c r="T69" s="241" t="s">
        <v>1860</v>
      </c>
      <c r="U69" s="243" t="s">
        <v>1861</v>
      </c>
    </row>
    <row r="70" spans="2:21" ht="48">
      <c r="B70" s="235">
        <v>67</v>
      </c>
      <c r="C70" s="236" t="s">
        <v>1862</v>
      </c>
      <c r="D70" s="239" t="s">
        <v>1637</v>
      </c>
      <c r="E70" s="239" t="s">
        <v>1863</v>
      </c>
      <c r="F70" s="239" t="s">
        <v>1864</v>
      </c>
      <c r="G70" s="239" t="s">
        <v>876</v>
      </c>
      <c r="H70" s="241" t="s">
        <v>1865</v>
      </c>
      <c r="I70" s="241" t="s">
        <v>1866</v>
      </c>
      <c r="J70" s="241" t="s">
        <v>1867</v>
      </c>
      <c r="K70" s="247">
        <v>0.3</v>
      </c>
      <c r="L70" s="249" t="s">
        <v>1291</v>
      </c>
      <c r="M70" s="243" t="s">
        <v>1868</v>
      </c>
      <c r="N70" s="256">
        <v>600</v>
      </c>
      <c r="O70" s="253">
        <v>2600</v>
      </c>
      <c r="P70" s="245">
        <v>6500</v>
      </c>
      <c r="Q70" s="259">
        <v>780</v>
      </c>
      <c r="R70" s="263" t="s">
        <v>1381</v>
      </c>
      <c r="S70" s="235" t="s">
        <v>1294</v>
      </c>
      <c r="T70" s="241" t="s">
        <v>1869</v>
      </c>
      <c r="U70" s="243" t="s">
        <v>1870</v>
      </c>
    </row>
    <row r="71" spans="2:21" ht="36">
      <c r="B71" s="235">
        <v>68</v>
      </c>
      <c r="C71" s="236" t="s">
        <v>1871</v>
      </c>
      <c r="D71" s="239" t="s">
        <v>1854</v>
      </c>
      <c r="E71" s="239" t="s">
        <v>1872</v>
      </c>
      <c r="F71" s="239" t="s">
        <v>1873</v>
      </c>
      <c r="G71" s="239" t="s">
        <v>876</v>
      </c>
      <c r="H71" s="241" t="s">
        <v>1874</v>
      </c>
      <c r="I71" s="241" t="s">
        <v>1875</v>
      </c>
      <c r="J71" s="241" t="s">
        <v>1876</v>
      </c>
      <c r="K71" s="247">
        <v>0.2</v>
      </c>
      <c r="L71" s="249" t="s">
        <v>1291</v>
      </c>
      <c r="M71" s="243" t="s">
        <v>1877</v>
      </c>
      <c r="N71" s="256">
        <v>350</v>
      </c>
      <c r="O71" s="253">
        <v>1600</v>
      </c>
      <c r="P71" s="245">
        <v>3800</v>
      </c>
      <c r="Q71" s="259">
        <v>320</v>
      </c>
      <c r="R71" s="263" t="s">
        <v>1733</v>
      </c>
      <c r="S71" s="235" t="s">
        <v>1878</v>
      </c>
      <c r="T71" s="241" t="s">
        <v>1879</v>
      </c>
      <c r="U71" s="243" t="s">
        <v>1880</v>
      </c>
    </row>
    <row r="72" spans="2:21" ht="48">
      <c r="B72" s="235">
        <v>69</v>
      </c>
      <c r="C72" s="236" t="s">
        <v>1881</v>
      </c>
      <c r="D72" s="239" t="s">
        <v>1882</v>
      </c>
      <c r="E72" s="239" t="s">
        <v>1883</v>
      </c>
      <c r="F72" s="239" t="s">
        <v>1884</v>
      </c>
      <c r="G72" s="239" t="s">
        <v>1885</v>
      </c>
      <c r="H72" s="241" t="s">
        <v>1886</v>
      </c>
      <c r="I72" s="241" t="s">
        <v>1887</v>
      </c>
      <c r="J72" s="241" t="s">
        <v>1888</v>
      </c>
      <c r="K72" s="247">
        <v>0.3</v>
      </c>
      <c r="L72" s="249" t="s">
        <v>1301</v>
      </c>
      <c r="M72" s="243" t="s">
        <v>1889</v>
      </c>
      <c r="N72" s="256">
        <v>1000</v>
      </c>
      <c r="O72" s="253">
        <v>4500</v>
      </c>
      <c r="P72" s="245">
        <v>12000</v>
      </c>
      <c r="Q72" s="259">
        <v>1350</v>
      </c>
      <c r="R72" s="263" t="s">
        <v>1360</v>
      </c>
      <c r="S72" s="235" t="s">
        <v>1360</v>
      </c>
      <c r="T72" s="241" t="s">
        <v>1890</v>
      </c>
      <c r="U72" s="243" t="s">
        <v>1891</v>
      </c>
    </row>
    <row r="73" spans="2:21" ht="60">
      <c r="B73" s="235">
        <v>70</v>
      </c>
      <c r="C73" s="236" t="s">
        <v>1892</v>
      </c>
      <c r="D73" s="239" t="s">
        <v>1893</v>
      </c>
      <c r="E73" s="239" t="s">
        <v>1894</v>
      </c>
      <c r="F73" s="239" t="s">
        <v>1895</v>
      </c>
      <c r="G73" s="239" t="s">
        <v>909</v>
      </c>
      <c r="H73" s="241" t="s">
        <v>1896</v>
      </c>
      <c r="I73" s="241" t="s">
        <v>1897</v>
      </c>
      <c r="J73" s="241" t="s">
        <v>1898</v>
      </c>
      <c r="K73" s="247">
        <v>0.35</v>
      </c>
      <c r="L73" s="249" t="s">
        <v>1301</v>
      </c>
      <c r="M73" s="243" t="s">
        <v>1899</v>
      </c>
      <c r="N73" s="256">
        <v>700</v>
      </c>
      <c r="O73" s="253">
        <v>3000</v>
      </c>
      <c r="P73" s="245">
        <v>7000</v>
      </c>
      <c r="Q73" s="259">
        <v>1050</v>
      </c>
      <c r="R73" s="263" t="s">
        <v>1381</v>
      </c>
      <c r="S73" s="235" t="s">
        <v>1294</v>
      </c>
      <c r="T73" s="241" t="s">
        <v>1900</v>
      </c>
      <c r="U73" s="243" t="s">
        <v>1901</v>
      </c>
    </row>
    <row r="74" spans="2:21" ht="36">
      <c r="B74" s="235">
        <v>71</v>
      </c>
      <c r="C74" s="236" t="s">
        <v>1902</v>
      </c>
      <c r="D74" s="239" t="s">
        <v>1893</v>
      </c>
      <c r="E74" s="239" t="s">
        <v>1903</v>
      </c>
      <c r="F74" s="239" t="s">
        <v>1904</v>
      </c>
      <c r="G74" s="239" t="s">
        <v>876</v>
      </c>
      <c r="H74" s="241" t="s">
        <v>1905</v>
      </c>
      <c r="I74" s="241" t="s">
        <v>1906</v>
      </c>
      <c r="J74" s="241" t="s">
        <v>1907</v>
      </c>
      <c r="K74" s="247">
        <v>0.3</v>
      </c>
      <c r="L74" s="249" t="s">
        <v>1301</v>
      </c>
      <c r="M74" s="243" t="s">
        <v>1908</v>
      </c>
      <c r="N74" s="256">
        <v>250</v>
      </c>
      <c r="O74" s="253">
        <v>1100</v>
      </c>
      <c r="P74" s="245">
        <v>2600</v>
      </c>
      <c r="Q74" s="259">
        <v>330</v>
      </c>
      <c r="R74" s="263" t="s">
        <v>1389</v>
      </c>
      <c r="S74" s="235" t="s">
        <v>1303</v>
      </c>
      <c r="T74" s="241" t="s">
        <v>1909</v>
      </c>
      <c r="U74" s="243" t="s">
        <v>1910</v>
      </c>
    </row>
    <row r="75" spans="2:21" ht="36">
      <c r="B75" s="235">
        <v>72</v>
      </c>
      <c r="C75" s="236" t="s">
        <v>1911</v>
      </c>
      <c r="D75" s="239" t="s">
        <v>1829</v>
      </c>
      <c r="E75" s="239" t="s">
        <v>1129</v>
      </c>
      <c r="F75" s="239" t="s">
        <v>1912</v>
      </c>
      <c r="G75" s="239" t="s">
        <v>1913</v>
      </c>
      <c r="H75" s="241" t="s">
        <v>1914</v>
      </c>
      <c r="I75" s="241" t="s">
        <v>1915</v>
      </c>
      <c r="J75" s="241" t="s">
        <v>1916</v>
      </c>
      <c r="K75" s="247">
        <v>0.3</v>
      </c>
      <c r="L75" s="249" t="s">
        <v>1291</v>
      </c>
      <c r="M75" s="243" t="s">
        <v>1917</v>
      </c>
      <c r="N75" s="256">
        <v>350</v>
      </c>
      <c r="O75" s="253">
        <v>1600</v>
      </c>
      <c r="P75" s="245">
        <v>4000</v>
      </c>
      <c r="Q75" s="259">
        <v>480</v>
      </c>
      <c r="R75" s="263" t="s">
        <v>1293</v>
      </c>
      <c r="S75" s="235" t="s">
        <v>1294</v>
      </c>
      <c r="T75" s="241" t="s">
        <v>1918</v>
      </c>
      <c r="U75" s="243" t="s">
        <v>1919</v>
      </c>
    </row>
    <row r="76" spans="2:21" ht="48">
      <c r="B76" s="235">
        <v>73</v>
      </c>
      <c r="C76" s="236" t="s">
        <v>1920</v>
      </c>
      <c r="D76" s="239" t="s">
        <v>1346</v>
      </c>
      <c r="E76" s="239" t="s">
        <v>1129</v>
      </c>
      <c r="F76" s="239" t="s">
        <v>1921</v>
      </c>
      <c r="G76" s="239" t="s">
        <v>1913</v>
      </c>
      <c r="H76" s="241" t="s">
        <v>1922</v>
      </c>
      <c r="I76" s="241" t="s">
        <v>1923</v>
      </c>
      <c r="J76" s="241" t="s">
        <v>1924</v>
      </c>
      <c r="K76" s="247">
        <v>0.2</v>
      </c>
      <c r="L76" s="249" t="s">
        <v>1291</v>
      </c>
      <c r="M76" s="243" t="s">
        <v>1925</v>
      </c>
      <c r="N76" s="256">
        <v>300</v>
      </c>
      <c r="O76" s="253">
        <v>1200</v>
      </c>
      <c r="P76" s="245">
        <v>3500</v>
      </c>
      <c r="Q76" s="259">
        <v>240</v>
      </c>
      <c r="R76" s="263" t="s">
        <v>1293</v>
      </c>
      <c r="S76" s="235" t="s">
        <v>1294</v>
      </c>
      <c r="T76" s="241" t="s">
        <v>1926</v>
      </c>
      <c r="U76" s="243" t="s">
        <v>1927</v>
      </c>
    </row>
    <row r="77" spans="2:21" ht="48">
      <c r="B77" s="235">
        <v>74</v>
      </c>
      <c r="C77" s="236" t="s">
        <v>1928</v>
      </c>
      <c r="D77" s="239" t="s">
        <v>1746</v>
      </c>
      <c r="E77" s="239" t="s">
        <v>1929</v>
      </c>
      <c r="F77" s="239" t="s">
        <v>1930</v>
      </c>
      <c r="G77" s="239" t="s">
        <v>877</v>
      </c>
      <c r="H77" s="241" t="s">
        <v>1931</v>
      </c>
      <c r="I77" s="241" t="s">
        <v>1932</v>
      </c>
      <c r="J77" s="241" t="s">
        <v>1933</v>
      </c>
      <c r="K77" s="247">
        <v>0.2</v>
      </c>
      <c r="L77" s="249" t="s">
        <v>1524</v>
      </c>
      <c r="M77" s="243" t="s">
        <v>1934</v>
      </c>
      <c r="N77" s="256">
        <v>400</v>
      </c>
      <c r="O77" s="253">
        <v>1800</v>
      </c>
      <c r="P77" s="245">
        <v>4500</v>
      </c>
      <c r="Q77" s="259">
        <v>360</v>
      </c>
      <c r="R77" s="263" t="s">
        <v>1303</v>
      </c>
      <c r="S77" s="235" t="s">
        <v>1303</v>
      </c>
      <c r="T77" s="241" t="s">
        <v>1935</v>
      </c>
      <c r="U77" s="243" t="s">
        <v>1936</v>
      </c>
    </row>
    <row r="78" spans="2:21" ht="48">
      <c r="B78" s="235">
        <v>75</v>
      </c>
      <c r="C78" s="236" t="s">
        <v>1937</v>
      </c>
      <c r="D78" s="239" t="s">
        <v>1938</v>
      </c>
      <c r="E78" s="239" t="s">
        <v>1939</v>
      </c>
      <c r="F78" s="239" t="s">
        <v>1940</v>
      </c>
      <c r="G78" s="239" t="s">
        <v>877</v>
      </c>
      <c r="H78" s="241" t="s">
        <v>1941</v>
      </c>
      <c r="I78" s="241" t="s">
        <v>1942</v>
      </c>
      <c r="J78" s="241" t="s">
        <v>1943</v>
      </c>
      <c r="K78" s="247">
        <v>0.55000000000000004</v>
      </c>
      <c r="L78" s="249" t="s">
        <v>1291</v>
      </c>
      <c r="M78" s="243" t="s">
        <v>1944</v>
      </c>
      <c r="N78" s="256">
        <v>500</v>
      </c>
      <c r="O78" s="253">
        <v>2200</v>
      </c>
      <c r="P78" s="245">
        <v>5200</v>
      </c>
      <c r="Q78" s="259">
        <v>1210</v>
      </c>
      <c r="R78" s="263" t="s">
        <v>1293</v>
      </c>
      <c r="S78" s="235" t="s">
        <v>1293</v>
      </c>
      <c r="T78" s="241" t="s">
        <v>1945</v>
      </c>
      <c r="U78" s="243" t="s">
        <v>1946</v>
      </c>
    </row>
    <row r="79" spans="2:21" ht="36">
      <c r="B79" s="235">
        <v>76</v>
      </c>
      <c r="C79" s="236" t="s">
        <v>1947</v>
      </c>
      <c r="D79" s="239" t="s">
        <v>1285</v>
      </c>
      <c r="E79" s="239" t="s">
        <v>1948</v>
      </c>
      <c r="F79" s="239" t="s">
        <v>1949</v>
      </c>
      <c r="G79" s="239" t="s">
        <v>875</v>
      </c>
      <c r="H79" s="241" t="s">
        <v>1950</v>
      </c>
      <c r="I79" s="241" t="s">
        <v>1951</v>
      </c>
      <c r="J79" s="241" t="s">
        <v>1952</v>
      </c>
      <c r="K79" s="247">
        <v>0.4</v>
      </c>
      <c r="L79" s="249" t="s">
        <v>1291</v>
      </c>
      <c r="M79" s="243" t="s">
        <v>1953</v>
      </c>
      <c r="N79" s="256">
        <v>250</v>
      </c>
      <c r="O79" s="253">
        <v>1100</v>
      </c>
      <c r="P79" s="245">
        <v>2600</v>
      </c>
      <c r="Q79" s="259">
        <v>440</v>
      </c>
      <c r="R79" s="263" t="s">
        <v>1360</v>
      </c>
      <c r="S79" s="235" t="s">
        <v>1733</v>
      </c>
      <c r="T79" s="241" t="s">
        <v>1954</v>
      </c>
      <c r="U79" s="243" t="s">
        <v>1955</v>
      </c>
    </row>
    <row r="80" spans="2:21" ht="36">
      <c r="B80" s="235">
        <v>77</v>
      </c>
      <c r="C80" s="236" t="s">
        <v>1956</v>
      </c>
      <c r="D80" s="239" t="s">
        <v>1314</v>
      </c>
      <c r="E80" s="239" t="s">
        <v>1957</v>
      </c>
      <c r="F80" s="239" t="s">
        <v>1958</v>
      </c>
      <c r="G80" s="239" t="s">
        <v>878</v>
      </c>
      <c r="H80" s="241" t="s">
        <v>1959</v>
      </c>
      <c r="I80" s="241" t="s">
        <v>1960</v>
      </c>
      <c r="J80" s="241" t="s">
        <v>1961</v>
      </c>
      <c r="K80" s="247">
        <v>0.35</v>
      </c>
      <c r="L80" s="249" t="s">
        <v>1291</v>
      </c>
      <c r="M80" s="243" t="s">
        <v>1962</v>
      </c>
      <c r="N80" s="256">
        <v>500</v>
      </c>
      <c r="O80" s="253">
        <v>2200</v>
      </c>
      <c r="P80" s="245">
        <v>5000</v>
      </c>
      <c r="Q80" s="259">
        <v>770</v>
      </c>
      <c r="R80" s="263" t="s">
        <v>1293</v>
      </c>
      <c r="S80" s="235" t="s">
        <v>1293</v>
      </c>
      <c r="T80" s="241" t="s">
        <v>1963</v>
      </c>
      <c r="U80" s="243" t="s">
        <v>1964</v>
      </c>
    </row>
    <row r="81" spans="2:21" ht="48">
      <c r="B81" s="235">
        <v>78</v>
      </c>
      <c r="C81" s="236" t="s">
        <v>1965</v>
      </c>
      <c r="D81" s="239" t="s">
        <v>1314</v>
      </c>
      <c r="E81" s="239" t="s">
        <v>1966</v>
      </c>
      <c r="F81" s="239" t="s">
        <v>1967</v>
      </c>
      <c r="G81" s="239" t="s">
        <v>875</v>
      </c>
      <c r="H81" s="241" t="s">
        <v>1968</v>
      </c>
      <c r="I81" s="241" t="s">
        <v>1969</v>
      </c>
      <c r="J81" s="241" t="s">
        <v>1970</v>
      </c>
      <c r="K81" s="247">
        <v>0.3</v>
      </c>
      <c r="L81" s="249" t="s">
        <v>1301</v>
      </c>
      <c r="M81" s="243" t="s">
        <v>1971</v>
      </c>
      <c r="N81" s="256">
        <v>300</v>
      </c>
      <c r="O81" s="253">
        <v>1200</v>
      </c>
      <c r="P81" s="245">
        <v>2800</v>
      </c>
      <c r="Q81" s="259">
        <v>360</v>
      </c>
      <c r="R81" s="263" t="s">
        <v>1311</v>
      </c>
      <c r="S81" s="235" t="s">
        <v>1311</v>
      </c>
      <c r="T81" s="241" t="s">
        <v>1972</v>
      </c>
      <c r="U81" s="243" t="s">
        <v>1973</v>
      </c>
    </row>
    <row r="82" spans="2:21" ht="36">
      <c r="B82" s="235">
        <v>79</v>
      </c>
      <c r="C82" s="236" t="s">
        <v>1974</v>
      </c>
      <c r="D82" s="239" t="s">
        <v>1746</v>
      </c>
      <c r="E82" s="239" t="s">
        <v>1975</v>
      </c>
      <c r="F82" s="239" t="s">
        <v>1976</v>
      </c>
      <c r="G82" s="239" t="s">
        <v>878</v>
      </c>
      <c r="H82" s="241" t="s">
        <v>1977</v>
      </c>
      <c r="I82" s="241" t="s">
        <v>1978</v>
      </c>
      <c r="J82" s="241" t="s">
        <v>1979</v>
      </c>
      <c r="K82" s="247">
        <v>0.3</v>
      </c>
      <c r="L82" s="249" t="s">
        <v>1291</v>
      </c>
      <c r="M82" s="243" t="s">
        <v>1980</v>
      </c>
      <c r="N82" s="256">
        <v>250</v>
      </c>
      <c r="O82" s="253">
        <v>1000</v>
      </c>
      <c r="P82" s="245">
        <v>2500</v>
      </c>
      <c r="Q82" s="259">
        <v>300</v>
      </c>
      <c r="R82" s="263" t="s">
        <v>1293</v>
      </c>
      <c r="S82" s="235" t="s">
        <v>1293</v>
      </c>
      <c r="T82" s="241" t="s">
        <v>1981</v>
      </c>
      <c r="U82" s="243" t="s">
        <v>1982</v>
      </c>
    </row>
    <row r="83" spans="2:21" ht="36">
      <c r="B83" s="235">
        <v>80</v>
      </c>
      <c r="C83" s="236" t="s">
        <v>1983</v>
      </c>
      <c r="D83" s="239" t="s">
        <v>1637</v>
      </c>
      <c r="E83" s="239" t="s">
        <v>1984</v>
      </c>
      <c r="F83" s="239" t="s">
        <v>1985</v>
      </c>
      <c r="G83" s="239" t="s">
        <v>1913</v>
      </c>
      <c r="H83" s="241" t="s">
        <v>1986</v>
      </c>
      <c r="I83" s="241" t="s">
        <v>1987</v>
      </c>
      <c r="J83" s="241" t="s">
        <v>1988</v>
      </c>
      <c r="K83" s="247">
        <v>0.2</v>
      </c>
      <c r="L83" s="249" t="s">
        <v>1291</v>
      </c>
      <c r="M83" s="243" t="s">
        <v>1989</v>
      </c>
      <c r="N83" s="256">
        <v>350</v>
      </c>
      <c r="O83" s="253">
        <v>1500</v>
      </c>
      <c r="P83" s="245">
        <v>4000</v>
      </c>
      <c r="Q83" s="259">
        <v>300</v>
      </c>
      <c r="R83" s="263" t="s">
        <v>1733</v>
      </c>
      <c r="S83" s="235" t="s">
        <v>1733</v>
      </c>
      <c r="T83" s="241" t="s">
        <v>1990</v>
      </c>
      <c r="U83" s="243" t="s">
        <v>1991</v>
      </c>
    </row>
    <row r="84" spans="2:21" ht="48">
      <c r="B84" s="235">
        <v>81</v>
      </c>
      <c r="C84" s="236" t="s">
        <v>1992</v>
      </c>
      <c r="D84" s="239" t="s">
        <v>1854</v>
      </c>
      <c r="E84" s="239" t="s">
        <v>1432</v>
      </c>
      <c r="F84" s="239" t="s">
        <v>1993</v>
      </c>
      <c r="G84" s="239" t="s">
        <v>876</v>
      </c>
      <c r="H84" s="241" t="s">
        <v>1994</v>
      </c>
      <c r="I84" s="241" t="s">
        <v>1995</v>
      </c>
      <c r="J84" s="241" t="s">
        <v>1996</v>
      </c>
      <c r="K84" s="247">
        <v>0.15</v>
      </c>
      <c r="L84" s="249" t="s">
        <v>1291</v>
      </c>
      <c r="M84" s="243" t="s">
        <v>1997</v>
      </c>
      <c r="N84" s="256">
        <v>500</v>
      </c>
      <c r="O84" s="253">
        <v>2200</v>
      </c>
      <c r="P84" s="245">
        <v>6500</v>
      </c>
      <c r="Q84" s="259">
        <v>330</v>
      </c>
      <c r="R84" s="263" t="s">
        <v>934</v>
      </c>
      <c r="S84" s="235" t="s">
        <v>1303</v>
      </c>
      <c r="T84" s="241" t="s">
        <v>1998</v>
      </c>
      <c r="U84" s="243" t="s">
        <v>1999</v>
      </c>
    </row>
    <row r="85" spans="2:21" ht="36">
      <c r="B85" s="235">
        <v>82</v>
      </c>
      <c r="C85" s="236" t="s">
        <v>2000</v>
      </c>
      <c r="D85" s="239" t="s">
        <v>1854</v>
      </c>
      <c r="E85" s="239" t="s">
        <v>1432</v>
      </c>
      <c r="F85" s="239" t="s">
        <v>2001</v>
      </c>
      <c r="G85" s="239" t="s">
        <v>876</v>
      </c>
      <c r="H85" s="241" t="s">
        <v>2002</v>
      </c>
      <c r="I85" s="241" t="s">
        <v>2003</v>
      </c>
      <c r="J85" s="241" t="s">
        <v>2004</v>
      </c>
      <c r="K85" s="247">
        <v>0.15</v>
      </c>
      <c r="L85" s="249" t="s">
        <v>1291</v>
      </c>
      <c r="M85" s="243" t="s">
        <v>2005</v>
      </c>
      <c r="N85" s="256">
        <v>400</v>
      </c>
      <c r="O85" s="253">
        <v>1800</v>
      </c>
      <c r="P85" s="245">
        <v>5200</v>
      </c>
      <c r="Q85" s="259">
        <v>270</v>
      </c>
      <c r="R85" s="263" t="s">
        <v>1303</v>
      </c>
      <c r="S85" s="235" t="s">
        <v>936</v>
      </c>
      <c r="T85" s="241" t="s">
        <v>2006</v>
      </c>
      <c r="U85" s="243" t="s">
        <v>2007</v>
      </c>
    </row>
    <row r="86" spans="2:21" ht="48">
      <c r="B86" s="235">
        <v>83</v>
      </c>
      <c r="C86" s="236" t="s">
        <v>2008</v>
      </c>
      <c r="D86" s="239" t="s">
        <v>1854</v>
      </c>
      <c r="E86" s="239" t="s">
        <v>2009</v>
      </c>
      <c r="F86" s="239" t="s">
        <v>2010</v>
      </c>
      <c r="G86" s="239" t="s">
        <v>876</v>
      </c>
      <c r="H86" s="241" t="s">
        <v>2011</v>
      </c>
      <c r="I86" s="241" t="s">
        <v>2012</v>
      </c>
      <c r="J86" s="241" t="s">
        <v>2013</v>
      </c>
      <c r="K86" s="247">
        <v>0.2</v>
      </c>
      <c r="L86" s="249" t="s">
        <v>1524</v>
      </c>
      <c r="M86" s="243" t="s">
        <v>2014</v>
      </c>
      <c r="N86" s="256">
        <v>450</v>
      </c>
      <c r="O86" s="253">
        <v>2100</v>
      </c>
      <c r="P86" s="245">
        <v>6000</v>
      </c>
      <c r="Q86" s="259">
        <v>420</v>
      </c>
      <c r="R86" s="263" t="s">
        <v>1303</v>
      </c>
      <c r="S86" s="235" t="s">
        <v>1303</v>
      </c>
      <c r="T86" s="241" t="s">
        <v>2015</v>
      </c>
      <c r="U86" s="243" t="s">
        <v>2016</v>
      </c>
    </row>
    <row r="87" spans="2:21" ht="48">
      <c r="B87" s="235">
        <v>84</v>
      </c>
      <c r="C87" s="236" t="s">
        <v>2017</v>
      </c>
      <c r="D87" s="239" t="s">
        <v>1854</v>
      </c>
      <c r="E87" s="239" t="s">
        <v>2018</v>
      </c>
      <c r="F87" s="239" t="s">
        <v>2019</v>
      </c>
      <c r="G87" s="239" t="s">
        <v>876</v>
      </c>
      <c r="H87" s="241" t="s">
        <v>2020</v>
      </c>
      <c r="I87" s="241" t="s">
        <v>2021</v>
      </c>
      <c r="J87" s="241" t="s">
        <v>2022</v>
      </c>
      <c r="K87" s="247">
        <v>0.2</v>
      </c>
      <c r="L87" s="249" t="s">
        <v>1291</v>
      </c>
      <c r="M87" s="243" t="s">
        <v>2023</v>
      </c>
      <c r="N87" s="256">
        <v>350</v>
      </c>
      <c r="O87" s="253">
        <v>1600</v>
      </c>
      <c r="P87" s="245">
        <v>4500</v>
      </c>
      <c r="Q87" s="259">
        <v>320</v>
      </c>
      <c r="R87" s="263" t="s">
        <v>1294</v>
      </c>
      <c r="S87" s="235" t="s">
        <v>1303</v>
      </c>
      <c r="T87" s="241" t="s">
        <v>2024</v>
      </c>
      <c r="U87" s="243" t="s">
        <v>2025</v>
      </c>
    </row>
    <row r="88" spans="2:21" ht="36">
      <c r="B88" s="235">
        <v>85</v>
      </c>
      <c r="C88" s="236" t="s">
        <v>2026</v>
      </c>
      <c r="D88" s="239" t="s">
        <v>1854</v>
      </c>
      <c r="E88" s="239" t="s">
        <v>2027</v>
      </c>
      <c r="F88" s="239" t="s">
        <v>2028</v>
      </c>
      <c r="G88" s="239" t="s">
        <v>876</v>
      </c>
      <c r="H88" s="241" t="s">
        <v>2029</v>
      </c>
      <c r="I88" s="241" t="s">
        <v>2030</v>
      </c>
      <c r="J88" s="241" t="s">
        <v>2031</v>
      </c>
      <c r="K88" s="247">
        <v>0.2</v>
      </c>
      <c r="L88" s="249" t="s">
        <v>1291</v>
      </c>
      <c r="M88" s="243" t="s">
        <v>2032</v>
      </c>
      <c r="N88" s="256">
        <v>400</v>
      </c>
      <c r="O88" s="253">
        <v>1900</v>
      </c>
      <c r="P88" s="245">
        <v>5200</v>
      </c>
      <c r="Q88" s="259">
        <v>380</v>
      </c>
      <c r="R88" s="263" t="s">
        <v>934</v>
      </c>
      <c r="S88" s="235" t="s">
        <v>934</v>
      </c>
      <c r="T88" s="241" t="s">
        <v>2033</v>
      </c>
      <c r="U88" s="243" t="s">
        <v>2034</v>
      </c>
    </row>
    <row r="89" spans="2:21" ht="48">
      <c r="B89" s="235">
        <v>86</v>
      </c>
      <c r="C89" s="236" t="s">
        <v>2035</v>
      </c>
      <c r="D89" s="239" t="s">
        <v>1893</v>
      </c>
      <c r="E89" s="239" t="s">
        <v>2036</v>
      </c>
      <c r="F89" s="239" t="s">
        <v>2037</v>
      </c>
      <c r="G89" s="239" t="s">
        <v>909</v>
      </c>
      <c r="H89" s="241" t="s">
        <v>2038</v>
      </c>
      <c r="I89" s="241" t="s">
        <v>2039</v>
      </c>
      <c r="J89" s="241" t="s">
        <v>2040</v>
      </c>
      <c r="K89" s="247">
        <v>0.5</v>
      </c>
      <c r="L89" s="249" t="s">
        <v>1301</v>
      </c>
      <c r="M89" s="243" t="s">
        <v>2041</v>
      </c>
      <c r="N89" s="256">
        <v>150</v>
      </c>
      <c r="O89" s="253">
        <v>700</v>
      </c>
      <c r="P89" s="245">
        <v>1800</v>
      </c>
      <c r="Q89" s="259">
        <v>350</v>
      </c>
      <c r="R89" s="263" t="s">
        <v>936</v>
      </c>
      <c r="S89" s="235" t="s">
        <v>936</v>
      </c>
      <c r="T89" s="241" t="s">
        <v>2042</v>
      </c>
      <c r="U89" s="243" t="s">
        <v>2043</v>
      </c>
    </row>
    <row r="90" spans="2:21" ht="36">
      <c r="B90" s="235">
        <v>87</v>
      </c>
      <c r="C90" s="236" t="s">
        <v>2044</v>
      </c>
      <c r="D90" s="239" t="s">
        <v>1893</v>
      </c>
      <c r="E90" s="239" t="s">
        <v>2045</v>
      </c>
      <c r="F90" s="239" t="s">
        <v>2046</v>
      </c>
      <c r="G90" s="239" t="s">
        <v>909</v>
      </c>
      <c r="H90" s="241" t="s">
        <v>2047</v>
      </c>
      <c r="I90" s="241" t="s">
        <v>2048</v>
      </c>
      <c r="J90" s="241" t="s">
        <v>2049</v>
      </c>
      <c r="K90" s="247">
        <v>0.25</v>
      </c>
      <c r="L90" s="249" t="s">
        <v>1291</v>
      </c>
      <c r="M90" s="243" t="s">
        <v>2050</v>
      </c>
      <c r="N90" s="256">
        <v>300</v>
      </c>
      <c r="O90" s="253">
        <v>1400</v>
      </c>
      <c r="P90" s="245">
        <v>4000</v>
      </c>
      <c r="Q90" s="259">
        <v>350</v>
      </c>
      <c r="R90" s="263" t="s">
        <v>1294</v>
      </c>
      <c r="S90" s="235" t="s">
        <v>934</v>
      </c>
      <c r="T90" s="241" t="s">
        <v>2051</v>
      </c>
      <c r="U90" s="243" t="s">
        <v>2052</v>
      </c>
    </row>
    <row r="91" spans="2:21" ht="36">
      <c r="B91" s="235">
        <v>88</v>
      </c>
      <c r="C91" s="236" t="s">
        <v>2053</v>
      </c>
      <c r="D91" s="239" t="s">
        <v>1893</v>
      </c>
      <c r="E91" s="239" t="s">
        <v>2054</v>
      </c>
      <c r="F91" s="239" t="s">
        <v>2055</v>
      </c>
      <c r="G91" s="239" t="s">
        <v>876</v>
      </c>
      <c r="H91" s="241" t="s">
        <v>2056</v>
      </c>
      <c r="I91" s="241" t="s">
        <v>2057</v>
      </c>
      <c r="J91" s="241" t="s">
        <v>2058</v>
      </c>
      <c r="K91" s="247">
        <v>0.2</v>
      </c>
      <c r="L91" s="249" t="s">
        <v>1291</v>
      </c>
      <c r="M91" s="243" t="s">
        <v>2059</v>
      </c>
      <c r="N91" s="256">
        <v>250</v>
      </c>
      <c r="O91" s="253">
        <v>1200</v>
      </c>
      <c r="P91" s="245">
        <v>3500</v>
      </c>
      <c r="Q91" s="259">
        <v>240</v>
      </c>
      <c r="R91" s="263" t="s">
        <v>1303</v>
      </c>
      <c r="S91" s="235" t="s">
        <v>936</v>
      </c>
      <c r="T91" s="241" t="s">
        <v>2060</v>
      </c>
      <c r="U91" s="243" t="s">
        <v>2061</v>
      </c>
    </row>
    <row r="92" spans="2:21" ht="48">
      <c r="B92" s="235">
        <v>89</v>
      </c>
      <c r="C92" s="236" t="s">
        <v>2062</v>
      </c>
      <c r="D92" s="239" t="s">
        <v>1346</v>
      </c>
      <c r="E92" s="239" t="s">
        <v>1033</v>
      </c>
      <c r="F92" s="239" t="s">
        <v>2063</v>
      </c>
      <c r="G92" s="239" t="s">
        <v>875</v>
      </c>
      <c r="H92" s="241" t="s">
        <v>2064</v>
      </c>
      <c r="I92" s="241" t="s">
        <v>2065</v>
      </c>
      <c r="J92" s="241" t="s">
        <v>2066</v>
      </c>
      <c r="K92" s="247">
        <v>0.3</v>
      </c>
      <c r="L92" s="249" t="s">
        <v>1291</v>
      </c>
      <c r="M92" s="243" t="s">
        <v>2067</v>
      </c>
      <c r="N92" s="256">
        <v>250</v>
      </c>
      <c r="O92" s="253">
        <v>1100</v>
      </c>
      <c r="P92" s="245">
        <v>3000</v>
      </c>
      <c r="Q92" s="259">
        <v>330</v>
      </c>
      <c r="R92" s="263" t="s">
        <v>1294</v>
      </c>
      <c r="S92" s="235" t="s">
        <v>1303</v>
      </c>
      <c r="T92" s="241" t="s">
        <v>2068</v>
      </c>
      <c r="U92" s="243" t="s">
        <v>2069</v>
      </c>
    </row>
    <row r="93" spans="2:21" ht="36">
      <c r="B93" s="235">
        <v>90</v>
      </c>
      <c r="C93" s="236" t="s">
        <v>2070</v>
      </c>
      <c r="D93" s="239" t="s">
        <v>1346</v>
      </c>
      <c r="E93" s="239" t="s">
        <v>450</v>
      </c>
      <c r="F93" s="239" t="s">
        <v>2071</v>
      </c>
      <c r="G93" s="239" t="s">
        <v>1124</v>
      </c>
      <c r="H93" s="241" t="s">
        <v>2072</v>
      </c>
      <c r="I93" s="241" t="s">
        <v>2073</v>
      </c>
      <c r="J93" s="241" t="s">
        <v>2074</v>
      </c>
      <c r="K93" s="247">
        <v>0.3</v>
      </c>
      <c r="L93" s="249" t="s">
        <v>1291</v>
      </c>
      <c r="M93" s="243" t="s">
        <v>2075</v>
      </c>
      <c r="N93" s="256">
        <v>220</v>
      </c>
      <c r="O93" s="253">
        <v>1000</v>
      </c>
      <c r="P93" s="245">
        <v>2800</v>
      </c>
      <c r="Q93" s="259">
        <v>300</v>
      </c>
      <c r="R93" s="263" t="s">
        <v>1303</v>
      </c>
      <c r="S93" s="235" t="s">
        <v>936</v>
      </c>
      <c r="T93" s="241" t="s">
        <v>2076</v>
      </c>
      <c r="U93" s="243" t="s">
        <v>2077</v>
      </c>
    </row>
    <row r="94" spans="2:21" ht="48">
      <c r="B94" s="235">
        <v>91</v>
      </c>
      <c r="C94" s="236" t="s">
        <v>2078</v>
      </c>
      <c r="D94" s="239" t="s">
        <v>1346</v>
      </c>
      <c r="E94" s="239" t="s">
        <v>2079</v>
      </c>
      <c r="F94" s="239" t="s">
        <v>2080</v>
      </c>
      <c r="G94" s="239" t="s">
        <v>1913</v>
      </c>
      <c r="H94" s="241" t="s">
        <v>2081</v>
      </c>
      <c r="I94" s="241" t="s">
        <v>2082</v>
      </c>
      <c r="J94" s="241" t="s">
        <v>2083</v>
      </c>
      <c r="K94" s="247">
        <v>0.3</v>
      </c>
      <c r="L94" s="249" t="s">
        <v>1524</v>
      </c>
      <c r="M94" s="243" t="s">
        <v>2084</v>
      </c>
      <c r="N94" s="256">
        <v>300</v>
      </c>
      <c r="O94" s="253">
        <v>1300</v>
      </c>
      <c r="P94" s="245">
        <v>3600</v>
      </c>
      <c r="Q94" s="259">
        <v>390</v>
      </c>
      <c r="R94" s="263" t="s">
        <v>936</v>
      </c>
      <c r="S94" s="235" t="s">
        <v>936</v>
      </c>
      <c r="T94" s="241" t="s">
        <v>2085</v>
      </c>
      <c r="U94" s="243" t="s">
        <v>2086</v>
      </c>
    </row>
    <row r="95" spans="2:21" ht="48">
      <c r="B95" s="235">
        <v>92</v>
      </c>
      <c r="C95" s="236" t="s">
        <v>2087</v>
      </c>
      <c r="D95" s="239" t="s">
        <v>1314</v>
      </c>
      <c r="E95" s="239" t="s">
        <v>2088</v>
      </c>
      <c r="F95" s="239" t="s">
        <v>2089</v>
      </c>
      <c r="G95" s="239" t="s">
        <v>876</v>
      </c>
      <c r="H95" s="241" t="s">
        <v>2090</v>
      </c>
      <c r="I95" s="241" t="s">
        <v>2091</v>
      </c>
      <c r="J95" s="241" t="s">
        <v>2092</v>
      </c>
      <c r="K95" s="247">
        <v>0.4</v>
      </c>
      <c r="L95" s="249" t="s">
        <v>1660</v>
      </c>
      <c r="M95" s="243" t="s">
        <v>2093</v>
      </c>
      <c r="N95" s="256">
        <v>350</v>
      </c>
      <c r="O95" s="253">
        <v>1500</v>
      </c>
      <c r="P95" s="245">
        <v>4200</v>
      </c>
      <c r="Q95" s="259">
        <v>600</v>
      </c>
      <c r="R95" s="263" t="s">
        <v>1381</v>
      </c>
      <c r="S95" s="235" t="s">
        <v>1381</v>
      </c>
      <c r="T95" s="241" t="s">
        <v>2094</v>
      </c>
      <c r="U95" s="243" t="s">
        <v>2095</v>
      </c>
    </row>
    <row r="96" spans="2:21" ht="36">
      <c r="B96" s="235">
        <v>93</v>
      </c>
      <c r="C96" s="236" t="s">
        <v>2096</v>
      </c>
      <c r="D96" s="239" t="s">
        <v>1285</v>
      </c>
      <c r="E96" s="239" t="s">
        <v>1286</v>
      </c>
      <c r="F96" s="239" t="s">
        <v>2097</v>
      </c>
      <c r="G96" s="239" t="s">
        <v>874</v>
      </c>
      <c r="H96" s="241" t="s">
        <v>2098</v>
      </c>
      <c r="I96" s="241" t="s">
        <v>2099</v>
      </c>
      <c r="J96" s="241" t="s">
        <v>2100</v>
      </c>
      <c r="K96" s="247">
        <v>0.4</v>
      </c>
      <c r="L96" s="249" t="s">
        <v>1301</v>
      </c>
      <c r="M96" s="243" t="s">
        <v>2101</v>
      </c>
      <c r="N96" s="256">
        <v>250</v>
      </c>
      <c r="O96" s="253">
        <v>1100</v>
      </c>
      <c r="P96" s="245">
        <v>3000</v>
      </c>
      <c r="Q96" s="259">
        <v>440</v>
      </c>
      <c r="R96" s="263" t="s">
        <v>1293</v>
      </c>
      <c r="S96" s="235" t="s">
        <v>1293</v>
      </c>
      <c r="T96" s="241" t="s">
        <v>2102</v>
      </c>
      <c r="U96" s="243" t="s">
        <v>2103</v>
      </c>
    </row>
    <row r="97" spans="2:21" ht="36">
      <c r="B97" s="235">
        <v>94</v>
      </c>
      <c r="C97" s="236" t="s">
        <v>2104</v>
      </c>
      <c r="D97" s="239" t="s">
        <v>1285</v>
      </c>
      <c r="E97" s="239" t="s">
        <v>2105</v>
      </c>
      <c r="F97" s="239" t="s">
        <v>2106</v>
      </c>
      <c r="G97" s="239" t="s">
        <v>878</v>
      </c>
      <c r="H97" s="241" t="s">
        <v>2107</v>
      </c>
      <c r="I97" s="241" t="s">
        <v>2108</v>
      </c>
      <c r="J97" s="241" t="s">
        <v>2109</v>
      </c>
      <c r="K97" s="247">
        <v>0.4</v>
      </c>
      <c r="L97" s="249" t="s">
        <v>1291</v>
      </c>
      <c r="M97" s="243" t="s">
        <v>2110</v>
      </c>
      <c r="N97" s="256">
        <v>300</v>
      </c>
      <c r="O97" s="253">
        <v>1400</v>
      </c>
      <c r="P97" s="245">
        <v>3800</v>
      </c>
      <c r="Q97" s="259">
        <v>560</v>
      </c>
      <c r="R97" s="263" t="s">
        <v>1293</v>
      </c>
      <c r="S97" s="235" t="s">
        <v>1293</v>
      </c>
      <c r="T97" s="241" t="s">
        <v>2111</v>
      </c>
      <c r="U97" s="243" t="s">
        <v>2112</v>
      </c>
    </row>
    <row r="98" spans="2:21" ht="48">
      <c r="B98" s="235">
        <v>95</v>
      </c>
      <c r="C98" s="236" t="s">
        <v>2113</v>
      </c>
      <c r="D98" s="239" t="s">
        <v>1398</v>
      </c>
      <c r="E98" s="239" t="s">
        <v>1134</v>
      </c>
      <c r="F98" s="239" t="s">
        <v>2114</v>
      </c>
      <c r="G98" s="239" t="s">
        <v>878</v>
      </c>
      <c r="H98" s="241" t="s">
        <v>2115</v>
      </c>
      <c r="I98" s="241" t="s">
        <v>2116</v>
      </c>
      <c r="J98" s="241" t="s">
        <v>2117</v>
      </c>
      <c r="K98" s="247">
        <v>0.05</v>
      </c>
      <c r="L98" s="249" t="s">
        <v>1524</v>
      </c>
      <c r="M98" s="243" t="s">
        <v>2118</v>
      </c>
      <c r="N98" s="256">
        <v>5000</v>
      </c>
      <c r="O98" s="253">
        <v>30000</v>
      </c>
      <c r="P98" s="245">
        <v>70000</v>
      </c>
      <c r="Q98" s="259">
        <v>1500</v>
      </c>
      <c r="R98" s="263" t="s">
        <v>934</v>
      </c>
      <c r="S98" s="235" t="s">
        <v>1303</v>
      </c>
      <c r="T98" s="241" t="s">
        <v>2119</v>
      </c>
      <c r="U98" s="243" t="s">
        <v>2120</v>
      </c>
    </row>
    <row r="99" spans="2:21" ht="48">
      <c r="B99" s="235">
        <v>96</v>
      </c>
      <c r="C99" s="236" t="s">
        <v>2121</v>
      </c>
      <c r="D99" s="239" t="s">
        <v>1398</v>
      </c>
      <c r="E99" s="239" t="s">
        <v>2122</v>
      </c>
      <c r="F99" s="239" t="s">
        <v>2123</v>
      </c>
      <c r="G99" s="239" t="s">
        <v>876</v>
      </c>
      <c r="H99" s="241" t="s">
        <v>2124</v>
      </c>
      <c r="I99" s="241" t="s">
        <v>2125</v>
      </c>
      <c r="J99" s="241" t="s">
        <v>2126</v>
      </c>
      <c r="K99" s="247">
        <v>0.1</v>
      </c>
      <c r="L99" s="249" t="s">
        <v>1291</v>
      </c>
      <c r="M99" s="243" t="s">
        <v>2127</v>
      </c>
      <c r="N99" s="256">
        <v>1200</v>
      </c>
      <c r="O99" s="253">
        <v>5500</v>
      </c>
      <c r="P99" s="245">
        <v>14000</v>
      </c>
      <c r="Q99" s="259">
        <v>550</v>
      </c>
      <c r="R99" s="263" t="s">
        <v>934</v>
      </c>
      <c r="S99" s="235" t="s">
        <v>934</v>
      </c>
      <c r="T99" s="241" t="s">
        <v>2128</v>
      </c>
      <c r="U99" s="243" t="s">
        <v>2129</v>
      </c>
    </row>
    <row r="100" spans="2:21" ht="48">
      <c r="B100" s="235">
        <v>97</v>
      </c>
      <c r="C100" s="236" t="s">
        <v>2130</v>
      </c>
      <c r="D100" s="239" t="s">
        <v>1854</v>
      </c>
      <c r="E100" s="239" t="s">
        <v>1475</v>
      </c>
      <c r="F100" s="239" t="s">
        <v>2131</v>
      </c>
      <c r="G100" s="239" t="s">
        <v>876</v>
      </c>
      <c r="H100" s="241" t="s">
        <v>2132</v>
      </c>
      <c r="I100" s="241" t="s">
        <v>2133</v>
      </c>
      <c r="J100" s="241" t="s">
        <v>2134</v>
      </c>
      <c r="K100" s="247">
        <v>0.15</v>
      </c>
      <c r="L100" s="249" t="s">
        <v>1524</v>
      </c>
      <c r="M100" s="243" t="s">
        <v>2135</v>
      </c>
      <c r="N100" s="256">
        <v>450</v>
      </c>
      <c r="O100" s="253">
        <v>2000</v>
      </c>
      <c r="P100" s="245">
        <v>6000</v>
      </c>
      <c r="Q100" s="259">
        <v>300</v>
      </c>
      <c r="R100" s="263" t="s">
        <v>1293</v>
      </c>
      <c r="S100" s="235" t="s">
        <v>1303</v>
      </c>
      <c r="T100" s="241" t="s">
        <v>2136</v>
      </c>
      <c r="U100" s="243" t="s">
        <v>2137</v>
      </c>
    </row>
    <row r="101" spans="2:21" ht="48">
      <c r="B101" s="235">
        <v>98</v>
      </c>
      <c r="C101" s="236" t="s">
        <v>2138</v>
      </c>
      <c r="D101" s="239" t="s">
        <v>1065</v>
      </c>
      <c r="E101" s="239" t="s">
        <v>2139</v>
      </c>
      <c r="F101" s="239" t="s">
        <v>2140</v>
      </c>
      <c r="G101" s="239" t="s">
        <v>877</v>
      </c>
      <c r="H101" s="241" t="s">
        <v>2141</v>
      </c>
      <c r="I101" s="241" t="s">
        <v>2142</v>
      </c>
      <c r="J101" s="241" t="s">
        <v>2143</v>
      </c>
      <c r="K101" s="247">
        <v>0.4</v>
      </c>
      <c r="L101" s="249" t="s">
        <v>1301</v>
      </c>
      <c r="M101" s="243" t="s">
        <v>2144</v>
      </c>
      <c r="N101" s="256">
        <v>350</v>
      </c>
      <c r="O101" s="253">
        <v>1700</v>
      </c>
      <c r="P101" s="245">
        <v>5000</v>
      </c>
      <c r="Q101" s="259">
        <v>680</v>
      </c>
      <c r="R101" s="263" t="s">
        <v>934</v>
      </c>
      <c r="S101" s="235" t="s">
        <v>1303</v>
      </c>
      <c r="T101" s="241" t="s">
        <v>2145</v>
      </c>
      <c r="U101" s="243" t="s">
        <v>2146</v>
      </c>
    </row>
    <row r="102" spans="2:21" ht="48">
      <c r="B102" s="235">
        <v>99</v>
      </c>
      <c r="C102" s="236" t="s">
        <v>2147</v>
      </c>
      <c r="D102" s="239" t="s">
        <v>1065</v>
      </c>
      <c r="E102" s="239" t="s">
        <v>2148</v>
      </c>
      <c r="F102" s="239" t="s">
        <v>2149</v>
      </c>
      <c r="G102" s="239" t="s">
        <v>878</v>
      </c>
      <c r="H102" s="241" t="s">
        <v>2150</v>
      </c>
      <c r="I102" s="241" t="s">
        <v>2151</v>
      </c>
      <c r="J102" s="241" t="s">
        <v>2152</v>
      </c>
      <c r="K102" s="247">
        <v>0.4</v>
      </c>
      <c r="L102" s="249" t="s">
        <v>1301</v>
      </c>
      <c r="M102" s="243" t="s">
        <v>2153</v>
      </c>
      <c r="N102" s="256">
        <v>500</v>
      </c>
      <c r="O102" s="253">
        <v>2200</v>
      </c>
      <c r="P102" s="245">
        <v>6000</v>
      </c>
      <c r="Q102" s="259">
        <v>880</v>
      </c>
      <c r="R102" s="263" t="s">
        <v>1303</v>
      </c>
      <c r="S102" s="235" t="s">
        <v>936</v>
      </c>
      <c r="T102" s="241" t="s">
        <v>2154</v>
      </c>
      <c r="U102" s="243" t="s">
        <v>2155</v>
      </c>
    </row>
    <row r="103" spans="2:21" ht="48">
      <c r="B103" s="237">
        <v>100</v>
      </c>
      <c r="C103" s="238" t="s">
        <v>2156</v>
      </c>
      <c r="D103" s="240" t="s">
        <v>1872</v>
      </c>
      <c r="E103" s="240" t="s">
        <v>2157</v>
      </c>
      <c r="F103" s="240" t="s">
        <v>2158</v>
      </c>
      <c r="G103" s="240" t="s">
        <v>876</v>
      </c>
      <c r="H103" s="242" t="s">
        <v>2159</v>
      </c>
      <c r="I103" s="242" t="s">
        <v>2160</v>
      </c>
      <c r="J103" s="242" t="s">
        <v>2161</v>
      </c>
      <c r="K103" s="248">
        <v>0.1</v>
      </c>
      <c r="L103" s="250" t="s">
        <v>1660</v>
      </c>
      <c r="M103" s="244" t="s">
        <v>2162</v>
      </c>
      <c r="N103" s="257">
        <v>700</v>
      </c>
      <c r="O103" s="254">
        <v>3000</v>
      </c>
      <c r="P103" s="246">
        <v>8000</v>
      </c>
      <c r="Q103" s="260">
        <v>300</v>
      </c>
      <c r="R103" s="264" t="s">
        <v>2163</v>
      </c>
      <c r="S103" s="237" t="s">
        <v>2163</v>
      </c>
      <c r="T103" s="242" t="s">
        <v>2164</v>
      </c>
      <c r="U103" s="244" t="s">
        <v>2165</v>
      </c>
    </row>
  </sheetData>
  <mergeCells count="1">
    <mergeCell ref="A1:E2"/>
  </mergeCells>
  <conditionalFormatting sqref="K4:K1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Q103">
    <cfRule type="colorScale" priority="2">
      <colorScale>
        <cfvo type="min"/>
        <cfvo type="percentile" val="50"/>
        <cfvo type="max"/>
        <color rgb="FFE8F4F3"/>
        <color rgb="FFFFD966"/>
        <color rgb="FFC00000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526D-3424-4012-A2EF-1C203AA260BF}">
  <dimension ref="A1:I29"/>
  <sheetViews>
    <sheetView workbookViewId="0">
      <selection activeCell="E33" sqref="E33"/>
    </sheetView>
  </sheetViews>
  <sheetFormatPr defaultRowHeight="15"/>
  <cols>
    <col min="1" max="1" width="26.5703125" customWidth="1"/>
    <col min="2" max="2" width="21.140625" customWidth="1"/>
    <col min="3" max="3" width="31.5703125" customWidth="1"/>
    <col min="4" max="4" width="24.7109375" customWidth="1"/>
    <col min="5" max="5" width="34.7109375" customWidth="1"/>
    <col min="6" max="6" width="27.140625" customWidth="1"/>
  </cols>
  <sheetData>
    <row r="1" spans="1:9">
      <c r="A1" s="103" t="s">
        <v>867</v>
      </c>
      <c r="B1" s="104" t="s">
        <v>868</v>
      </c>
      <c r="C1" s="103" t="s">
        <v>869</v>
      </c>
      <c r="D1" s="103" t="s">
        <v>480</v>
      </c>
      <c r="E1" s="103" t="s">
        <v>870</v>
      </c>
      <c r="F1" s="103" t="s">
        <v>871</v>
      </c>
      <c r="G1" s="103" t="s">
        <v>872</v>
      </c>
      <c r="H1" s="103" t="s">
        <v>873</v>
      </c>
      <c r="I1" s="103" t="s">
        <v>857</v>
      </c>
    </row>
    <row r="2" spans="1:9">
      <c r="A2" t="s">
        <v>875</v>
      </c>
      <c r="B2" t="s">
        <v>877</v>
      </c>
      <c r="C2" t="s">
        <v>1073</v>
      </c>
      <c r="D2" t="s">
        <v>1074</v>
      </c>
      <c r="E2" t="s">
        <v>1075</v>
      </c>
      <c r="F2" t="s">
        <v>1076</v>
      </c>
      <c r="G2" t="s">
        <v>1042</v>
      </c>
    </row>
    <row r="3" spans="1:9">
      <c r="A3" t="s">
        <v>875</v>
      </c>
      <c r="B3" t="s">
        <v>877</v>
      </c>
      <c r="C3" t="s">
        <v>1077</v>
      </c>
      <c r="D3" t="s">
        <v>1078</v>
      </c>
      <c r="E3" t="s">
        <v>1079</v>
      </c>
      <c r="F3" t="s">
        <v>1080</v>
      </c>
      <c r="G3" t="s">
        <v>1041</v>
      </c>
    </row>
    <row r="4" spans="1:9">
      <c r="A4" t="s">
        <v>875</v>
      </c>
      <c r="B4" t="s">
        <v>1026</v>
      </c>
      <c r="C4" t="s">
        <v>1081</v>
      </c>
      <c r="D4" t="s">
        <v>1082</v>
      </c>
      <c r="E4" t="s">
        <v>1083</v>
      </c>
      <c r="F4" t="s">
        <v>1084</v>
      </c>
      <c r="G4" t="s">
        <v>1042</v>
      </c>
    </row>
    <row r="5" spans="1:9">
      <c r="A5" t="s">
        <v>875</v>
      </c>
      <c r="B5" t="s">
        <v>1026</v>
      </c>
      <c r="C5" t="s">
        <v>1085</v>
      </c>
      <c r="D5" t="s">
        <v>1086</v>
      </c>
      <c r="E5" t="s">
        <v>1087</v>
      </c>
      <c r="F5" t="s">
        <v>1088</v>
      </c>
      <c r="G5" t="s">
        <v>1041</v>
      </c>
    </row>
    <row r="6" spans="1:9">
      <c r="A6" t="s">
        <v>875</v>
      </c>
      <c r="B6" t="s">
        <v>878</v>
      </c>
      <c r="C6" t="s">
        <v>1050</v>
      </c>
      <c r="D6" t="s">
        <v>1089</v>
      </c>
      <c r="E6" t="s">
        <v>1090</v>
      </c>
      <c r="F6" t="s">
        <v>1091</v>
      </c>
      <c r="G6" t="s">
        <v>1041</v>
      </c>
    </row>
    <row r="7" spans="1:9">
      <c r="A7" t="s">
        <v>876</v>
      </c>
      <c r="B7" t="s">
        <v>1092</v>
      </c>
      <c r="C7" t="s">
        <v>1093</v>
      </c>
      <c r="D7" t="s">
        <v>1094</v>
      </c>
      <c r="E7" t="s">
        <v>1095</v>
      </c>
      <c r="F7" t="s">
        <v>1096</v>
      </c>
      <c r="G7" t="s">
        <v>1041</v>
      </c>
    </row>
    <row r="8" spans="1:9">
      <c r="A8" t="s">
        <v>876</v>
      </c>
      <c r="B8" t="s">
        <v>1092</v>
      </c>
      <c r="C8" t="s">
        <v>1015</v>
      </c>
      <c r="D8" t="s">
        <v>1097</v>
      </c>
      <c r="E8" t="s">
        <v>1098</v>
      </c>
      <c r="F8" t="s">
        <v>1099</v>
      </c>
      <c r="G8" t="s">
        <v>1041</v>
      </c>
    </row>
    <row r="9" spans="1:9">
      <c r="A9" t="s">
        <v>876</v>
      </c>
      <c r="B9" t="s">
        <v>1100</v>
      </c>
      <c r="C9" t="s">
        <v>1101</v>
      </c>
      <c r="D9" t="s">
        <v>1102</v>
      </c>
      <c r="E9" t="s">
        <v>1103</v>
      </c>
      <c r="F9" t="s">
        <v>1104</v>
      </c>
      <c r="G9" t="s">
        <v>1041</v>
      </c>
    </row>
    <row r="10" spans="1:9">
      <c r="A10" t="s">
        <v>876</v>
      </c>
      <c r="B10" t="s">
        <v>1105</v>
      </c>
      <c r="C10" t="s">
        <v>1106</v>
      </c>
      <c r="D10" t="s">
        <v>1107</v>
      </c>
      <c r="E10" t="s">
        <v>1108</v>
      </c>
      <c r="F10" t="s">
        <v>1109</v>
      </c>
      <c r="G10" t="s">
        <v>1041</v>
      </c>
    </row>
    <row r="11" spans="1:9">
      <c r="A11" t="s">
        <v>876</v>
      </c>
      <c r="B11" t="s">
        <v>304</v>
      </c>
      <c r="C11" t="s">
        <v>1110</v>
      </c>
      <c r="D11" t="s">
        <v>1111</v>
      </c>
      <c r="E11" t="s">
        <v>1112</v>
      </c>
      <c r="F11" t="s">
        <v>1113</v>
      </c>
      <c r="G11" t="s">
        <v>1041</v>
      </c>
    </row>
    <row r="12" spans="1:9">
      <c r="A12" t="s">
        <v>876</v>
      </c>
      <c r="B12" t="s">
        <v>304</v>
      </c>
      <c r="C12" t="s">
        <v>450</v>
      </c>
      <c r="D12" t="s">
        <v>1114</v>
      </c>
      <c r="E12" t="s">
        <v>1115</v>
      </c>
      <c r="F12" t="s">
        <v>1116</v>
      </c>
      <c r="G12" t="s">
        <v>1041</v>
      </c>
    </row>
    <row r="13" spans="1:9">
      <c r="A13" t="s">
        <v>876</v>
      </c>
      <c r="B13" t="s">
        <v>855</v>
      </c>
      <c r="C13" t="s">
        <v>1117</v>
      </c>
      <c r="D13" t="s">
        <v>1118</v>
      </c>
      <c r="E13" t="s">
        <v>1119</v>
      </c>
      <c r="F13" t="s">
        <v>1120</v>
      </c>
      <c r="G13" t="s">
        <v>1041</v>
      </c>
    </row>
    <row r="14" spans="1:9">
      <c r="A14" t="s">
        <v>876</v>
      </c>
      <c r="B14" t="s">
        <v>1065</v>
      </c>
      <c r="C14" t="s">
        <v>1030</v>
      </c>
      <c r="D14" t="s">
        <v>1121</v>
      </c>
      <c r="E14" t="s">
        <v>1122</v>
      </c>
      <c r="F14" t="s">
        <v>1123</v>
      </c>
      <c r="G14" t="s">
        <v>1041</v>
      </c>
    </row>
    <row r="15" spans="1:9">
      <c r="A15" t="s">
        <v>876</v>
      </c>
      <c r="B15" t="s">
        <v>1124</v>
      </c>
      <c r="C15" t="s">
        <v>1125</v>
      </c>
      <c r="D15" t="s">
        <v>1126</v>
      </c>
      <c r="E15" t="s">
        <v>1127</v>
      </c>
      <c r="F15" t="s">
        <v>1128</v>
      </c>
      <c r="G15" t="s">
        <v>1041</v>
      </c>
    </row>
    <row r="16" spans="1:9">
      <c r="A16" t="s">
        <v>876</v>
      </c>
      <c r="B16" t="s">
        <v>1129</v>
      </c>
      <c r="C16" t="s">
        <v>1130</v>
      </c>
      <c r="D16" t="s">
        <v>1131</v>
      </c>
      <c r="E16" t="s">
        <v>1132</v>
      </c>
      <c r="F16" t="s">
        <v>1133</v>
      </c>
      <c r="G16" t="s">
        <v>1041</v>
      </c>
    </row>
    <row r="17" spans="1:7">
      <c r="A17" t="s">
        <v>908</v>
      </c>
      <c r="B17" t="s">
        <v>1134</v>
      </c>
      <c r="C17" t="s">
        <v>1044</v>
      </c>
      <c r="D17" t="s">
        <v>1135</v>
      </c>
      <c r="E17" t="s">
        <v>1136</v>
      </c>
      <c r="F17" t="s">
        <v>1137</v>
      </c>
      <c r="G17" t="s">
        <v>1041</v>
      </c>
    </row>
    <row r="18" spans="1:7">
      <c r="A18" t="s">
        <v>908</v>
      </c>
      <c r="B18" t="s">
        <v>1134</v>
      </c>
      <c r="C18" t="s">
        <v>1138</v>
      </c>
      <c r="D18" t="s">
        <v>1139</v>
      </c>
      <c r="E18" t="s">
        <v>1140</v>
      </c>
      <c r="F18" t="s">
        <v>1141</v>
      </c>
      <c r="G18" t="s">
        <v>1072</v>
      </c>
    </row>
    <row r="19" spans="1:7">
      <c r="A19" t="s">
        <v>908</v>
      </c>
      <c r="B19" t="s">
        <v>1142</v>
      </c>
      <c r="C19" t="s">
        <v>1143</v>
      </c>
      <c r="D19" t="s">
        <v>1144</v>
      </c>
      <c r="E19" t="s">
        <v>1145</v>
      </c>
      <c r="F19" t="s">
        <v>1146</v>
      </c>
      <c r="G19" t="s">
        <v>1041</v>
      </c>
    </row>
    <row r="20" spans="1:7">
      <c r="A20" t="s">
        <v>875</v>
      </c>
      <c r="B20" t="s">
        <v>911</v>
      </c>
      <c r="C20" t="s">
        <v>1147</v>
      </c>
      <c r="D20" t="s">
        <v>1148</v>
      </c>
      <c r="E20" t="s">
        <v>1149</v>
      </c>
      <c r="F20" t="s">
        <v>1150</v>
      </c>
      <c r="G20" t="s">
        <v>1042</v>
      </c>
    </row>
    <row r="21" spans="1:7">
      <c r="A21" t="s">
        <v>875</v>
      </c>
      <c r="B21" t="s">
        <v>1151</v>
      </c>
      <c r="C21" t="s">
        <v>1152</v>
      </c>
      <c r="D21" t="s">
        <v>1153</v>
      </c>
      <c r="E21" t="s">
        <v>1154</v>
      </c>
      <c r="F21" t="s">
        <v>1155</v>
      </c>
      <c r="G21" t="s">
        <v>1041</v>
      </c>
    </row>
    <row r="22" spans="1:7">
      <c r="A22" t="s">
        <v>875</v>
      </c>
      <c r="B22" t="s">
        <v>874</v>
      </c>
      <c r="C22" t="s">
        <v>1156</v>
      </c>
      <c r="D22" t="s">
        <v>1157</v>
      </c>
      <c r="E22" t="s">
        <v>1158</v>
      </c>
      <c r="F22" t="s">
        <v>1159</v>
      </c>
      <c r="G22" t="s">
        <v>1041</v>
      </c>
    </row>
    <row r="23" spans="1:7">
      <c r="A23" t="s">
        <v>910</v>
      </c>
      <c r="B23" t="s">
        <v>1160</v>
      </c>
      <c r="C23" t="s">
        <v>1161</v>
      </c>
      <c r="D23" t="s">
        <v>1162</v>
      </c>
      <c r="E23" t="s">
        <v>1163</v>
      </c>
      <c r="F23" t="s">
        <v>1164</v>
      </c>
      <c r="G23" t="s">
        <v>1041</v>
      </c>
    </row>
    <row r="24" spans="1:7">
      <c r="A24" t="s">
        <v>910</v>
      </c>
      <c r="B24" t="s">
        <v>1065</v>
      </c>
      <c r="C24" t="s">
        <v>1165</v>
      </c>
      <c r="D24" t="s">
        <v>1166</v>
      </c>
      <c r="E24" t="s">
        <v>1167</v>
      </c>
      <c r="F24" t="s">
        <v>1168</v>
      </c>
      <c r="G24" t="s">
        <v>1041</v>
      </c>
    </row>
    <row r="25" spans="1:7">
      <c r="A25" t="s">
        <v>877</v>
      </c>
      <c r="B25" t="s">
        <v>1169</v>
      </c>
      <c r="C25" t="s">
        <v>1017</v>
      </c>
      <c r="D25" t="s">
        <v>1170</v>
      </c>
      <c r="E25" t="s">
        <v>1171</v>
      </c>
      <c r="F25" t="s">
        <v>1172</v>
      </c>
      <c r="G25" t="s">
        <v>1041</v>
      </c>
    </row>
    <row r="26" spans="1:7">
      <c r="A26" t="s">
        <v>877</v>
      </c>
      <c r="B26" t="s">
        <v>1173</v>
      </c>
      <c r="C26" t="s">
        <v>1174</v>
      </c>
      <c r="D26" t="s">
        <v>1175</v>
      </c>
      <c r="E26" t="s">
        <v>1176</v>
      </c>
      <c r="F26" t="s">
        <v>1177</v>
      </c>
      <c r="G26" t="s">
        <v>1041</v>
      </c>
    </row>
    <row r="27" spans="1:7">
      <c r="A27" t="s">
        <v>1065</v>
      </c>
      <c r="B27" t="s">
        <v>1178</v>
      </c>
      <c r="C27" t="s">
        <v>1179</v>
      </c>
      <c r="D27" t="s">
        <v>1180</v>
      </c>
      <c r="E27" t="s">
        <v>1181</v>
      </c>
      <c r="F27" t="s">
        <v>1182</v>
      </c>
      <c r="G27" t="s">
        <v>1041</v>
      </c>
    </row>
    <row r="28" spans="1:7">
      <c r="A28" t="s">
        <v>1065</v>
      </c>
      <c r="B28" t="s">
        <v>1183</v>
      </c>
      <c r="C28" t="s">
        <v>1184</v>
      </c>
      <c r="D28" t="s">
        <v>1185</v>
      </c>
      <c r="E28" t="s">
        <v>1186</v>
      </c>
      <c r="F28" t="s">
        <v>1187</v>
      </c>
      <c r="G28" t="s">
        <v>1041</v>
      </c>
    </row>
    <row r="29" spans="1:7">
      <c r="A29" t="s">
        <v>1124</v>
      </c>
      <c r="B29" t="s">
        <v>1188</v>
      </c>
      <c r="C29" t="s">
        <v>1036</v>
      </c>
      <c r="D29" t="s">
        <v>1189</v>
      </c>
      <c r="E29" t="s">
        <v>1190</v>
      </c>
      <c r="F29" t="s">
        <v>1191</v>
      </c>
      <c r="G29" t="s">
        <v>1041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1D8F77C-B4E8-4A37-9E8A-5CA07C7CCB5F}">
  <ds:schemaRefs>
    <ds:schemaRef ds:uri="http://www.w3.org/2001/XMLSchema"/>
    <ds:schemaRef ds:uri="http://www.boozallen.com/argo/guid"/>
  </ds:schemaRefs>
</ds:datastoreItem>
</file>

<file path=customXml/itemProps2.xml><?xml version="1.0" encoding="utf-8"?>
<ds:datastoreItem xmlns:ds="http://schemas.openxmlformats.org/officeDocument/2006/customXml" ds:itemID="{11317ACE-A650-44BF-8DE0-1621E0268D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 Page</vt:lpstr>
      <vt:lpstr>1 - Change History</vt:lpstr>
      <vt:lpstr>4d - CBS in JS format</vt:lpstr>
      <vt:lpstr>2 - Phasing Nomenclature</vt:lpstr>
      <vt:lpstr>3 - Phase Durations</vt:lpstr>
      <vt:lpstr>PM's sched Scenarios</vt:lpstr>
      <vt:lpstr>GR&amp;A</vt:lpstr>
      <vt:lpstr>4 - RAM LoE</vt:lpstr>
      <vt:lpstr>5 - Risk Register</vt:lpstr>
      <vt:lpstr>Risk Breakdown Structure</vt:lpstr>
      <vt:lpstr>Costing_Phases</vt:lpstr>
      <vt:lpstr>Costing_Phases_PM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 - CADRe Part B</dc:title>
  <dc:subject/>
  <dc:creator>Samuel Stille</dc:creator>
  <cp:keywords/>
  <dc:description/>
  <cp:lastModifiedBy>Stille, Samuel (ASC/CSA)</cp:lastModifiedBy>
  <cp:revision/>
  <dcterms:created xsi:type="dcterms:W3CDTF">2025-03-21T19:01:03Z</dcterms:created>
  <dcterms:modified xsi:type="dcterms:W3CDTF">2026-09-24T17:31:27Z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8a8773-bcd3-476c-8adc-f986a36f2c00_Enabled">
    <vt:lpwstr>true</vt:lpwstr>
  </property>
  <property fmtid="{D5CDD505-2E9C-101B-9397-08002B2CF9AE}" pid="3" name="MSIP_Label_658a8773-bcd3-476c-8adc-f986a36f2c00_SetDate">
    <vt:lpwstr>2025-03-21T19:47:03Z</vt:lpwstr>
  </property>
  <property fmtid="{D5CDD505-2E9C-101B-9397-08002B2CF9AE}" pid="4" name="MSIP_Label_658a8773-bcd3-476c-8adc-f986a36f2c00_Method">
    <vt:lpwstr>Privileged</vt:lpwstr>
  </property>
  <property fmtid="{D5CDD505-2E9C-101B-9397-08002B2CF9AE}" pid="5" name="MSIP_Label_658a8773-bcd3-476c-8adc-f986a36f2c00_Name">
    <vt:lpwstr>NON-CLASSIFIÉ NON VISIBLE - UNCLASSIFIED NOT VISIBLE</vt:lpwstr>
  </property>
  <property fmtid="{D5CDD505-2E9C-101B-9397-08002B2CF9AE}" pid="6" name="MSIP_Label_658a8773-bcd3-476c-8adc-f986a36f2c00_SiteId">
    <vt:lpwstr>ea59922f-ea3d-4e45-ba97-caf826fb9335</vt:lpwstr>
  </property>
  <property fmtid="{D5CDD505-2E9C-101B-9397-08002B2CF9AE}" pid="7" name="MSIP_Label_658a8773-bcd3-476c-8adc-f986a36f2c00_ActionId">
    <vt:lpwstr>94a9cdcd-8848-4587-81a8-0b8a7490100b</vt:lpwstr>
  </property>
  <property fmtid="{D5CDD505-2E9C-101B-9397-08002B2CF9AE}" pid="8" name="MSIP_Label_658a8773-bcd3-476c-8adc-f986a36f2c00_ContentBits">
    <vt:lpwstr>0</vt:lpwstr>
  </property>
</Properties>
</file>